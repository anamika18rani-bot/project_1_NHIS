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d99f2a055ddb46/Desktop/nexthike/"/>
    </mc:Choice>
  </mc:AlternateContent>
  <xr:revisionPtr revIDLastSave="2" documentId="8_{E6F0DF28-E574-4294-9234-591F64EEA569}" xr6:coauthVersionLast="47" xr6:coauthVersionMax="47" xr10:uidLastSave="{18478D9C-E50E-4793-BD1B-376F55108E21}"/>
  <bookViews>
    <workbookView xWindow="-108" yWindow="-108" windowWidth="23256" windowHeight="12456" activeTab="5" xr2:uid="{968F92B5-8672-47B2-AAF8-8281BA3050A9}"/>
  </bookViews>
  <sheets>
    <sheet name="dataseet1" sheetId="1" r:id="rId1"/>
    <sheet name="dataset2" sheetId="2" r:id="rId2"/>
    <sheet name="Merge1" sheetId="4" r:id="rId3"/>
    <sheet name="dataset3" sheetId="3" r:id="rId4"/>
    <sheet name="Append1" sheetId="5" r:id="rId5"/>
    <sheet name="CleanedData" sheetId="6" r:id="rId6"/>
    <sheet name="Dashboard Data" sheetId="7" r:id="rId7"/>
    <sheet name="humidity measurement" sheetId="8" r:id="rId8"/>
    <sheet name="Sheet2" sheetId="9" r:id="rId9"/>
  </sheets>
  <externalReferences>
    <externalReference r:id="rId10"/>
  </externalReferences>
  <definedNames>
    <definedName name="_xlnm._FilterDatabase" localSheetId="5" hidden="1">CleanedData!$K$1:$K$1002</definedName>
    <definedName name="ExternalData_1" localSheetId="2" hidden="1">Merge1!$A$1:$V$612</definedName>
    <definedName name="ExternalData_2" localSheetId="4" hidden="1">Append1!$A$1:$V$1001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9" l="1"/>
  <c r="B7" i="9"/>
  <c r="B6" i="9"/>
  <c r="B5" i="9"/>
  <c r="V4" i="7"/>
  <c r="P4" i="7"/>
  <c r="H4" i="7"/>
  <c r="B4" i="7"/>
  <c r="Q11" i="6"/>
  <c r="Q4" i="6"/>
  <c r="Q5" i="6"/>
  <c r="Q6" i="6"/>
  <c r="Q7" i="6"/>
  <c r="Q8" i="6"/>
  <c r="Q9" i="6"/>
  <c r="Q10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3" i="6"/>
  <c r="Y5" i="6" l="1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4" i="6"/>
  <c r="X4" i="6"/>
  <c r="X5" i="6"/>
  <c r="X6" i="6"/>
  <c r="Z6" i="6" s="1"/>
  <c r="X7" i="6"/>
  <c r="Z7" i="6" s="1"/>
  <c r="X8" i="6"/>
  <c r="Z8" i="6" s="1"/>
  <c r="X9" i="6"/>
  <c r="X10" i="6"/>
  <c r="Z10" i="6" s="1"/>
  <c r="X11" i="6"/>
  <c r="Z11" i="6" s="1"/>
  <c r="X12" i="6"/>
  <c r="Z12" i="6" s="1"/>
  <c r="X13" i="6"/>
  <c r="Z13" i="6" s="1"/>
  <c r="X14" i="6"/>
  <c r="Z14" i="6" s="1"/>
  <c r="X15" i="6"/>
  <c r="Z15" i="6" s="1"/>
  <c r="X16" i="6"/>
  <c r="Z16" i="6" s="1"/>
  <c r="X17" i="6"/>
  <c r="Z17" i="6" s="1"/>
  <c r="X18" i="6"/>
  <c r="Z18" i="6" s="1"/>
  <c r="X19" i="6"/>
  <c r="Z19" i="6" s="1"/>
  <c r="X20" i="6"/>
  <c r="Z20" i="6" s="1"/>
  <c r="X21" i="6"/>
  <c r="Z21" i="6" s="1"/>
  <c r="X22" i="6"/>
  <c r="Z22" i="6" s="1"/>
  <c r="X23" i="6"/>
  <c r="Z23" i="6" s="1"/>
  <c r="X24" i="6"/>
  <c r="Z24" i="6" s="1"/>
  <c r="X25" i="6"/>
  <c r="Z25" i="6" s="1"/>
  <c r="X26" i="6"/>
  <c r="Z26" i="6" s="1"/>
  <c r="X27" i="6"/>
  <c r="Z27" i="6" s="1"/>
  <c r="X28" i="6"/>
  <c r="Z28" i="6" s="1"/>
  <c r="X29" i="6"/>
  <c r="Z29" i="6" s="1"/>
  <c r="X30" i="6"/>
  <c r="Z30" i="6" s="1"/>
  <c r="X31" i="6"/>
  <c r="Z31" i="6" s="1"/>
  <c r="X32" i="6"/>
  <c r="Z32" i="6" s="1"/>
  <c r="X33" i="6"/>
  <c r="Z33" i="6" s="1"/>
  <c r="X34" i="6"/>
  <c r="Z34" i="6" s="1"/>
  <c r="X35" i="6"/>
  <c r="Z35" i="6" s="1"/>
  <c r="X36" i="6"/>
  <c r="Z36" i="6" s="1"/>
  <c r="X37" i="6"/>
  <c r="Z37" i="6" s="1"/>
  <c r="X38" i="6"/>
  <c r="Z38" i="6" s="1"/>
  <c r="X39" i="6"/>
  <c r="Z39" i="6" s="1"/>
  <c r="X40" i="6"/>
  <c r="Z40" i="6" s="1"/>
  <c r="X41" i="6"/>
  <c r="Z41" i="6" s="1"/>
  <c r="X42" i="6"/>
  <c r="Z42" i="6" s="1"/>
  <c r="X43" i="6"/>
  <c r="Z43" i="6" s="1"/>
  <c r="X44" i="6"/>
  <c r="Z44" i="6" s="1"/>
  <c r="X45" i="6"/>
  <c r="Z45" i="6" s="1"/>
  <c r="X46" i="6"/>
  <c r="Z46" i="6" s="1"/>
  <c r="X47" i="6"/>
  <c r="Z47" i="6" s="1"/>
  <c r="X48" i="6"/>
  <c r="Z48" i="6" s="1"/>
  <c r="X49" i="6"/>
  <c r="Z49" i="6" s="1"/>
  <c r="X50" i="6"/>
  <c r="Z50" i="6" s="1"/>
  <c r="X51" i="6"/>
  <c r="Z51" i="6" s="1"/>
  <c r="X52" i="6"/>
  <c r="Z52" i="6" s="1"/>
  <c r="X53" i="6"/>
  <c r="Z53" i="6" s="1"/>
  <c r="X54" i="6"/>
  <c r="Z54" i="6" s="1"/>
  <c r="X55" i="6"/>
  <c r="Z55" i="6" s="1"/>
  <c r="X56" i="6"/>
  <c r="Z56" i="6" s="1"/>
  <c r="X57" i="6"/>
  <c r="Z57" i="6" s="1"/>
  <c r="X58" i="6"/>
  <c r="Z58" i="6" s="1"/>
  <c r="X59" i="6"/>
  <c r="Z59" i="6" s="1"/>
  <c r="X60" i="6"/>
  <c r="Z60" i="6" s="1"/>
  <c r="X61" i="6"/>
  <c r="Z61" i="6" s="1"/>
  <c r="X62" i="6"/>
  <c r="Z62" i="6" s="1"/>
  <c r="X63" i="6"/>
  <c r="Z63" i="6" s="1"/>
  <c r="X64" i="6"/>
  <c r="Z64" i="6" s="1"/>
  <c r="X65" i="6"/>
  <c r="Z65" i="6" s="1"/>
  <c r="X66" i="6"/>
  <c r="Z66" i="6" s="1"/>
  <c r="X67" i="6"/>
  <c r="Z67" i="6" s="1"/>
  <c r="X68" i="6"/>
  <c r="Z68" i="6" s="1"/>
  <c r="X69" i="6"/>
  <c r="Z69" i="6" s="1"/>
  <c r="X70" i="6"/>
  <c r="Z70" i="6" s="1"/>
  <c r="X71" i="6"/>
  <c r="Z71" i="6" s="1"/>
  <c r="X72" i="6"/>
  <c r="Z72" i="6" s="1"/>
  <c r="X73" i="6"/>
  <c r="Z73" i="6" s="1"/>
  <c r="X74" i="6"/>
  <c r="Z74" i="6" s="1"/>
  <c r="X75" i="6"/>
  <c r="Z75" i="6" s="1"/>
  <c r="X76" i="6"/>
  <c r="Z76" i="6" s="1"/>
  <c r="X77" i="6"/>
  <c r="Z77" i="6" s="1"/>
  <c r="X78" i="6"/>
  <c r="Z78" i="6" s="1"/>
  <c r="X79" i="6"/>
  <c r="Z79" i="6" s="1"/>
  <c r="X80" i="6"/>
  <c r="Z80" i="6" s="1"/>
  <c r="X81" i="6"/>
  <c r="Z81" i="6" s="1"/>
  <c r="X82" i="6"/>
  <c r="Z82" i="6" s="1"/>
  <c r="X83" i="6"/>
  <c r="Z83" i="6" s="1"/>
  <c r="X84" i="6"/>
  <c r="Z84" i="6" s="1"/>
  <c r="X85" i="6"/>
  <c r="Z85" i="6" s="1"/>
  <c r="X86" i="6"/>
  <c r="Z86" i="6" s="1"/>
  <c r="X87" i="6"/>
  <c r="Z87" i="6" s="1"/>
  <c r="X88" i="6"/>
  <c r="Z88" i="6" s="1"/>
  <c r="X89" i="6"/>
  <c r="Z89" i="6" s="1"/>
  <c r="X90" i="6"/>
  <c r="Z90" i="6" s="1"/>
  <c r="X91" i="6"/>
  <c r="Z91" i="6" s="1"/>
  <c r="X92" i="6"/>
  <c r="Z92" i="6" s="1"/>
  <c r="X93" i="6"/>
  <c r="Z93" i="6" s="1"/>
  <c r="X94" i="6"/>
  <c r="Z94" i="6" s="1"/>
  <c r="X95" i="6"/>
  <c r="Z95" i="6" s="1"/>
  <c r="X96" i="6"/>
  <c r="Z96" i="6" s="1"/>
  <c r="X97" i="6"/>
  <c r="Z97" i="6" s="1"/>
  <c r="X98" i="6"/>
  <c r="X99" i="6"/>
  <c r="Z99" i="6" s="1"/>
  <c r="X100" i="6"/>
  <c r="Z100" i="6" s="1"/>
  <c r="X101" i="6"/>
  <c r="Z101" i="6" s="1"/>
  <c r="X102" i="6"/>
  <c r="Z102" i="6" s="1"/>
  <c r="X103" i="6"/>
  <c r="Z103" i="6" s="1"/>
  <c r="X104" i="6"/>
  <c r="Z104" i="6" s="1"/>
  <c r="X105" i="6"/>
  <c r="Z105" i="6" s="1"/>
  <c r="X106" i="6"/>
  <c r="Z106" i="6" s="1"/>
  <c r="X107" i="6"/>
  <c r="Z107" i="6" s="1"/>
  <c r="X108" i="6"/>
  <c r="Z108" i="6" s="1"/>
  <c r="X109" i="6"/>
  <c r="Z109" i="6" s="1"/>
  <c r="X110" i="6"/>
  <c r="Z110" i="6" s="1"/>
  <c r="X111" i="6"/>
  <c r="Z111" i="6" s="1"/>
  <c r="X112" i="6"/>
  <c r="Z112" i="6" s="1"/>
  <c r="X113" i="6"/>
  <c r="Z113" i="6" s="1"/>
  <c r="X114" i="6"/>
  <c r="Z114" i="6" s="1"/>
  <c r="X115" i="6"/>
  <c r="Z115" i="6" s="1"/>
  <c r="X116" i="6"/>
  <c r="Z116" i="6" s="1"/>
  <c r="X117" i="6"/>
  <c r="Z117" i="6" s="1"/>
  <c r="X118" i="6"/>
  <c r="Z118" i="6" s="1"/>
  <c r="X119" i="6"/>
  <c r="Z119" i="6" s="1"/>
  <c r="X120" i="6"/>
  <c r="Z120" i="6" s="1"/>
  <c r="X121" i="6"/>
  <c r="Z121" i="6" s="1"/>
  <c r="X122" i="6"/>
  <c r="Z122" i="6" s="1"/>
  <c r="X123" i="6"/>
  <c r="Z123" i="6" s="1"/>
  <c r="X124" i="6"/>
  <c r="Z124" i="6" s="1"/>
  <c r="X125" i="6"/>
  <c r="Z125" i="6" s="1"/>
  <c r="X126" i="6"/>
  <c r="Z126" i="6" s="1"/>
  <c r="X127" i="6"/>
  <c r="Z127" i="6" s="1"/>
  <c r="X128" i="6"/>
  <c r="Z128" i="6" s="1"/>
  <c r="X129" i="6"/>
  <c r="Z129" i="6" s="1"/>
  <c r="X130" i="6"/>
  <c r="Z130" i="6" s="1"/>
  <c r="X131" i="6"/>
  <c r="Z131" i="6" s="1"/>
  <c r="X132" i="6"/>
  <c r="Z132" i="6" s="1"/>
  <c r="X133" i="6"/>
  <c r="Z133" i="6" s="1"/>
  <c r="X134" i="6"/>
  <c r="Z134" i="6" s="1"/>
  <c r="X135" i="6"/>
  <c r="Z135" i="6" s="1"/>
  <c r="X136" i="6"/>
  <c r="Z136" i="6" s="1"/>
  <c r="X137" i="6"/>
  <c r="Z137" i="6" s="1"/>
  <c r="X138" i="6"/>
  <c r="Z138" i="6" s="1"/>
  <c r="X139" i="6"/>
  <c r="Z139" i="6" s="1"/>
  <c r="X140" i="6"/>
  <c r="Z140" i="6" s="1"/>
  <c r="X141" i="6"/>
  <c r="Z141" i="6" s="1"/>
  <c r="X142" i="6"/>
  <c r="Z142" i="6" s="1"/>
  <c r="X143" i="6"/>
  <c r="Z143" i="6" s="1"/>
  <c r="X144" i="6"/>
  <c r="X145" i="6"/>
  <c r="Z145" i="6" s="1"/>
  <c r="X146" i="6"/>
  <c r="Z146" i="6" s="1"/>
  <c r="X147" i="6"/>
  <c r="Z147" i="6" s="1"/>
  <c r="X148" i="6"/>
  <c r="Z148" i="6" s="1"/>
  <c r="X149" i="6"/>
  <c r="Z149" i="6" s="1"/>
  <c r="X150" i="6"/>
  <c r="Z150" i="6" s="1"/>
  <c r="X151" i="6"/>
  <c r="Z151" i="6" s="1"/>
  <c r="X152" i="6"/>
  <c r="Z152" i="6" s="1"/>
  <c r="X153" i="6"/>
  <c r="Z153" i="6" s="1"/>
  <c r="X154" i="6"/>
  <c r="Z154" i="6" s="1"/>
  <c r="X155" i="6"/>
  <c r="Z155" i="6" s="1"/>
  <c r="X156" i="6"/>
  <c r="Z156" i="6" s="1"/>
  <c r="X157" i="6"/>
  <c r="Z157" i="6" s="1"/>
  <c r="X158" i="6"/>
  <c r="Z158" i="6" s="1"/>
  <c r="X159" i="6"/>
  <c r="Z159" i="6" s="1"/>
  <c r="X160" i="6"/>
  <c r="Z160" i="6" s="1"/>
  <c r="X161" i="6"/>
  <c r="Z161" i="6" s="1"/>
  <c r="X162" i="6"/>
  <c r="Z162" i="6" s="1"/>
  <c r="X163" i="6"/>
  <c r="Z163" i="6" s="1"/>
  <c r="X164" i="6"/>
  <c r="Z164" i="6" s="1"/>
  <c r="X165" i="6"/>
  <c r="Z165" i="6" s="1"/>
  <c r="X166" i="6"/>
  <c r="Z166" i="6" s="1"/>
  <c r="X167" i="6"/>
  <c r="Z167" i="6" s="1"/>
  <c r="X168" i="6"/>
  <c r="Z168" i="6" s="1"/>
  <c r="X169" i="6"/>
  <c r="Z169" i="6" s="1"/>
  <c r="X170" i="6"/>
  <c r="Z170" i="6" s="1"/>
  <c r="X171" i="6"/>
  <c r="Z171" i="6" s="1"/>
  <c r="X172" i="6"/>
  <c r="Z172" i="6" s="1"/>
  <c r="X173" i="6"/>
  <c r="Z173" i="6" s="1"/>
  <c r="X174" i="6"/>
  <c r="Z174" i="6" s="1"/>
  <c r="X175" i="6"/>
  <c r="Z175" i="6" s="1"/>
  <c r="X176" i="6"/>
  <c r="Z176" i="6" s="1"/>
  <c r="X177" i="6"/>
  <c r="Z177" i="6" s="1"/>
  <c r="X178" i="6"/>
  <c r="Z178" i="6" s="1"/>
  <c r="X179" i="6"/>
  <c r="Z179" i="6" s="1"/>
  <c r="X180" i="6"/>
  <c r="Z180" i="6" s="1"/>
  <c r="X181" i="6"/>
  <c r="Z181" i="6" s="1"/>
  <c r="X182" i="6"/>
  <c r="Z182" i="6" s="1"/>
  <c r="X183" i="6"/>
  <c r="Z183" i="6" s="1"/>
  <c r="X184" i="6"/>
  <c r="Z184" i="6" s="1"/>
  <c r="X185" i="6"/>
  <c r="Z185" i="6" s="1"/>
  <c r="X186" i="6"/>
  <c r="Z186" i="6" s="1"/>
  <c r="X187" i="6"/>
  <c r="Z187" i="6" s="1"/>
  <c r="X188" i="6"/>
  <c r="Z188" i="6" s="1"/>
  <c r="X189" i="6"/>
  <c r="Z189" i="6" s="1"/>
  <c r="X190" i="6"/>
  <c r="Z190" i="6" s="1"/>
  <c r="X191" i="6"/>
  <c r="Z191" i="6" s="1"/>
  <c r="X192" i="6"/>
  <c r="Z192" i="6" s="1"/>
  <c r="X193" i="6"/>
  <c r="Z193" i="6" s="1"/>
  <c r="X194" i="6"/>
  <c r="Z194" i="6" s="1"/>
  <c r="X195" i="6"/>
  <c r="Z195" i="6" s="1"/>
  <c r="X196" i="6"/>
  <c r="Z196" i="6" s="1"/>
  <c r="X197" i="6"/>
  <c r="Z197" i="6" s="1"/>
  <c r="X198" i="6"/>
  <c r="Z198" i="6" s="1"/>
  <c r="X199" i="6"/>
  <c r="Z199" i="6" s="1"/>
  <c r="X200" i="6"/>
  <c r="Z200" i="6" s="1"/>
  <c r="X201" i="6"/>
  <c r="Z201" i="6" s="1"/>
  <c r="X202" i="6"/>
  <c r="Z202" i="6" s="1"/>
  <c r="X203" i="6"/>
  <c r="Z203" i="6" s="1"/>
  <c r="X204" i="6"/>
  <c r="Z204" i="6" s="1"/>
  <c r="X205" i="6"/>
  <c r="Z205" i="6" s="1"/>
  <c r="X206" i="6"/>
  <c r="Z206" i="6" s="1"/>
  <c r="X207" i="6"/>
  <c r="Z207" i="6" s="1"/>
  <c r="X208" i="6"/>
  <c r="Z208" i="6" s="1"/>
  <c r="X209" i="6"/>
  <c r="Z209" i="6" s="1"/>
  <c r="X210" i="6"/>
  <c r="Z210" i="6" s="1"/>
  <c r="X211" i="6"/>
  <c r="Z211" i="6" s="1"/>
  <c r="X212" i="6"/>
  <c r="Z212" i="6" s="1"/>
  <c r="X213" i="6"/>
  <c r="Z213" i="6" s="1"/>
  <c r="X214" i="6"/>
  <c r="Z214" i="6" s="1"/>
  <c r="X215" i="6"/>
  <c r="Z215" i="6" s="1"/>
  <c r="X216" i="6"/>
  <c r="Z216" i="6" s="1"/>
  <c r="X217" i="6"/>
  <c r="Z217" i="6" s="1"/>
  <c r="X218" i="6"/>
  <c r="Z218" i="6" s="1"/>
  <c r="X219" i="6"/>
  <c r="Z219" i="6" s="1"/>
  <c r="X220" i="6"/>
  <c r="Z220" i="6" s="1"/>
  <c r="X221" i="6"/>
  <c r="Z221" i="6" s="1"/>
  <c r="X222" i="6"/>
  <c r="Z222" i="6" s="1"/>
  <c r="X223" i="6"/>
  <c r="Z223" i="6" s="1"/>
  <c r="X224" i="6"/>
  <c r="Z224" i="6" s="1"/>
  <c r="X225" i="6"/>
  <c r="Z225" i="6" s="1"/>
  <c r="X226" i="6"/>
  <c r="Z226" i="6" s="1"/>
  <c r="X227" i="6"/>
  <c r="Z227" i="6" s="1"/>
  <c r="X228" i="6"/>
  <c r="Z228" i="6" s="1"/>
  <c r="X229" i="6"/>
  <c r="Z229" i="6" s="1"/>
  <c r="X230" i="6"/>
  <c r="Z230" i="6" s="1"/>
  <c r="X231" i="6"/>
  <c r="Z231" i="6" s="1"/>
  <c r="X232" i="6"/>
  <c r="Z232" i="6" s="1"/>
  <c r="X233" i="6"/>
  <c r="Z233" i="6" s="1"/>
  <c r="X234" i="6"/>
  <c r="Z234" i="6" s="1"/>
  <c r="X235" i="6"/>
  <c r="Z235" i="6" s="1"/>
  <c r="X236" i="6"/>
  <c r="Z236" i="6" s="1"/>
  <c r="X237" i="6"/>
  <c r="Z237" i="6" s="1"/>
  <c r="X238" i="6"/>
  <c r="Z238" i="6" s="1"/>
  <c r="X239" i="6"/>
  <c r="Z239" i="6" s="1"/>
  <c r="X240" i="6"/>
  <c r="Z240" i="6" s="1"/>
  <c r="X241" i="6"/>
  <c r="Z241" i="6" s="1"/>
  <c r="X242" i="6"/>
  <c r="Z242" i="6" s="1"/>
  <c r="X243" i="6"/>
  <c r="Z243" i="6" s="1"/>
  <c r="X244" i="6"/>
  <c r="Z244" i="6" s="1"/>
  <c r="X245" i="6"/>
  <c r="Z245" i="6" s="1"/>
  <c r="X246" i="6"/>
  <c r="Z246" i="6" s="1"/>
  <c r="X247" i="6"/>
  <c r="Z247" i="6" s="1"/>
  <c r="X248" i="6"/>
  <c r="Z248" i="6" s="1"/>
  <c r="X249" i="6"/>
  <c r="Z249" i="6" s="1"/>
  <c r="X250" i="6"/>
  <c r="Z250" i="6" s="1"/>
  <c r="X251" i="6"/>
  <c r="Z251" i="6" s="1"/>
  <c r="X252" i="6"/>
  <c r="Z252" i="6" s="1"/>
  <c r="X253" i="6"/>
  <c r="Z253" i="6" s="1"/>
  <c r="X254" i="6"/>
  <c r="Z254" i="6" s="1"/>
  <c r="X255" i="6"/>
  <c r="Z255" i="6" s="1"/>
  <c r="X256" i="6"/>
  <c r="Z256" i="6" s="1"/>
  <c r="X257" i="6"/>
  <c r="Z257" i="6" s="1"/>
  <c r="X258" i="6"/>
  <c r="Z258" i="6" s="1"/>
  <c r="X259" i="6"/>
  <c r="Z259" i="6" s="1"/>
  <c r="X260" i="6"/>
  <c r="Z260" i="6" s="1"/>
  <c r="X261" i="6"/>
  <c r="Z261" i="6" s="1"/>
  <c r="X262" i="6"/>
  <c r="Z262" i="6" s="1"/>
  <c r="X263" i="6"/>
  <c r="Z263" i="6" s="1"/>
  <c r="X264" i="6"/>
  <c r="Z264" i="6" s="1"/>
  <c r="X265" i="6"/>
  <c r="Z265" i="6" s="1"/>
  <c r="X266" i="6"/>
  <c r="Z266" i="6" s="1"/>
  <c r="X267" i="6"/>
  <c r="Z267" i="6" s="1"/>
  <c r="X268" i="6"/>
  <c r="Z268" i="6" s="1"/>
  <c r="X269" i="6"/>
  <c r="Z269" i="6" s="1"/>
  <c r="X270" i="6"/>
  <c r="Z270" i="6" s="1"/>
  <c r="X271" i="6"/>
  <c r="Z271" i="6" s="1"/>
  <c r="X272" i="6"/>
  <c r="Z272" i="6" s="1"/>
  <c r="X273" i="6"/>
  <c r="Z273" i="6" s="1"/>
  <c r="X274" i="6"/>
  <c r="Z274" i="6" s="1"/>
  <c r="X275" i="6"/>
  <c r="Z275" i="6" s="1"/>
  <c r="X276" i="6"/>
  <c r="Z276" i="6" s="1"/>
  <c r="X277" i="6"/>
  <c r="Z277" i="6" s="1"/>
  <c r="X278" i="6"/>
  <c r="Z278" i="6" s="1"/>
  <c r="X279" i="6"/>
  <c r="Z279" i="6" s="1"/>
  <c r="X280" i="6"/>
  <c r="Z280" i="6" s="1"/>
  <c r="X281" i="6"/>
  <c r="Z281" i="6" s="1"/>
  <c r="X282" i="6"/>
  <c r="Z282" i="6" s="1"/>
  <c r="X283" i="6"/>
  <c r="Z283" i="6" s="1"/>
  <c r="X284" i="6"/>
  <c r="Z284" i="6" s="1"/>
  <c r="X285" i="6"/>
  <c r="Z285" i="6" s="1"/>
  <c r="X286" i="6"/>
  <c r="Z286" i="6" s="1"/>
  <c r="X287" i="6"/>
  <c r="Z287" i="6" s="1"/>
  <c r="X288" i="6"/>
  <c r="Z288" i="6" s="1"/>
  <c r="X289" i="6"/>
  <c r="Z289" i="6" s="1"/>
  <c r="X290" i="6"/>
  <c r="Z290" i="6" s="1"/>
  <c r="X291" i="6"/>
  <c r="Z291" i="6" s="1"/>
  <c r="X292" i="6"/>
  <c r="Z292" i="6" s="1"/>
  <c r="X293" i="6"/>
  <c r="Z293" i="6" s="1"/>
  <c r="X294" i="6"/>
  <c r="Z294" i="6" s="1"/>
  <c r="X295" i="6"/>
  <c r="Z295" i="6" s="1"/>
  <c r="X296" i="6"/>
  <c r="Z296" i="6" s="1"/>
  <c r="X297" i="6"/>
  <c r="Z297" i="6" s="1"/>
  <c r="X298" i="6"/>
  <c r="Z298" i="6" s="1"/>
  <c r="X299" i="6"/>
  <c r="Z299" i="6" s="1"/>
  <c r="X300" i="6"/>
  <c r="Z300" i="6" s="1"/>
  <c r="X301" i="6"/>
  <c r="Z301" i="6" s="1"/>
  <c r="X302" i="6"/>
  <c r="Z302" i="6" s="1"/>
  <c r="X303" i="6"/>
  <c r="Z303" i="6" s="1"/>
  <c r="X304" i="6"/>
  <c r="Z304" i="6" s="1"/>
  <c r="X305" i="6"/>
  <c r="Z305" i="6" s="1"/>
  <c r="X306" i="6"/>
  <c r="Z306" i="6" s="1"/>
  <c r="X307" i="6"/>
  <c r="Z307" i="6" s="1"/>
  <c r="X308" i="6"/>
  <c r="Z308" i="6" s="1"/>
  <c r="X309" i="6"/>
  <c r="Z309" i="6" s="1"/>
  <c r="X310" i="6"/>
  <c r="Z310" i="6" s="1"/>
  <c r="X311" i="6"/>
  <c r="Z311" i="6" s="1"/>
  <c r="X312" i="6"/>
  <c r="Z312" i="6" s="1"/>
  <c r="X313" i="6"/>
  <c r="Z313" i="6" s="1"/>
  <c r="X314" i="6"/>
  <c r="Z314" i="6" s="1"/>
  <c r="X315" i="6"/>
  <c r="Z315" i="6" s="1"/>
  <c r="X316" i="6"/>
  <c r="Z316" i="6" s="1"/>
  <c r="X317" i="6"/>
  <c r="Z317" i="6" s="1"/>
  <c r="X318" i="6"/>
  <c r="Z318" i="6" s="1"/>
  <c r="X319" i="6"/>
  <c r="Z319" i="6" s="1"/>
  <c r="X320" i="6"/>
  <c r="Z320" i="6" s="1"/>
  <c r="X321" i="6"/>
  <c r="Z321" i="6" s="1"/>
  <c r="X322" i="6"/>
  <c r="Z322" i="6" s="1"/>
  <c r="X323" i="6"/>
  <c r="Z323" i="6" s="1"/>
  <c r="X324" i="6"/>
  <c r="Z324" i="6" s="1"/>
  <c r="X325" i="6"/>
  <c r="Z325" i="6" s="1"/>
  <c r="X326" i="6"/>
  <c r="Z326" i="6" s="1"/>
  <c r="X327" i="6"/>
  <c r="Z327" i="6" s="1"/>
  <c r="X328" i="6"/>
  <c r="Z328" i="6" s="1"/>
  <c r="X329" i="6"/>
  <c r="Z329" i="6" s="1"/>
  <c r="X330" i="6"/>
  <c r="Z330" i="6" s="1"/>
  <c r="X331" i="6"/>
  <c r="Z331" i="6" s="1"/>
  <c r="X332" i="6"/>
  <c r="Z332" i="6" s="1"/>
  <c r="X333" i="6"/>
  <c r="Z333" i="6" s="1"/>
  <c r="X334" i="6"/>
  <c r="Z334" i="6" s="1"/>
  <c r="X335" i="6"/>
  <c r="Z335" i="6" s="1"/>
  <c r="X336" i="6"/>
  <c r="Z336" i="6" s="1"/>
  <c r="X337" i="6"/>
  <c r="Z337" i="6" s="1"/>
  <c r="X338" i="6"/>
  <c r="Z338" i="6" s="1"/>
  <c r="X339" i="6"/>
  <c r="Z339" i="6" s="1"/>
  <c r="X340" i="6"/>
  <c r="Z340" i="6" s="1"/>
  <c r="X341" i="6"/>
  <c r="Z341" i="6" s="1"/>
  <c r="X342" i="6"/>
  <c r="Z342" i="6" s="1"/>
  <c r="X343" i="6"/>
  <c r="Z343" i="6" s="1"/>
  <c r="X344" i="6"/>
  <c r="Z344" i="6" s="1"/>
  <c r="X345" i="6"/>
  <c r="Z345" i="6" s="1"/>
  <c r="X346" i="6"/>
  <c r="Z346" i="6" s="1"/>
  <c r="X347" i="6"/>
  <c r="Z347" i="6" s="1"/>
  <c r="X348" i="6"/>
  <c r="Z348" i="6" s="1"/>
  <c r="X349" i="6"/>
  <c r="Z349" i="6" s="1"/>
  <c r="X350" i="6"/>
  <c r="Z350" i="6" s="1"/>
  <c r="X351" i="6"/>
  <c r="Z351" i="6" s="1"/>
  <c r="X352" i="6"/>
  <c r="Z352" i="6" s="1"/>
  <c r="X353" i="6"/>
  <c r="Z353" i="6" s="1"/>
  <c r="X354" i="6"/>
  <c r="Z354" i="6" s="1"/>
  <c r="X355" i="6"/>
  <c r="Z355" i="6" s="1"/>
  <c r="X356" i="6"/>
  <c r="Z356" i="6" s="1"/>
  <c r="X357" i="6"/>
  <c r="Z357" i="6" s="1"/>
  <c r="X358" i="6"/>
  <c r="Z358" i="6" s="1"/>
  <c r="X359" i="6"/>
  <c r="Z359" i="6" s="1"/>
  <c r="X360" i="6"/>
  <c r="Z360" i="6" s="1"/>
  <c r="X361" i="6"/>
  <c r="Z361" i="6" s="1"/>
  <c r="X362" i="6"/>
  <c r="Z362" i="6" s="1"/>
  <c r="X363" i="6"/>
  <c r="Z363" i="6" s="1"/>
  <c r="X364" i="6"/>
  <c r="Z364" i="6" s="1"/>
  <c r="X365" i="6"/>
  <c r="Z365" i="6" s="1"/>
  <c r="X366" i="6"/>
  <c r="Z366" i="6" s="1"/>
  <c r="X367" i="6"/>
  <c r="Z367" i="6" s="1"/>
  <c r="X368" i="6"/>
  <c r="Z368" i="6" s="1"/>
  <c r="X369" i="6"/>
  <c r="Z369" i="6" s="1"/>
  <c r="X370" i="6"/>
  <c r="Z370" i="6" s="1"/>
  <c r="X371" i="6"/>
  <c r="Z371" i="6" s="1"/>
  <c r="X372" i="6"/>
  <c r="Z372" i="6" s="1"/>
  <c r="X373" i="6"/>
  <c r="Z373" i="6" s="1"/>
  <c r="X374" i="6"/>
  <c r="Z374" i="6" s="1"/>
  <c r="X375" i="6"/>
  <c r="Z375" i="6" s="1"/>
  <c r="X376" i="6"/>
  <c r="Z376" i="6" s="1"/>
  <c r="X377" i="6"/>
  <c r="Z377" i="6" s="1"/>
  <c r="X378" i="6"/>
  <c r="Z378" i="6" s="1"/>
  <c r="X379" i="6"/>
  <c r="Z379" i="6" s="1"/>
  <c r="X380" i="6"/>
  <c r="Z380" i="6" s="1"/>
  <c r="X381" i="6"/>
  <c r="Z381" i="6" s="1"/>
  <c r="X382" i="6"/>
  <c r="Z382" i="6" s="1"/>
  <c r="X383" i="6"/>
  <c r="Z383" i="6" s="1"/>
  <c r="X384" i="6"/>
  <c r="Z384" i="6" s="1"/>
  <c r="X385" i="6"/>
  <c r="Z385" i="6" s="1"/>
  <c r="X386" i="6"/>
  <c r="Z386" i="6" s="1"/>
  <c r="X387" i="6"/>
  <c r="Z387" i="6" s="1"/>
  <c r="X388" i="6"/>
  <c r="Z388" i="6" s="1"/>
  <c r="X389" i="6"/>
  <c r="Z389" i="6" s="1"/>
  <c r="X390" i="6"/>
  <c r="Z390" i="6" s="1"/>
  <c r="X391" i="6"/>
  <c r="Z391" i="6" s="1"/>
  <c r="X392" i="6"/>
  <c r="Z392" i="6" s="1"/>
  <c r="X393" i="6"/>
  <c r="Z393" i="6" s="1"/>
  <c r="X394" i="6"/>
  <c r="Z394" i="6" s="1"/>
  <c r="X395" i="6"/>
  <c r="Z395" i="6" s="1"/>
  <c r="X396" i="6"/>
  <c r="Z396" i="6" s="1"/>
  <c r="X397" i="6"/>
  <c r="Z397" i="6" s="1"/>
  <c r="X398" i="6"/>
  <c r="Z398" i="6" s="1"/>
  <c r="X399" i="6"/>
  <c r="Z399" i="6" s="1"/>
  <c r="X400" i="6"/>
  <c r="Z400" i="6" s="1"/>
  <c r="X401" i="6"/>
  <c r="Z401" i="6" s="1"/>
  <c r="X402" i="6"/>
  <c r="Z402" i="6" s="1"/>
  <c r="X403" i="6"/>
  <c r="Z403" i="6" s="1"/>
  <c r="X404" i="6"/>
  <c r="Z404" i="6" s="1"/>
  <c r="X405" i="6"/>
  <c r="Z405" i="6" s="1"/>
  <c r="X406" i="6"/>
  <c r="Z406" i="6" s="1"/>
  <c r="X407" i="6"/>
  <c r="Z407" i="6" s="1"/>
  <c r="X408" i="6"/>
  <c r="Z408" i="6" s="1"/>
  <c r="X409" i="6"/>
  <c r="Z409" i="6" s="1"/>
  <c r="X410" i="6"/>
  <c r="Z410" i="6" s="1"/>
  <c r="X411" i="6"/>
  <c r="Z411" i="6" s="1"/>
  <c r="X412" i="6"/>
  <c r="Z412" i="6" s="1"/>
  <c r="X413" i="6"/>
  <c r="Z413" i="6" s="1"/>
  <c r="X414" i="6"/>
  <c r="Z414" i="6" s="1"/>
  <c r="X415" i="6"/>
  <c r="Z415" i="6" s="1"/>
  <c r="X416" i="6"/>
  <c r="Z416" i="6" s="1"/>
  <c r="X417" i="6"/>
  <c r="Z417" i="6" s="1"/>
  <c r="X418" i="6"/>
  <c r="Z418" i="6" s="1"/>
  <c r="X419" i="6"/>
  <c r="Z419" i="6" s="1"/>
  <c r="X420" i="6"/>
  <c r="Z420" i="6" s="1"/>
  <c r="X421" i="6"/>
  <c r="Z421" i="6" s="1"/>
  <c r="X422" i="6"/>
  <c r="Z422" i="6" s="1"/>
  <c r="X423" i="6"/>
  <c r="Z423" i="6" s="1"/>
  <c r="X424" i="6"/>
  <c r="Z424" i="6" s="1"/>
  <c r="X425" i="6"/>
  <c r="Z425" i="6" s="1"/>
  <c r="X426" i="6"/>
  <c r="Z426" i="6" s="1"/>
  <c r="X427" i="6"/>
  <c r="Z427" i="6" s="1"/>
  <c r="X428" i="6"/>
  <c r="Z428" i="6" s="1"/>
  <c r="X429" i="6"/>
  <c r="Z429" i="6" s="1"/>
  <c r="X430" i="6"/>
  <c r="Z430" i="6" s="1"/>
  <c r="X431" i="6"/>
  <c r="Z431" i="6" s="1"/>
  <c r="X432" i="6"/>
  <c r="Z432" i="6" s="1"/>
  <c r="X433" i="6"/>
  <c r="Z433" i="6" s="1"/>
  <c r="X434" i="6"/>
  <c r="Z434" i="6" s="1"/>
  <c r="X435" i="6"/>
  <c r="Z435" i="6" s="1"/>
  <c r="X436" i="6"/>
  <c r="Z436" i="6" s="1"/>
  <c r="X437" i="6"/>
  <c r="Z437" i="6" s="1"/>
  <c r="X438" i="6"/>
  <c r="Z438" i="6" s="1"/>
  <c r="X439" i="6"/>
  <c r="Z439" i="6" s="1"/>
  <c r="X440" i="6"/>
  <c r="Z440" i="6" s="1"/>
  <c r="X441" i="6"/>
  <c r="Z441" i="6" s="1"/>
  <c r="X442" i="6"/>
  <c r="Z442" i="6" s="1"/>
  <c r="X443" i="6"/>
  <c r="Z443" i="6" s="1"/>
  <c r="X444" i="6"/>
  <c r="Z444" i="6" s="1"/>
  <c r="X445" i="6"/>
  <c r="Z445" i="6" s="1"/>
  <c r="X446" i="6"/>
  <c r="Z446" i="6" s="1"/>
  <c r="X447" i="6"/>
  <c r="Z447" i="6" s="1"/>
  <c r="X448" i="6"/>
  <c r="Z448" i="6" s="1"/>
  <c r="X449" i="6"/>
  <c r="Z449" i="6" s="1"/>
  <c r="X450" i="6"/>
  <c r="Z450" i="6" s="1"/>
  <c r="X451" i="6"/>
  <c r="Z451" i="6" s="1"/>
  <c r="X452" i="6"/>
  <c r="Z452" i="6" s="1"/>
  <c r="X453" i="6"/>
  <c r="Z453" i="6" s="1"/>
  <c r="X454" i="6"/>
  <c r="Z454" i="6" s="1"/>
  <c r="X455" i="6"/>
  <c r="Z455" i="6" s="1"/>
  <c r="X456" i="6"/>
  <c r="Z456" i="6" s="1"/>
  <c r="X457" i="6"/>
  <c r="Z457" i="6" s="1"/>
  <c r="X458" i="6"/>
  <c r="Z458" i="6" s="1"/>
  <c r="X459" i="6"/>
  <c r="Z459" i="6" s="1"/>
  <c r="X460" i="6"/>
  <c r="Z460" i="6" s="1"/>
  <c r="X461" i="6"/>
  <c r="Z461" i="6" s="1"/>
  <c r="X462" i="6"/>
  <c r="Z462" i="6" s="1"/>
  <c r="X463" i="6"/>
  <c r="Z463" i="6" s="1"/>
  <c r="X464" i="6"/>
  <c r="Z464" i="6" s="1"/>
  <c r="X465" i="6"/>
  <c r="Z465" i="6" s="1"/>
  <c r="X466" i="6"/>
  <c r="Z466" i="6" s="1"/>
  <c r="X467" i="6"/>
  <c r="Z467" i="6" s="1"/>
  <c r="X468" i="6"/>
  <c r="Z468" i="6" s="1"/>
  <c r="X469" i="6"/>
  <c r="Z469" i="6" s="1"/>
  <c r="X470" i="6"/>
  <c r="Z470" i="6" s="1"/>
  <c r="X471" i="6"/>
  <c r="Z471" i="6" s="1"/>
  <c r="X472" i="6"/>
  <c r="Z472" i="6" s="1"/>
  <c r="X473" i="6"/>
  <c r="Z473" i="6" s="1"/>
  <c r="X474" i="6"/>
  <c r="Z474" i="6" s="1"/>
  <c r="X475" i="6"/>
  <c r="Z475" i="6" s="1"/>
  <c r="X476" i="6"/>
  <c r="Z476" i="6" s="1"/>
  <c r="X477" i="6"/>
  <c r="Z477" i="6" s="1"/>
  <c r="X478" i="6"/>
  <c r="Z478" i="6" s="1"/>
  <c r="X479" i="6"/>
  <c r="Z479" i="6" s="1"/>
  <c r="X480" i="6"/>
  <c r="Z480" i="6" s="1"/>
  <c r="X481" i="6"/>
  <c r="Z481" i="6" s="1"/>
  <c r="X482" i="6"/>
  <c r="Z482" i="6" s="1"/>
  <c r="X483" i="6"/>
  <c r="Z483" i="6" s="1"/>
  <c r="X484" i="6"/>
  <c r="Z484" i="6" s="1"/>
  <c r="X485" i="6"/>
  <c r="Z485" i="6" s="1"/>
  <c r="X486" i="6"/>
  <c r="Z486" i="6" s="1"/>
  <c r="X487" i="6"/>
  <c r="Z487" i="6" s="1"/>
  <c r="X488" i="6"/>
  <c r="Z488" i="6" s="1"/>
  <c r="X489" i="6"/>
  <c r="Z489" i="6" s="1"/>
  <c r="X490" i="6"/>
  <c r="Z490" i="6" s="1"/>
  <c r="X491" i="6"/>
  <c r="Z491" i="6" s="1"/>
  <c r="X492" i="6"/>
  <c r="Z492" i="6" s="1"/>
  <c r="X493" i="6"/>
  <c r="Z493" i="6" s="1"/>
  <c r="X494" i="6"/>
  <c r="Z494" i="6" s="1"/>
  <c r="X495" i="6"/>
  <c r="Z495" i="6" s="1"/>
  <c r="X496" i="6"/>
  <c r="Z496" i="6" s="1"/>
  <c r="X497" i="6"/>
  <c r="Z497" i="6" s="1"/>
  <c r="X498" i="6"/>
  <c r="Z498" i="6" s="1"/>
  <c r="X499" i="6"/>
  <c r="Z499" i="6" s="1"/>
  <c r="X500" i="6"/>
  <c r="Z500" i="6" s="1"/>
  <c r="X501" i="6"/>
  <c r="Z501" i="6" s="1"/>
  <c r="X502" i="6"/>
  <c r="Z502" i="6" s="1"/>
  <c r="X503" i="6"/>
  <c r="Z503" i="6" s="1"/>
  <c r="X504" i="6"/>
  <c r="Z504" i="6" s="1"/>
  <c r="X505" i="6"/>
  <c r="Z505" i="6" s="1"/>
  <c r="X506" i="6"/>
  <c r="Z506" i="6" s="1"/>
  <c r="X507" i="6"/>
  <c r="Z507" i="6" s="1"/>
  <c r="X508" i="6"/>
  <c r="Z508" i="6" s="1"/>
  <c r="X509" i="6"/>
  <c r="Z509" i="6" s="1"/>
  <c r="X510" i="6"/>
  <c r="Z510" i="6" s="1"/>
  <c r="X511" i="6"/>
  <c r="Z511" i="6" s="1"/>
  <c r="X512" i="6"/>
  <c r="Z512" i="6" s="1"/>
  <c r="X513" i="6"/>
  <c r="Z513" i="6" s="1"/>
  <c r="X514" i="6"/>
  <c r="Z514" i="6" s="1"/>
  <c r="X515" i="6"/>
  <c r="Z515" i="6" s="1"/>
  <c r="X516" i="6"/>
  <c r="Z516" i="6" s="1"/>
  <c r="X517" i="6"/>
  <c r="Z517" i="6" s="1"/>
  <c r="X518" i="6"/>
  <c r="Z518" i="6" s="1"/>
  <c r="X519" i="6"/>
  <c r="Z519" i="6" s="1"/>
  <c r="X520" i="6"/>
  <c r="Z520" i="6" s="1"/>
  <c r="X521" i="6"/>
  <c r="Z521" i="6" s="1"/>
  <c r="X522" i="6"/>
  <c r="Z522" i="6" s="1"/>
  <c r="X523" i="6"/>
  <c r="Z523" i="6" s="1"/>
  <c r="X524" i="6"/>
  <c r="Z524" i="6" s="1"/>
  <c r="X525" i="6"/>
  <c r="Z525" i="6" s="1"/>
  <c r="X526" i="6"/>
  <c r="Z526" i="6" s="1"/>
  <c r="X527" i="6"/>
  <c r="Z527" i="6" s="1"/>
  <c r="X528" i="6"/>
  <c r="Z528" i="6" s="1"/>
  <c r="X529" i="6"/>
  <c r="Z529" i="6" s="1"/>
  <c r="X530" i="6"/>
  <c r="Z530" i="6" s="1"/>
  <c r="X531" i="6"/>
  <c r="Z531" i="6" s="1"/>
  <c r="X532" i="6"/>
  <c r="Z532" i="6" s="1"/>
  <c r="X533" i="6"/>
  <c r="Z533" i="6" s="1"/>
  <c r="X534" i="6"/>
  <c r="Z534" i="6" s="1"/>
  <c r="X535" i="6"/>
  <c r="Z535" i="6" s="1"/>
  <c r="X536" i="6"/>
  <c r="Z536" i="6" s="1"/>
  <c r="X537" i="6"/>
  <c r="Z537" i="6" s="1"/>
  <c r="X538" i="6"/>
  <c r="Z538" i="6" s="1"/>
  <c r="X539" i="6"/>
  <c r="Z539" i="6" s="1"/>
  <c r="X540" i="6"/>
  <c r="Z540" i="6" s="1"/>
  <c r="X541" i="6"/>
  <c r="Z541" i="6" s="1"/>
  <c r="X542" i="6"/>
  <c r="Z542" i="6" s="1"/>
  <c r="X543" i="6"/>
  <c r="Z543" i="6" s="1"/>
  <c r="X544" i="6"/>
  <c r="Z544" i="6" s="1"/>
  <c r="X545" i="6"/>
  <c r="Z545" i="6" s="1"/>
  <c r="X546" i="6"/>
  <c r="Z546" i="6" s="1"/>
  <c r="X547" i="6"/>
  <c r="Z547" i="6" s="1"/>
  <c r="X548" i="6"/>
  <c r="Z548" i="6" s="1"/>
  <c r="X549" i="6"/>
  <c r="Z549" i="6" s="1"/>
  <c r="X550" i="6"/>
  <c r="Z550" i="6" s="1"/>
  <c r="X551" i="6"/>
  <c r="Z551" i="6" s="1"/>
  <c r="X552" i="6"/>
  <c r="Z552" i="6" s="1"/>
  <c r="X553" i="6"/>
  <c r="Z553" i="6" s="1"/>
  <c r="X554" i="6"/>
  <c r="Z554" i="6" s="1"/>
  <c r="X555" i="6"/>
  <c r="Z555" i="6" s="1"/>
  <c r="X556" i="6"/>
  <c r="Z556" i="6" s="1"/>
  <c r="X557" i="6"/>
  <c r="Z557" i="6" s="1"/>
  <c r="X558" i="6"/>
  <c r="Z558" i="6" s="1"/>
  <c r="X559" i="6"/>
  <c r="Z559" i="6" s="1"/>
  <c r="X560" i="6"/>
  <c r="Z560" i="6" s="1"/>
  <c r="X561" i="6"/>
  <c r="Z561" i="6" s="1"/>
  <c r="X562" i="6"/>
  <c r="Z562" i="6" s="1"/>
  <c r="X563" i="6"/>
  <c r="Z563" i="6" s="1"/>
  <c r="X564" i="6"/>
  <c r="Z564" i="6" s="1"/>
  <c r="X565" i="6"/>
  <c r="Z565" i="6" s="1"/>
  <c r="X566" i="6"/>
  <c r="Z566" i="6" s="1"/>
  <c r="X567" i="6"/>
  <c r="Z567" i="6" s="1"/>
  <c r="X568" i="6"/>
  <c r="Z568" i="6" s="1"/>
  <c r="X569" i="6"/>
  <c r="Z569" i="6" s="1"/>
  <c r="X570" i="6"/>
  <c r="Z570" i="6" s="1"/>
  <c r="X571" i="6"/>
  <c r="Z571" i="6" s="1"/>
  <c r="X572" i="6"/>
  <c r="Z572" i="6" s="1"/>
  <c r="X573" i="6"/>
  <c r="Z573" i="6" s="1"/>
  <c r="X574" i="6"/>
  <c r="Z574" i="6" s="1"/>
  <c r="X575" i="6"/>
  <c r="Z575" i="6" s="1"/>
  <c r="X576" i="6"/>
  <c r="Z576" i="6" s="1"/>
  <c r="X577" i="6"/>
  <c r="Z577" i="6" s="1"/>
  <c r="X578" i="6"/>
  <c r="Z578" i="6" s="1"/>
  <c r="X579" i="6"/>
  <c r="Z579" i="6" s="1"/>
  <c r="X580" i="6"/>
  <c r="Z580" i="6" s="1"/>
  <c r="X581" i="6"/>
  <c r="Z581" i="6" s="1"/>
  <c r="X582" i="6"/>
  <c r="Z582" i="6" s="1"/>
  <c r="X583" i="6"/>
  <c r="Z583" i="6" s="1"/>
  <c r="X584" i="6"/>
  <c r="Z584" i="6" s="1"/>
  <c r="X585" i="6"/>
  <c r="Z585" i="6" s="1"/>
  <c r="X586" i="6"/>
  <c r="Z586" i="6" s="1"/>
  <c r="X587" i="6"/>
  <c r="Z587" i="6" s="1"/>
  <c r="X588" i="6"/>
  <c r="Z588" i="6" s="1"/>
  <c r="X589" i="6"/>
  <c r="Z589" i="6" s="1"/>
  <c r="X590" i="6"/>
  <c r="Z590" i="6" s="1"/>
  <c r="X591" i="6"/>
  <c r="Z591" i="6" s="1"/>
  <c r="X592" i="6"/>
  <c r="Z592" i="6" s="1"/>
  <c r="X593" i="6"/>
  <c r="Z593" i="6" s="1"/>
  <c r="X594" i="6"/>
  <c r="Z594" i="6" s="1"/>
  <c r="X595" i="6"/>
  <c r="Z595" i="6" s="1"/>
  <c r="X596" i="6"/>
  <c r="Z596" i="6" s="1"/>
  <c r="X597" i="6"/>
  <c r="Z597" i="6" s="1"/>
  <c r="X598" i="6"/>
  <c r="Z598" i="6" s="1"/>
  <c r="X599" i="6"/>
  <c r="Z599" i="6" s="1"/>
  <c r="X600" i="6"/>
  <c r="Z600" i="6" s="1"/>
  <c r="X601" i="6"/>
  <c r="Z601" i="6" s="1"/>
  <c r="X602" i="6"/>
  <c r="Z602" i="6" s="1"/>
  <c r="X603" i="6"/>
  <c r="Z603" i="6" s="1"/>
  <c r="X604" i="6"/>
  <c r="Z604" i="6" s="1"/>
  <c r="X605" i="6"/>
  <c r="Z605" i="6" s="1"/>
  <c r="X606" i="6"/>
  <c r="Z606" i="6" s="1"/>
  <c r="X607" i="6"/>
  <c r="Z607" i="6" s="1"/>
  <c r="X608" i="6"/>
  <c r="Z608" i="6" s="1"/>
  <c r="X609" i="6"/>
  <c r="X610" i="6"/>
  <c r="Z610" i="6" s="1"/>
  <c r="X611" i="6"/>
  <c r="Z611" i="6" s="1"/>
  <c r="X612" i="6"/>
  <c r="Z612" i="6" s="1"/>
  <c r="X613" i="6"/>
  <c r="Z613" i="6" s="1"/>
  <c r="X614" i="6"/>
  <c r="Z614" i="6" s="1"/>
  <c r="X615" i="6"/>
  <c r="Z615" i="6" s="1"/>
  <c r="X616" i="6"/>
  <c r="Z616" i="6" s="1"/>
  <c r="X617" i="6"/>
  <c r="Z617" i="6" s="1"/>
  <c r="X618" i="6"/>
  <c r="Z618" i="6" s="1"/>
  <c r="X619" i="6"/>
  <c r="Z619" i="6" s="1"/>
  <c r="X620" i="6"/>
  <c r="Z620" i="6" s="1"/>
  <c r="X621" i="6"/>
  <c r="Z621" i="6" s="1"/>
  <c r="X622" i="6"/>
  <c r="Z622" i="6" s="1"/>
  <c r="X623" i="6"/>
  <c r="Z623" i="6" s="1"/>
  <c r="X624" i="6"/>
  <c r="Z624" i="6" s="1"/>
  <c r="X625" i="6"/>
  <c r="Z625" i="6" s="1"/>
  <c r="X626" i="6"/>
  <c r="Z626" i="6" s="1"/>
  <c r="X627" i="6"/>
  <c r="Z627" i="6" s="1"/>
  <c r="X628" i="6"/>
  <c r="Z628" i="6" s="1"/>
  <c r="X629" i="6"/>
  <c r="Z629" i="6" s="1"/>
  <c r="X630" i="6"/>
  <c r="Z630" i="6" s="1"/>
  <c r="X631" i="6"/>
  <c r="Z631" i="6" s="1"/>
  <c r="X632" i="6"/>
  <c r="Z632" i="6" s="1"/>
  <c r="X633" i="6"/>
  <c r="Z633" i="6" s="1"/>
  <c r="X634" i="6"/>
  <c r="Z634" i="6" s="1"/>
  <c r="X635" i="6"/>
  <c r="Z635" i="6" s="1"/>
  <c r="X636" i="6"/>
  <c r="Z636" i="6" s="1"/>
  <c r="X637" i="6"/>
  <c r="Z637" i="6" s="1"/>
  <c r="X638" i="6"/>
  <c r="Z638" i="6" s="1"/>
  <c r="X639" i="6"/>
  <c r="Z639" i="6" s="1"/>
  <c r="X640" i="6"/>
  <c r="Z640" i="6" s="1"/>
  <c r="X641" i="6"/>
  <c r="Z641" i="6" s="1"/>
  <c r="X642" i="6"/>
  <c r="Z642" i="6" s="1"/>
  <c r="X643" i="6"/>
  <c r="Z643" i="6" s="1"/>
  <c r="X644" i="6"/>
  <c r="Z644" i="6" s="1"/>
  <c r="X645" i="6"/>
  <c r="Z645" i="6" s="1"/>
  <c r="X646" i="6"/>
  <c r="Z646" i="6" s="1"/>
  <c r="X647" i="6"/>
  <c r="Z647" i="6" s="1"/>
  <c r="X648" i="6"/>
  <c r="Z648" i="6" s="1"/>
  <c r="X649" i="6"/>
  <c r="Z649" i="6" s="1"/>
  <c r="X650" i="6"/>
  <c r="Z650" i="6" s="1"/>
  <c r="X651" i="6"/>
  <c r="Z651" i="6" s="1"/>
  <c r="X652" i="6"/>
  <c r="Z652" i="6" s="1"/>
  <c r="X653" i="6"/>
  <c r="Z653" i="6" s="1"/>
  <c r="X654" i="6"/>
  <c r="Z654" i="6" s="1"/>
  <c r="X655" i="6"/>
  <c r="Z655" i="6" s="1"/>
  <c r="X656" i="6"/>
  <c r="Z656" i="6" s="1"/>
  <c r="X657" i="6"/>
  <c r="Z657" i="6" s="1"/>
  <c r="X658" i="6"/>
  <c r="Z658" i="6" s="1"/>
  <c r="X659" i="6"/>
  <c r="Z659" i="6" s="1"/>
  <c r="X660" i="6"/>
  <c r="Z660" i="6" s="1"/>
  <c r="X661" i="6"/>
  <c r="Z661" i="6" s="1"/>
  <c r="X662" i="6"/>
  <c r="Z662" i="6" s="1"/>
  <c r="X663" i="6"/>
  <c r="Z663" i="6" s="1"/>
  <c r="X664" i="6"/>
  <c r="Z664" i="6" s="1"/>
  <c r="X665" i="6"/>
  <c r="Z665" i="6" s="1"/>
  <c r="X666" i="6"/>
  <c r="Z666" i="6" s="1"/>
  <c r="X667" i="6"/>
  <c r="Z667" i="6" s="1"/>
  <c r="X668" i="6"/>
  <c r="Z668" i="6" s="1"/>
  <c r="X669" i="6"/>
  <c r="Z669" i="6" s="1"/>
  <c r="X670" i="6"/>
  <c r="Z670" i="6" s="1"/>
  <c r="X671" i="6"/>
  <c r="Z671" i="6" s="1"/>
  <c r="X672" i="6"/>
  <c r="Z672" i="6" s="1"/>
  <c r="X673" i="6"/>
  <c r="Z673" i="6" s="1"/>
  <c r="X674" i="6"/>
  <c r="Z674" i="6" s="1"/>
  <c r="X675" i="6"/>
  <c r="Z675" i="6" s="1"/>
  <c r="X676" i="6"/>
  <c r="Z676" i="6" s="1"/>
  <c r="X677" i="6"/>
  <c r="Z677" i="6" s="1"/>
  <c r="X678" i="6"/>
  <c r="Z678" i="6" s="1"/>
  <c r="X679" i="6"/>
  <c r="Z679" i="6" s="1"/>
  <c r="X680" i="6"/>
  <c r="Z680" i="6" s="1"/>
  <c r="X681" i="6"/>
  <c r="Z681" i="6" s="1"/>
  <c r="X682" i="6"/>
  <c r="Z682" i="6" s="1"/>
  <c r="X683" i="6"/>
  <c r="Z683" i="6" s="1"/>
  <c r="X684" i="6"/>
  <c r="X685" i="6"/>
  <c r="Z685" i="6" s="1"/>
  <c r="X686" i="6"/>
  <c r="Z686" i="6" s="1"/>
  <c r="X687" i="6"/>
  <c r="Z687" i="6" s="1"/>
  <c r="X688" i="6"/>
  <c r="Z688" i="6" s="1"/>
  <c r="X689" i="6"/>
  <c r="Z689" i="6" s="1"/>
  <c r="X690" i="6"/>
  <c r="Z690" i="6" s="1"/>
  <c r="X691" i="6"/>
  <c r="Z691" i="6" s="1"/>
  <c r="X692" i="6"/>
  <c r="Z692" i="6" s="1"/>
  <c r="X693" i="6"/>
  <c r="Z693" i="6" s="1"/>
  <c r="X694" i="6"/>
  <c r="Z694" i="6" s="1"/>
  <c r="X695" i="6"/>
  <c r="Z695" i="6" s="1"/>
  <c r="X696" i="6"/>
  <c r="Z696" i="6" s="1"/>
  <c r="X697" i="6"/>
  <c r="Z697" i="6" s="1"/>
  <c r="X698" i="6"/>
  <c r="Z698" i="6" s="1"/>
  <c r="X699" i="6"/>
  <c r="Z699" i="6" s="1"/>
  <c r="X700" i="6"/>
  <c r="Z700" i="6" s="1"/>
  <c r="X701" i="6"/>
  <c r="Z701" i="6" s="1"/>
  <c r="X702" i="6"/>
  <c r="Z702" i="6" s="1"/>
  <c r="X703" i="6"/>
  <c r="Z703" i="6" s="1"/>
  <c r="X704" i="6"/>
  <c r="Z704" i="6" s="1"/>
  <c r="X705" i="6"/>
  <c r="Z705" i="6" s="1"/>
  <c r="X706" i="6"/>
  <c r="Z706" i="6" s="1"/>
  <c r="X707" i="6"/>
  <c r="Z707" i="6" s="1"/>
  <c r="X708" i="6"/>
  <c r="Z708" i="6" s="1"/>
  <c r="X709" i="6"/>
  <c r="Z709" i="6" s="1"/>
  <c r="X710" i="6"/>
  <c r="Z710" i="6" s="1"/>
  <c r="X711" i="6"/>
  <c r="Z711" i="6" s="1"/>
  <c r="X712" i="6"/>
  <c r="X713" i="6"/>
  <c r="Z713" i="6" s="1"/>
  <c r="X714" i="6"/>
  <c r="Z714" i="6" s="1"/>
  <c r="X715" i="6"/>
  <c r="Z715" i="6" s="1"/>
  <c r="X716" i="6"/>
  <c r="Z716" i="6" s="1"/>
  <c r="X717" i="6"/>
  <c r="Z717" i="6" s="1"/>
  <c r="X718" i="6"/>
  <c r="Z718" i="6" s="1"/>
  <c r="X719" i="6"/>
  <c r="Z719" i="6" s="1"/>
  <c r="X720" i="6"/>
  <c r="Z720" i="6" s="1"/>
  <c r="X721" i="6"/>
  <c r="Z721" i="6" s="1"/>
  <c r="X722" i="6"/>
  <c r="Z722" i="6" s="1"/>
  <c r="X723" i="6"/>
  <c r="Z723" i="6" s="1"/>
  <c r="X724" i="6"/>
  <c r="Z724" i="6" s="1"/>
  <c r="X725" i="6"/>
  <c r="Z725" i="6" s="1"/>
  <c r="X726" i="6"/>
  <c r="Z726" i="6" s="1"/>
  <c r="X727" i="6"/>
  <c r="Z727" i="6" s="1"/>
  <c r="X728" i="6"/>
  <c r="Z728" i="6" s="1"/>
  <c r="X729" i="6"/>
  <c r="Z729" i="6" s="1"/>
  <c r="X730" i="6"/>
  <c r="Z730" i="6" s="1"/>
  <c r="X731" i="6"/>
  <c r="Z731" i="6" s="1"/>
  <c r="X732" i="6"/>
  <c r="Z732" i="6" s="1"/>
  <c r="X733" i="6"/>
  <c r="Z733" i="6" s="1"/>
  <c r="X734" i="6"/>
  <c r="Z734" i="6" s="1"/>
  <c r="X735" i="6"/>
  <c r="Z735" i="6" s="1"/>
  <c r="X736" i="6"/>
  <c r="Z736" i="6" s="1"/>
  <c r="X737" i="6"/>
  <c r="Z737" i="6" s="1"/>
  <c r="X738" i="6"/>
  <c r="Z738" i="6" s="1"/>
  <c r="X739" i="6"/>
  <c r="Z739" i="6" s="1"/>
  <c r="X740" i="6"/>
  <c r="Z740" i="6" s="1"/>
  <c r="X741" i="6"/>
  <c r="Z741" i="6" s="1"/>
  <c r="X742" i="6"/>
  <c r="Z742" i="6" s="1"/>
  <c r="X743" i="6"/>
  <c r="Z743" i="6" s="1"/>
  <c r="X744" i="6"/>
  <c r="Z744" i="6" s="1"/>
  <c r="X745" i="6"/>
  <c r="Z745" i="6" s="1"/>
  <c r="X746" i="6"/>
  <c r="Z746" i="6" s="1"/>
  <c r="X747" i="6"/>
  <c r="Z747" i="6" s="1"/>
  <c r="X748" i="6"/>
  <c r="Z748" i="6" s="1"/>
  <c r="X749" i="6"/>
  <c r="Z749" i="6" s="1"/>
  <c r="X750" i="6"/>
  <c r="Z750" i="6" s="1"/>
  <c r="X751" i="6"/>
  <c r="Z751" i="6" s="1"/>
  <c r="X752" i="6"/>
  <c r="Z752" i="6" s="1"/>
  <c r="X753" i="6"/>
  <c r="Z753" i="6" s="1"/>
  <c r="X754" i="6"/>
  <c r="Z754" i="6" s="1"/>
  <c r="X755" i="6"/>
  <c r="Z755" i="6" s="1"/>
  <c r="X756" i="6"/>
  <c r="Z756" i="6" s="1"/>
  <c r="X757" i="6"/>
  <c r="Z757" i="6" s="1"/>
  <c r="X758" i="6"/>
  <c r="Z758" i="6" s="1"/>
  <c r="X759" i="6"/>
  <c r="Z759" i="6" s="1"/>
  <c r="X760" i="6"/>
  <c r="Z760" i="6" s="1"/>
  <c r="X761" i="6"/>
  <c r="Z761" i="6" s="1"/>
  <c r="X762" i="6"/>
  <c r="Z762" i="6" s="1"/>
  <c r="X763" i="6"/>
  <c r="Z763" i="6" s="1"/>
  <c r="X764" i="6"/>
  <c r="Z764" i="6" s="1"/>
  <c r="X765" i="6"/>
  <c r="Z765" i="6" s="1"/>
  <c r="X766" i="6"/>
  <c r="Z766" i="6" s="1"/>
  <c r="X767" i="6"/>
  <c r="Z767" i="6" s="1"/>
  <c r="X768" i="6"/>
  <c r="X769" i="6"/>
  <c r="Z769" i="6" s="1"/>
  <c r="X770" i="6"/>
  <c r="Z770" i="6" s="1"/>
  <c r="X771" i="6"/>
  <c r="Z771" i="6" s="1"/>
  <c r="X772" i="6"/>
  <c r="Z772" i="6" s="1"/>
  <c r="X773" i="6"/>
  <c r="Z773" i="6" s="1"/>
  <c r="X774" i="6"/>
  <c r="Z774" i="6" s="1"/>
  <c r="X775" i="6"/>
  <c r="Z775" i="6" s="1"/>
  <c r="X776" i="6"/>
  <c r="Z776" i="6" s="1"/>
  <c r="X777" i="6"/>
  <c r="Z777" i="6" s="1"/>
  <c r="X778" i="6"/>
  <c r="Z778" i="6" s="1"/>
  <c r="X779" i="6"/>
  <c r="Z779" i="6" s="1"/>
  <c r="X780" i="6"/>
  <c r="Z780" i="6" s="1"/>
  <c r="X781" i="6"/>
  <c r="Z781" i="6" s="1"/>
  <c r="X782" i="6"/>
  <c r="Z782" i="6" s="1"/>
  <c r="X783" i="6"/>
  <c r="Z783" i="6" s="1"/>
  <c r="X784" i="6"/>
  <c r="Z784" i="6" s="1"/>
  <c r="X785" i="6"/>
  <c r="Z785" i="6" s="1"/>
  <c r="X786" i="6"/>
  <c r="Z786" i="6" s="1"/>
  <c r="X787" i="6"/>
  <c r="Z787" i="6" s="1"/>
  <c r="X788" i="6"/>
  <c r="Z788" i="6" s="1"/>
  <c r="X789" i="6"/>
  <c r="Z789" i="6" s="1"/>
  <c r="X790" i="6"/>
  <c r="Z790" i="6" s="1"/>
  <c r="X791" i="6"/>
  <c r="Z791" i="6" s="1"/>
  <c r="X792" i="6"/>
  <c r="Z792" i="6" s="1"/>
  <c r="X793" i="6"/>
  <c r="Z793" i="6" s="1"/>
  <c r="X794" i="6"/>
  <c r="Z794" i="6" s="1"/>
  <c r="X795" i="6"/>
  <c r="Z795" i="6" s="1"/>
  <c r="X796" i="6"/>
  <c r="Z796" i="6" s="1"/>
  <c r="X797" i="6"/>
  <c r="Z797" i="6" s="1"/>
  <c r="X798" i="6"/>
  <c r="Z798" i="6" s="1"/>
  <c r="X799" i="6"/>
  <c r="Z799" i="6" s="1"/>
  <c r="X800" i="6"/>
  <c r="Z800" i="6" s="1"/>
  <c r="X801" i="6"/>
  <c r="Z801" i="6" s="1"/>
  <c r="X802" i="6"/>
  <c r="Z802" i="6" s="1"/>
  <c r="X803" i="6"/>
  <c r="Z803" i="6" s="1"/>
  <c r="X804" i="6"/>
  <c r="Z804" i="6" s="1"/>
  <c r="X805" i="6"/>
  <c r="Z805" i="6" s="1"/>
  <c r="X806" i="6"/>
  <c r="Z806" i="6" s="1"/>
  <c r="X807" i="6"/>
  <c r="Z807" i="6" s="1"/>
  <c r="X808" i="6"/>
  <c r="Z808" i="6" s="1"/>
  <c r="X809" i="6"/>
  <c r="Z809" i="6" s="1"/>
  <c r="X810" i="6"/>
  <c r="Z810" i="6" s="1"/>
  <c r="X811" i="6"/>
  <c r="Z811" i="6" s="1"/>
  <c r="X812" i="6"/>
  <c r="Z812" i="6" s="1"/>
  <c r="X813" i="6"/>
  <c r="Z813" i="6" s="1"/>
  <c r="X814" i="6"/>
  <c r="Z814" i="6" s="1"/>
  <c r="X815" i="6"/>
  <c r="Z815" i="6" s="1"/>
  <c r="X816" i="6"/>
  <c r="Z816" i="6" s="1"/>
  <c r="X817" i="6"/>
  <c r="Z817" i="6" s="1"/>
  <c r="X818" i="6"/>
  <c r="Z818" i="6" s="1"/>
  <c r="X819" i="6"/>
  <c r="Z819" i="6" s="1"/>
  <c r="X820" i="6"/>
  <c r="Z820" i="6" s="1"/>
  <c r="X821" i="6"/>
  <c r="Z821" i="6" s="1"/>
  <c r="X822" i="6"/>
  <c r="Z822" i="6" s="1"/>
  <c r="X823" i="6"/>
  <c r="Z823" i="6" s="1"/>
  <c r="X824" i="6"/>
  <c r="Z824" i="6" s="1"/>
  <c r="X825" i="6"/>
  <c r="Z825" i="6" s="1"/>
  <c r="X826" i="6"/>
  <c r="Z826" i="6" s="1"/>
  <c r="X827" i="6"/>
  <c r="Z827" i="6" s="1"/>
  <c r="X828" i="6"/>
  <c r="Z828" i="6" s="1"/>
  <c r="X829" i="6"/>
  <c r="Z829" i="6" s="1"/>
  <c r="X830" i="6"/>
  <c r="Z830" i="6" s="1"/>
  <c r="X831" i="6"/>
  <c r="Z831" i="6" s="1"/>
  <c r="X832" i="6"/>
  <c r="Z832" i="6" s="1"/>
  <c r="X833" i="6"/>
  <c r="Z833" i="6" s="1"/>
  <c r="X834" i="6"/>
  <c r="Z834" i="6" s="1"/>
  <c r="X835" i="6"/>
  <c r="Z835" i="6" s="1"/>
  <c r="X836" i="6"/>
  <c r="Z836" i="6" s="1"/>
  <c r="X837" i="6"/>
  <c r="Z837" i="6" s="1"/>
  <c r="X838" i="6"/>
  <c r="Z838" i="6" s="1"/>
  <c r="X839" i="6"/>
  <c r="Z839" i="6" s="1"/>
  <c r="X840" i="6"/>
  <c r="Z840" i="6" s="1"/>
  <c r="X841" i="6"/>
  <c r="Z841" i="6" s="1"/>
  <c r="X842" i="6"/>
  <c r="Z842" i="6" s="1"/>
  <c r="X843" i="6"/>
  <c r="Z843" i="6" s="1"/>
  <c r="X844" i="6"/>
  <c r="Z844" i="6" s="1"/>
  <c r="X845" i="6"/>
  <c r="Z845" i="6" s="1"/>
  <c r="X846" i="6"/>
  <c r="Z846" i="6" s="1"/>
  <c r="X847" i="6"/>
  <c r="Z847" i="6" s="1"/>
  <c r="X848" i="6"/>
  <c r="Z848" i="6" s="1"/>
  <c r="X849" i="6"/>
  <c r="Z849" i="6" s="1"/>
  <c r="X850" i="6"/>
  <c r="Z850" i="6" s="1"/>
  <c r="X851" i="6"/>
  <c r="Z851" i="6" s="1"/>
  <c r="X852" i="6"/>
  <c r="Z852" i="6" s="1"/>
  <c r="X853" i="6"/>
  <c r="Z853" i="6" s="1"/>
  <c r="X854" i="6"/>
  <c r="Z854" i="6" s="1"/>
  <c r="X855" i="6"/>
  <c r="Z855" i="6" s="1"/>
  <c r="X856" i="6"/>
  <c r="Z856" i="6" s="1"/>
  <c r="X857" i="6"/>
  <c r="Z857" i="6" s="1"/>
  <c r="X858" i="6"/>
  <c r="Z858" i="6" s="1"/>
  <c r="X859" i="6"/>
  <c r="Z859" i="6" s="1"/>
  <c r="X860" i="6"/>
  <c r="Z860" i="6" s="1"/>
  <c r="X861" i="6"/>
  <c r="Z861" i="6" s="1"/>
  <c r="X862" i="6"/>
  <c r="Z862" i="6" s="1"/>
  <c r="X863" i="6"/>
  <c r="Z863" i="6" s="1"/>
  <c r="X864" i="6"/>
  <c r="Z864" i="6" s="1"/>
  <c r="X865" i="6"/>
  <c r="Z865" i="6" s="1"/>
  <c r="X866" i="6"/>
  <c r="Z866" i="6" s="1"/>
  <c r="X867" i="6"/>
  <c r="Z867" i="6" s="1"/>
  <c r="X868" i="6"/>
  <c r="Z868" i="6" s="1"/>
  <c r="X869" i="6"/>
  <c r="Z869" i="6" s="1"/>
  <c r="X870" i="6"/>
  <c r="Z870" i="6" s="1"/>
  <c r="X871" i="6"/>
  <c r="Z871" i="6" s="1"/>
  <c r="X872" i="6"/>
  <c r="Z872" i="6" s="1"/>
  <c r="X873" i="6"/>
  <c r="Z873" i="6" s="1"/>
  <c r="X874" i="6"/>
  <c r="Z874" i="6" s="1"/>
  <c r="X875" i="6"/>
  <c r="Z875" i="6" s="1"/>
  <c r="X876" i="6"/>
  <c r="Z876" i="6" s="1"/>
  <c r="X877" i="6"/>
  <c r="Z877" i="6" s="1"/>
  <c r="X878" i="6"/>
  <c r="Z878" i="6" s="1"/>
  <c r="X879" i="6"/>
  <c r="Z879" i="6" s="1"/>
  <c r="X880" i="6"/>
  <c r="Z880" i="6" s="1"/>
  <c r="X881" i="6"/>
  <c r="Z881" i="6" s="1"/>
  <c r="X882" i="6"/>
  <c r="Z882" i="6" s="1"/>
  <c r="X883" i="6"/>
  <c r="Z883" i="6" s="1"/>
  <c r="X884" i="6"/>
  <c r="Z884" i="6" s="1"/>
  <c r="X885" i="6"/>
  <c r="Z885" i="6" s="1"/>
  <c r="X886" i="6"/>
  <c r="Z886" i="6" s="1"/>
  <c r="X887" i="6"/>
  <c r="Z887" i="6" s="1"/>
  <c r="X888" i="6"/>
  <c r="Z888" i="6" s="1"/>
  <c r="X889" i="6"/>
  <c r="Z889" i="6" s="1"/>
  <c r="X890" i="6"/>
  <c r="Z890" i="6" s="1"/>
  <c r="X891" i="6"/>
  <c r="Z891" i="6" s="1"/>
  <c r="X892" i="6"/>
  <c r="Z892" i="6" s="1"/>
  <c r="X893" i="6"/>
  <c r="Z893" i="6" s="1"/>
  <c r="X894" i="6"/>
  <c r="Z894" i="6" s="1"/>
  <c r="X895" i="6"/>
  <c r="Z895" i="6" s="1"/>
  <c r="X896" i="6"/>
  <c r="Z896" i="6" s="1"/>
  <c r="X897" i="6"/>
  <c r="Z897" i="6" s="1"/>
  <c r="X898" i="6"/>
  <c r="Z898" i="6" s="1"/>
  <c r="X899" i="6"/>
  <c r="Z899" i="6" s="1"/>
  <c r="X900" i="6"/>
  <c r="Z900" i="6" s="1"/>
  <c r="X901" i="6"/>
  <c r="Z901" i="6" s="1"/>
  <c r="X902" i="6"/>
  <c r="Z902" i="6" s="1"/>
  <c r="X903" i="6"/>
  <c r="Z903" i="6" s="1"/>
  <c r="X904" i="6"/>
  <c r="Z904" i="6" s="1"/>
  <c r="X905" i="6"/>
  <c r="Z905" i="6" s="1"/>
  <c r="X906" i="6"/>
  <c r="Z906" i="6" s="1"/>
  <c r="X907" i="6"/>
  <c r="Z907" i="6" s="1"/>
  <c r="X908" i="6"/>
  <c r="Z908" i="6" s="1"/>
  <c r="X909" i="6"/>
  <c r="Z909" i="6" s="1"/>
  <c r="X910" i="6"/>
  <c r="Z910" i="6" s="1"/>
  <c r="X911" i="6"/>
  <c r="Z911" i="6" s="1"/>
  <c r="X912" i="6"/>
  <c r="Z912" i="6" s="1"/>
  <c r="X913" i="6"/>
  <c r="Z913" i="6" s="1"/>
  <c r="X914" i="6"/>
  <c r="Z914" i="6" s="1"/>
  <c r="X915" i="6"/>
  <c r="Z915" i="6" s="1"/>
  <c r="X916" i="6"/>
  <c r="Z916" i="6" s="1"/>
  <c r="X917" i="6"/>
  <c r="Z917" i="6" s="1"/>
  <c r="X918" i="6"/>
  <c r="Z918" i="6" s="1"/>
  <c r="X919" i="6"/>
  <c r="Z919" i="6" s="1"/>
  <c r="X920" i="6"/>
  <c r="Z920" i="6" s="1"/>
  <c r="X921" i="6"/>
  <c r="Z921" i="6" s="1"/>
  <c r="X922" i="6"/>
  <c r="Z922" i="6" s="1"/>
  <c r="X923" i="6"/>
  <c r="Z923" i="6" s="1"/>
  <c r="X924" i="6"/>
  <c r="Z924" i="6" s="1"/>
  <c r="X925" i="6"/>
  <c r="Z925" i="6" s="1"/>
  <c r="X926" i="6"/>
  <c r="Z926" i="6" s="1"/>
  <c r="X927" i="6"/>
  <c r="Z927" i="6" s="1"/>
  <c r="X928" i="6"/>
  <c r="Z928" i="6" s="1"/>
  <c r="X929" i="6"/>
  <c r="Z929" i="6" s="1"/>
  <c r="X930" i="6"/>
  <c r="Z930" i="6" s="1"/>
  <c r="X931" i="6"/>
  <c r="Z931" i="6" s="1"/>
  <c r="X932" i="6"/>
  <c r="Z932" i="6" s="1"/>
  <c r="X933" i="6"/>
  <c r="Z933" i="6" s="1"/>
  <c r="X934" i="6"/>
  <c r="Z934" i="6" s="1"/>
  <c r="X935" i="6"/>
  <c r="Z935" i="6" s="1"/>
  <c r="X936" i="6"/>
  <c r="Z936" i="6" s="1"/>
  <c r="X937" i="6"/>
  <c r="Z937" i="6" s="1"/>
  <c r="X938" i="6"/>
  <c r="Z938" i="6" s="1"/>
  <c r="X939" i="6"/>
  <c r="Z939" i="6" s="1"/>
  <c r="X940" i="6"/>
  <c r="Z940" i="6" s="1"/>
  <c r="X941" i="6"/>
  <c r="Z941" i="6" s="1"/>
  <c r="X942" i="6"/>
  <c r="Z942" i="6" s="1"/>
  <c r="X943" i="6"/>
  <c r="Z943" i="6" s="1"/>
  <c r="X944" i="6"/>
  <c r="Z944" i="6" s="1"/>
  <c r="X945" i="6"/>
  <c r="Z945" i="6" s="1"/>
  <c r="X946" i="6"/>
  <c r="Z946" i="6" s="1"/>
  <c r="X947" i="6"/>
  <c r="Z947" i="6" s="1"/>
  <c r="X948" i="6"/>
  <c r="Z948" i="6" s="1"/>
  <c r="X949" i="6"/>
  <c r="Z949" i="6" s="1"/>
  <c r="X950" i="6"/>
  <c r="Z950" i="6" s="1"/>
  <c r="X951" i="6"/>
  <c r="Z951" i="6" s="1"/>
  <c r="X952" i="6"/>
  <c r="Z952" i="6" s="1"/>
  <c r="X953" i="6"/>
  <c r="Z953" i="6" s="1"/>
  <c r="X954" i="6"/>
  <c r="Z954" i="6" s="1"/>
  <c r="X955" i="6"/>
  <c r="Z955" i="6" s="1"/>
  <c r="X956" i="6"/>
  <c r="Z956" i="6" s="1"/>
  <c r="X957" i="6"/>
  <c r="Z957" i="6" s="1"/>
  <c r="X958" i="6"/>
  <c r="Z958" i="6" s="1"/>
  <c r="X959" i="6"/>
  <c r="Z959" i="6" s="1"/>
  <c r="X960" i="6"/>
  <c r="Z960" i="6" s="1"/>
  <c r="X961" i="6"/>
  <c r="Z961" i="6" s="1"/>
  <c r="X962" i="6"/>
  <c r="Z962" i="6" s="1"/>
  <c r="X963" i="6"/>
  <c r="Z963" i="6" s="1"/>
  <c r="X964" i="6"/>
  <c r="Z964" i="6" s="1"/>
  <c r="X965" i="6"/>
  <c r="Z965" i="6" s="1"/>
  <c r="X966" i="6"/>
  <c r="Z966" i="6" s="1"/>
  <c r="X967" i="6"/>
  <c r="Z967" i="6" s="1"/>
  <c r="X968" i="6"/>
  <c r="Z968" i="6" s="1"/>
  <c r="X969" i="6"/>
  <c r="Z969" i="6" s="1"/>
  <c r="X970" i="6"/>
  <c r="Z970" i="6" s="1"/>
  <c r="X971" i="6"/>
  <c r="Z971" i="6" s="1"/>
  <c r="X972" i="6"/>
  <c r="Z972" i="6" s="1"/>
  <c r="X973" i="6"/>
  <c r="Z973" i="6" s="1"/>
  <c r="X974" i="6"/>
  <c r="Z974" i="6" s="1"/>
  <c r="X975" i="6"/>
  <c r="Z975" i="6" s="1"/>
  <c r="X976" i="6"/>
  <c r="Z976" i="6" s="1"/>
  <c r="X977" i="6"/>
  <c r="Z977" i="6" s="1"/>
  <c r="X978" i="6"/>
  <c r="Z978" i="6" s="1"/>
  <c r="X979" i="6"/>
  <c r="Z979" i="6" s="1"/>
  <c r="X980" i="6"/>
  <c r="Z980" i="6" s="1"/>
  <c r="X981" i="6"/>
  <c r="Z981" i="6" s="1"/>
  <c r="X982" i="6"/>
  <c r="Z982" i="6" s="1"/>
  <c r="X983" i="6"/>
  <c r="Z983" i="6" s="1"/>
  <c r="X984" i="6"/>
  <c r="Z984" i="6" s="1"/>
  <c r="X985" i="6"/>
  <c r="Z985" i="6" s="1"/>
  <c r="X986" i="6"/>
  <c r="Z986" i="6" s="1"/>
  <c r="X987" i="6"/>
  <c r="Z987" i="6" s="1"/>
  <c r="X988" i="6"/>
  <c r="Z988" i="6" s="1"/>
  <c r="X989" i="6"/>
  <c r="Z989" i="6" s="1"/>
  <c r="X990" i="6"/>
  <c r="Z990" i="6" s="1"/>
  <c r="X991" i="6"/>
  <c r="Z991" i="6" s="1"/>
  <c r="X992" i="6"/>
  <c r="Z992" i="6" s="1"/>
  <c r="X993" i="6"/>
  <c r="Z993" i="6" s="1"/>
  <c r="X994" i="6"/>
  <c r="Z994" i="6" s="1"/>
  <c r="X995" i="6"/>
  <c r="Z995" i="6" s="1"/>
  <c r="X996" i="6"/>
  <c r="Z996" i="6" s="1"/>
  <c r="X997" i="6"/>
  <c r="Z997" i="6" s="1"/>
  <c r="X998" i="6"/>
  <c r="Z998" i="6" s="1"/>
  <c r="X999" i="6"/>
  <c r="Z999" i="6" s="1"/>
  <c r="X1000" i="6"/>
  <c r="Z1000" i="6" s="1"/>
  <c r="X1001" i="6"/>
  <c r="Z1001" i="6" s="1"/>
  <c r="X1002" i="6"/>
  <c r="Z1002" i="6" s="1"/>
  <c r="X3" i="6"/>
  <c r="Z684" i="6" l="1"/>
  <c r="Z5" i="6"/>
  <c r="Z712" i="6"/>
  <c r="Z609" i="6"/>
  <c r="Z9" i="6"/>
  <c r="Z144" i="6"/>
  <c r="Z768" i="6"/>
  <c r="Z98" i="6"/>
  <c r="Z4" i="6"/>
  <c r="T5" i="6" l="1" a="1"/>
  <c r="T5" i="6" s="1"/>
  <c r="T6" i="6" a="1"/>
  <c r="T6" i="6" s="1"/>
  <c r="T7" i="6" a="1"/>
  <c r="T7" i="6" s="1"/>
  <c r="T8" i="6" a="1"/>
  <c r="T8" i="6" s="1"/>
  <c r="T9" i="6" a="1"/>
  <c r="T9" i="6" s="1"/>
  <c r="T10" i="6" a="1"/>
  <c r="T10" i="6" s="1"/>
  <c r="T11" i="6" a="1"/>
  <c r="T11" i="6" s="1"/>
  <c r="T12" i="6" a="1"/>
  <c r="T12" i="6" s="1"/>
  <c r="T13" i="6" a="1"/>
  <c r="T13" i="6" s="1"/>
  <c r="T14" i="6" a="1"/>
  <c r="T14" i="6" s="1"/>
  <c r="T15" i="6" a="1"/>
  <c r="T15" i="6" s="1"/>
  <c r="T16" i="6" a="1"/>
  <c r="T16" i="6" s="1"/>
  <c r="T17" i="6" a="1"/>
  <c r="T17" i="6" s="1"/>
  <c r="T18" i="6" a="1"/>
  <c r="T18" i="6" s="1"/>
  <c r="T19" i="6" a="1"/>
  <c r="T19" i="6" s="1"/>
  <c r="T20" i="6" a="1"/>
  <c r="T20" i="6" s="1"/>
  <c r="T21" i="6" a="1"/>
  <c r="T21" i="6" s="1"/>
  <c r="T22" i="6" a="1"/>
  <c r="T22" i="6" s="1"/>
  <c r="T23" i="6" a="1"/>
  <c r="T23" i="6" s="1"/>
  <c r="T24" i="6" a="1"/>
  <c r="T24" i="6" s="1"/>
  <c r="T25" i="6" a="1"/>
  <c r="T25" i="6" s="1"/>
  <c r="T26" i="6" a="1"/>
  <c r="T26" i="6" s="1"/>
  <c r="T27" i="6" a="1"/>
  <c r="T27" i="6" s="1"/>
  <c r="T28" i="6" a="1"/>
  <c r="T28" i="6" s="1"/>
  <c r="T29" i="6" a="1"/>
  <c r="T29" i="6" s="1"/>
  <c r="T30" i="6" a="1"/>
  <c r="T30" i="6" s="1"/>
  <c r="T31" i="6" a="1"/>
  <c r="T31" i="6" s="1"/>
  <c r="T32" i="6" a="1"/>
  <c r="T32" i="6" s="1"/>
  <c r="T33" i="6" a="1"/>
  <c r="T33" i="6" s="1"/>
  <c r="T34" i="6" a="1"/>
  <c r="T34" i="6" s="1"/>
  <c r="T35" i="6" a="1"/>
  <c r="T35" i="6" s="1"/>
  <c r="T36" i="6" a="1"/>
  <c r="T36" i="6" s="1"/>
  <c r="T37" i="6" a="1"/>
  <c r="T37" i="6" s="1"/>
  <c r="T38" i="6" a="1"/>
  <c r="T38" i="6" s="1"/>
  <c r="T39" i="6" a="1"/>
  <c r="T39" i="6" s="1"/>
  <c r="T40" i="6" a="1"/>
  <c r="T40" i="6" s="1"/>
  <c r="T41" i="6" a="1"/>
  <c r="T41" i="6" s="1"/>
  <c r="T42" i="6" a="1"/>
  <c r="T42" i="6" s="1"/>
  <c r="T43" i="6" a="1"/>
  <c r="T43" i="6" s="1"/>
  <c r="T44" i="6" a="1"/>
  <c r="T44" i="6" s="1"/>
  <c r="T45" i="6" a="1"/>
  <c r="T45" i="6" s="1"/>
  <c r="T46" i="6" a="1"/>
  <c r="T46" i="6" s="1"/>
  <c r="T47" i="6" a="1"/>
  <c r="T47" i="6" s="1"/>
  <c r="T48" i="6" a="1"/>
  <c r="T48" i="6" s="1"/>
  <c r="T49" i="6" a="1"/>
  <c r="T49" i="6" s="1"/>
  <c r="T50" i="6" a="1"/>
  <c r="T50" i="6" s="1"/>
  <c r="T51" i="6" a="1"/>
  <c r="T51" i="6" s="1"/>
  <c r="T52" i="6" a="1"/>
  <c r="T52" i="6" s="1"/>
  <c r="T53" i="6" a="1"/>
  <c r="T53" i="6" s="1"/>
  <c r="T54" i="6" a="1"/>
  <c r="T54" i="6" s="1"/>
  <c r="T55" i="6" a="1"/>
  <c r="T55" i="6" s="1"/>
  <c r="T56" i="6" a="1"/>
  <c r="T56" i="6" s="1"/>
  <c r="T57" i="6" a="1"/>
  <c r="T57" i="6" s="1"/>
  <c r="T58" i="6" a="1"/>
  <c r="T58" i="6" s="1"/>
  <c r="T59" i="6" a="1"/>
  <c r="T59" i="6" s="1"/>
  <c r="T60" i="6" a="1"/>
  <c r="T60" i="6" s="1"/>
  <c r="T61" i="6" a="1"/>
  <c r="T61" i="6" s="1"/>
  <c r="T62" i="6" a="1"/>
  <c r="T62" i="6" s="1"/>
  <c r="T63" i="6" a="1"/>
  <c r="T63" i="6" s="1"/>
  <c r="T64" i="6" a="1"/>
  <c r="T64" i="6" s="1"/>
  <c r="T65" i="6" a="1"/>
  <c r="T65" i="6" s="1"/>
  <c r="T66" i="6" a="1"/>
  <c r="T66" i="6" s="1"/>
  <c r="T67" i="6" a="1"/>
  <c r="T67" i="6" s="1"/>
  <c r="T68" i="6" a="1"/>
  <c r="T68" i="6" s="1"/>
  <c r="T69" i="6" a="1"/>
  <c r="T69" i="6" s="1"/>
  <c r="T70" i="6" a="1"/>
  <c r="T70" i="6" s="1"/>
  <c r="T71" i="6" a="1"/>
  <c r="T71" i="6" s="1"/>
  <c r="T72" i="6" a="1"/>
  <c r="T72" i="6" s="1"/>
  <c r="T73" i="6" a="1"/>
  <c r="T73" i="6" s="1"/>
  <c r="T74" i="6" a="1"/>
  <c r="T74" i="6" s="1"/>
  <c r="T75" i="6" a="1"/>
  <c r="T75" i="6" s="1"/>
  <c r="T76" i="6" a="1"/>
  <c r="T76" i="6" s="1"/>
  <c r="T77" i="6" a="1"/>
  <c r="T77" i="6" s="1"/>
  <c r="T78" i="6" a="1"/>
  <c r="T78" i="6" s="1"/>
  <c r="T79" i="6" a="1"/>
  <c r="T79" i="6" s="1"/>
  <c r="T80" i="6" a="1"/>
  <c r="T80" i="6" s="1"/>
  <c r="T81" i="6" a="1"/>
  <c r="T81" i="6" s="1"/>
  <c r="T82" i="6" a="1"/>
  <c r="T82" i="6" s="1"/>
  <c r="T83" i="6" a="1"/>
  <c r="T83" i="6" s="1"/>
  <c r="T84" i="6" a="1"/>
  <c r="T84" i="6" s="1"/>
  <c r="T85" i="6" a="1"/>
  <c r="T85" i="6" s="1"/>
  <c r="T86" i="6" a="1"/>
  <c r="T86" i="6" s="1"/>
  <c r="T87" i="6" a="1"/>
  <c r="T87" i="6" s="1"/>
  <c r="T88" i="6" a="1"/>
  <c r="T88" i="6" s="1"/>
  <c r="T89" i="6" a="1"/>
  <c r="T89" i="6" s="1"/>
  <c r="T90" i="6" a="1"/>
  <c r="T90" i="6" s="1"/>
  <c r="T91" i="6" a="1"/>
  <c r="T91" i="6" s="1"/>
  <c r="T92" i="6" a="1"/>
  <c r="T92" i="6" s="1"/>
  <c r="T93" i="6" a="1"/>
  <c r="T93" i="6" s="1"/>
  <c r="T94" i="6" a="1"/>
  <c r="T94" i="6" s="1"/>
  <c r="T95" i="6" a="1"/>
  <c r="T95" i="6" s="1"/>
  <c r="T96" i="6" a="1"/>
  <c r="T96" i="6" s="1"/>
  <c r="T97" i="6" a="1"/>
  <c r="T97" i="6" s="1"/>
  <c r="T98" i="6" a="1"/>
  <c r="T98" i="6" s="1"/>
  <c r="T99" i="6" a="1"/>
  <c r="T99" i="6" s="1"/>
  <c r="T100" i="6" a="1"/>
  <c r="T100" i="6" s="1"/>
  <c r="T101" i="6" a="1"/>
  <c r="T101" i="6" s="1"/>
  <c r="T102" i="6" a="1"/>
  <c r="T102" i="6" s="1"/>
  <c r="T103" i="6" a="1"/>
  <c r="T103" i="6" s="1"/>
  <c r="T104" i="6" a="1"/>
  <c r="T104" i="6" s="1"/>
  <c r="T105" i="6" a="1"/>
  <c r="T105" i="6" s="1"/>
  <c r="T106" i="6" a="1"/>
  <c r="T106" i="6" s="1"/>
  <c r="T107" i="6" a="1"/>
  <c r="T107" i="6" s="1"/>
  <c r="T108" i="6" a="1"/>
  <c r="T108" i="6" s="1"/>
  <c r="T109" i="6" a="1"/>
  <c r="T109" i="6" s="1"/>
  <c r="T110" i="6" a="1"/>
  <c r="T110" i="6" s="1"/>
  <c r="T111" i="6" a="1"/>
  <c r="T111" i="6" s="1"/>
  <c r="T112" i="6" a="1"/>
  <c r="T112" i="6" s="1"/>
  <c r="T113" i="6" a="1"/>
  <c r="T113" i="6" s="1"/>
  <c r="T114" i="6" a="1"/>
  <c r="T114" i="6" s="1"/>
  <c r="T115" i="6" a="1"/>
  <c r="T115" i="6" s="1"/>
  <c r="T116" i="6" a="1"/>
  <c r="T116" i="6" s="1"/>
  <c r="T117" i="6" a="1"/>
  <c r="T117" i="6" s="1"/>
  <c r="T118" i="6" a="1"/>
  <c r="T118" i="6" s="1"/>
  <c r="T119" i="6" a="1"/>
  <c r="T119" i="6" s="1"/>
  <c r="T120" i="6" a="1"/>
  <c r="T120" i="6" s="1"/>
  <c r="T121" i="6" a="1"/>
  <c r="T121" i="6" s="1"/>
  <c r="T122" i="6" a="1"/>
  <c r="T122" i="6" s="1"/>
  <c r="T123" i="6" a="1"/>
  <c r="T123" i="6" s="1"/>
  <c r="T124" i="6" a="1"/>
  <c r="T124" i="6" s="1"/>
  <c r="T125" i="6" a="1"/>
  <c r="T125" i="6" s="1"/>
  <c r="T126" i="6" a="1"/>
  <c r="T126" i="6" s="1"/>
  <c r="T127" i="6" a="1"/>
  <c r="T127" i="6" s="1"/>
  <c r="T128" i="6" a="1"/>
  <c r="T128" i="6" s="1"/>
  <c r="T129" i="6" a="1"/>
  <c r="T129" i="6" s="1"/>
  <c r="T130" i="6" a="1"/>
  <c r="T130" i="6" s="1"/>
  <c r="T131" i="6" a="1"/>
  <c r="T131" i="6" s="1"/>
  <c r="T132" i="6" a="1"/>
  <c r="T132" i="6" s="1"/>
  <c r="T133" i="6" a="1"/>
  <c r="T133" i="6" s="1"/>
  <c r="T134" i="6" a="1"/>
  <c r="T134" i="6" s="1"/>
  <c r="T135" i="6" a="1"/>
  <c r="T135" i="6" s="1"/>
  <c r="T136" i="6" a="1"/>
  <c r="T136" i="6" s="1"/>
  <c r="T137" i="6" a="1"/>
  <c r="T137" i="6" s="1"/>
  <c r="T138" i="6" a="1"/>
  <c r="T138" i="6" s="1"/>
  <c r="T139" i="6" a="1"/>
  <c r="T139" i="6" s="1"/>
  <c r="T140" i="6" a="1"/>
  <c r="T140" i="6" s="1"/>
  <c r="T141" i="6" a="1"/>
  <c r="T141" i="6" s="1"/>
  <c r="T142" i="6" a="1"/>
  <c r="T142" i="6" s="1"/>
  <c r="T143" i="6" a="1"/>
  <c r="T143" i="6" s="1"/>
  <c r="T144" i="6" a="1"/>
  <c r="T144" i="6" s="1"/>
  <c r="T145" i="6" a="1"/>
  <c r="T145" i="6" s="1"/>
  <c r="T146" i="6" a="1"/>
  <c r="T146" i="6" s="1"/>
  <c r="T147" i="6" a="1"/>
  <c r="T147" i="6" s="1"/>
  <c r="T148" i="6" a="1"/>
  <c r="T148" i="6" s="1"/>
  <c r="T149" i="6" a="1"/>
  <c r="T149" i="6" s="1"/>
  <c r="T150" i="6" a="1"/>
  <c r="T150" i="6" s="1"/>
  <c r="T151" i="6" a="1"/>
  <c r="T151" i="6" s="1"/>
  <c r="T152" i="6" a="1"/>
  <c r="T152" i="6" s="1"/>
  <c r="T153" i="6" a="1"/>
  <c r="T153" i="6" s="1"/>
  <c r="T154" i="6" a="1"/>
  <c r="T154" i="6" s="1"/>
  <c r="T155" i="6" a="1"/>
  <c r="T155" i="6" s="1"/>
  <c r="T156" i="6" a="1"/>
  <c r="T156" i="6" s="1"/>
  <c r="T157" i="6" a="1"/>
  <c r="T157" i="6" s="1"/>
  <c r="T158" i="6" a="1"/>
  <c r="T158" i="6" s="1"/>
  <c r="T159" i="6" a="1"/>
  <c r="T159" i="6" s="1"/>
  <c r="T160" i="6" a="1"/>
  <c r="T160" i="6" s="1"/>
  <c r="T161" i="6" a="1"/>
  <c r="T161" i="6" s="1"/>
  <c r="T162" i="6" a="1"/>
  <c r="T162" i="6" s="1"/>
  <c r="T163" i="6" a="1"/>
  <c r="T163" i="6" s="1"/>
  <c r="T164" i="6" a="1"/>
  <c r="T164" i="6" s="1"/>
  <c r="T165" i="6" a="1"/>
  <c r="T165" i="6" s="1"/>
  <c r="T166" i="6" a="1"/>
  <c r="T166" i="6" s="1"/>
  <c r="T167" i="6" a="1"/>
  <c r="T167" i="6" s="1"/>
  <c r="T168" i="6" a="1"/>
  <c r="T168" i="6" s="1"/>
  <c r="T169" i="6" a="1"/>
  <c r="T169" i="6" s="1"/>
  <c r="T170" i="6" a="1"/>
  <c r="T170" i="6" s="1"/>
  <c r="T171" i="6" a="1"/>
  <c r="T171" i="6" s="1"/>
  <c r="T172" i="6" a="1"/>
  <c r="T172" i="6" s="1"/>
  <c r="T173" i="6" a="1"/>
  <c r="T173" i="6" s="1"/>
  <c r="T174" i="6" a="1"/>
  <c r="T174" i="6" s="1"/>
  <c r="T175" i="6" a="1"/>
  <c r="T175" i="6" s="1"/>
  <c r="T176" i="6" a="1"/>
  <c r="T176" i="6" s="1"/>
  <c r="T177" i="6" a="1"/>
  <c r="T177" i="6" s="1"/>
  <c r="T178" i="6" a="1"/>
  <c r="T178" i="6" s="1"/>
  <c r="T179" i="6" a="1"/>
  <c r="T179" i="6" s="1"/>
  <c r="T180" i="6" a="1"/>
  <c r="T180" i="6" s="1"/>
  <c r="T181" i="6" a="1"/>
  <c r="T181" i="6" s="1"/>
  <c r="T182" i="6" a="1"/>
  <c r="T182" i="6" s="1"/>
  <c r="T183" i="6" a="1"/>
  <c r="T183" i="6" s="1"/>
  <c r="T184" i="6" a="1"/>
  <c r="T184" i="6" s="1"/>
  <c r="T185" i="6" a="1"/>
  <c r="T185" i="6" s="1"/>
  <c r="T186" i="6" a="1"/>
  <c r="T186" i="6" s="1"/>
  <c r="T187" i="6" a="1"/>
  <c r="T187" i="6" s="1"/>
  <c r="T188" i="6" a="1"/>
  <c r="T188" i="6" s="1"/>
  <c r="T189" i="6" a="1"/>
  <c r="T189" i="6" s="1"/>
  <c r="T190" i="6" a="1"/>
  <c r="T190" i="6" s="1"/>
  <c r="T191" i="6" a="1"/>
  <c r="T191" i="6" s="1"/>
  <c r="T192" i="6" a="1"/>
  <c r="T192" i="6" s="1"/>
  <c r="T193" i="6" a="1"/>
  <c r="T193" i="6" s="1"/>
  <c r="T194" i="6" a="1"/>
  <c r="T194" i="6" s="1"/>
  <c r="T195" i="6" a="1"/>
  <c r="T195" i="6" s="1"/>
  <c r="T196" i="6" a="1"/>
  <c r="T196" i="6" s="1"/>
  <c r="T197" i="6" a="1"/>
  <c r="T197" i="6" s="1"/>
  <c r="T198" i="6" a="1"/>
  <c r="T198" i="6" s="1"/>
  <c r="T199" i="6" a="1"/>
  <c r="T199" i="6" s="1"/>
  <c r="T200" i="6" a="1"/>
  <c r="T200" i="6" s="1"/>
  <c r="T201" i="6" a="1"/>
  <c r="T201" i="6" s="1"/>
  <c r="T202" i="6" a="1"/>
  <c r="T202" i="6" s="1"/>
  <c r="T203" i="6" a="1"/>
  <c r="T203" i="6" s="1"/>
  <c r="T204" i="6" a="1"/>
  <c r="T204" i="6" s="1"/>
  <c r="T205" i="6" a="1"/>
  <c r="T205" i="6" s="1"/>
  <c r="T206" i="6" a="1"/>
  <c r="T206" i="6" s="1"/>
  <c r="T207" i="6" a="1"/>
  <c r="T207" i="6" s="1"/>
  <c r="T208" i="6" a="1"/>
  <c r="T208" i="6" s="1"/>
  <c r="T209" i="6" a="1"/>
  <c r="T209" i="6" s="1"/>
  <c r="T210" i="6" a="1"/>
  <c r="T210" i="6" s="1"/>
  <c r="T211" i="6" a="1"/>
  <c r="T211" i="6" s="1"/>
  <c r="T212" i="6" a="1"/>
  <c r="T212" i="6" s="1"/>
  <c r="T213" i="6" a="1"/>
  <c r="T213" i="6" s="1"/>
  <c r="T214" i="6" a="1"/>
  <c r="T214" i="6" s="1"/>
  <c r="T215" i="6" a="1"/>
  <c r="T215" i="6" s="1"/>
  <c r="T216" i="6" a="1"/>
  <c r="T216" i="6" s="1"/>
  <c r="T217" i="6" a="1"/>
  <c r="T217" i="6" s="1"/>
  <c r="T218" i="6" a="1"/>
  <c r="T218" i="6" s="1"/>
  <c r="T219" i="6" a="1"/>
  <c r="T219" i="6" s="1"/>
  <c r="T220" i="6" a="1"/>
  <c r="T220" i="6" s="1"/>
  <c r="T221" i="6" a="1"/>
  <c r="T221" i="6" s="1"/>
  <c r="T222" i="6" a="1"/>
  <c r="T222" i="6" s="1"/>
  <c r="T223" i="6" a="1"/>
  <c r="T223" i="6" s="1"/>
  <c r="T224" i="6" a="1"/>
  <c r="T224" i="6" s="1"/>
  <c r="T225" i="6" a="1"/>
  <c r="T225" i="6" s="1"/>
  <c r="T226" i="6" a="1"/>
  <c r="T226" i="6" s="1"/>
  <c r="T227" i="6" a="1"/>
  <c r="T227" i="6" s="1"/>
  <c r="T228" i="6" a="1"/>
  <c r="T228" i="6" s="1"/>
  <c r="T229" i="6" a="1"/>
  <c r="T229" i="6" s="1"/>
  <c r="T230" i="6" a="1"/>
  <c r="T230" i="6" s="1"/>
  <c r="T231" i="6" a="1"/>
  <c r="T231" i="6" s="1"/>
  <c r="T232" i="6" a="1"/>
  <c r="T232" i="6" s="1"/>
  <c r="T233" i="6" a="1"/>
  <c r="T233" i="6" s="1"/>
  <c r="T234" i="6" a="1"/>
  <c r="T234" i="6" s="1"/>
  <c r="T235" i="6" a="1"/>
  <c r="T235" i="6" s="1"/>
  <c r="T236" i="6" a="1"/>
  <c r="T236" i="6" s="1"/>
  <c r="T237" i="6" a="1"/>
  <c r="T237" i="6" s="1"/>
  <c r="T238" i="6" a="1"/>
  <c r="T238" i="6" s="1"/>
  <c r="T239" i="6" a="1"/>
  <c r="T239" i="6" s="1"/>
  <c r="T240" i="6" a="1"/>
  <c r="T240" i="6" s="1"/>
  <c r="T241" i="6" a="1"/>
  <c r="T241" i="6" s="1"/>
  <c r="T242" i="6" a="1"/>
  <c r="T242" i="6" s="1"/>
  <c r="T243" i="6" a="1"/>
  <c r="T243" i="6" s="1"/>
  <c r="T244" i="6" a="1"/>
  <c r="T244" i="6" s="1"/>
  <c r="T245" i="6" a="1"/>
  <c r="T245" i="6" s="1"/>
  <c r="T246" i="6" a="1"/>
  <c r="T246" i="6" s="1"/>
  <c r="T247" i="6" a="1"/>
  <c r="T247" i="6" s="1"/>
  <c r="T248" i="6" a="1"/>
  <c r="T248" i="6" s="1"/>
  <c r="T249" i="6" a="1"/>
  <c r="T249" i="6" s="1"/>
  <c r="T250" i="6" a="1"/>
  <c r="T250" i="6" s="1"/>
  <c r="T251" i="6" a="1"/>
  <c r="T251" i="6" s="1"/>
  <c r="T252" i="6" a="1"/>
  <c r="T252" i="6" s="1"/>
  <c r="T253" i="6" a="1"/>
  <c r="T253" i="6" s="1"/>
  <c r="T254" i="6" a="1"/>
  <c r="T254" i="6" s="1"/>
  <c r="T255" i="6" a="1"/>
  <c r="T255" i="6" s="1"/>
  <c r="T256" i="6" a="1"/>
  <c r="T256" i="6" s="1"/>
  <c r="T257" i="6" a="1"/>
  <c r="T257" i="6" s="1"/>
  <c r="T258" i="6" a="1"/>
  <c r="T258" i="6" s="1"/>
  <c r="T259" i="6" a="1"/>
  <c r="T259" i="6" s="1"/>
  <c r="T260" i="6" a="1"/>
  <c r="T260" i="6" s="1"/>
  <c r="T261" i="6" a="1"/>
  <c r="T261" i="6" s="1"/>
  <c r="T262" i="6" a="1"/>
  <c r="T262" i="6" s="1"/>
  <c r="T263" i="6" a="1"/>
  <c r="T263" i="6" s="1"/>
  <c r="T264" i="6" a="1"/>
  <c r="T264" i="6" s="1"/>
  <c r="T265" i="6" a="1"/>
  <c r="T265" i="6" s="1"/>
  <c r="T266" i="6" a="1"/>
  <c r="T266" i="6" s="1"/>
  <c r="T267" i="6" a="1"/>
  <c r="T267" i="6" s="1"/>
  <c r="T268" i="6" a="1"/>
  <c r="T268" i="6" s="1"/>
  <c r="T269" i="6" a="1"/>
  <c r="T269" i="6" s="1"/>
  <c r="T270" i="6" a="1"/>
  <c r="T270" i="6" s="1"/>
  <c r="T271" i="6" a="1"/>
  <c r="T271" i="6" s="1"/>
  <c r="T272" i="6" a="1"/>
  <c r="T272" i="6" s="1"/>
  <c r="T273" i="6" a="1"/>
  <c r="T273" i="6" s="1"/>
  <c r="T274" i="6" a="1"/>
  <c r="T274" i="6" s="1"/>
  <c r="T275" i="6" a="1"/>
  <c r="T275" i="6" s="1"/>
  <c r="T276" i="6" a="1"/>
  <c r="T276" i="6" s="1"/>
  <c r="T277" i="6" a="1"/>
  <c r="T277" i="6" s="1"/>
  <c r="T278" i="6" a="1"/>
  <c r="T278" i="6" s="1"/>
  <c r="T279" i="6" a="1"/>
  <c r="T279" i="6" s="1"/>
  <c r="T280" i="6" a="1"/>
  <c r="T280" i="6" s="1"/>
  <c r="T281" i="6" a="1"/>
  <c r="T281" i="6" s="1"/>
  <c r="T282" i="6" a="1"/>
  <c r="T282" i="6" s="1"/>
  <c r="T283" i="6" a="1"/>
  <c r="T283" i="6" s="1"/>
  <c r="T284" i="6" a="1"/>
  <c r="T284" i="6" s="1"/>
  <c r="T285" i="6" a="1"/>
  <c r="T285" i="6" s="1"/>
  <c r="T286" i="6" a="1"/>
  <c r="T286" i="6" s="1"/>
  <c r="T287" i="6" a="1"/>
  <c r="T287" i="6" s="1"/>
  <c r="T288" i="6" a="1"/>
  <c r="T288" i="6" s="1"/>
  <c r="T289" i="6" a="1"/>
  <c r="T289" i="6" s="1"/>
  <c r="T290" i="6" a="1"/>
  <c r="T290" i="6" s="1"/>
  <c r="T291" i="6" a="1"/>
  <c r="T291" i="6" s="1"/>
  <c r="T292" i="6" a="1"/>
  <c r="T292" i="6" s="1"/>
  <c r="T293" i="6" a="1"/>
  <c r="T293" i="6" s="1"/>
  <c r="T294" i="6" a="1"/>
  <c r="T294" i="6" s="1"/>
  <c r="T295" i="6" a="1"/>
  <c r="T295" i="6" s="1"/>
  <c r="T296" i="6" a="1"/>
  <c r="T296" i="6" s="1"/>
  <c r="T297" i="6" a="1"/>
  <c r="T297" i="6" s="1"/>
  <c r="T298" i="6" a="1"/>
  <c r="T298" i="6" s="1"/>
  <c r="T299" i="6" a="1"/>
  <c r="T299" i="6" s="1"/>
  <c r="T300" i="6" a="1"/>
  <c r="T300" i="6" s="1"/>
  <c r="T301" i="6" a="1"/>
  <c r="T301" i="6" s="1"/>
  <c r="T302" i="6" a="1"/>
  <c r="T302" i="6" s="1"/>
  <c r="T303" i="6" a="1"/>
  <c r="T303" i="6" s="1"/>
  <c r="T304" i="6" a="1"/>
  <c r="T304" i="6" s="1"/>
  <c r="T305" i="6" a="1"/>
  <c r="T305" i="6" s="1"/>
  <c r="T306" i="6" a="1"/>
  <c r="T306" i="6" s="1"/>
  <c r="T307" i="6" a="1"/>
  <c r="T307" i="6" s="1"/>
  <c r="T308" i="6" a="1"/>
  <c r="T308" i="6" s="1"/>
  <c r="T309" i="6" a="1"/>
  <c r="T309" i="6" s="1"/>
  <c r="T310" i="6" a="1"/>
  <c r="T310" i="6" s="1"/>
  <c r="T311" i="6" a="1"/>
  <c r="T311" i="6" s="1"/>
  <c r="T312" i="6" a="1"/>
  <c r="T312" i="6" s="1"/>
  <c r="T313" i="6" a="1"/>
  <c r="T313" i="6" s="1"/>
  <c r="T314" i="6" a="1"/>
  <c r="T314" i="6" s="1"/>
  <c r="T315" i="6" a="1"/>
  <c r="T315" i="6" s="1"/>
  <c r="T316" i="6" a="1"/>
  <c r="T316" i="6" s="1"/>
  <c r="T317" i="6" a="1"/>
  <c r="T317" i="6" s="1"/>
  <c r="T318" i="6" a="1"/>
  <c r="T318" i="6" s="1"/>
  <c r="T319" i="6" a="1"/>
  <c r="T319" i="6" s="1"/>
  <c r="T320" i="6" a="1"/>
  <c r="T320" i="6" s="1"/>
  <c r="T321" i="6" a="1"/>
  <c r="T321" i="6" s="1"/>
  <c r="T322" i="6" a="1"/>
  <c r="T322" i="6" s="1"/>
  <c r="T323" i="6" a="1"/>
  <c r="T323" i="6" s="1"/>
  <c r="T324" i="6" a="1"/>
  <c r="T324" i="6" s="1"/>
  <c r="T325" i="6" a="1"/>
  <c r="T325" i="6" s="1"/>
  <c r="T326" i="6" a="1"/>
  <c r="T326" i="6" s="1"/>
  <c r="T327" i="6" a="1"/>
  <c r="T327" i="6" s="1"/>
  <c r="T328" i="6" a="1"/>
  <c r="T328" i="6" s="1"/>
  <c r="T329" i="6" a="1"/>
  <c r="T329" i="6" s="1"/>
  <c r="T330" i="6" a="1"/>
  <c r="T330" i="6" s="1"/>
  <c r="T331" i="6" a="1"/>
  <c r="T331" i="6" s="1"/>
  <c r="T332" i="6" a="1"/>
  <c r="T332" i="6" s="1"/>
  <c r="T333" i="6" a="1"/>
  <c r="T333" i="6" s="1"/>
  <c r="T334" i="6" a="1"/>
  <c r="T334" i="6" s="1"/>
  <c r="T335" i="6" a="1"/>
  <c r="T335" i="6" s="1"/>
  <c r="T336" i="6" a="1"/>
  <c r="T336" i="6" s="1"/>
  <c r="T337" i="6" a="1"/>
  <c r="T337" i="6" s="1"/>
  <c r="T338" i="6" a="1"/>
  <c r="T338" i="6" s="1"/>
  <c r="T339" i="6" a="1"/>
  <c r="T339" i="6" s="1"/>
  <c r="T340" i="6" a="1"/>
  <c r="T340" i="6" s="1"/>
  <c r="T341" i="6" a="1"/>
  <c r="T341" i="6" s="1"/>
  <c r="T342" i="6" a="1"/>
  <c r="T342" i="6" s="1"/>
  <c r="T343" i="6" a="1"/>
  <c r="T343" i="6" s="1"/>
  <c r="T344" i="6" a="1"/>
  <c r="T344" i="6" s="1"/>
  <c r="T345" i="6" a="1"/>
  <c r="T345" i="6" s="1"/>
  <c r="T346" i="6" a="1"/>
  <c r="T346" i="6" s="1"/>
  <c r="T347" i="6" a="1"/>
  <c r="T347" i="6" s="1"/>
  <c r="T348" i="6" a="1"/>
  <c r="T348" i="6" s="1"/>
  <c r="T349" i="6" a="1"/>
  <c r="T349" i="6" s="1"/>
  <c r="T350" i="6" a="1"/>
  <c r="T350" i="6" s="1"/>
  <c r="T351" i="6" a="1"/>
  <c r="T351" i="6" s="1"/>
  <c r="T352" i="6" a="1"/>
  <c r="T352" i="6" s="1"/>
  <c r="T353" i="6" a="1"/>
  <c r="T353" i="6" s="1"/>
  <c r="T354" i="6" a="1"/>
  <c r="T354" i="6" s="1"/>
  <c r="T355" i="6" a="1"/>
  <c r="T355" i="6" s="1"/>
  <c r="T356" i="6" a="1"/>
  <c r="T356" i="6" s="1"/>
  <c r="T357" i="6" a="1"/>
  <c r="T357" i="6" s="1"/>
  <c r="T358" i="6" a="1"/>
  <c r="T358" i="6" s="1"/>
  <c r="T359" i="6" a="1"/>
  <c r="T359" i="6" s="1"/>
  <c r="T360" i="6" a="1"/>
  <c r="T360" i="6" s="1"/>
  <c r="T361" i="6" a="1"/>
  <c r="T361" i="6" s="1"/>
  <c r="T362" i="6" a="1"/>
  <c r="T362" i="6" s="1"/>
  <c r="T363" i="6" a="1"/>
  <c r="T363" i="6" s="1"/>
  <c r="T364" i="6" a="1"/>
  <c r="T364" i="6" s="1"/>
  <c r="T365" i="6" a="1"/>
  <c r="T365" i="6" s="1"/>
  <c r="T366" i="6" a="1"/>
  <c r="T366" i="6" s="1"/>
  <c r="T367" i="6" a="1"/>
  <c r="T367" i="6" s="1"/>
  <c r="T368" i="6" a="1"/>
  <c r="T368" i="6" s="1"/>
  <c r="T369" i="6" a="1"/>
  <c r="T369" i="6" s="1"/>
  <c r="T370" i="6" a="1"/>
  <c r="T370" i="6" s="1"/>
  <c r="T371" i="6" a="1"/>
  <c r="T371" i="6" s="1"/>
  <c r="T372" i="6" a="1"/>
  <c r="T372" i="6" s="1"/>
  <c r="T373" i="6" a="1"/>
  <c r="T373" i="6" s="1"/>
  <c r="T374" i="6" a="1"/>
  <c r="T374" i="6" s="1"/>
  <c r="T375" i="6" a="1"/>
  <c r="T375" i="6" s="1"/>
  <c r="T376" i="6" a="1"/>
  <c r="T376" i="6" s="1"/>
  <c r="T377" i="6" a="1"/>
  <c r="T377" i="6" s="1"/>
  <c r="T378" i="6" a="1"/>
  <c r="T378" i="6" s="1"/>
  <c r="T379" i="6" a="1"/>
  <c r="T379" i="6" s="1"/>
  <c r="T380" i="6" a="1"/>
  <c r="T380" i="6" s="1"/>
  <c r="T381" i="6" a="1"/>
  <c r="T381" i="6" s="1"/>
  <c r="T382" i="6" a="1"/>
  <c r="T382" i="6" s="1"/>
  <c r="T383" i="6" a="1"/>
  <c r="T383" i="6" s="1"/>
  <c r="T384" i="6" a="1"/>
  <c r="T384" i="6" s="1"/>
  <c r="T385" i="6" a="1"/>
  <c r="T385" i="6" s="1"/>
  <c r="T386" i="6" a="1"/>
  <c r="T386" i="6" s="1"/>
  <c r="T387" i="6" a="1"/>
  <c r="T387" i="6" s="1"/>
  <c r="T388" i="6" a="1"/>
  <c r="T388" i="6" s="1"/>
  <c r="T389" i="6" a="1"/>
  <c r="T389" i="6" s="1"/>
  <c r="T390" i="6" a="1"/>
  <c r="T390" i="6" s="1"/>
  <c r="T391" i="6" a="1"/>
  <c r="T391" i="6" s="1"/>
  <c r="T392" i="6" a="1"/>
  <c r="T392" i="6" s="1"/>
  <c r="T393" i="6" a="1"/>
  <c r="T393" i="6" s="1"/>
  <c r="T394" i="6" a="1"/>
  <c r="T394" i="6" s="1"/>
  <c r="T395" i="6" a="1"/>
  <c r="T395" i="6" s="1"/>
  <c r="T396" i="6" a="1"/>
  <c r="T396" i="6" s="1"/>
  <c r="T397" i="6" a="1"/>
  <c r="T397" i="6" s="1"/>
  <c r="T398" i="6" a="1"/>
  <c r="T398" i="6" s="1"/>
  <c r="T399" i="6" a="1"/>
  <c r="T399" i="6" s="1"/>
  <c r="T400" i="6" a="1"/>
  <c r="T400" i="6" s="1"/>
  <c r="T401" i="6" a="1"/>
  <c r="T401" i="6" s="1"/>
  <c r="T402" i="6" a="1"/>
  <c r="T402" i="6" s="1"/>
  <c r="T403" i="6" a="1"/>
  <c r="T403" i="6" s="1"/>
  <c r="T404" i="6" a="1"/>
  <c r="T404" i="6" s="1"/>
  <c r="T405" i="6" a="1"/>
  <c r="T405" i="6" s="1"/>
  <c r="T406" i="6" a="1"/>
  <c r="T406" i="6" s="1"/>
  <c r="T407" i="6" a="1"/>
  <c r="T407" i="6" s="1"/>
  <c r="T408" i="6" a="1"/>
  <c r="T408" i="6" s="1"/>
  <c r="T409" i="6" a="1"/>
  <c r="T409" i="6" s="1"/>
  <c r="T410" i="6" a="1"/>
  <c r="T410" i="6" s="1"/>
  <c r="T411" i="6" a="1"/>
  <c r="T411" i="6" s="1"/>
  <c r="T412" i="6" a="1"/>
  <c r="T412" i="6" s="1"/>
  <c r="T413" i="6" a="1"/>
  <c r="T413" i="6" s="1"/>
  <c r="T414" i="6" a="1"/>
  <c r="T414" i="6" s="1"/>
  <c r="T415" i="6" a="1"/>
  <c r="T415" i="6" s="1"/>
  <c r="T416" i="6" a="1"/>
  <c r="T416" i="6" s="1"/>
  <c r="T417" i="6" a="1"/>
  <c r="T417" i="6" s="1"/>
  <c r="T418" i="6" a="1"/>
  <c r="T418" i="6" s="1"/>
  <c r="T419" i="6" a="1"/>
  <c r="T419" i="6" s="1"/>
  <c r="T420" i="6" a="1"/>
  <c r="T420" i="6" s="1"/>
  <c r="T421" i="6" a="1"/>
  <c r="T421" i="6" s="1"/>
  <c r="T422" i="6" a="1"/>
  <c r="T422" i="6" s="1"/>
  <c r="T423" i="6" a="1"/>
  <c r="T423" i="6" s="1"/>
  <c r="T424" i="6" a="1"/>
  <c r="T424" i="6" s="1"/>
  <c r="T425" i="6" a="1"/>
  <c r="T425" i="6" s="1"/>
  <c r="T426" i="6" a="1"/>
  <c r="T426" i="6" s="1"/>
  <c r="T427" i="6" a="1"/>
  <c r="T427" i="6" s="1"/>
  <c r="T428" i="6" a="1"/>
  <c r="T428" i="6" s="1"/>
  <c r="T429" i="6" a="1"/>
  <c r="T429" i="6" s="1"/>
  <c r="T430" i="6" a="1"/>
  <c r="T430" i="6" s="1"/>
  <c r="T431" i="6" a="1"/>
  <c r="T431" i="6" s="1"/>
  <c r="T432" i="6" a="1"/>
  <c r="T432" i="6" s="1"/>
  <c r="T433" i="6" a="1"/>
  <c r="T433" i="6" s="1"/>
  <c r="T434" i="6" a="1"/>
  <c r="T434" i="6" s="1"/>
  <c r="T435" i="6" a="1"/>
  <c r="T435" i="6" s="1"/>
  <c r="T436" i="6" a="1"/>
  <c r="T436" i="6" s="1"/>
  <c r="T437" i="6" a="1"/>
  <c r="T437" i="6" s="1"/>
  <c r="T438" i="6" a="1"/>
  <c r="T438" i="6" s="1"/>
  <c r="T439" i="6" a="1"/>
  <c r="T439" i="6" s="1"/>
  <c r="T440" i="6" a="1"/>
  <c r="T440" i="6" s="1"/>
  <c r="T441" i="6" a="1"/>
  <c r="T441" i="6" s="1"/>
  <c r="T442" i="6" a="1"/>
  <c r="T442" i="6" s="1"/>
  <c r="T443" i="6" a="1"/>
  <c r="T443" i="6" s="1"/>
  <c r="T444" i="6" a="1"/>
  <c r="T444" i="6" s="1"/>
  <c r="T445" i="6" a="1"/>
  <c r="T445" i="6" s="1"/>
  <c r="T446" i="6" a="1"/>
  <c r="T446" i="6" s="1"/>
  <c r="T447" i="6" a="1"/>
  <c r="T447" i="6" s="1"/>
  <c r="T448" i="6" a="1"/>
  <c r="T448" i="6" s="1"/>
  <c r="T449" i="6" a="1"/>
  <c r="T449" i="6" s="1"/>
  <c r="T450" i="6" a="1"/>
  <c r="T450" i="6" s="1"/>
  <c r="T451" i="6" a="1"/>
  <c r="T451" i="6" s="1"/>
  <c r="T452" i="6" a="1"/>
  <c r="T452" i="6" s="1"/>
  <c r="T453" i="6" a="1"/>
  <c r="T453" i="6" s="1"/>
  <c r="T454" i="6" a="1"/>
  <c r="T454" i="6" s="1"/>
  <c r="T455" i="6" a="1"/>
  <c r="T455" i="6" s="1"/>
  <c r="T456" i="6" a="1"/>
  <c r="T456" i="6" s="1"/>
  <c r="T457" i="6" a="1"/>
  <c r="T457" i="6" s="1"/>
  <c r="T458" i="6" a="1"/>
  <c r="T458" i="6" s="1"/>
  <c r="T459" i="6" a="1"/>
  <c r="T459" i="6" s="1"/>
  <c r="T460" i="6" a="1"/>
  <c r="T460" i="6" s="1"/>
  <c r="T461" i="6" a="1"/>
  <c r="T461" i="6" s="1"/>
  <c r="T462" i="6" a="1"/>
  <c r="T462" i="6" s="1"/>
  <c r="T463" i="6" a="1"/>
  <c r="T463" i="6" s="1"/>
  <c r="T464" i="6" a="1"/>
  <c r="T464" i="6" s="1"/>
  <c r="T465" i="6" a="1"/>
  <c r="T465" i="6" s="1"/>
  <c r="T466" i="6" a="1"/>
  <c r="T466" i="6" s="1"/>
  <c r="T467" i="6" a="1"/>
  <c r="T467" i="6" s="1"/>
  <c r="T468" i="6" a="1"/>
  <c r="T468" i="6" s="1"/>
  <c r="T469" i="6" a="1"/>
  <c r="T469" i="6" s="1"/>
  <c r="T470" i="6" a="1"/>
  <c r="T470" i="6" s="1"/>
  <c r="T471" i="6" a="1"/>
  <c r="T471" i="6" s="1"/>
  <c r="T472" i="6" a="1"/>
  <c r="T472" i="6" s="1"/>
  <c r="T473" i="6" a="1"/>
  <c r="T473" i="6" s="1"/>
  <c r="T474" i="6" a="1"/>
  <c r="T474" i="6" s="1"/>
  <c r="T475" i="6" a="1"/>
  <c r="T475" i="6" s="1"/>
  <c r="T476" i="6" a="1"/>
  <c r="T476" i="6" s="1"/>
  <c r="T477" i="6" a="1"/>
  <c r="T477" i="6" s="1"/>
  <c r="T478" i="6" a="1"/>
  <c r="T478" i="6" s="1"/>
  <c r="T479" i="6" a="1"/>
  <c r="T479" i="6" s="1"/>
  <c r="T480" i="6" a="1"/>
  <c r="T480" i="6" s="1"/>
  <c r="T481" i="6" a="1"/>
  <c r="T481" i="6" s="1"/>
  <c r="T482" i="6" a="1"/>
  <c r="T482" i="6" s="1"/>
  <c r="T483" i="6" a="1"/>
  <c r="T483" i="6" s="1"/>
  <c r="T484" i="6" a="1"/>
  <c r="T484" i="6" s="1"/>
  <c r="T485" i="6" a="1"/>
  <c r="T485" i="6" s="1"/>
  <c r="T486" i="6" a="1"/>
  <c r="T486" i="6" s="1"/>
  <c r="T487" i="6" a="1"/>
  <c r="T487" i="6" s="1"/>
  <c r="T488" i="6" a="1"/>
  <c r="T488" i="6" s="1"/>
  <c r="T489" i="6" a="1"/>
  <c r="T489" i="6" s="1"/>
  <c r="T490" i="6" a="1"/>
  <c r="T490" i="6" s="1"/>
  <c r="T491" i="6" a="1"/>
  <c r="T491" i="6" s="1"/>
  <c r="T492" i="6" a="1"/>
  <c r="T492" i="6" s="1"/>
  <c r="T493" i="6" a="1"/>
  <c r="T493" i="6" s="1"/>
  <c r="T494" i="6" a="1"/>
  <c r="T494" i="6" s="1"/>
  <c r="T495" i="6" a="1"/>
  <c r="T495" i="6" s="1"/>
  <c r="T496" i="6" a="1"/>
  <c r="T496" i="6" s="1"/>
  <c r="T497" i="6" a="1"/>
  <c r="T497" i="6" s="1"/>
  <c r="T498" i="6" a="1"/>
  <c r="T498" i="6" s="1"/>
  <c r="T499" i="6" a="1"/>
  <c r="T499" i="6" s="1"/>
  <c r="T500" i="6" a="1"/>
  <c r="T500" i="6" s="1"/>
  <c r="T501" i="6" a="1"/>
  <c r="T501" i="6" s="1"/>
  <c r="T502" i="6" a="1"/>
  <c r="T502" i="6" s="1"/>
  <c r="T503" i="6" a="1"/>
  <c r="T503" i="6" s="1"/>
  <c r="T504" i="6" a="1"/>
  <c r="T504" i="6" s="1"/>
  <c r="T505" i="6" a="1"/>
  <c r="T505" i="6" s="1"/>
  <c r="T506" i="6" a="1"/>
  <c r="T506" i="6" s="1"/>
  <c r="T507" i="6" a="1"/>
  <c r="T507" i="6" s="1"/>
  <c r="T508" i="6" a="1"/>
  <c r="T508" i="6" s="1"/>
  <c r="T509" i="6" a="1"/>
  <c r="T509" i="6" s="1"/>
  <c r="T510" i="6" a="1"/>
  <c r="T510" i="6" s="1"/>
  <c r="T511" i="6" a="1"/>
  <c r="T511" i="6" s="1"/>
  <c r="T512" i="6" a="1"/>
  <c r="T512" i="6" s="1"/>
  <c r="T513" i="6" a="1"/>
  <c r="T513" i="6" s="1"/>
  <c r="T514" i="6" a="1"/>
  <c r="T514" i="6" s="1"/>
  <c r="T515" i="6" a="1"/>
  <c r="T515" i="6" s="1"/>
  <c r="T516" i="6" a="1"/>
  <c r="T516" i="6" s="1"/>
  <c r="T517" i="6" a="1"/>
  <c r="T517" i="6" s="1"/>
  <c r="T518" i="6" a="1"/>
  <c r="T518" i="6" s="1"/>
  <c r="T519" i="6" a="1"/>
  <c r="T519" i="6" s="1"/>
  <c r="T520" i="6" a="1"/>
  <c r="T520" i="6" s="1"/>
  <c r="T521" i="6" a="1"/>
  <c r="T521" i="6" s="1"/>
  <c r="T522" i="6" a="1"/>
  <c r="T522" i="6" s="1"/>
  <c r="T523" i="6" a="1"/>
  <c r="T523" i="6" s="1"/>
  <c r="T524" i="6" a="1"/>
  <c r="T524" i="6" s="1"/>
  <c r="T525" i="6" a="1"/>
  <c r="T525" i="6" s="1"/>
  <c r="T526" i="6" a="1"/>
  <c r="T526" i="6" s="1"/>
  <c r="T527" i="6" a="1"/>
  <c r="T527" i="6" s="1"/>
  <c r="T528" i="6" a="1"/>
  <c r="T528" i="6" s="1"/>
  <c r="T529" i="6" a="1"/>
  <c r="T529" i="6" s="1"/>
  <c r="T530" i="6" a="1"/>
  <c r="T530" i="6" s="1"/>
  <c r="T531" i="6" a="1"/>
  <c r="T531" i="6" s="1"/>
  <c r="T532" i="6" a="1"/>
  <c r="T532" i="6" s="1"/>
  <c r="T533" i="6" a="1"/>
  <c r="T533" i="6" s="1"/>
  <c r="T534" i="6" a="1"/>
  <c r="T534" i="6" s="1"/>
  <c r="T535" i="6" a="1"/>
  <c r="T535" i="6" s="1"/>
  <c r="T536" i="6" a="1"/>
  <c r="T536" i="6" s="1"/>
  <c r="T537" i="6" a="1"/>
  <c r="T537" i="6" s="1"/>
  <c r="T538" i="6" a="1"/>
  <c r="T538" i="6" s="1"/>
  <c r="T539" i="6" a="1"/>
  <c r="T539" i="6" s="1"/>
  <c r="T540" i="6" a="1"/>
  <c r="T540" i="6" s="1"/>
  <c r="T541" i="6" a="1"/>
  <c r="T541" i="6" s="1"/>
  <c r="T542" i="6" a="1"/>
  <c r="T542" i="6" s="1"/>
  <c r="T543" i="6" a="1"/>
  <c r="T543" i="6" s="1"/>
  <c r="T544" i="6" a="1"/>
  <c r="T544" i="6" s="1"/>
  <c r="T545" i="6" a="1"/>
  <c r="T545" i="6" s="1"/>
  <c r="T546" i="6" a="1"/>
  <c r="T546" i="6" s="1"/>
  <c r="T547" i="6" a="1"/>
  <c r="T547" i="6" s="1"/>
  <c r="T548" i="6" a="1"/>
  <c r="T548" i="6" s="1"/>
  <c r="T549" i="6" a="1"/>
  <c r="T549" i="6" s="1"/>
  <c r="T550" i="6" a="1"/>
  <c r="T550" i="6" s="1"/>
  <c r="T551" i="6" a="1"/>
  <c r="T551" i="6" s="1"/>
  <c r="T552" i="6" a="1"/>
  <c r="T552" i="6" s="1"/>
  <c r="T553" i="6" a="1"/>
  <c r="T553" i="6" s="1"/>
  <c r="T554" i="6" a="1"/>
  <c r="T554" i="6" s="1"/>
  <c r="T555" i="6" a="1"/>
  <c r="T555" i="6" s="1"/>
  <c r="T556" i="6" a="1"/>
  <c r="T556" i="6" s="1"/>
  <c r="T557" i="6" a="1"/>
  <c r="T557" i="6" s="1"/>
  <c r="T558" i="6" a="1"/>
  <c r="T558" i="6" s="1"/>
  <c r="T559" i="6" a="1"/>
  <c r="T559" i="6" s="1"/>
  <c r="T560" i="6" a="1"/>
  <c r="T560" i="6" s="1"/>
  <c r="T561" i="6" a="1"/>
  <c r="T561" i="6" s="1"/>
  <c r="T562" i="6" a="1"/>
  <c r="T562" i="6" s="1"/>
  <c r="T563" i="6" a="1"/>
  <c r="T563" i="6" s="1"/>
  <c r="T564" i="6" a="1"/>
  <c r="T564" i="6" s="1"/>
  <c r="T565" i="6" a="1"/>
  <c r="T565" i="6" s="1"/>
  <c r="T566" i="6" a="1"/>
  <c r="T566" i="6" s="1"/>
  <c r="T567" i="6" a="1"/>
  <c r="T567" i="6" s="1"/>
  <c r="T568" i="6" a="1"/>
  <c r="T568" i="6" s="1"/>
  <c r="T569" i="6" a="1"/>
  <c r="T569" i="6" s="1"/>
  <c r="T570" i="6" a="1"/>
  <c r="T570" i="6" s="1"/>
  <c r="T571" i="6" a="1"/>
  <c r="T571" i="6" s="1"/>
  <c r="T572" i="6" a="1"/>
  <c r="T572" i="6" s="1"/>
  <c r="T573" i="6" a="1"/>
  <c r="T573" i="6" s="1"/>
  <c r="T574" i="6" a="1"/>
  <c r="T574" i="6" s="1"/>
  <c r="T575" i="6" a="1"/>
  <c r="T575" i="6" s="1"/>
  <c r="T576" i="6" a="1"/>
  <c r="T576" i="6" s="1"/>
  <c r="T577" i="6" a="1"/>
  <c r="T577" i="6" s="1"/>
  <c r="T578" i="6" a="1"/>
  <c r="T578" i="6" s="1"/>
  <c r="T579" i="6" a="1"/>
  <c r="T579" i="6" s="1"/>
  <c r="T580" i="6" a="1"/>
  <c r="T580" i="6" s="1"/>
  <c r="T581" i="6" a="1"/>
  <c r="T581" i="6" s="1"/>
  <c r="T582" i="6" a="1"/>
  <c r="T582" i="6" s="1"/>
  <c r="T583" i="6" a="1"/>
  <c r="T583" i="6" s="1"/>
  <c r="T584" i="6" a="1"/>
  <c r="T584" i="6" s="1"/>
  <c r="T585" i="6" a="1"/>
  <c r="T585" i="6" s="1"/>
  <c r="T586" i="6" a="1"/>
  <c r="T586" i="6" s="1"/>
  <c r="T587" i="6" a="1"/>
  <c r="T587" i="6" s="1"/>
  <c r="T588" i="6" a="1"/>
  <c r="T588" i="6" s="1"/>
  <c r="T589" i="6" a="1"/>
  <c r="T589" i="6" s="1"/>
  <c r="T590" i="6" a="1"/>
  <c r="T590" i="6" s="1"/>
  <c r="T591" i="6" a="1"/>
  <c r="T591" i="6" s="1"/>
  <c r="T592" i="6" a="1"/>
  <c r="T592" i="6" s="1"/>
  <c r="T593" i="6" a="1"/>
  <c r="T593" i="6" s="1"/>
  <c r="T594" i="6" a="1"/>
  <c r="T594" i="6" s="1"/>
  <c r="T595" i="6" a="1"/>
  <c r="T595" i="6" s="1"/>
  <c r="T596" i="6" a="1"/>
  <c r="T596" i="6" s="1"/>
  <c r="T597" i="6" a="1"/>
  <c r="T597" i="6" s="1"/>
  <c r="T598" i="6" a="1"/>
  <c r="T598" i="6" s="1"/>
  <c r="T599" i="6" a="1"/>
  <c r="T599" i="6" s="1"/>
  <c r="T600" i="6" a="1"/>
  <c r="T600" i="6" s="1"/>
  <c r="T601" i="6" a="1"/>
  <c r="T601" i="6" s="1"/>
  <c r="T602" i="6" a="1"/>
  <c r="T602" i="6" s="1"/>
  <c r="T603" i="6" a="1"/>
  <c r="T603" i="6" s="1"/>
  <c r="T604" i="6" a="1"/>
  <c r="T604" i="6" s="1"/>
  <c r="T605" i="6" a="1"/>
  <c r="T605" i="6" s="1"/>
  <c r="T606" i="6" a="1"/>
  <c r="T606" i="6" s="1"/>
  <c r="T607" i="6" a="1"/>
  <c r="T607" i="6" s="1"/>
  <c r="T608" i="6" a="1"/>
  <c r="T608" i="6" s="1"/>
  <c r="T609" i="6" a="1"/>
  <c r="T609" i="6" s="1"/>
  <c r="T610" i="6" a="1"/>
  <c r="T610" i="6" s="1"/>
  <c r="T611" i="6" a="1"/>
  <c r="T611" i="6" s="1"/>
  <c r="T612" i="6" a="1"/>
  <c r="T612" i="6" s="1"/>
  <c r="T613" i="6" a="1"/>
  <c r="T613" i="6" s="1"/>
  <c r="T614" i="6" a="1"/>
  <c r="T614" i="6" s="1"/>
  <c r="T615" i="6" a="1"/>
  <c r="T615" i="6" s="1"/>
  <c r="T616" i="6" a="1"/>
  <c r="T616" i="6" s="1"/>
  <c r="T617" i="6" a="1"/>
  <c r="T617" i="6" s="1"/>
  <c r="T618" i="6" a="1"/>
  <c r="T618" i="6" s="1"/>
  <c r="T619" i="6" a="1"/>
  <c r="T619" i="6" s="1"/>
  <c r="T620" i="6" a="1"/>
  <c r="T620" i="6" s="1"/>
  <c r="T621" i="6" a="1"/>
  <c r="T621" i="6" s="1"/>
  <c r="T622" i="6" a="1"/>
  <c r="T622" i="6" s="1"/>
  <c r="T623" i="6" a="1"/>
  <c r="T623" i="6" s="1"/>
  <c r="T624" i="6" a="1"/>
  <c r="T624" i="6" s="1"/>
  <c r="T625" i="6" a="1"/>
  <c r="T625" i="6" s="1"/>
  <c r="T626" i="6" a="1"/>
  <c r="T626" i="6" s="1"/>
  <c r="T627" i="6" a="1"/>
  <c r="T627" i="6" s="1"/>
  <c r="T628" i="6" a="1"/>
  <c r="T628" i="6" s="1"/>
  <c r="T629" i="6" a="1"/>
  <c r="T629" i="6" s="1"/>
  <c r="T630" i="6" a="1"/>
  <c r="T630" i="6" s="1"/>
  <c r="T631" i="6" a="1"/>
  <c r="T631" i="6" s="1"/>
  <c r="T632" i="6" a="1"/>
  <c r="T632" i="6" s="1"/>
  <c r="T633" i="6" a="1"/>
  <c r="T633" i="6" s="1"/>
  <c r="T634" i="6" a="1"/>
  <c r="T634" i="6" s="1"/>
  <c r="T635" i="6" a="1"/>
  <c r="T635" i="6" s="1"/>
  <c r="T636" i="6" a="1"/>
  <c r="T636" i="6" s="1"/>
  <c r="T637" i="6" a="1"/>
  <c r="T637" i="6" s="1"/>
  <c r="T638" i="6" a="1"/>
  <c r="T638" i="6" s="1"/>
  <c r="T639" i="6" a="1"/>
  <c r="T639" i="6" s="1"/>
  <c r="T640" i="6" a="1"/>
  <c r="T640" i="6" s="1"/>
  <c r="T641" i="6" a="1"/>
  <c r="T641" i="6" s="1"/>
  <c r="T642" i="6" a="1"/>
  <c r="T642" i="6" s="1"/>
  <c r="T643" i="6" a="1"/>
  <c r="T643" i="6" s="1"/>
  <c r="T644" i="6" a="1"/>
  <c r="T644" i="6" s="1"/>
  <c r="T645" i="6" a="1"/>
  <c r="T645" i="6" s="1"/>
  <c r="T646" i="6" a="1"/>
  <c r="T646" i="6" s="1"/>
  <c r="T647" i="6" a="1"/>
  <c r="T647" i="6" s="1"/>
  <c r="T648" i="6" a="1"/>
  <c r="T648" i="6" s="1"/>
  <c r="T649" i="6" a="1"/>
  <c r="T649" i="6" s="1"/>
  <c r="T650" i="6" a="1"/>
  <c r="T650" i="6" s="1"/>
  <c r="T651" i="6" a="1"/>
  <c r="T651" i="6" s="1"/>
  <c r="T652" i="6" a="1"/>
  <c r="T652" i="6" s="1"/>
  <c r="T653" i="6" a="1"/>
  <c r="T653" i="6" s="1"/>
  <c r="T654" i="6" a="1"/>
  <c r="T654" i="6" s="1"/>
  <c r="T655" i="6" a="1"/>
  <c r="T655" i="6" s="1"/>
  <c r="T656" i="6" a="1"/>
  <c r="T656" i="6" s="1"/>
  <c r="T657" i="6" a="1"/>
  <c r="T657" i="6" s="1"/>
  <c r="T658" i="6" a="1"/>
  <c r="T658" i="6" s="1"/>
  <c r="T659" i="6" a="1"/>
  <c r="T659" i="6" s="1"/>
  <c r="T660" i="6" a="1"/>
  <c r="T660" i="6" s="1"/>
  <c r="T661" i="6" a="1"/>
  <c r="T661" i="6" s="1"/>
  <c r="T662" i="6" a="1"/>
  <c r="T662" i="6" s="1"/>
  <c r="T663" i="6" a="1"/>
  <c r="T663" i="6" s="1"/>
  <c r="T664" i="6" a="1"/>
  <c r="T664" i="6" s="1"/>
  <c r="T665" i="6" a="1"/>
  <c r="T665" i="6" s="1"/>
  <c r="T666" i="6" a="1"/>
  <c r="T666" i="6" s="1"/>
  <c r="T667" i="6" a="1"/>
  <c r="T667" i="6" s="1"/>
  <c r="T668" i="6" a="1"/>
  <c r="T668" i="6" s="1"/>
  <c r="T669" i="6" a="1"/>
  <c r="T669" i="6" s="1"/>
  <c r="T670" i="6" a="1"/>
  <c r="T670" i="6" s="1"/>
  <c r="T671" i="6" a="1"/>
  <c r="T671" i="6" s="1"/>
  <c r="T672" i="6" a="1"/>
  <c r="T672" i="6" s="1"/>
  <c r="T673" i="6" a="1"/>
  <c r="T673" i="6" s="1"/>
  <c r="T674" i="6" a="1"/>
  <c r="T674" i="6" s="1"/>
  <c r="T675" i="6" a="1"/>
  <c r="T675" i="6" s="1"/>
  <c r="T676" i="6" a="1"/>
  <c r="T676" i="6" s="1"/>
  <c r="T677" i="6" a="1"/>
  <c r="T677" i="6" s="1"/>
  <c r="T678" i="6" a="1"/>
  <c r="T678" i="6" s="1"/>
  <c r="T679" i="6" a="1"/>
  <c r="T679" i="6" s="1"/>
  <c r="T680" i="6" a="1"/>
  <c r="T680" i="6" s="1"/>
  <c r="T681" i="6" a="1"/>
  <c r="T681" i="6" s="1"/>
  <c r="T682" i="6" a="1"/>
  <c r="T682" i="6" s="1"/>
  <c r="T683" i="6" a="1"/>
  <c r="T683" i="6" s="1"/>
  <c r="T684" i="6" a="1"/>
  <c r="T684" i="6" s="1"/>
  <c r="T685" i="6" a="1"/>
  <c r="T685" i="6" s="1"/>
  <c r="T686" i="6" a="1"/>
  <c r="T686" i="6" s="1"/>
  <c r="T687" i="6" a="1"/>
  <c r="T687" i="6" s="1"/>
  <c r="T688" i="6" a="1"/>
  <c r="T688" i="6" s="1"/>
  <c r="T689" i="6" a="1"/>
  <c r="T689" i="6" s="1"/>
  <c r="T690" i="6" a="1"/>
  <c r="T690" i="6" s="1"/>
  <c r="T691" i="6" a="1"/>
  <c r="T691" i="6" s="1"/>
  <c r="T692" i="6" a="1"/>
  <c r="T692" i="6" s="1"/>
  <c r="T693" i="6" a="1"/>
  <c r="T693" i="6" s="1"/>
  <c r="T694" i="6" a="1"/>
  <c r="T694" i="6" s="1"/>
  <c r="T695" i="6" a="1"/>
  <c r="T695" i="6" s="1"/>
  <c r="T696" i="6" a="1"/>
  <c r="T696" i="6" s="1"/>
  <c r="T697" i="6" a="1"/>
  <c r="T697" i="6" s="1"/>
  <c r="T698" i="6" a="1"/>
  <c r="T698" i="6" s="1"/>
  <c r="T699" i="6" a="1"/>
  <c r="T699" i="6" s="1"/>
  <c r="T700" i="6" a="1"/>
  <c r="T700" i="6" s="1"/>
  <c r="T701" i="6" a="1"/>
  <c r="T701" i="6" s="1"/>
  <c r="T702" i="6" a="1"/>
  <c r="T702" i="6" s="1"/>
  <c r="T703" i="6" a="1"/>
  <c r="T703" i="6" s="1"/>
  <c r="T704" i="6" a="1"/>
  <c r="T704" i="6" s="1"/>
  <c r="T705" i="6" a="1"/>
  <c r="T705" i="6" s="1"/>
  <c r="T706" i="6" a="1"/>
  <c r="T706" i="6" s="1"/>
  <c r="T707" i="6" a="1"/>
  <c r="T707" i="6" s="1"/>
  <c r="T708" i="6" a="1"/>
  <c r="T708" i="6" s="1"/>
  <c r="T709" i="6" a="1"/>
  <c r="T709" i="6" s="1"/>
  <c r="T710" i="6" a="1"/>
  <c r="T710" i="6" s="1"/>
  <c r="T711" i="6" a="1"/>
  <c r="T711" i="6" s="1"/>
  <c r="T712" i="6" a="1"/>
  <c r="T712" i="6" s="1"/>
  <c r="T713" i="6" a="1"/>
  <c r="T713" i="6" s="1"/>
  <c r="T714" i="6" a="1"/>
  <c r="T714" i="6" s="1"/>
  <c r="T715" i="6" a="1"/>
  <c r="T715" i="6" s="1"/>
  <c r="T716" i="6" a="1"/>
  <c r="T716" i="6" s="1"/>
  <c r="T717" i="6" a="1"/>
  <c r="T717" i="6" s="1"/>
  <c r="T718" i="6" a="1"/>
  <c r="T718" i="6" s="1"/>
  <c r="T719" i="6" a="1"/>
  <c r="T719" i="6" s="1"/>
  <c r="T720" i="6" a="1"/>
  <c r="T720" i="6" s="1"/>
  <c r="T721" i="6" a="1"/>
  <c r="T721" i="6" s="1"/>
  <c r="T722" i="6" a="1"/>
  <c r="T722" i="6" s="1"/>
  <c r="T723" i="6" a="1"/>
  <c r="T723" i="6" s="1"/>
  <c r="T724" i="6" a="1"/>
  <c r="T724" i="6" s="1"/>
  <c r="T725" i="6" a="1"/>
  <c r="T725" i="6" s="1"/>
  <c r="T726" i="6" a="1"/>
  <c r="T726" i="6" s="1"/>
  <c r="T727" i="6" a="1"/>
  <c r="T727" i="6" s="1"/>
  <c r="T728" i="6" a="1"/>
  <c r="T728" i="6" s="1"/>
  <c r="T729" i="6" a="1"/>
  <c r="T729" i="6" s="1"/>
  <c r="T730" i="6" a="1"/>
  <c r="T730" i="6" s="1"/>
  <c r="T731" i="6" a="1"/>
  <c r="T731" i="6" s="1"/>
  <c r="T732" i="6" a="1"/>
  <c r="T732" i="6" s="1"/>
  <c r="T733" i="6" a="1"/>
  <c r="T733" i="6" s="1"/>
  <c r="T734" i="6" a="1"/>
  <c r="T734" i="6" s="1"/>
  <c r="T735" i="6" a="1"/>
  <c r="T735" i="6" s="1"/>
  <c r="T736" i="6" a="1"/>
  <c r="T736" i="6" s="1"/>
  <c r="T737" i="6" a="1"/>
  <c r="T737" i="6" s="1"/>
  <c r="T738" i="6" a="1"/>
  <c r="T738" i="6" s="1"/>
  <c r="T739" i="6" a="1"/>
  <c r="T739" i="6" s="1"/>
  <c r="T740" i="6" a="1"/>
  <c r="T740" i="6" s="1"/>
  <c r="T741" i="6" a="1"/>
  <c r="T741" i="6" s="1"/>
  <c r="T742" i="6" a="1"/>
  <c r="T742" i="6" s="1"/>
  <c r="T743" i="6" a="1"/>
  <c r="T743" i="6" s="1"/>
  <c r="T744" i="6" a="1"/>
  <c r="T744" i="6" s="1"/>
  <c r="T745" i="6" a="1"/>
  <c r="T745" i="6" s="1"/>
  <c r="T746" i="6" a="1"/>
  <c r="T746" i="6" s="1"/>
  <c r="T747" i="6" a="1"/>
  <c r="T747" i="6" s="1"/>
  <c r="T748" i="6" a="1"/>
  <c r="T748" i="6" s="1"/>
  <c r="T749" i="6" a="1"/>
  <c r="T749" i="6" s="1"/>
  <c r="T750" i="6" a="1"/>
  <c r="T750" i="6" s="1"/>
  <c r="T751" i="6" a="1"/>
  <c r="T751" i="6" s="1"/>
  <c r="T752" i="6" a="1"/>
  <c r="T752" i="6" s="1"/>
  <c r="T753" i="6" a="1"/>
  <c r="T753" i="6" s="1"/>
  <c r="T754" i="6" a="1"/>
  <c r="T754" i="6" s="1"/>
  <c r="T755" i="6" a="1"/>
  <c r="T755" i="6" s="1"/>
  <c r="T756" i="6" a="1"/>
  <c r="T756" i="6" s="1"/>
  <c r="T757" i="6" a="1"/>
  <c r="T757" i="6" s="1"/>
  <c r="T758" i="6" a="1"/>
  <c r="T758" i="6" s="1"/>
  <c r="T759" i="6" a="1"/>
  <c r="T759" i="6" s="1"/>
  <c r="T760" i="6" a="1"/>
  <c r="T760" i="6" s="1"/>
  <c r="T761" i="6" a="1"/>
  <c r="T761" i="6" s="1"/>
  <c r="T762" i="6" a="1"/>
  <c r="T762" i="6" s="1"/>
  <c r="T763" i="6" a="1"/>
  <c r="T763" i="6" s="1"/>
  <c r="T764" i="6" a="1"/>
  <c r="T764" i="6" s="1"/>
  <c r="T765" i="6" a="1"/>
  <c r="T765" i="6" s="1"/>
  <c r="T766" i="6" a="1"/>
  <c r="T766" i="6" s="1"/>
  <c r="T767" i="6" a="1"/>
  <c r="T767" i="6" s="1"/>
  <c r="T768" i="6" a="1"/>
  <c r="T768" i="6" s="1"/>
  <c r="T769" i="6" a="1"/>
  <c r="T769" i="6" s="1"/>
  <c r="T770" i="6" a="1"/>
  <c r="T770" i="6" s="1"/>
  <c r="T771" i="6" a="1"/>
  <c r="T771" i="6" s="1"/>
  <c r="T772" i="6" a="1"/>
  <c r="T772" i="6" s="1"/>
  <c r="T773" i="6" a="1"/>
  <c r="T773" i="6" s="1"/>
  <c r="T774" i="6" a="1"/>
  <c r="T774" i="6" s="1"/>
  <c r="T775" i="6" a="1"/>
  <c r="T775" i="6" s="1"/>
  <c r="T776" i="6" a="1"/>
  <c r="T776" i="6" s="1"/>
  <c r="T777" i="6" a="1"/>
  <c r="T777" i="6" s="1"/>
  <c r="T778" i="6" a="1"/>
  <c r="T778" i="6" s="1"/>
  <c r="T779" i="6" a="1"/>
  <c r="T779" i="6" s="1"/>
  <c r="T780" i="6" a="1"/>
  <c r="T780" i="6" s="1"/>
  <c r="T781" i="6" a="1"/>
  <c r="T781" i="6" s="1"/>
  <c r="T782" i="6" a="1"/>
  <c r="T782" i="6" s="1"/>
  <c r="T783" i="6" a="1"/>
  <c r="T783" i="6" s="1"/>
  <c r="T784" i="6" a="1"/>
  <c r="T784" i="6" s="1"/>
  <c r="T785" i="6" a="1"/>
  <c r="T785" i="6" s="1"/>
  <c r="T786" i="6" a="1"/>
  <c r="T786" i="6" s="1"/>
  <c r="T787" i="6" a="1"/>
  <c r="T787" i="6" s="1"/>
  <c r="T788" i="6" a="1"/>
  <c r="T788" i="6" s="1"/>
  <c r="T789" i="6" a="1"/>
  <c r="T789" i="6" s="1"/>
  <c r="T790" i="6" a="1"/>
  <c r="T790" i="6" s="1"/>
  <c r="T791" i="6" a="1"/>
  <c r="T791" i="6" s="1"/>
  <c r="T792" i="6" a="1"/>
  <c r="T792" i="6" s="1"/>
  <c r="T793" i="6" a="1"/>
  <c r="T793" i="6" s="1"/>
  <c r="T794" i="6" a="1"/>
  <c r="T794" i="6" s="1"/>
  <c r="T795" i="6" a="1"/>
  <c r="T795" i="6" s="1"/>
  <c r="T796" i="6" a="1"/>
  <c r="T796" i="6" s="1"/>
  <c r="T797" i="6" a="1"/>
  <c r="T797" i="6" s="1"/>
  <c r="T798" i="6" a="1"/>
  <c r="T798" i="6" s="1"/>
  <c r="T799" i="6" a="1"/>
  <c r="T799" i="6" s="1"/>
  <c r="T800" i="6" a="1"/>
  <c r="T800" i="6" s="1"/>
  <c r="T801" i="6" a="1"/>
  <c r="T801" i="6" s="1"/>
  <c r="T802" i="6" a="1"/>
  <c r="T802" i="6" s="1"/>
  <c r="T803" i="6" a="1"/>
  <c r="T803" i="6" s="1"/>
  <c r="T804" i="6" a="1"/>
  <c r="T804" i="6" s="1"/>
  <c r="T805" i="6" a="1"/>
  <c r="T805" i="6" s="1"/>
  <c r="T806" i="6" a="1"/>
  <c r="T806" i="6" s="1"/>
  <c r="T807" i="6" a="1"/>
  <c r="T807" i="6" s="1"/>
  <c r="T808" i="6" a="1"/>
  <c r="T808" i="6" s="1"/>
  <c r="T809" i="6" a="1"/>
  <c r="T809" i="6" s="1"/>
  <c r="T810" i="6" a="1"/>
  <c r="T810" i="6" s="1"/>
  <c r="T811" i="6" a="1"/>
  <c r="T811" i="6" s="1"/>
  <c r="T812" i="6" a="1"/>
  <c r="T812" i="6" s="1"/>
  <c r="T813" i="6" a="1"/>
  <c r="T813" i="6" s="1"/>
  <c r="T814" i="6" a="1"/>
  <c r="T814" i="6" s="1"/>
  <c r="T815" i="6" a="1"/>
  <c r="T815" i="6" s="1"/>
  <c r="T816" i="6" a="1"/>
  <c r="T816" i="6" s="1"/>
  <c r="T817" i="6" a="1"/>
  <c r="T817" i="6" s="1"/>
  <c r="T818" i="6" a="1"/>
  <c r="T818" i="6" s="1"/>
  <c r="T819" i="6" a="1"/>
  <c r="T819" i="6" s="1"/>
  <c r="T820" i="6" a="1"/>
  <c r="T820" i="6" s="1"/>
  <c r="T821" i="6" a="1"/>
  <c r="T821" i="6" s="1"/>
  <c r="T822" i="6" a="1"/>
  <c r="T822" i="6" s="1"/>
  <c r="T823" i="6" a="1"/>
  <c r="T823" i="6" s="1"/>
  <c r="T824" i="6" a="1"/>
  <c r="T824" i="6" s="1"/>
  <c r="T825" i="6" a="1"/>
  <c r="T825" i="6" s="1"/>
  <c r="T826" i="6" a="1"/>
  <c r="T826" i="6" s="1"/>
  <c r="T827" i="6" a="1"/>
  <c r="T827" i="6" s="1"/>
  <c r="T828" i="6" a="1"/>
  <c r="T828" i="6" s="1"/>
  <c r="T829" i="6" a="1"/>
  <c r="T829" i="6" s="1"/>
  <c r="T830" i="6" a="1"/>
  <c r="T830" i="6" s="1"/>
  <c r="T831" i="6" a="1"/>
  <c r="T831" i="6" s="1"/>
  <c r="T832" i="6" a="1"/>
  <c r="T832" i="6" s="1"/>
  <c r="T833" i="6" a="1"/>
  <c r="T833" i="6" s="1"/>
  <c r="T834" i="6" a="1"/>
  <c r="T834" i="6" s="1"/>
  <c r="T835" i="6" a="1"/>
  <c r="T835" i="6" s="1"/>
  <c r="T836" i="6" a="1"/>
  <c r="T836" i="6" s="1"/>
  <c r="T837" i="6" a="1"/>
  <c r="T837" i="6" s="1"/>
  <c r="T838" i="6" a="1"/>
  <c r="T838" i="6" s="1"/>
  <c r="T839" i="6" a="1"/>
  <c r="T839" i="6" s="1"/>
  <c r="T840" i="6" a="1"/>
  <c r="T840" i="6" s="1"/>
  <c r="T841" i="6" a="1"/>
  <c r="T841" i="6" s="1"/>
  <c r="T842" i="6" a="1"/>
  <c r="T842" i="6" s="1"/>
  <c r="T843" i="6" a="1"/>
  <c r="T843" i="6" s="1"/>
  <c r="T844" i="6" a="1"/>
  <c r="T844" i="6" s="1"/>
  <c r="T845" i="6" a="1"/>
  <c r="T845" i="6" s="1"/>
  <c r="T846" i="6" a="1"/>
  <c r="T846" i="6" s="1"/>
  <c r="T847" i="6" a="1"/>
  <c r="T847" i="6" s="1"/>
  <c r="T848" i="6" a="1"/>
  <c r="T848" i="6" s="1"/>
  <c r="T849" i="6" a="1"/>
  <c r="T849" i="6" s="1"/>
  <c r="T850" i="6" a="1"/>
  <c r="T850" i="6" s="1"/>
  <c r="T851" i="6" a="1"/>
  <c r="T851" i="6" s="1"/>
  <c r="T852" i="6" a="1"/>
  <c r="T852" i="6" s="1"/>
  <c r="T853" i="6" a="1"/>
  <c r="T853" i="6" s="1"/>
  <c r="T854" i="6" a="1"/>
  <c r="T854" i="6" s="1"/>
  <c r="T855" i="6" a="1"/>
  <c r="T855" i="6" s="1"/>
  <c r="T856" i="6" a="1"/>
  <c r="T856" i="6" s="1"/>
  <c r="T857" i="6" a="1"/>
  <c r="T857" i="6" s="1"/>
  <c r="T858" i="6" a="1"/>
  <c r="T858" i="6" s="1"/>
  <c r="T859" i="6" a="1"/>
  <c r="T859" i="6" s="1"/>
  <c r="T860" i="6" a="1"/>
  <c r="T860" i="6" s="1"/>
  <c r="T861" i="6" a="1"/>
  <c r="T861" i="6" s="1"/>
  <c r="T862" i="6" a="1"/>
  <c r="T862" i="6" s="1"/>
  <c r="T863" i="6" a="1"/>
  <c r="T863" i="6" s="1"/>
  <c r="T864" i="6" a="1"/>
  <c r="T864" i="6" s="1"/>
  <c r="T865" i="6" a="1"/>
  <c r="T865" i="6" s="1"/>
  <c r="T866" i="6" a="1"/>
  <c r="T866" i="6" s="1"/>
  <c r="T867" i="6" a="1"/>
  <c r="T867" i="6" s="1"/>
  <c r="T868" i="6" a="1"/>
  <c r="T868" i="6" s="1"/>
  <c r="T869" i="6" a="1"/>
  <c r="T869" i="6" s="1"/>
  <c r="T870" i="6" a="1"/>
  <c r="T870" i="6" s="1"/>
  <c r="T871" i="6" a="1"/>
  <c r="T871" i="6" s="1"/>
  <c r="T872" i="6" a="1"/>
  <c r="T872" i="6" s="1"/>
  <c r="T873" i="6" a="1"/>
  <c r="T873" i="6" s="1"/>
  <c r="T874" i="6" a="1"/>
  <c r="T874" i="6" s="1"/>
  <c r="T875" i="6" a="1"/>
  <c r="T875" i="6" s="1"/>
  <c r="T876" i="6" a="1"/>
  <c r="T876" i="6" s="1"/>
  <c r="T877" i="6" a="1"/>
  <c r="T877" i="6" s="1"/>
  <c r="T878" i="6" a="1"/>
  <c r="T878" i="6" s="1"/>
  <c r="T879" i="6" a="1"/>
  <c r="T879" i="6" s="1"/>
  <c r="T880" i="6" a="1"/>
  <c r="T880" i="6" s="1"/>
  <c r="T881" i="6" a="1"/>
  <c r="T881" i="6" s="1"/>
  <c r="T882" i="6" a="1"/>
  <c r="T882" i="6" s="1"/>
  <c r="T883" i="6" a="1"/>
  <c r="T883" i="6" s="1"/>
  <c r="T884" i="6" a="1"/>
  <c r="T884" i="6" s="1"/>
  <c r="T885" i="6" a="1"/>
  <c r="T885" i="6" s="1"/>
  <c r="T886" i="6" a="1"/>
  <c r="T886" i="6" s="1"/>
  <c r="T887" i="6" a="1"/>
  <c r="T887" i="6" s="1"/>
  <c r="T888" i="6" a="1"/>
  <c r="T888" i="6" s="1"/>
  <c r="T889" i="6" a="1"/>
  <c r="T889" i="6" s="1"/>
  <c r="T890" i="6" a="1"/>
  <c r="T890" i="6" s="1"/>
  <c r="T891" i="6" a="1"/>
  <c r="T891" i="6" s="1"/>
  <c r="T892" i="6" a="1"/>
  <c r="T892" i="6" s="1"/>
  <c r="T893" i="6" a="1"/>
  <c r="T893" i="6" s="1"/>
  <c r="T894" i="6" a="1"/>
  <c r="T894" i="6" s="1"/>
  <c r="T895" i="6" a="1"/>
  <c r="T895" i="6" s="1"/>
  <c r="T896" i="6" a="1"/>
  <c r="T896" i="6" s="1"/>
  <c r="T897" i="6" a="1"/>
  <c r="T897" i="6" s="1"/>
  <c r="T898" i="6" a="1"/>
  <c r="T898" i="6" s="1"/>
  <c r="T899" i="6" a="1"/>
  <c r="T899" i="6" s="1"/>
  <c r="T900" i="6" a="1"/>
  <c r="T900" i="6" s="1"/>
  <c r="T901" i="6" a="1"/>
  <c r="T901" i="6" s="1"/>
  <c r="T902" i="6" a="1"/>
  <c r="T902" i="6" s="1"/>
  <c r="T903" i="6" a="1"/>
  <c r="T903" i="6" s="1"/>
  <c r="T904" i="6" a="1"/>
  <c r="T904" i="6" s="1"/>
  <c r="T905" i="6" a="1"/>
  <c r="T905" i="6" s="1"/>
  <c r="T906" i="6" a="1"/>
  <c r="T906" i="6" s="1"/>
  <c r="T907" i="6" a="1"/>
  <c r="T907" i="6" s="1"/>
  <c r="T908" i="6" a="1"/>
  <c r="T908" i="6" s="1"/>
  <c r="T909" i="6" a="1"/>
  <c r="T909" i="6" s="1"/>
  <c r="T910" i="6" a="1"/>
  <c r="T910" i="6" s="1"/>
  <c r="T911" i="6" a="1"/>
  <c r="T911" i="6" s="1"/>
  <c r="T912" i="6" a="1"/>
  <c r="T912" i="6" s="1"/>
  <c r="T913" i="6" a="1"/>
  <c r="T913" i="6" s="1"/>
  <c r="T914" i="6" a="1"/>
  <c r="T914" i="6" s="1"/>
  <c r="T915" i="6" a="1"/>
  <c r="T915" i="6" s="1"/>
  <c r="T916" i="6" a="1"/>
  <c r="T916" i="6" s="1"/>
  <c r="T917" i="6" a="1"/>
  <c r="T917" i="6" s="1"/>
  <c r="T918" i="6" a="1"/>
  <c r="T918" i="6" s="1"/>
  <c r="T919" i="6" a="1"/>
  <c r="T919" i="6" s="1"/>
  <c r="T920" i="6" a="1"/>
  <c r="T920" i="6" s="1"/>
  <c r="T921" i="6" a="1"/>
  <c r="T921" i="6" s="1"/>
  <c r="T922" i="6" a="1"/>
  <c r="T922" i="6" s="1"/>
  <c r="T923" i="6" a="1"/>
  <c r="T923" i="6" s="1"/>
  <c r="T924" i="6" a="1"/>
  <c r="T924" i="6" s="1"/>
  <c r="T925" i="6" a="1"/>
  <c r="T925" i="6" s="1"/>
  <c r="T926" i="6" a="1"/>
  <c r="T926" i="6" s="1"/>
  <c r="T927" i="6" a="1"/>
  <c r="T927" i="6" s="1"/>
  <c r="T928" i="6" a="1"/>
  <c r="T928" i="6" s="1"/>
  <c r="T929" i="6" a="1"/>
  <c r="T929" i="6" s="1"/>
  <c r="T930" i="6" a="1"/>
  <c r="T930" i="6" s="1"/>
  <c r="T931" i="6" a="1"/>
  <c r="T931" i="6" s="1"/>
  <c r="T932" i="6" a="1"/>
  <c r="T932" i="6" s="1"/>
  <c r="T933" i="6" a="1"/>
  <c r="T933" i="6" s="1"/>
  <c r="T934" i="6" a="1"/>
  <c r="T934" i="6" s="1"/>
  <c r="T935" i="6" a="1"/>
  <c r="T935" i="6" s="1"/>
  <c r="T936" i="6" a="1"/>
  <c r="T936" i="6" s="1"/>
  <c r="T937" i="6" a="1"/>
  <c r="T937" i="6" s="1"/>
  <c r="T938" i="6" a="1"/>
  <c r="T938" i="6" s="1"/>
  <c r="T939" i="6" a="1"/>
  <c r="T939" i="6" s="1"/>
  <c r="T940" i="6" a="1"/>
  <c r="T940" i="6" s="1"/>
  <c r="T941" i="6" a="1"/>
  <c r="T941" i="6" s="1"/>
  <c r="T942" i="6" a="1"/>
  <c r="T942" i="6" s="1"/>
  <c r="T943" i="6" a="1"/>
  <c r="T943" i="6" s="1"/>
  <c r="T944" i="6" a="1"/>
  <c r="T944" i="6" s="1"/>
  <c r="T945" i="6" a="1"/>
  <c r="T945" i="6" s="1"/>
  <c r="T946" i="6" a="1"/>
  <c r="T946" i="6" s="1"/>
  <c r="T947" i="6" a="1"/>
  <c r="T947" i="6" s="1"/>
  <c r="T948" i="6" a="1"/>
  <c r="T948" i="6" s="1"/>
  <c r="T949" i="6" a="1"/>
  <c r="T949" i="6" s="1"/>
  <c r="T950" i="6" a="1"/>
  <c r="T950" i="6" s="1"/>
  <c r="T951" i="6" a="1"/>
  <c r="T951" i="6" s="1"/>
  <c r="T952" i="6" a="1"/>
  <c r="T952" i="6" s="1"/>
  <c r="T953" i="6" a="1"/>
  <c r="T953" i="6" s="1"/>
  <c r="T954" i="6" a="1"/>
  <c r="T954" i="6" s="1"/>
  <c r="T955" i="6" a="1"/>
  <c r="T955" i="6" s="1"/>
  <c r="T956" i="6" a="1"/>
  <c r="T956" i="6" s="1"/>
  <c r="T957" i="6" a="1"/>
  <c r="T957" i="6" s="1"/>
  <c r="T958" i="6" a="1"/>
  <c r="T958" i="6" s="1"/>
  <c r="T959" i="6" a="1"/>
  <c r="T959" i="6" s="1"/>
  <c r="T960" i="6" a="1"/>
  <c r="T960" i="6" s="1"/>
  <c r="T961" i="6" a="1"/>
  <c r="T961" i="6" s="1"/>
  <c r="T962" i="6" a="1"/>
  <c r="T962" i="6" s="1"/>
  <c r="T963" i="6" a="1"/>
  <c r="T963" i="6" s="1"/>
  <c r="T964" i="6" a="1"/>
  <c r="T964" i="6" s="1"/>
  <c r="T965" i="6" a="1"/>
  <c r="T965" i="6" s="1"/>
  <c r="T966" i="6" a="1"/>
  <c r="T966" i="6" s="1"/>
  <c r="T967" i="6" a="1"/>
  <c r="T967" i="6" s="1"/>
  <c r="T968" i="6" a="1"/>
  <c r="T968" i="6" s="1"/>
  <c r="T969" i="6" a="1"/>
  <c r="T969" i="6" s="1"/>
  <c r="T970" i="6" a="1"/>
  <c r="T970" i="6" s="1"/>
  <c r="T971" i="6" a="1"/>
  <c r="T971" i="6" s="1"/>
  <c r="T972" i="6" a="1"/>
  <c r="T972" i="6" s="1"/>
  <c r="T973" i="6" a="1"/>
  <c r="T973" i="6" s="1"/>
  <c r="T974" i="6" a="1"/>
  <c r="T974" i="6" s="1"/>
  <c r="T975" i="6" a="1"/>
  <c r="T975" i="6" s="1"/>
  <c r="T976" i="6" a="1"/>
  <c r="T976" i="6" s="1"/>
  <c r="T977" i="6" a="1"/>
  <c r="T977" i="6" s="1"/>
  <c r="T978" i="6" a="1"/>
  <c r="T978" i="6" s="1"/>
  <c r="T979" i="6" a="1"/>
  <c r="T979" i="6" s="1"/>
  <c r="T980" i="6" a="1"/>
  <c r="T980" i="6" s="1"/>
  <c r="T981" i="6" a="1"/>
  <c r="T981" i="6" s="1"/>
  <c r="T982" i="6" a="1"/>
  <c r="T982" i="6" s="1"/>
  <c r="T983" i="6" a="1"/>
  <c r="T983" i="6" s="1"/>
  <c r="T984" i="6" a="1"/>
  <c r="T984" i="6" s="1"/>
  <c r="T985" i="6" a="1"/>
  <c r="T985" i="6" s="1"/>
  <c r="T986" i="6" a="1"/>
  <c r="T986" i="6" s="1"/>
  <c r="T987" i="6" a="1"/>
  <c r="T987" i="6" s="1"/>
  <c r="T988" i="6" a="1"/>
  <c r="T988" i="6" s="1"/>
  <c r="T989" i="6" a="1"/>
  <c r="T989" i="6" s="1"/>
  <c r="T990" i="6" a="1"/>
  <c r="T990" i="6" s="1"/>
  <c r="T991" i="6" a="1"/>
  <c r="T991" i="6" s="1"/>
  <c r="T992" i="6" a="1"/>
  <c r="T992" i="6" s="1"/>
  <c r="T993" i="6" a="1"/>
  <c r="T993" i="6" s="1"/>
  <c r="T994" i="6" a="1"/>
  <c r="T994" i="6" s="1"/>
  <c r="T995" i="6" a="1"/>
  <c r="T995" i="6" s="1"/>
  <c r="T996" i="6" a="1"/>
  <c r="T996" i="6" s="1"/>
  <c r="T997" i="6" a="1"/>
  <c r="T997" i="6" s="1"/>
  <c r="T998" i="6" a="1"/>
  <c r="T998" i="6" s="1"/>
  <c r="T999" i="6" a="1"/>
  <c r="T999" i="6" s="1"/>
  <c r="T1000" i="6" a="1"/>
  <c r="T1000" i="6" s="1"/>
  <c r="T1001" i="6" a="1"/>
  <c r="T1001" i="6" s="1"/>
  <c r="T1002" i="6" a="1"/>
  <c r="T1002" i="6" s="1"/>
  <c r="T4" i="6" a="1"/>
  <c r="T4" i="6" s="1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4" i="6"/>
  <c r="M5" i="6" a="1"/>
  <c r="M5" i="6" s="1"/>
  <c r="M6" i="6" a="1"/>
  <c r="M6" i="6" s="1"/>
  <c r="M7" i="6" a="1"/>
  <c r="M7" i="6" s="1"/>
  <c r="M8" i="6" a="1"/>
  <c r="M8" i="6" s="1"/>
  <c r="M9" i="6" a="1"/>
  <c r="M9" i="6" s="1"/>
  <c r="M10" i="6" a="1"/>
  <c r="M10" i="6" s="1"/>
  <c r="M11" i="6" a="1"/>
  <c r="M11" i="6" s="1"/>
  <c r="M12" i="6" a="1"/>
  <c r="M12" i="6" s="1"/>
  <c r="M13" i="6" a="1"/>
  <c r="M13" i="6" s="1"/>
  <c r="M14" i="6" a="1"/>
  <c r="M14" i="6" s="1"/>
  <c r="M15" i="6" a="1"/>
  <c r="M15" i="6" s="1"/>
  <c r="M16" i="6" a="1"/>
  <c r="M16" i="6" s="1"/>
  <c r="M17" i="6" a="1"/>
  <c r="M17" i="6" s="1"/>
  <c r="M18" i="6" a="1"/>
  <c r="M18" i="6" s="1"/>
  <c r="M19" i="6" a="1"/>
  <c r="M19" i="6" s="1"/>
  <c r="M20" i="6" a="1"/>
  <c r="M20" i="6" s="1"/>
  <c r="M21" i="6" a="1"/>
  <c r="M21" i="6" s="1"/>
  <c r="M22" i="6" a="1"/>
  <c r="M22" i="6" s="1"/>
  <c r="M23" i="6" a="1"/>
  <c r="M23" i="6" s="1"/>
  <c r="M24" i="6" a="1"/>
  <c r="M24" i="6" s="1"/>
  <c r="M25" i="6" a="1"/>
  <c r="M25" i="6" s="1"/>
  <c r="M26" i="6" a="1"/>
  <c r="M26" i="6" s="1"/>
  <c r="M27" i="6" a="1"/>
  <c r="M27" i="6" s="1"/>
  <c r="M28" i="6" a="1"/>
  <c r="M28" i="6" s="1"/>
  <c r="M29" i="6" a="1"/>
  <c r="M29" i="6" s="1"/>
  <c r="M30" i="6" a="1"/>
  <c r="M30" i="6" s="1"/>
  <c r="M31" i="6" a="1"/>
  <c r="M31" i="6" s="1"/>
  <c r="M32" i="6" a="1"/>
  <c r="M32" i="6" s="1"/>
  <c r="M33" i="6" a="1"/>
  <c r="M33" i="6" s="1"/>
  <c r="M34" i="6" a="1"/>
  <c r="M34" i="6" s="1"/>
  <c r="M35" i="6" a="1"/>
  <c r="M35" i="6" s="1"/>
  <c r="M36" i="6" a="1"/>
  <c r="M36" i="6" s="1"/>
  <c r="M37" i="6" a="1"/>
  <c r="M37" i="6" s="1"/>
  <c r="M38" i="6" a="1"/>
  <c r="M38" i="6" s="1"/>
  <c r="M39" i="6" a="1"/>
  <c r="M39" i="6" s="1"/>
  <c r="M40" i="6" a="1"/>
  <c r="M40" i="6" s="1"/>
  <c r="M41" i="6" a="1"/>
  <c r="M41" i="6" s="1"/>
  <c r="M42" i="6" a="1"/>
  <c r="M42" i="6" s="1"/>
  <c r="M43" i="6" a="1"/>
  <c r="M43" i="6" s="1"/>
  <c r="M44" i="6" a="1"/>
  <c r="M44" i="6" s="1"/>
  <c r="M45" i="6" a="1"/>
  <c r="M45" i="6" s="1"/>
  <c r="M46" i="6" a="1"/>
  <c r="M46" i="6" s="1"/>
  <c r="M47" i="6" a="1"/>
  <c r="M47" i="6" s="1"/>
  <c r="M48" i="6" a="1"/>
  <c r="M48" i="6" s="1"/>
  <c r="M49" i="6" a="1"/>
  <c r="M49" i="6" s="1"/>
  <c r="M50" i="6" a="1"/>
  <c r="M50" i="6" s="1"/>
  <c r="M51" i="6" a="1"/>
  <c r="M51" i="6" s="1"/>
  <c r="M52" i="6" a="1"/>
  <c r="M52" i="6" s="1"/>
  <c r="M53" i="6" a="1"/>
  <c r="M53" i="6" s="1"/>
  <c r="M54" i="6" a="1"/>
  <c r="M54" i="6" s="1"/>
  <c r="M55" i="6" a="1"/>
  <c r="M55" i="6" s="1"/>
  <c r="M56" i="6" a="1"/>
  <c r="M56" i="6" s="1"/>
  <c r="M57" i="6" a="1"/>
  <c r="M57" i="6" s="1"/>
  <c r="M58" i="6" a="1"/>
  <c r="M58" i="6" s="1"/>
  <c r="M59" i="6" a="1"/>
  <c r="M59" i="6" s="1"/>
  <c r="M60" i="6" a="1"/>
  <c r="M60" i="6" s="1"/>
  <c r="M61" i="6" a="1"/>
  <c r="M61" i="6" s="1"/>
  <c r="M62" i="6" a="1"/>
  <c r="M62" i="6" s="1"/>
  <c r="M63" i="6" a="1"/>
  <c r="M63" i="6" s="1"/>
  <c r="M64" i="6" a="1"/>
  <c r="M64" i="6" s="1"/>
  <c r="M65" i="6" a="1"/>
  <c r="M65" i="6" s="1"/>
  <c r="M66" i="6" a="1"/>
  <c r="M66" i="6" s="1"/>
  <c r="M67" i="6" a="1"/>
  <c r="M67" i="6" s="1"/>
  <c r="M68" i="6" a="1"/>
  <c r="M68" i="6" s="1"/>
  <c r="M69" i="6" a="1"/>
  <c r="M69" i="6" s="1"/>
  <c r="M70" i="6" a="1"/>
  <c r="M70" i="6" s="1"/>
  <c r="M71" i="6" a="1"/>
  <c r="M71" i="6" s="1"/>
  <c r="M72" i="6" a="1"/>
  <c r="M72" i="6" s="1"/>
  <c r="M73" i="6" a="1"/>
  <c r="M73" i="6" s="1"/>
  <c r="M74" i="6" a="1"/>
  <c r="M74" i="6" s="1"/>
  <c r="M75" i="6" a="1"/>
  <c r="M75" i="6" s="1"/>
  <c r="M76" i="6" a="1"/>
  <c r="M76" i="6" s="1"/>
  <c r="M77" i="6" a="1"/>
  <c r="M77" i="6" s="1"/>
  <c r="M78" i="6" a="1"/>
  <c r="M78" i="6" s="1"/>
  <c r="M79" i="6" a="1"/>
  <c r="M79" i="6" s="1"/>
  <c r="M80" i="6" a="1"/>
  <c r="M80" i="6" s="1"/>
  <c r="M81" i="6" a="1"/>
  <c r="M81" i="6" s="1"/>
  <c r="M82" i="6" a="1"/>
  <c r="M82" i="6" s="1"/>
  <c r="M83" i="6" a="1"/>
  <c r="M83" i="6" s="1"/>
  <c r="M84" i="6" a="1"/>
  <c r="M84" i="6" s="1"/>
  <c r="M85" i="6" a="1"/>
  <c r="M85" i="6" s="1"/>
  <c r="M86" i="6" a="1"/>
  <c r="M86" i="6" s="1"/>
  <c r="M87" i="6" a="1"/>
  <c r="M87" i="6" s="1"/>
  <c r="M88" i="6" a="1"/>
  <c r="M88" i="6" s="1"/>
  <c r="M89" i="6" a="1"/>
  <c r="M89" i="6" s="1"/>
  <c r="M90" i="6" a="1"/>
  <c r="M90" i="6" s="1"/>
  <c r="M91" i="6" a="1"/>
  <c r="M91" i="6" s="1"/>
  <c r="M92" i="6" a="1"/>
  <c r="M92" i="6" s="1"/>
  <c r="M93" i="6" a="1"/>
  <c r="M93" i="6" s="1"/>
  <c r="M94" i="6" a="1"/>
  <c r="M94" i="6" s="1"/>
  <c r="M95" i="6" a="1"/>
  <c r="M95" i="6" s="1"/>
  <c r="M96" i="6" a="1"/>
  <c r="M96" i="6" s="1"/>
  <c r="M97" i="6" a="1"/>
  <c r="M97" i="6" s="1"/>
  <c r="M98" i="6" a="1"/>
  <c r="M98" i="6" s="1"/>
  <c r="M99" i="6" a="1"/>
  <c r="M99" i="6" s="1"/>
  <c r="M100" i="6" a="1"/>
  <c r="M100" i="6" s="1"/>
  <c r="M101" i="6" a="1"/>
  <c r="M101" i="6" s="1"/>
  <c r="M102" i="6" a="1"/>
  <c r="M102" i="6" s="1"/>
  <c r="M103" i="6" a="1"/>
  <c r="M103" i="6" s="1"/>
  <c r="M104" i="6" a="1"/>
  <c r="M104" i="6" s="1"/>
  <c r="M105" i="6" a="1"/>
  <c r="M105" i="6" s="1"/>
  <c r="M106" i="6" a="1"/>
  <c r="M106" i="6" s="1"/>
  <c r="M107" i="6" a="1"/>
  <c r="M107" i="6" s="1"/>
  <c r="M108" i="6" a="1"/>
  <c r="M108" i="6" s="1"/>
  <c r="M109" i="6" a="1"/>
  <c r="M109" i="6" s="1"/>
  <c r="M110" i="6" a="1"/>
  <c r="M110" i="6" s="1"/>
  <c r="M111" i="6" a="1"/>
  <c r="M111" i="6" s="1"/>
  <c r="M112" i="6" a="1"/>
  <c r="M112" i="6" s="1"/>
  <c r="M113" i="6" a="1"/>
  <c r="M113" i="6" s="1"/>
  <c r="M114" i="6" a="1"/>
  <c r="M114" i="6" s="1"/>
  <c r="M115" i="6" a="1"/>
  <c r="M115" i="6" s="1"/>
  <c r="M116" i="6" a="1"/>
  <c r="M116" i="6" s="1"/>
  <c r="M117" i="6" a="1"/>
  <c r="M117" i="6" s="1"/>
  <c r="M118" i="6" a="1"/>
  <c r="M118" i="6" s="1"/>
  <c r="M119" i="6" a="1"/>
  <c r="M119" i="6" s="1"/>
  <c r="M120" i="6" a="1"/>
  <c r="M120" i="6" s="1"/>
  <c r="M121" i="6" a="1"/>
  <c r="M121" i="6" s="1"/>
  <c r="M122" i="6" a="1"/>
  <c r="M122" i="6" s="1"/>
  <c r="M123" i="6" a="1"/>
  <c r="M123" i="6" s="1"/>
  <c r="M124" i="6" a="1"/>
  <c r="M124" i="6" s="1"/>
  <c r="M125" i="6" a="1"/>
  <c r="M125" i="6" s="1"/>
  <c r="M126" i="6" a="1"/>
  <c r="M126" i="6" s="1"/>
  <c r="M127" i="6" a="1"/>
  <c r="M127" i="6" s="1"/>
  <c r="M128" i="6" a="1"/>
  <c r="M128" i="6" s="1"/>
  <c r="M129" i="6" a="1"/>
  <c r="M129" i="6" s="1"/>
  <c r="M130" i="6" a="1"/>
  <c r="M130" i="6" s="1"/>
  <c r="M131" i="6" a="1"/>
  <c r="M131" i="6" s="1"/>
  <c r="M132" i="6" a="1"/>
  <c r="M132" i="6" s="1"/>
  <c r="M133" i="6" a="1"/>
  <c r="M133" i="6" s="1"/>
  <c r="M134" i="6" a="1"/>
  <c r="M134" i="6" s="1"/>
  <c r="M135" i="6" a="1"/>
  <c r="M135" i="6" s="1"/>
  <c r="M136" i="6" a="1"/>
  <c r="M136" i="6" s="1"/>
  <c r="M137" i="6" a="1"/>
  <c r="M137" i="6" s="1"/>
  <c r="M138" i="6" a="1"/>
  <c r="M138" i="6" s="1"/>
  <c r="M139" i="6" a="1"/>
  <c r="M139" i="6" s="1"/>
  <c r="M140" i="6" a="1"/>
  <c r="M140" i="6" s="1"/>
  <c r="M141" i="6" a="1"/>
  <c r="M141" i="6" s="1"/>
  <c r="M142" i="6" a="1"/>
  <c r="M142" i="6" s="1"/>
  <c r="M143" i="6" a="1"/>
  <c r="M143" i="6" s="1"/>
  <c r="M144" i="6" a="1"/>
  <c r="M144" i="6" s="1"/>
  <c r="M145" i="6" a="1"/>
  <c r="M145" i="6" s="1"/>
  <c r="M146" i="6" a="1"/>
  <c r="M146" i="6" s="1"/>
  <c r="M147" i="6" a="1"/>
  <c r="M147" i="6" s="1"/>
  <c r="M148" i="6" a="1"/>
  <c r="M148" i="6" s="1"/>
  <c r="M149" i="6" a="1"/>
  <c r="M149" i="6" s="1"/>
  <c r="M150" i="6" a="1"/>
  <c r="M150" i="6" s="1"/>
  <c r="M151" i="6" a="1"/>
  <c r="M151" i="6" s="1"/>
  <c r="M152" i="6" a="1"/>
  <c r="M152" i="6" s="1"/>
  <c r="M153" i="6" a="1"/>
  <c r="M153" i="6" s="1"/>
  <c r="M154" i="6" a="1"/>
  <c r="M154" i="6" s="1"/>
  <c r="M155" i="6" a="1"/>
  <c r="M155" i="6" s="1"/>
  <c r="M156" i="6" a="1"/>
  <c r="M156" i="6" s="1"/>
  <c r="M157" i="6" a="1"/>
  <c r="M157" i="6" s="1"/>
  <c r="M158" i="6" a="1"/>
  <c r="M158" i="6" s="1"/>
  <c r="M159" i="6" a="1"/>
  <c r="M159" i="6" s="1"/>
  <c r="M160" i="6" a="1"/>
  <c r="M160" i="6" s="1"/>
  <c r="M161" i="6" a="1"/>
  <c r="M161" i="6" s="1"/>
  <c r="M162" i="6" a="1"/>
  <c r="M162" i="6" s="1"/>
  <c r="M163" i="6" a="1"/>
  <c r="M163" i="6" s="1"/>
  <c r="M164" i="6" a="1"/>
  <c r="M164" i="6" s="1"/>
  <c r="M165" i="6" a="1"/>
  <c r="M165" i="6" s="1"/>
  <c r="M166" i="6" a="1"/>
  <c r="M166" i="6" s="1"/>
  <c r="M167" i="6" a="1"/>
  <c r="M167" i="6" s="1"/>
  <c r="M168" i="6" a="1"/>
  <c r="M168" i="6" s="1"/>
  <c r="M169" i="6" a="1"/>
  <c r="M169" i="6" s="1"/>
  <c r="M170" i="6" a="1"/>
  <c r="M170" i="6" s="1"/>
  <c r="M171" i="6" a="1"/>
  <c r="M171" i="6" s="1"/>
  <c r="M172" i="6" a="1"/>
  <c r="M172" i="6" s="1"/>
  <c r="M173" i="6" a="1"/>
  <c r="M173" i="6" s="1"/>
  <c r="M174" i="6" a="1"/>
  <c r="M174" i="6" s="1"/>
  <c r="M175" i="6" a="1"/>
  <c r="M175" i="6" s="1"/>
  <c r="M176" i="6" a="1"/>
  <c r="M176" i="6" s="1"/>
  <c r="M177" i="6" a="1"/>
  <c r="M177" i="6" s="1"/>
  <c r="M178" i="6" a="1"/>
  <c r="M178" i="6" s="1"/>
  <c r="M179" i="6" a="1"/>
  <c r="M179" i="6" s="1"/>
  <c r="M180" i="6" a="1"/>
  <c r="M180" i="6" s="1"/>
  <c r="M181" i="6" a="1"/>
  <c r="M181" i="6" s="1"/>
  <c r="M182" i="6" a="1"/>
  <c r="M182" i="6" s="1"/>
  <c r="M183" i="6" a="1"/>
  <c r="M183" i="6" s="1"/>
  <c r="M184" i="6" a="1"/>
  <c r="M184" i="6" s="1"/>
  <c r="M185" i="6" a="1"/>
  <c r="M185" i="6" s="1"/>
  <c r="M186" i="6" a="1"/>
  <c r="M186" i="6" s="1"/>
  <c r="M187" i="6" a="1"/>
  <c r="M187" i="6" s="1"/>
  <c r="M188" i="6" a="1"/>
  <c r="M188" i="6" s="1"/>
  <c r="M189" i="6" a="1"/>
  <c r="M189" i="6" s="1"/>
  <c r="M190" i="6" a="1"/>
  <c r="M190" i="6" s="1"/>
  <c r="M191" i="6" a="1"/>
  <c r="M191" i="6" s="1"/>
  <c r="M192" i="6" a="1"/>
  <c r="M192" i="6" s="1"/>
  <c r="M193" i="6" a="1"/>
  <c r="M193" i="6" s="1"/>
  <c r="M194" i="6" a="1"/>
  <c r="M194" i="6" s="1"/>
  <c r="M195" i="6" a="1"/>
  <c r="M195" i="6" s="1"/>
  <c r="M196" i="6" a="1"/>
  <c r="M196" i="6" s="1"/>
  <c r="M197" i="6" a="1"/>
  <c r="M197" i="6" s="1"/>
  <c r="M198" i="6" a="1"/>
  <c r="M198" i="6" s="1"/>
  <c r="M199" i="6" a="1"/>
  <c r="M199" i="6" s="1"/>
  <c r="M200" i="6" a="1"/>
  <c r="M200" i="6" s="1"/>
  <c r="M201" i="6" a="1"/>
  <c r="M201" i="6" s="1"/>
  <c r="M202" i="6" a="1"/>
  <c r="M202" i="6" s="1"/>
  <c r="M203" i="6" a="1"/>
  <c r="M203" i="6" s="1"/>
  <c r="M204" i="6" a="1"/>
  <c r="M204" i="6" s="1"/>
  <c r="M205" i="6" a="1"/>
  <c r="M205" i="6" s="1"/>
  <c r="M206" i="6" a="1"/>
  <c r="M206" i="6" s="1"/>
  <c r="M207" i="6" a="1"/>
  <c r="M207" i="6" s="1"/>
  <c r="M208" i="6" a="1"/>
  <c r="M208" i="6" s="1"/>
  <c r="M209" i="6" a="1"/>
  <c r="M209" i="6" s="1"/>
  <c r="M210" i="6" a="1"/>
  <c r="M210" i="6" s="1"/>
  <c r="M211" i="6" a="1"/>
  <c r="M211" i="6" s="1"/>
  <c r="M212" i="6" a="1"/>
  <c r="M212" i="6" s="1"/>
  <c r="M213" i="6" a="1"/>
  <c r="M213" i="6" s="1"/>
  <c r="M214" i="6" a="1"/>
  <c r="M214" i="6" s="1"/>
  <c r="M215" i="6" a="1"/>
  <c r="M215" i="6" s="1"/>
  <c r="M216" i="6" a="1"/>
  <c r="M216" i="6" s="1"/>
  <c r="M217" i="6" a="1"/>
  <c r="M217" i="6" s="1"/>
  <c r="M218" i="6" a="1"/>
  <c r="M218" i="6" s="1"/>
  <c r="M219" i="6" a="1"/>
  <c r="M219" i="6" s="1"/>
  <c r="M220" i="6" a="1"/>
  <c r="M220" i="6" s="1"/>
  <c r="M221" i="6" a="1"/>
  <c r="M221" i="6" s="1"/>
  <c r="M222" i="6" a="1"/>
  <c r="M222" i="6" s="1"/>
  <c r="M223" i="6" a="1"/>
  <c r="M223" i="6" s="1"/>
  <c r="M224" i="6" a="1"/>
  <c r="M224" i="6" s="1"/>
  <c r="M225" i="6" a="1"/>
  <c r="M225" i="6" s="1"/>
  <c r="M226" i="6" a="1"/>
  <c r="M226" i="6" s="1"/>
  <c r="M227" i="6" a="1"/>
  <c r="M227" i="6" s="1"/>
  <c r="M228" i="6" a="1"/>
  <c r="M228" i="6" s="1"/>
  <c r="M229" i="6" a="1"/>
  <c r="M229" i="6" s="1"/>
  <c r="M230" i="6" a="1"/>
  <c r="M230" i="6" s="1"/>
  <c r="M231" i="6" a="1"/>
  <c r="M231" i="6" s="1"/>
  <c r="M232" i="6" a="1"/>
  <c r="M232" i="6" s="1"/>
  <c r="M233" i="6" a="1"/>
  <c r="M233" i="6" s="1"/>
  <c r="M234" i="6" a="1"/>
  <c r="M234" i="6" s="1"/>
  <c r="M235" i="6" a="1"/>
  <c r="M235" i="6" s="1"/>
  <c r="M236" i="6" a="1"/>
  <c r="M236" i="6" s="1"/>
  <c r="M237" i="6" a="1"/>
  <c r="M237" i="6" s="1"/>
  <c r="M238" i="6" a="1"/>
  <c r="M238" i="6" s="1"/>
  <c r="M239" i="6" a="1"/>
  <c r="M239" i="6" s="1"/>
  <c r="M240" i="6" a="1"/>
  <c r="M240" i="6" s="1"/>
  <c r="M241" i="6" a="1"/>
  <c r="M241" i="6" s="1"/>
  <c r="M242" i="6" a="1"/>
  <c r="M242" i="6" s="1"/>
  <c r="M243" i="6" a="1"/>
  <c r="M243" i="6" s="1"/>
  <c r="M244" i="6" a="1"/>
  <c r="M244" i="6" s="1"/>
  <c r="M245" i="6" a="1"/>
  <c r="M245" i="6" s="1"/>
  <c r="M246" i="6" a="1"/>
  <c r="M246" i="6" s="1"/>
  <c r="M247" i="6" a="1"/>
  <c r="M247" i="6" s="1"/>
  <c r="M248" i="6" a="1"/>
  <c r="M248" i="6" s="1"/>
  <c r="M249" i="6" a="1"/>
  <c r="M249" i="6" s="1"/>
  <c r="M250" i="6" a="1"/>
  <c r="M250" i="6" s="1"/>
  <c r="M251" i="6" a="1"/>
  <c r="M251" i="6" s="1"/>
  <c r="M252" i="6" a="1"/>
  <c r="M252" i="6" s="1"/>
  <c r="M253" i="6" a="1"/>
  <c r="M253" i="6" s="1"/>
  <c r="M254" i="6" a="1"/>
  <c r="M254" i="6" s="1"/>
  <c r="M255" i="6" a="1"/>
  <c r="M255" i="6" s="1"/>
  <c r="M256" i="6" a="1"/>
  <c r="M256" i="6" s="1"/>
  <c r="M257" i="6" a="1"/>
  <c r="M257" i="6" s="1"/>
  <c r="M258" i="6" a="1"/>
  <c r="M258" i="6" s="1"/>
  <c r="M259" i="6" a="1"/>
  <c r="M259" i="6" s="1"/>
  <c r="M260" i="6" a="1"/>
  <c r="M260" i="6" s="1"/>
  <c r="M261" i="6" a="1"/>
  <c r="M261" i="6" s="1"/>
  <c r="M262" i="6" a="1"/>
  <c r="M262" i="6" s="1"/>
  <c r="M263" i="6" a="1"/>
  <c r="M263" i="6" s="1"/>
  <c r="M264" i="6" a="1"/>
  <c r="M264" i="6" s="1"/>
  <c r="M265" i="6" a="1"/>
  <c r="M265" i="6" s="1"/>
  <c r="M266" i="6" a="1"/>
  <c r="M266" i="6" s="1"/>
  <c r="M267" i="6" a="1"/>
  <c r="M267" i="6" s="1"/>
  <c r="M268" i="6" a="1"/>
  <c r="M268" i="6" s="1"/>
  <c r="M269" i="6" a="1"/>
  <c r="M269" i="6" s="1"/>
  <c r="M270" i="6" a="1"/>
  <c r="M270" i="6" s="1"/>
  <c r="M271" i="6" a="1"/>
  <c r="M271" i="6" s="1"/>
  <c r="M272" i="6" a="1"/>
  <c r="M272" i="6" s="1"/>
  <c r="M273" i="6" a="1"/>
  <c r="M273" i="6" s="1"/>
  <c r="M274" i="6" a="1"/>
  <c r="M274" i="6" s="1"/>
  <c r="M275" i="6" a="1"/>
  <c r="M275" i="6" s="1"/>
  <c r="M276" i="6" a="1"/>
  <c r="M276" i="6" s="1"/>
  <c r="M277" i="6" a="1"/>
  <c r="M277" i="6" s="1"/>
  <c r="M278" i="6" a="1"/>
  <c r="M278" i="6" s="1"/>
  <c r="M279" i="6" a="1"/>
  <c r="M279" i="6" s="1"/>
  <c r="M280" i="6" a="1"/>
  <c r="M280" i="6" s="1"/>
  <c r="M281" i="6" a="1"/>
  <c r="M281" i="6" s="1"/>
  <c r="M282" i="6" a="1"/>
  <c r="M282" i="6" s="1"/>
  <c r="M283" i="6" a="1"/>
  <c r="M283" i="6" s="1"/>
  <c r="M284" i="6" a="1"/>
  <c r="M284" i="6" s="1"/>
  <c r="M285" i="6" a="1"/>
  <c r="M285" i="6" s="1"/>
  <c r="M286" i="6" a="1"/>
  <c r="M286" i="6" s="1"/>
  <c r="M287" i="6" a="1"/>
  <c r="M287" i="6" s="1"/>
  <c r="M288" i="6" a="1"/>
  <c r="M288" i="6" s="1"/>
  <c r="M289" i="6" a="1"/>
  <c r="M289" i="6" s="1"/>
  <c r="M290" i="6" a="1"/>
  <c r="M290" i="6" s="1"/>
  <c r="M291" i="6" a="1"/>
  <c r="M291" i="6" s="1"/>
  <c r="M292" i="6" a="1"/>
  <c r="M292" i="6" s="1"/>
  <c r="M293" i="6" a="1"/>
  <c r="M293" i="6" s="1"/>
  <c r="M294" i="6" a="1"/>
  <c r="M294" i="6" s="1"/>
  <c r="M295" i="6" a="1"/>
  <c r="M295" i="6" s="1"/>
  <c r="M296" i="6" a="1"/>
  <c r="M296" i="6" s="1"/>
  <c r="M297" i="6" a="1"/>
  <c r="M297" i="6" s="1"/>
  <c r="M298" i="6" a="1"/>
  <c r="M298" i="6" s="1"/>
  <c r="M299" i="6" a="1"/>
  <c r="M299" i="6" s="1"/>
  <c r="M300" i="6" a="1"/>
  <c r="M300" i="6" s="1"/>
  <c r="M301" i="6" a="1"/>
  <c r="M301" i="6" s="1"/>
  <c r="M302" i="6" a="1"/>
  <c r="M302" i="6" s="1"/>
  <c r="M303" i="6" a="1"/>
  <c r="M303" i="6" s="1"/>
  <c r="M304" i="6" a="1"/>
  <c r="M304" i="6" s="1"/>
  <c r="M305" i="6" a="1"/>
  <c r="M305" i="6" s="1"/>
  <c r="M306" i="6" a="1"/>
  <c r="M306" i="6" s="1"/>
  <c r="M307" i="6" a="1"/>
  <c r="M307" i="6" s="1"/>
  <c r="M308" i="6" a="1"/>
  <c r="M308" i="6" s="1"/>
  <c r="M309" i="6" a="1"/>
  <c r="M309" i="6" s="1"/>
  <c r="M310" i="6" a="1"/>
  <c r="M310" i="6" s="1"/>
  <c r="M311" i="6" a="1"/>
  <c r="M311" i="6" s="1"/>
  <c r="M312" i="6" a="1"/>
  <c r="M312" i="6" s="1"/>
  <c r="M313" i="6" a="1"/>
  <c r="M313" i="6" s="1"/>
  <c r="M314" i="6" a="1"/>
  <c r="M314" i="6" s="1"/>
  <c r="M315" i="6" a="1"/>
  <c r="M315" i="6" s="1"/>
  <c r="M316" i="6" a="1"/>
  <c r="M316" i="6" s="1"/>
  <c r="M317" i="6" a="1"/>
  <c r="M317" i="6" s="1"/>
  <c r="M318" i="6" a="1"/>
  <c r="M318" i="6" s="1"/>
  <c r="M319" i="6" a="1"/>
  <c r="M319" i="6" s="1"/>
  <c r="M320" i="6" a="1"/>
  <c r="M320" i="6" s="1"/>
  <c r="M321" i="6" a="1"/>
  <c r="M321" i="6" s="1"/>
  <c r="M322" i="6" a="1"/>
  <c r="M322" i="6" s="1"/>
  <c r="M323" i="6" a="1"/>
  <c r="M323" i="6" s="1"/>
  <c r="M324" i="6" a="1"/>
  <c r="M324" i="6" s="1"/>
  <c r="M325" i="6" a="1"/>
  <c r="M325" i="6" s="1"/>
  <c r="M326" i="6" a="1"/>
  <c r="M326" i="6" s="1"/>
  <c r="M327" i="6" a="1"/>
  <c r="M327" i="6" s="1"/>
  <c r="M328" i="6" a="1"/>
  <c r="M328" i="6" s="1"/>
  <c r="M329" i="6" a="1"/>
  <c r="M329" i="6" s="1"/>
  <c r="M330" i="6" a="1"/>
  <c r="M330" i="6" s="1"/>
  <c r="M331" i="6" a="1"/>
  <c r="M331" i="6" s="1"/>
  <c r="M332" i="6" a="1"/>
  <c r="M332" i="6" s="1"/>
  <c r="M333" i="6" a="1"/>
  <c r="M333" i="6" s="1"/>
  <c r="M334" i="6" a="1"/>
  <c r="M334" i="6" s="1"/>
  <c r="M335" i="6" a="1"/>
  <c r="M335" i="6" s="1"/>
  <c r="M336" i="6" a="1"/>
  <c r="M336" i="6" s="1"/>
  <c r="M337" i="6" a="1"/>
  <c r="M337" i="6" s="1"/>
  <c r="M338" i="6" a="1"/>
  <c r="M338" i="6" s="1"/>
  <c r="M339" i="6" a="1"/>
  <c r="M339" i="6" s="1"/>
  <c r="M340" i="6" a="1"/>
  <c r="M340" i="6" s="1"/>
  <c r="M341" i="6" a="1"/>
  <c r="M341" i="6" s="1"/>
  <c r="M342" i="6" a="1"/>
  <c r="M342" i="6" s="1"/>
  <c r="M343" i="6" a="1"/>
  <c r="M343" i="6" s="1"/>
  <c r="M344" i="6" a="1"/>
  <c r="M344" i="6" s="1"/>
  <c r="M345" i="6" a="1"/>
  <c r="M345" i="6" s="1"/>
  <c r="M346" i="6" a="1"/>
  <c r="M346" i="6" s="1"/>
  <c r="M347" i="6" a="1"/>
  <c r="M347" i="6" s="1"/>
  <c r="M348" i="6" a="1"/>
  <c r="M348" i="6" s="1"/>
  <c r="M349" i="6" a="1"/>
  <c r="M349" i="6" s="1"/>
  <c r="M350" i="6" a="1"/>
  <c r="M350" i="6" s="1"/>
  <c r="M351" i="6" a="1"/>
  <c r="M351" i="6" s="1"/>
  <c r="M352" i="6" a="1"/>
  <c r="M352" i="6" s="1"/>
  <c r="M353" i="6" a="1"/>
  <c r="M353" i="6" s="1"/>
  <c r="M354" i="6" a="1"/>
  <c r="M354" i="6" s="1"/>
  <c r="M355" i="6" a="1"/>
  <c r="M355" i="6" s="1"/>
  <c r="M356" i="6" a="1"/>
  <c r="M356" i="6" s="1"/>
  <c r="M357" i="6" a="1"/>
  <c r="M357" i="6" s="1"/>
  <c r="M358" i="6" a="1"/>
  <c r="M358" i="6" s="1"/>
  <c r="M359" i="6" a="1"/>
  <c r="M359" i="6" s="1"/>
  <c r="M360" i="6" a="1"/>
  <c r="M360" i="6" s="1"/>
  <c r="M361" i="6" a="1"/>
  <c r="M361" i="6" s="1"/>
  <c r="M362" i="6" a="1"/>
  <c r="M362" i="6" s="1"/>
  <c r="M363" i="6" a="1"/>
  <c r="M363" i="6" s="1"/>
  <c r="M364" i="6" a="1"/>
  <c r="M364" i="6" s="1"/>
  <c r="M365" i="6" a="1"/>
  <c r="M365" i="6" s="1"/>
  <c r="M366" i="6" a="1"/>
  <c r="M366" i="6" s="1"/>
  <c r="M367" i="6" a="1"/>
  <c r="M367" i="6" s="1"/>
  <c r="M368" i="6" a="1"/>
  <c r="M368" i="6" s="1"/>
  <c r="M369" i="6" a="1"/>
  <c r="M369" i="6" s="1"/>
  <c r="M370" i="6" a="1"/>
  <c r="M370" i="6" s="1"/>
  <c r="M371" i="6" a="1"/>
  <c r="M371" i="6" s="1"/>
  <c r="M372" i="6" a="1"/>
  <c r="M372" i="6" s="1"/>
  <c r="M373" i="6" a="1"/>
  <c r="M373" i="6" s="1"/>
  <c r="M374" i="6" a="1"/>
  <c r="M374" i="6" s="1"/>
  <c r="M375" i="6" a="1"/>
  <c r="M375" i="6" s="1"/>
  <c r="M376" i="6" a="1"/>
  <c r="M376" i="6" s="1"/>
  <c r="M377" i="6" a="1"/>
  <c r="M377" i="6" s="1"/>
  <c r="M378" i="6" a="1"/>
  <c r="M378" i="6" s="1"/>
  <c r="M379" i="6" a="1"/>
  <c r="M379" i="6" s="1"/>
  <c r="M380" i="6" a="1"/>
  <c r="M380" i="6" s="1"/>
  <c r="M381" i="6" a="1"/>
  <c r="M381" i="6" s="1"/>
  <c r="M382" i="6" a="1"/>
  <c r="M382" i="6" s="1"/>
  <c r="M383" i="6" a="1"/>
  <c r="M383" i="6" s="1"/>
  <c r="M384" i="6" a="1"/>
  <c r="M384" i="6" s="1"/>
  <c r="M385" i="6" a="1"/>
  <c r="M385" i="6" s="1"/>
  <c r="M386" i="6" a="1"/>
  <c r="M386" i="6" s="1"/>
  <c r="M387" i="6" a="1"/>
  <c r="M387" i="6" s="1"/>
  <c r="M388" i="6" a="1"/>
  <c r="M388" i="6" s="1"/>
  <c r="M389" i="6" a="1"/>
  <c r="M389" i="6" s="1"/>
  <c r="M390" i="6" a="1"/>
  <c r="M390" i="6" s="1"/>
  <c r="M391" i="6" a="1"/>
  <c r="M391" i="6" s="1"/>
  <c r="M392" i="6" a="1"/>
  <c r="M392" i="6" s="1"/>
  <c r="M393" i="6" a="1"/>
  <c r="M393" i="6" s="1"/>
  <c r="M394" i="6" a="1"/>
  <c r="M394" i="6" s="1"/>
  <c r="M395" i="6" a="1"/>
  <c r="M395" i="6" s="1"/>
  <c r="M396" i="6" a="1"/>
  <c r="M396" i="6" s="1"/>
  <c r="M397" i="6" a="1"/>
  <c r="M397" i="6" s="1"/>
  <c r="M398" i="6" a="1"/>
  <c r="M398" i="6" s="1"/>
  <c r="M399" i="6" a="1"/>
  <c r="M399" i="6" s="1"/>
  <c r="M400" i="6" a="1"/>
  <c r="M400" i="6" s="1"/>
  <c r="M401" i="6" a="1"/>
  <c r="M401" i="6" s="1"/>
  <c r="M402" i="6" a="1"/>
  <c r="M402" i="6" s="1"/>
  <c r="M403" i="6" a="1"/>
  <c r="M403" i="6" s="1"/>
  <c r="M404" i="6" a="1"/>
  <c r="M404" i="6" s="1"/>
  <c r="M405" i="6" a="1"/>
  <c r="M405" i="6" s="1"/>
  <c r="M406" i="6" a="1"/>
  <c r="M406" i="6" s="1"/>
  <c r="M407" i="6" a="1"/>
  <c r="M407" i="6" s="1"/>
  <c r="M408" i="6" a="1"/>
  <c r="M408" i="6" s="1"/>
  <c r="M409" i="6" a="1"/>
  <c r="M409" i="6" s="1"/>
  <c r="M410" i="6" a="1"/>
  <c r="M410" i="6" s="1"/>
  <c r="M411" i="6" a="1"/>
  <c r="M411" i="6" s="1"/>
  <c r="M412" i="6" a="1"/>
  <c r="M412" i="6" s="1"/>
  <c r="M413" i="6" a="1"/>
  <c r="M413" i="6" s="1"/>
  <c r="M414" i="6" a="1"/>
  <c r="M414" i="6" s="1"/>
  <c r="M415" i="6" a="1"/>
  <c r="M415" i="6" s="1"/>
  <c r="M416" i="6" a="1"/>
  <c r="M416" i="6" s="1"/>
  <c r="M417" i="6" a="1"/>
  <c r="M417" i="6" s="1"/>
  <c r="M418" i="6" a="1"/>
  <c r="M418" i="6" s="1"/>
  <c r="M419" i="6" a="1"/>
  <c r="M419" i="6" s="1"/>
  <c r="M420" i="6" a="1"/>
  <c r="M420" i="6" s="1"/>
  <c r="M421" i="6" a="1"/>
  <c r="M421" i="6" s="1"/>
  <c r="M422" i="6" a="1"/>
  <c r="M422" i="6" s="1"/>
  <c r="M423" i="6" a="1"/>
  <c r="M423" i="6" s="1"/>
  <c r="M424" i="6" a="1"/>
  <c r="M424" i="6" s="1"/>
  <c r="M425" i="6" a="1"/>
  <c r="M425" i="6" s="1"/>
  <c r="M426" i="6" a="1"/>
  <c r="M426" i="6" s="1"/>
  <c r="M427" i="6" a="1"/>
  <c r="M427" i="6" s="1"/>
  <c r="M428" i="6" a="1"/>
  <c r="M428" i="6" s="1"/>
  <c r="M429" i="6" a="1"/>
  <c r="M429" i="6" s="1"/>
  <c r="M430" i="6" a="1"/>
  <c r="M430" i="6" s="1"/>
  <c r="M431" i="6" a="1"/>
  <c r="M431" i="6" s="1"/>
  <c r="M432" i="6" a="1"/>
  <c r="M432" i="6" s="1"/>
  <c r="M433" i="6" a="1"/>
  <c r="M433" i="6" s="1"/>
  <c r="M434" i="6" a="1"/>
  <c r="M434" i="6" s="1"/>
  <c r="M435" i="6" a="1"/>
  <c r="M435" i="6" s="1"/>
  <c r="M436" i="6" a="1"/>
  <c r="M436" i="6" s="1"/>
  <c r="M437" i="6" a="1"/>
  <c r="M437" i="6" s="1"/>
  <c r="M438" i="6" a="1"/>
  <c r="M438" i="6" s="1"/>
  <c r="M439" i="6" a="1"/>
  <c r="M439" i="6" s="1"/>
  <c r="M440" i="6" a="1"/>
  <c r="M440" i="6" s="1"/>
  <c r="M441" i="6" a="1"/>
  <c r="M441" i="6" s="1"/>
  <c r="M442" i="6" a="1"/>
  <c r="M442" i="6" s="1"/>
  <c r="M443" i="6" a="1"/>
  <c r="M443" i="6" s="1"/>
  <c r="M444" i="6" a="1"/>
  <c r="M444" i="6" s="1"/>
  <c r="M445" i="6" a="1"/>
  <c r="M445" i="6" s="1"/>
  <c r="M446" i="6" a="1"/>
  <c r="M446" i="6" s="1"/>
  <c r="M447" i="6" a="1"/>
  <c r="M447" i="6" s="1"/>
  <c r="M448" i="6" a="1"/>
  <c r="M448" i="6" s="1"/>
  <c r="M449" i="6" a="1"/>
  <c r="M449" i="6" s="1"/>
  <c r="M450" i="6" a="1"/>
  <c r="M450" i="6" s="1"/>
  <c r="M451" i="6" a="1"/>
  <c r="M451" i="6" s="1"/>
  <c r="M452" i="6" a="1"/>
  <c r="M452" i="6" s="1"/>
  <c r="M453" i="6" a="1"/>
  <c r="M453" i="6" s="1"/>
  <c r="M454" i="6" a="1"/>
  <c r="M454" i="6" s="1"/>
  <c r="M455" i="6" a="1"/>
  <c r="M455" i="6" s="1"/>
  <c r="M456" i="6" a="1"/>
  <c r="M456" i="6" s="1"/>
  <c r="M457" i="6" a="1"/>
  <c r="M457" i="6" s="1"/>
  <c r="M458" i="6" a="1"/>
  <c r="M458" i="6" s="1"/>
  <c r="M459" i="6" a="1"/>
  <c r="M459" i="6" s="1"/>
  <c r="M460" i="6" a="1"/>
  <c r="M460" i="6" s="1"/>
  <c r="M461" i="6" a="1"/>
  <c r="M461" i="6" s="1"/>
  <c r="M462" i="6" a="1"/>
  <c r="M462" i="6" s="1"/>
  <c r="M463" i="6" a="1"/>
  <c r="M463" i="6" s="1"/>
  <c r="M464" i="6" a="1"/>
  <c r="M464" i="6" s="1"/>
  <c r="M465" i="6" a="1"/>
  <c r="M465" i="6" s="1"/>
  <c r="M466" i="6" a="1"/>
  <c r="M466" i="6" s="1"/>
  <c r="M467" i="6" a="1"/>
  <c r="M467" i="6" s="1"/>
  <c r="M468" i="6" a="1"/>
  <c r="M468" i="6" s="1"/>
  <c r="M469" i="6" a="1"/>
  <c r="M469" i="6" s="1"/>
  <c r="M470" i="6" a="1"/>
  <c r="M470" i="6" s="1"/>
  <c r="M471" i="6" a="1"/>
  <c r="M471" i="6" s="1"/>
  <c r="M472" i="6" a="1"/>
  <c r="M472" i="6" s="1"/>
  <c r="M473" i="6" a="1"/>
  <c r="M473" i="6" s="1"/>
  <c r="M474" i="6" a="1"/>
  <c r="M474" i="6" s="1"/>
  <c r="M475" i="6" a="1"/>
  <c r="M475" i="6" s="1"/>
  <c r="M476" i="6" a="1"/>
  <c r="M476" i="6" s="1"/>
  <c r="M477" i="6" a="1"/>
  <c r="M477" i="6" s="1"/>
  <c r="M478" i="6" a="1"/>
  <c r="M478" i="6" s="1"/>
  <c r="M479" i="6" a="1"/>
  <c r="M479" i="6" s="1"/>
  <c r="M480" i="6" a="1"/>
  <c r="M480" i="6" s="1"/>
  <c r="M481" i="6" a="1"/>
  <c r="M481" i="6" s="1"/>
  <c r="M482" i="6" a="1"/>
  <c r="M482" i="6" s="1"/>
  <c r="M483" i="6" a="1"/>
  <c r="M483" i="6" s="1"/>
  <c r="M484" i="6" a="1"/>
  <c r="M484" i="6" s="1"/>
  <c r="M485" i="6" a="1"/>
  <c r="M485" i="6" s="1"/>
  <c r="M486" i="6" a="1"/>
  <c r="M486" i="6" s="1"/>
  <c r="M487" i="6" a="1"/>
  <c r="M487" i="6" s="1"/>
  <c r="M488" i="6" a="1"/>
  <c r="M488" i="6" s="1"/>
  <c r="M489" i="6" a="1"/>
  <c r="M489" i="6" s="1"/>
  <c r="M490" i="6" a="1"/>
  <c r="M490" i="6" s="1"/>
  <c r="M491" i="6" a="1"/>
  <c r="M491" i="6" s="1"/>
  <c r="M492" i="6" a="1"/>
  <c r="M492" i="6" s="1"/>
  <c r="M493" i="6" a="1"/>
  <c r="M493" i="6" s="1"/>
  <c r="M494" i="6" a="1"/>
  <c r="M494" i="6" s="1"/>
  <c r="M495" i="6" a="1"/>
  <c r="M495" i="6" s="1"/>
  <c r="M496" i="6" a="1"/>
  <c r="M496" i="6" s="1"/>
  <c r="M497" i="6" a="1"/>
  <c r="M497" i="6" s="1"/>
  <c r="M498" i="6" a="1"/>
  <c r="M498" i="6" s="1"/>
  <c r="M499" i="6" a="1"/>
  <c r="M499" i="6" s="1"/>
  <c r="M500" i="6" a="1"/>
  <c r="M500" i="6" s="1"/>
  <c r="M501" i="6" a="1"/>
  <c r="M501" i="6" s="1"/>
  <c r="M502" i="6" a="1"/>
  <c r="M502" i="6" s="1"/>
  <c r="M503" i="6" a="1"/>
  <c r="M503" i="6" s="1"/>
  <c r="M504" i="6" a="1"/>
  <c r="M504" i="6" s="1"/>
  <c r="M505" i="6" a="1"/>
  <c r="M505" i="6" s="1"/>
  <c r="M506" i="6" a="1"/>
  <c r="M506" i="6" s="1"/>
  <c r="M507" i="6" a="1"/>
  <c r="M507" i="6" s="1"/>
  <c r="M508" i="6" a="1"/>
  <c r="M508" i="6" s="1"/>
  <c r="M509" i="6" a="1"/>
  <c r="M509" i="6" s="1"/>
  <c r="M510" i="6" a="1"/>
  <c r="M510" i="6" s="1"/>
  <c r="M511" i="6" a="1"/>
  <c r="M511" i="6" s="1"/>
  <c r="M512" i="6" a="1"/>
  <c r="M512" i="6" s="1"/>
  <c r="M513" i="6" a="1"/>
  <c r="M513" i="6" s="1"/>
  <c r="M514" i="6" a="1"/>
  <c r="M514" i="6" s="1"/>
  <c r="M515" i="6" a="1"/>
  <c r="M515" i="6" s="1"/>
  <c r="M516" i="6" a="1"/>
  <c r="M516" i="6" s="1"/>
  <c r="M517" i="6" a="1"/>
  <c r="M517" i="6" s="1"/>
  <c r="M518" i="6" a="1"/>
  <c r="M518" i="6" s="1"/>
  <c r="M519" i="6" a="1"/>
  <c r="M519" i="6" s="1"/>
  <c r="M520" i="6" a="1"/>
  <c r="M520" i="6" s="1"/>
  <c r="M521" i="6" a="1"/>
  <c r="M521" i="6" s="1"/>
  <c r="M522" i="6" a="1"/>
  <c r="M522" i="6" s="1"/>
  <c r="M523" i="6" a="1"/>
  <c r="M523" i="6" s="1"/>
  <c r="M524" i="6" a="1"/>
  <c r="M524" i="6" s="1"/>
  <c r="M525" i="6" a="1"/>
  <c r="M525" i="6" s="1"/>
  <c r="M526" i="6" a="1"/>
  <c r="M526" i="6" s="1"/>
  <c r="M527" i="6" a="1"/>
  <c r="M527" i="6" s="1"/>
  <c r="M528" i="6" a="1"/>
  <c r="M528" i="6" s="1"/>
  <c r="M529" i="6" a="1"/>
  <c r="M529" i="6" s="1"/>
  <c r="M530" i="6" a="1"/>
  <c r="M530" i="6" s="1"/>
  <c r="M531" i="6" a="1"/>
  <c r="M531" i="6" s="1"/>
  <c r="M532" i="6" a="1"/>
  <c r="M532" i="6" s="1"/>
  <c r="M533" i="6" a="1"/>
  <c r="M533" i="6" s="1"/>
  <c r="M534" i="6" a="1"/>
  <c r="M534" i="6" s="1"/>
  <c r="M535" i="6" a="1"/>
  <c r="M535" i="6" s="1"/>
  <c r="M536" i="6" a="1"/>
  <c r="M536" i="6" s="1"/>
  <c r="M537" i="6" a="1"/>
  <c r="M537" i="6" s="1"/>
  <c r="M538" i="6" a="1"/>
  <c r="M538" i="6" s="1"/>
  <c r="M539" i="6" a="1"/>
  <c r="M539" i="6" s="1"/>
  <c r="M540" i="6" a="1"/>
  <c r="M540" i="6" s="1"/>
  <c r="M541" i="6" a="1"/>
  <c r="M541" i="6" s="1"/>
  <c r="M542" i="6" a="1"/>
  <c r="M542" i="6" s="1"/>
  <c r="M543" i="6" a="1"/>
  <c r="M543" i="6" s="1"/>
  <c r="M544" i="6" a="1"/>
  <c r="M544" i="6" s="1"/>
  <c r="M545" i="6" a="1"/>
  <c r="M545" i="6" s="1"/>
  <c r="M546" i="6" a="1"/>
  <c r="M546" i="6" s="1"/>
  <c r="M547" i="6" a="1"/>
  <c r="M547" i="6" s="1"/>
  <c r="M548" i="6" a="1"/>
  <c r="M548" i="6" s="1"/>
  <c r="M549" i="6" a="1"/>
  <c r="M549" i="6" s="1"/>
  <c r="M550" i="6" a="1"/>
  <c r="M550" i="6" s="1"/>
  <c r="M551" i="6" a="1"/>
  <c r="M551" i="6" s="1"/>
  <c r="M552" i="6" a="1"/>
  <c r="M552" i="6" s="1"/>
  <c r="M553" i="6" a="1"/>
  <c r="M553" i="6" s="1"/>
  <c r="M554" i="6" a="1"/>
  <c r="M554" i="6" s="1"/>
  <c r="M555" i="6" a="1"/>
  <c r="M555" i="6" s="1"/>
  <c r="M556" i="6" a="1"/>
  <c r="M556" i="6" s="1"/>
  <c r="M557" i="6" a="1"/>
  <c r="M557" i="6" s="1"/>
  <c r="M558" i="6" a="1"/>
  <c r="M558" i="6" s="1"/>
  <c r="M559" i="6" a="1"/>
  <c r="M559" i="6" s="1"/>
  <c r="M560" i="6" a="1"/>
  <c r="M560" i="6" s="1"/>
  <c r="M561" i="6" a="1"/>
  <c r="M561" i="6" s="1"/>
  <c r="M562" i="6" a="1"/>
  <c r="M562" i="6" s="1"/>
  <c r="M563" i="6" a="1"/>
  <c r="M563" i="6" s="1"/>
  <c r="M564" i="6" a="1"/>
  <c r="M564" i="6" s="1"/>
  <c r="M565" i="6" a="1"/>
  <c r="M565" i="6" s="1"/>
  <c r="M566" i="6" a="1"/>
  <c r="M566" i="6" s="1"/>
  <c r="M567" i="6" a="1"/>
  <c r="M567" i="6" s="1"/>
  <c r="M568" i="6" a="1"/>
  <c r="M568" i="6" s="1"/>
  <c r="M569" i="6" a="1"/>
  <c r="M569" i="6" s="1"/>
  <c r="M570" i="6" a="1"/>
  <c r="M570" i="6" s="1"/>
  <c r="M571" i="6" a="1"/>
  <c r="M571" i="6" s="1"/>
  <c r="M572" i="6" a="1"/>
  <c r="M572" i="6" s="1"/>
  <c r="M573" i="6" a="1"/>
  <c r="M573" i="6" s="1"/>
  <c r="M574" i="6" a="1"/>
  <c r="M574" i="6" s="1"/>
  <c r="M575" i="6" a="1"/>
  <c r="M575" i="6" s="1"/>
  <c r="M576" i="6" a="1"/>
  <c r="M576" i="6" s="1"/>
  <c r="M577" i="6" a="1"/>
  <c r="M577" i="6" s="1"/>
  <c r="M578" i="6" a="1"/>
  <c r="M578" i="6" s="1"/>
  <c r="M579" i="6" a="1"/>
  <c r="M579" i="6" s="1"/>
  <c r="M580" i="6" a="1"/>
  <c r="M580" i="6" s="1"/>
  <c r="M581" i="6" a="1"/>
  <c r="M581" i="6" s="1"/>
  <c r="M582" i="6" a="1"/>
  <c r="M582" i="6" s="1"/>
  <c r="M583" i="6" a="1"/>
  <c r="M583" i="6" s="1"/>
  <c r="M584" i="6" a="1"/>
  <c r="M584" i="6" s="1"/>
  <c r="M585" i="6" a="1"/>
  <c r="M585" i="6" s="1"/>
  <c r="M586" i="6" a="1"/>
  <c r="M586" i="6" s="1"/>
  <c r="M587" i="6" a="1"/>
  <c r="M587" i="6" s="1"/>
  <c r="M588" i="6" a="1"/>
  <c r="M588" i="6" s="1"/>
  <c r="M589" i="6" a="1"/>
  <c r="M589" i="6" s="1"/>
  <c r="M590" i="6" a="1"/>
  <c r="M590" i="6" s="1"/>
  <c r="M591" i="6" a="1"/>
  <c r="M591" i="6" s="1"/>
  <c r="M592" i="6" a="1"/>
  <c r="M592" i="6" s="1"/>
  <c r="M593" i="6" a="1"/>
  <c r="M593" i="6" s="1"/>
  <c r="M594" i="6" a="1"/>
  <c r="M594" i="6" s="1"/>
  <c r="M595" i="6" a="1"/>
  <c r="M595" i="6" s="1"/>
  <c r="M596" i="6" a="1"/>
  <c r="M596" i="6" s="1"/>
  <c r="M597" i="6" a="1"/>
  <c r="M597" i="6" s="1"/>
  <c r="M598" i="6" a="1"/>
  <c r="M598" i="6" s="1"/>
  <c r="M599" i="6" a="1"/>
  <c r="M599" i="6" s="1"/>
  <c r="M600" i="6" a="1"/>
  <c r="M600" i="6" s="1"/>
  <c r="M601" i="6" a="1"/>
  <c r="M601" i="6" s="1"/>
  <c r="M602" i="6" a="1"/>
  <c r="M602" i="6" s="1"/>
  <c r="M603" i="6" a="1"/>
  <c r="M603" i="6" s="1"/>
  <c r="M604" i="6" a="1"/>
  <c r="M604" i="6" s="1"/>
  <c r="M605" i="6" a="1"/>
  <c r="M605" i="6" s="1"/>
  <c r="M606" i="6" a="1"/>
  <c r="M606" i="6" s="1"/>
  <c r="M607" i="6" a="1"/>
  <c r="M607" i="6" s="1"/>
  <c r="M608" i="6" a="1"/>
  <c r="M608" i="6" s="1"/>
  <c r="M609" i="6" a="1"/>
  <c r="M609" i="6" s="1"/>
  <c r="M610" i="6" a="1"/>
  <c r="M610" i="6" s="1"/>
  <c r="M611" i="6" a="1"/>
  <c r="M611" i="6" s="1"/>
  <c r="M612" i="6" a="1"/>
  <c r="M612" i="6" s="1"/>
  <c r="M613" i="6" a="1"/>
  <c r="M613" i="6" s="1"/>
  <c r="M614" i="6" a="1"/>
  <c r="M614" i="6" s="1"/>
  <c r="M615" i="6" a="1"/>
  <c r="M615" i="6" s="1"/>
  <c r="M616" i="6" a="1"/>
  <c r="M616" i="6" s="1"/>
  <c r="M617" i="6" a="1"/>
  <c r="M617" i="6" s="1"/>
  <c r="M618" i="6" a="1"/>
  <c r="M618" i="6" s="1"/>
  <c r="M619" i="6" a="1"/>
  <c r="M619" i="6" s="1"/>
  <c r="M620" i="6" a="1"/>
  <c r="M620" i="6" s="1"/>
  <c r="M621" i="6" a="1"/>
  <c r="M621" i="6" s="1"/>
  <c r="M622" i="6" a="1"/>
  <c r="M622" i="6" s="1"/>
  <c r="M623" i="6" a="1"/>
  <c r="M623" i="6" s="1"/>
  <c r="M624" i="6" a="1"/>
  <c r="M624" i="6" s="1"/>
  <c r="M625" i="6" a="1"/>
  <c r="M625" i="6" s="1"/>
  <c r="M626" i="6" a="1"/>
  <c r="M626" i="6" s="1"/>
  <c r="M627" i="6" a="1"/>
  <c r="M627" i="6" s="1"/>
  <c r="M628" i="6" a="1"/>
  <c r="M628" i="6" s="1"/>
  <c r="M629" i="6" a="1"/>
  <c r="M629" i="6" s="1"/>
  <c r="M630" i="6" a="1"/>
  <c r="M630" i="6" s="1"/>
  <c r="M631" i="6" a="1"/>
  <c r="M631" i="6" s="1"/>
  <c r="M632" i="6" a="1"/>
  <c r="M632" i="6" s="1"/>
  <c r="M633" i="6" a="1"/>
  <c r="M633" i="6" s="1"/>
  <c r="M634" i="6" a="1"/>
  <c r="M634" i="6" s="1"/>
  <c r="M635" i="6" a="1"/>
  <c r="M635" i="6" s="1"/>
  <c r="M636" i="6" a="1"/>
  <c r="M636" i="6" s="1"/>
  <c r="M637" i="6" a="1"/>
  <c r="M637" i="6" s="1"/>
  <c r="M638" i="6" a="1"/>
  <c r="M638" i="6" s="1"/>
  <c r="M639" i="6" a="1"/>
  <c r="M639" i="6" s="1"/>
  <c r="M640" i="6" a="1"/>
  <c r="M640" i="6" s="1"/>
  <c r="M641" i="6" a="1"/>
  <c r="M641" i="6" s="1"/>
  <c r="M642" i="6" a="1"/>
  <c r="M642" i="6" s="1"/>
  <c r="M643" i="6" a="1"/>
  <c r="M643" i="6" s="1"/>
  <c r="M644" i="6" a="1"/>
  <c r="M644" i="6" s="1"/>
  <c r="M645" i="6" a="1"/>
  <c r="M645" i="6" s="1"/>
  <c r="M646" i="6" a="1"/>
  <c r="M646" i="6" s="1"/>
  <c r="M647" i="6" a="1"/>
  <c r="M647" i="6" s="1"/>
  <c r="M648" i="6" a="1"/>
  <c r="M648" i="6" s="1"/>
  <c r="M649" i="6" a="1"/>
  <c r="M649" i="6" s="1"/>
  <c r="M650" i="6" a="1"/>
  <c r="M650" i="6" s="1"/>
  <c r="M651" i="6" a="1"/>
  <c r="M651" i="6" s="1"/>
  <c r="M652" i="6" a="1"/>
  <c r="M652" i="6" s="1"/>
  <c r="M653" i="6" a="1"/>
  <c r="M653" i="6" s="1"/>
  <c r="M654" i="6" a="1"/>
  <c r="M654" i="6" s="1"/>
  <c r="M655" i="6" a="1"/>
  <c r="M655" i="6" s="1"/>
  <c r="M656" i="6" a="1"/>
  <c r="M656" i="6" s="1"/>
  <c r="M657" i="6" a="1"/>
  <c r="M657" i="6" s="1"/>
  <c r="M658" i="6" a="1"/>
  <c r="M658" i="6" s="1"/>
  <c r="M659" i="6" a="1"/>
  <c r="M659" i="6" s="1"/>
  <c r="M660" i="6" a="1"/>
  <c r="M660" i="6" s="1"/>
  <c r="M661" i="6" a="1"/>
  <c r="M661" i="6" s="1"/>
  <c r="M662" i="6" a="1"/>
  <c r="M662" i="6" s="1"/>
  <c r="M663" i="6" a="1"/>
  <c r="M663" i="6" s="1"/>
  <c r="M664" i="6" a="1"/>
  <c r="M664" i="6" s="1"/>
  <c r="M665" i="6" a="1"/>
  <c r="M665" i="6" s="1"/>
  <c r="M666" i="6" a="1"/>
  <c r="M666" i="6" s="1"/>
  <c r="M667" i="6" a="1"/>
  <c r="M667" i="6" s="1"/>
  <c r="M668" i="6" a="1"/>
  <c r="M668" i="6" s="1"/>
  <c r="M669" i="6" a="1"/>
  <c r="M669" i="6" s="1"/>
  <c r="M670" i="6" a="1"/>
  <c r="M670" i="6" s="1"/>
  <c r="M671" i="6" a="1"/>
  <c r="M671" i="6" s="1"/>
  <c r="M672" i="6" a="1"/>
  <c r="M672" i="6" s="1"/>
  <c r="M673" i="6" a="1"/>
  <c r="M673" i="6" s="1"/>
  <c r="M674" i="6" a="1"/>
  <c r="M674" i="6" s="1"/>
  <c r="M675" i="6" a="1"/>
  <c r="M675" i="6" s="1"/>
  <c r="M676" i="6" a="1"/>
  <c r="M676" i="6" s="1"/>
  <c r="M677" i="6" a="1"/>
  <c r="M677" i="6" s="1"/>
  <c r="M678" i="6" a="1"/>
  <c r="M678" i="6" s="1"/>
  <c r="M679" i="6" a="1"/>
  <c r="M679" i="6" s="1"/>
  <c r="M680" i="6" a="1"/>
  <c r="M680" i="6" s="1"/>
  <c r="M681" i="6" a="1"/>
  <c r="M681" i="6" s="1"/>
  <c r="M682" i="6" a="1"/>
  <c r="M682" i="6" s="1"/>
  <c r="M683" i="6" a="1"/>
  <c r="M683" i="6" s="1"/>
  <c r="M684" i="6" a="1"/>
  <c r="M684" i="6" s="1"/>
  <c r="M685" i="6" a="1"/>
  <c r="M685" i="6" s="1"/>
  <c r="M686" i="6" a="1"/>
  <c r="M686" i="6" s="1"/>
  <c r="M687" i="6" a="1"/>
  <c r="M687" i="6" s="1"/>
  <c r="M688" i="6" a="1"/>
  <c r="M688" i="6" s="1"/>
  <c r="M689" i="6" a="1"/>
  <c r="M689" i="6" s="1"/>
  <c r="M690" i="6" a="1"/>
  <c r="M690" i="6" s="1"/>
  <c r="M691" i="6" a="1"/>
  <c r="M691" i="6" s="1"/>
  <c r="M692" i="6" a="1"/>
  <c r="M692" i="6" s="1"/>
  <c r="M693" i="6" a="1"/>
  <c r="M693" i="6" s="1"/>
  <c r="M694" i="6" a="1"/>
  <c r="M694" i="6" s="1"/>
  <c r="M695" i="6" a="1"/>
  <c r="M695" i="6" s="1"/>
  <c r="M696" i="6" a="1"/>
  <c r="M696" i="6" s="1"/>
  <c r="M697" i="6" a="1"/>
  <c r="M697" i="6" s="1"/>
  <c r="M698" i="6" a="1"/>
  <c r="M698" i="6" s="1"/>
  <c r="M699" i="6" a="1"/>
  <c r="M699" i="6" s="1"/>
  <c r="M700" i="6" a="1"/>
  <c r="M700" i="6" s="1"/>
  <c r="M701" i="6" a="1"/>
  <c r="M701" i="6" s="1"/>
  <c r="M702" i="6" a="1"/>
  <c r="M702" i="6" s="1"/>
  <c r="M703" i="6" a="1"/>
  <c r="M703" i="6" s="1"/>
  <c r="M704" i="6" a="1"/>
  <c r="M704" i="6" s="1"/>
  <c r="M705" i="6" a="1"/>
  <c r="M705" i="6" s="1"/>
  <c r="M706" i="6" a="1"/>
  <c r="M706" i="6" s="1"/>
  <c r="M707" i="6" a="1"/>
  <c r="M707" i="6" s="1"/>
  <c r="M708" i="6" a="1"/>
  <c r="M708" i="6" s="1"/>
  <c r="M709" i="6" a="1"/>
  <c r="M709" i="6" s="1"/>
  <c r="M710" i="6" a="1"/>
  <c r="M710" i="6" s="1"/>
  <c r="M711" i="6" a="1"/>
  <c r="M711" i="6" s="1"/>
  <c r="M712" i="6" a="1"/>
  <c r="M712" i="6" s="1"/>
  <c r="M713" i="6" a="1"/>
  <c r="M713" i="6" s="1"/>
  <c r="M714" i="6" a="1"/>
  <c r="M714" i="6" s="1"/>
  <c r="M715" i="6" a="1"/>
  <c r="M715" i="6" s="1"/>
  <c r="M716" i="6" a="1"/>
  <c r="M716" i="6" s="1"/>
  <c r="M717" i="6" a="1"/>
  <c r="M717" i="6" s="1"/>
  <c r="M718" i="6" a="1"/>
  <c r="M718" i="6" s="1"/>
  <c r="M719" i="6" a="1"/>
  <c r="M719" i="6" s="1"/>
  <c r="M720" i="6" a="1"/>
  <c r="M720" i="6" s="1"/>
  <c r="M721" i="6" a="1"/>
  <c r="M721" i="6" s="1"/>
  <c r="M722" i="6" a="1"/>
  <c r="M722" i="6" s="1"/>
  <c r="M723" i="6" a="1"/>
  <c r="M723" i="6" s="1"/>
  <c r="M724" i="6" a="1"/>
  <c r="M724" i="6" s="1"/>
  <c r="M725" i="6" a="1"/>
  <c r="M725" i="6" s="1"/>
  <c r="M726" i="6" a="1"/>
  <c r="M726" i="6" s="1"/>
  <c r="M727" i="6" a="1"/>
  <c r="M727" i="6" s="1"/>
  <c r="M728" i="6" a="1"/>
  <c r="M728" i="6" s="1"/>
  <c r="M729" i="6" a="1"/>
  <c r="M729" i="6" s="1"/>
  <c r="M730" i="6" a="1"/>
  <c r="M730" i="6" s="1"/>
  <c r="M731" i="6" a="1"/>
  <c r="M731" i="6" s="1"/>
  <c r="M732" i="6" a="1"/>
  <c r="M732" i="6" s="1"/>
  <c r="M733" i="6" a="1"/>
  <c r="M733" i="6" s="1"/>
  <c r="M734" i="6" a="1"/>
  <c r="M734" i="6" s="1"/>
  <c r="M735" i="6" a="1"/>
  <c r="M735" i="6" s="1"/>
  <c r="M736" i="6" a="1"/>
  <c r="M736" i="6" s="1"/>
  <c r="M737" i="6" a="1"/>
  <c r="M737" i="6" s="1"/>
  <c r="M738" i="6" a="1"/>
  <c r="M738" i="6" s="1"/>
  <c r="M739" i="6" a="1"/>
  <c r="M739" i="6" s="1"/>
  <c r="M740" i="6" a="1"/>
  <c r="M740" i="6" s="1"/>
  <c r="M741" i="6" a="1"/>
  <c r="M741" i="6" s="1"/>
  <c r="M742" i="6" a="1"/>
  <c r="M742" i="6" s="1"/>
  <c r="M743" i="6" a="1"/>
  <c r="M743" i="6" s="1"/>
  <c r="M744" i="6" a="1"/>
  <c r="M744" i="6" s="1"/>
  <c r="M745" i="6" a="1"/>
  <c r="M745" i="6" s="1"/>
  <c r="M746" i="6" a="1"/>
  <c r="M746" i="6" s="1"/>
  <c r="M747" i="6" a="1"/>
  <c r="M747" i="6" s="1"/>
  <c r="M748" i="6" a="1"/>
  <c r="M748" i="6" s="1"/>
  <c r="M749" i="6" a="1"/>
  <c r="M749" i="6" s="1"/>
  <c r="M750" i="6" a="1"/>
  <c r="M750" i="6" s="1"/>
  <c r="M751" i="6" a="1"/>
  <c r="M751" i="6" s="1"/>
  <c r="M752" i="6" a="1"/>
  <c r="M752" i="6" s="1"/>
  <c r="M753" i="6" a="1"/>
  <c r="M753" i="6" s="1"/>
  <c r="M754" i="6" a="1"/>
  <c r="M754" i="6" s="1"/>
  <c r="M755" i="6" a="1"/>
  <c r="M755" i="6" s="1"/>
  <c r="M756" i="6" a="1"/>
  <c r="M756" i="6" s="1"/>
  <c r="M757" i="6" a="1"/>
  <c r="M757" i="6" s="1"/>
  <c r="M758" i="6" a="1"/>
  <c r="M758" i="6" s="1"/>
  <c r="M759" i="6" a="1"/>
  <c r="M759" i="6" s="1"/>
  <c r="M760" i="6" a="1"/>
  <c r="M760" i="6" s="1"/>
  <c r="M761" i="6" a="1"/>
  <c r="M761" i="6" s="1"/>
  <c r="M762" i="6" a="1"/>
  <c r="M762" i="6" s="1"/>
  <c r="M763" i="6" a="1"/>
  <c r="M763" i="6" s="1"/>
  <c r="M764" i="6" a="1"/>
  <c r="M764" i="6" s="1"/>
  <c r="M765" i="6" a="1"/>
  <c r="M765" i="6" s="1"/>
  <c r="M766" i="6" a="1"/>
  <c r="M766" i="6" s="1"/>
  <c r="M767" i="6" a="1"/>
  <c r="M767" i="6" s="1"/>
  <c r="M768" i="6" a="1"/>
  <c r="M768" i="6" s="1"/>
  <c r="M769" i="6" a="1"/>
  <c r="M769" i="6" s="1"/>
  <c r="M770" i="6" a="1"/>
  <c r="M770" i="6" s="1"/>
  <c r="M771" i="6" a="1"/>
  <c r="M771" i="6" s="1"/>
  <c r="M772" i="6" a="1"/>
  <c r="M772" i="6" s="1"/>
  <c r="M773" i="6" a="1"/>
  <c r="M773" i="6" s="1"/>
  <c r="M774" i="6" a="1"/>
  <c r="M774" i="6" s="1"/>
  <c r="M775" i="6" a="1"/>
  <c r="M775" i="6" s="1"/>
  <c r="M776" i="6" a="1"/>
  <c r="M776" i="6" s="1"/>
  <c r="M777" i="6" a="1"/>
  <c r="M777" i="6" s="1"/>
  <c r="M778" i="6" a="1"/>
  <c r="M778" i="6" s="1"/>
  <c r="M779" i="6" a="1"/>
  <c r="M779" i="6" s="1"/>
  <c r="M780" i="6" a="1"/>
  <c r="M780" i="6" s="1"/>
  <c r="M781" i="6" a="1"/>
  <c r="M781" i="6" s="1"/>
  <c r="M782" i="6" a="1"/>
  <c r="M782" i="6" s="1"/>
  <c r="M783" i="6" a="1"/>
  <c r="M783" i="6" s="1"/>
  <c r="M784" i="6" a="1"/>
  <c r="M784" i="6" s="1"/>
  <c r="M785" i="6" a="1"/>
  <c r="M785" i="6" s="1"/>
  <c r="M786" i="6" a="1"/>
  <c r="M786" i="6" s="1"/>
  <c r="M787" i="6" a="1"/>
  <c r="M787" i="6" s="1"/>
  <c r="M788" i="6" a="1"/>
  <c r="M788" i="6" s="1"/>
  <c r="M789" i="6" a="1"/>
  <c r="M789" i="6" s="1"/>
  <c r="M790" i="6" a="1"/>
  <c r="M790" i="6" s="1"/>
  <c r="M791" i="6" a="1"/>
  <c r="M791" i="6" s="1"/>
  <c r="M792" i="6" a="1"/>
  <c r="M792" i="6" s="1"/>
  <c r="M793" i="6" a="1"/>
  <c r="M793" i="6" s="1"/>
  <c r="M794" i="6" a="1"/>
  <c r="M794" i="6" s="1"/>
  <c r="M795" i="6" a="1"/>
  <c r="M795" i="6" s="1"/>
  <c r="M796" i="6" a="1"/>
  <c r="M796" i="6" s="1"/>
  <c r="M797" i="6" a="1"/>
  <c r="M797" i="6" s="1"/>
  <c r="M798" i="6" a="1"/>
  <c r="M798" i="6" s="1"/>
  <c r="M799" i="6" a="1"/>
  <c r="M799" i="6" s="1"/>
  <c r="M800" i="6" a="1"/>
  <c r="M800" i="6" s="1"/>
  <c r="M801" i="6" a="1"/>
  <c r="M801" i="6" s="1"/>
  <c r="M802" i="6" a="1"/>
  <c r="M802" i="6" s="1"/>
  <c r="M803" i="6" a="1"/>
  <c r="M803" i="6" s="1"/>
  <c r="M804" i="6" a="1"/>
  <c r="M804" i="6" s="1"/>
  <c r="M805" i="6" a="1"/>
  <c r="M805" i="6" s="1"/>
  <c r="M806" i="6" a="1"/>
  <c r="M806" i="6" s="1"/>
  <c r="M807" i="6" a="1"/>
  <c r="M807" i="6" s="1"/>
  <c r="M808" i="6" a="1"/>
  <c r="M808" i="6" s="1"/>
  <c r="M809" i="6" a="1"/>
  <c r="M809" i="6" s="1"/>
  <c r="M810" i="6" a="1"/>
  <c r="M810" i="6" s="1"/>
  <c r="M811" i="6" a="1"/>
  <c r="M811" i="6" s="1"/>
  <c r="M812" i="6" a="1"/>
  <c r="M812" i="6" s="1"/>
  <c r="M813" i="6" a="1"/>
  <c r="M813" i="6" s="1"/>
  <c r="M814" i="6" a="1"/>
  <c r="M814" i="6" s="1"/>
  <c r="M815" i="6" a="1"/>
  <c r="M815" i="6" s="1"/>
  <c r="M816" i="6" a="1"/>
  <c r="M816" i="6" s="1"/>
  <c r="M817" i="6" a="1"/>
  <c r="M817" i="6" s="1"/>
  <c r="M818" i="6" a="1"/>
  <c r="M818" i="6" s="1"/>
  <c r="M819" i="6" a="1"/>
  <c r="M819" i="6" s="1"/>
  <c r="M820" i="6" a="1"/>
  <c r="M820" i="6" s="1"/>
  <c r="M821" i="6" a="1"/>
  <c r="M821" i="6" s="1"/>
  <c r="M822" i="6" a="1"/>
  <c r="M822" i="6" s="1"/>
  <c r="M823" i="6" a="1"/>
  <c r="M823" i="6" s="1"/>
  <c r="M824" i="6" a="1"/>
  <c r="M824" i="6" s="1"/>
  <c r="M825" i="6" a="1"/>
  <c r="M825" i="6" s="1"/>
  <c r="M826" i="6" a="1"/>
  <c r="M826" i="6" s="1"/>
  <c r="M827" i="6" a="1"/>
  <c r="M827" i="6" s="1"/>
  <c r="M828" i="6" a="1"/>
  <c r="M828" i="6" s="1"/>
  <c r="M829" i="6" a="1"/>
  <c r="M829" i="6" s="1"/>
  <c r="M830" i="6" a="1"/>
  <c r="M830" i="6" s="1"/>
  <c r="M831" i="6" a="1"/>
  <c r="M831" i="6" s="1"/>
  <c r="M832" i="6" a="1"/>
  <c r="M832" i="6" s="1"/>
  <c r="M833" i="6" a="1"/>
  <c r="M833" i="6" s="1"/>
  <c r="M834" i="6" a="1"/>
  <c r="M834" i="6" s="1"/>
  <c r="M835" i="6" a="1"/>
  <c r="M835" i="6" s="1"/>
  <c r="M836" i="6" a="1"/>
  <c r="M836" i="6" s="1"/>
  <c r="M837" i="6" a="1"/>
  <c r="M837" i="6" s="1"/>
  <c r="M838" i="6" a="1"/>
  <c r="M838" i="6" s="1"/>
  <c r="M839" i="6" a="1"/>
  <c r="M839" i="6" s="1"/>
  <c r="M840" i="6" a="1"/>
  <c r="M840" i="6" s="1"/>
  <c r="M841" i="6" a="1"/>
  <c r="M841" i="6" s="1"/>
  <c r="M842" i="6" a="1"/>
  <c r="M842" i="6" s="1"/>
  <c r="M843" i="6" a="1"/>
  <c r="M843" i="6" s="1"/>
  <c r="M844" i="6" a="1"/>
  <c r="M844" i="6" s="1"/>
  <c r="M845" i="6" a="1"/>
  <c r="M845" i="6" s="1"/>
  <c r="M846" i="6" a="1"/>
  <c r="M846" i="6" s="1"/>
  <c r="M847" i="6" a="1"/>
  <c r="M847" i="6" s="1"/>
  <c r="M848" i="6" a="1"/>
  <c r="M848" i="6" s="1"/>
  <c r="M849" i="6" a="1"/>
  <c r="M849" i="6" s="1"/>
  <c r="M850" i="6" a="1"/>
  <c r="M850" i="6" s="1"/>
  <c r="M851" i="6" a="1"/>
  <c r="M851" i="6" s="1"/>
  <c r="M852" i="6" a="1"/>
  <c r="M852" i="6" s="1"/>
  <c r="M853" i="6" a="1"/>
  <c r="M853" i="6" s="1"/>
  <c r="M854" i="6" a="1"/>
  <c r="M854" i="6" s="1"/>
  <c r="M855" i="6" a="1"/>
  <c r="M855" i="6" s="1"/>
  <c r="M856" i="6" a="1"/>
  <c r="M856" i="6" s="1"/>
  <c r="M857" i="6" a="1"/>
  <c r="M857" i="6" s="1"/>
  <c r="M858" i="6" a="1"/>
  <c r="M858" i="6" s="1"/>
  <c r="M859" i="6" a="1"/>
  <c r="M859" i="6" s="1"/>
  <c r="M860" i="6" a="1"/>
  <c r="M860" i="6" s="1"/>
  <c r="M861" i="6" a="1"/>
  <c r="M861" i="6" s="1"/>
  <c r="M862" i="6" a="1"/>
  <c r="M862" i="6" s="1"/>
  <c r="M863" i="6" a="1"/>
  <c r="M863" i="6" s="1"/>
  <c r="M864" i="6" a="1"/>
  <c r="M864" i="6" s="1"/>
  <c r="M865" i="6" a="1"/>
  <c r="M865" i="6" s="1"/>
  <c r="M866" i="6" a="1"/>
  <c r="M866" i="6" s="1"/>
  <c r="M867" i="6" a="1"/>
  <c r="M867" i="6" s="1"/>
  <c r="M868" i="6" a="1"/>
  <c r="M868" i="6" s="1"/>
  <c r="M869" i="6" a="1"/>
  <c r="M869" i="6" s="1"/>
  <c r="M870" i="6" a="1"/>
  <c r="M870" i="6" s="1"/>
  <c r="M871" i="6" a="1"/>
  <c r="M871" i="6" s="1"/>
  <c r="M872" i="6" a="1"/>
  <c r="M872" i="6" s="1"/>
  <c r="M873" i="6" a="1"/>
  <c r="M873" i="6" s="1"/>
  <c r="M874" i="6" a="1"/>
  <c r="M874" i="6" s="1"/>
  <c r="M875" i="6" a="1"/>
  <c r="M875" i="6" s="1"/>
  <c r="M876" i="6" a="1"/>
  <c r="M876" i="6" s="1"/>
  <c r="M877" i="6" a="1"/>
  <c r="M877" i="6" s="1"/>
  <c r="M878" i="6" a="1"/>
  <c r="M878" i="6" s="1"/>
  <c r="M879" i="6" a="1"/>
  <c r="M879" i="6" s="1"/>
  <c r="M880" i="6" a="1"/>
  <c r="M880" i="6" s="1"/>
  <c r="M881" i="6" a="1"/>
  <c r="M881" i="6" s="1"/>
  <c r="M882" i="6" a="1"/>
  <c r="M882" i="6" s="1"/>
  <c r="M883" i="6" a="1"/>
  <c r="M883" i="6" s="1"/>
  <c r="M884" i="6" a="1"/>
  <c r="M884" i="6" s="1"/>
  <c r="M885" i="6" a="1"/>
  <c r="M885" i="6" s="1"/>
  <c r="M886" i="6" a="1"/>
  <c r="M886" i="6" s="1"/>
  <c r="M887" i="6" a="1"/>
  <c r="M887" i="6" s="1"/>
  <c r="M888" i="6" a="1"/>
  <c r="M888" i="6" s="1"/>
  <c r="M889" i="6" a="1"/>
  <c r="M889" i="6" s="1"/>
  <c r="M890" i="6" a="1"/>
  <c r="M890" i="6" s="1"/>
  <c r="M891" i="6" a="1"/>
  <c r="M891" i="6" s="1"/>
  <c r="M892" i="6" a="1"/>
  <c r="M892" i="6" s="1"/>
  <c r="M893" i="6" a="1"/>
  <c r="M893" i="6" s="1"/>
  <c r="M894" i="6" a="1"/>
  <c r="M894" i="6" s="1"/>
  <c r="M895" i="6" a="1"/>
  <c r="M895" i="6" s="1"/>
  <c r="M896" i="6" a="1"/>
  <c r="M896" i="6" s="1"/>
  <c r="M897" i="6" a="1"/>
  <c r="M897" i="6" s="1"/>
  <c r="M898" i="6" a="1"/>
  <c r="M898" i="6" s="1"/>
  <c r="M899" i="6" a="1"/>
  <c r="M899" i="6" s="1"/>
  <c r="M900" i="6" a="1"/>
  <c r="M900" i="6" s="1"/>
  <c r="M901" i="6" a="1"/>
  <c r="M901" i="6" s="1"/>
  <c r="M902" i="6" a="1"/>
  <c r="M902" i="6" s="1"/>
  <c r="M903" i="6" a="1"/>
  <c r="M903" i="6" s="1"/>
  <c r="M904" i="6" a="1"/>
  <c r="M904" i="6" s="1"/>
  <c r="M905" i="6" a="1"/>
  <c r="M905" i="6" s="1"/>
  <c r="M906" i="6" a="1"/>
  <c r="M906" i="6" s="1"/>
  <c r="M907" i="6" a="1"/>
  <c r="M907" i="6" s="1"/>
  <c r="M908" i="6" a="1"/>
  <c r="M908" i="6" s="1"/>
  <c r="M909" i="6" a="1"/>
  <c r="M909" i="6" s="1"/>
  <c r="M910" i="6" a="1"/>
  <c r="M910" i="6" s="1"/>
  <c r="M911" i="6" a="1"/>
  <c r="M911" i="6" s="1"/>
  <c r="M912" i="6" a="1"/>
  <c r="M912" i="6" s="1"/>
  <c r="M913" i="6" a="1"/>
  <c r="M913" i="6" s="1"/>
  <c r="M914" i="6" a="1"/>
  <c r="M914" i="6" s="1"/>
  <c r="M915" i="6" a="1"/>
  <c r="M915" i="6" s="1"/>
  <c r="M916" i="6" a="1"/>
  <c r="M916" i="6" s="1"/>
  <c r="M917" i="6" a="1"/>
  <c r="M917" i="6" s="1"/>
  <c r="M918" i="6" a="1"/>
  <c r="M918" i="6" s="1"/>
  <c r="M919" i="6" a="1"/>
  <c r="M919" i="6" s="1"/>
  <c r="M920" i="6" a="1"/>
  <c r="M920" i="6" s="1"/>
  <c r="M921" i="6" a="1"/>
  <c r="M921" i="6" s="1"/>
  <c r="M922" i="6" a="1"/>
  <c r="M922" i="6" s="1"/>
  <c r="M923" i="6" a="1"/>
  <c r="M923" i="6" s="1"/>
  <c r="M924" i="6" a="1"/>
  <c r="M924" i="6" s="1"/>
  <c r="M925" i="6" a="1"/>
  <c r="M925" i="6" s="1"/>
  <c r="M926" i="6" a="1"/>
  <c r="M926" i="6" s="1"/>
  <c r="M927" i="6" a="1"/>
  <c r="M927" i="6" s="1"/>
  <c r="M928" i="6" a="1"/>
  <c r="M928" i="6" s="1"/>
  <c r="M929" i="6" a="1"/>
  <c r="M929" i="6" s="1"/>
  <c r="M930" i="6" a="1"/>
  <c r="M930" i="6" s="1"/>
  <c r="M931" i="6" a="1"/>
  <c r="M931" i="6" s="1"/>
  <c r="M932" i="6" a="1"/>
  <c r="M932" i="6" s="1"/>
  <c r="M933" i="6" a="1"/>
  <c r="M933" i="6" s="1"/>
  <c r="M934" i="6" a="1"/>
  <c r="M934" i="6" s="1"/>
  <c r="M935" i="6" a="1"/>
  <c r="M935" i="6" s="1"/>
  <c r="M936" i="6" a="1"/>
  <c r="M936" i="6" s="1"/>
  <c r="M937" i="6" a="1"/>
  <c r="M937" i="6" s="1"/>
  <c r="M938" i="6" a="1"/>
  <c r="M938" i="6" s="1"/>
  <c r="M939" i="6" a="1"/>
  <c r="M939" i="6" s="1"/>
  <c r="M940" i="6" a="1"/>
  <c r="M940" i="6" s="1"/>
  <c r="M941" i="6" a="1"/>
  <c r="M941" i="6" s="1"/>
  <c r="M942" i="6" a="1"/>
  <c r="M942" i="6" s="1"/>
  <c r="M943" i="6" a="1"/>
  <c r="M943" i="6" s="1"/>
  <c r="M944" i="6" a="1"/>
  <c r="M944" i="6" s="1"/>
  <c r="M945" i="6" a="1"/>
  <c r="M945" i="6" s="1"/>
  <c r="M946" i="6" a="1"/>
  <c r="M946" i="6" s="1"/>
  <c r="M947" i="6" a="1"/>
  <c r="M947" i="6" s="1"/>
  <c r="M948" i="6" a="1"/>
  <c r="M948" i="6" s="1"/>
  <c r="M949" i="6" a="1"/>
  <c r="M949" i="6" s="1"/>
  <c r="M950" i="6" a="1"/>
  <c r="M950" i="6" s="1"/>
  <c r="M951" i="6" a="1"/>
  <c r="M951" i="6" s="1"/>
  <c r="M952" i="6" a="1"/>
  <c r="M952" i="6" s="1"/>
  <c r="M953" i="6" a="1"/>
  <c r="M953" i="6" s="1"/>
  <c r="M954" i="6" a="1"/>
  <c r="M954" i="6" s="1"/>
  <c r="M955" i="6" a="1"/>
  <c r="M955" i="6" s="1"/>
  <c r="M956" i="6" a="1"/>
  <c r="M956" i="6" s="1"/>
  <c r="M957" i="6" a="1"/>
  <c r="M957" i="6" s="1"/>
  <c r="M958" i="6" a="1"/>
  <c r="M958" i="6" s="1"/>
  <c r="M959" i="6" a="1"/>
  <c r="M959" i="6" s="1"/>
  <c r="M960" i="6" a="1"/>
  <c r="M960" i="6" s="1"/>
  <c r="M961" i="6" a="1"/>
  <c r="M961" i="6" s="1"/>
  <c r="M962" i="6" a="1"/>
  <c r="M962" i="6" s="1"/>
  <c r="M963" i="6" a="1"/>
  <c r="M963" i="6" s="1"/>
  <c r="M964" i="6" a="1"/>
  <c r="M964" i="6" s="1"/>
  <c r="M965" i="6" a="1"/>
  <c r="M965" i="6" s="1"/>
  <c r="M966" i="6" a="1"/>
  <c r="M966" i="6" s="1"/>
  <c r="M967" i="6" a="1"/>
  <c r="M967" i="6" s="1"/>
  <c r="M968" i="6" a="1"/>
  <c r="M968" i="6" s="1"/>
  <c r="M969" i="6" a="1"/>
  <c r="M969" i="6" s="1"/>
  <c r="M970" i="6" a="1"/>
  <c r="M970" i="6" s="1"/>
  <c r="M971" i="6" a="1"/>
  <c r="M971" i="6" s="1"/>
  <c r="M972" i="6" a="1"/>
  <c r="M972" i="6" s="1"/>
  <c r="M973" i="6" a="1"/>
  <c r="M973" i="6" s="1"/>
  <c r="M974" i="6" a="1"/>
  <c r="M974" i="6" s="1"/>
  <c r="M975" i="6" a="1"/>
  <c r="M975" i="6" s="1"/>
  <c r="M976" i="6" a="1"/>
  <c r="M976" i="6" s="1"/>
  <c r="M977" i="6" a="1"/>
  <c r="M977" i="6" s="1"/>
  <c r="M978" i="6" a="1"/>
  <c r="M978" i="6" s="1"/>
  <c r="M979" i="6" a="1"/>
  <c r="M979" i="6" s="1"/>
  <c r="M980" i="6" a="1"/>
  <c r="M980" i="6" s="1"/>
  <c r="M981" i="6" a="1"/>
  <c r="M981" i="6" s="1"/>
  <c r="M982" i="6" a="1"/>
  <c r="M982" i="6" s="1"/>
  <c r="M983" i="6" a="1"/>
  <c r="M983" i="6" s="1"/>
  <c r="M984" i="6" a="1"/>
  <c r="M984" i="6" s="1"/>
  <c r="M985" i="6" a="1"/>
  <c r="M985" i="6" s="1"/>
  <c r="M986" i="6" a="1"/>
  <c r="M986" i="6" s="1"/>
  <c r="M987" i="6" a="1"/>
  <c r="M987" i="6" s="1"/>
  <c r="M988" i="6" a="1"/>
  <c r="M988" i="6" s="1"/>
  <c r="M989" i="6" a="1"/>
  <c r="M989" i="6" s="1"/>
  <c r="M990" i="6" a="1"/>
  <c r="M990" i="6" s="1"/>
  <c r="M991" i="6" a="1"/>
  <c r="M991" i="6" s="1"/>
  <c r="M992" i="6" a="1"/>
  <c r="M992" i="6" s="1"/>
  <c r="M993" i="6" a="1"/>
  <c r="M993" i="6" s="1"/>
  <c r="M994" i="6" a="1"/>
  <c r="M994" i="6" s="1"/>
  <c r="M995" i="6" a="1"/>
  <c r="M995" i="6" s="1"/>
  <c r="M996" i="6" a="1"/>
  <c r="M996" i="6" s="1"/>
  <c r="M997" i="6" a="1"/>
  <c r="M997" i="6" s="1"/>
  <c r="M998" i="6" a="1"/>
  <c r="M998" i="6" s="1"/>
  <c r="M999" i="6" a="1"/>
  <c r="M999" i="6" s="1"/>
  <c r="M1000" i="6" a="1"/>
  <c r="M1000" i="6" s="1"/>
  <c r="M1001" i="6" a="1"/>
  <c r="M1001" i="6" s="1"/>
  <c r="M1002" i="6" a="1"/>
  <c r="M1002" i="6" s="1"/>
  <c r="M4" i="6" a="1"/>
  <c r="M4" i="6" s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4" i="6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E367" i="6" a="1"/>
  <c r="E367" i="6" s="1"/>
  <c r="E368" i="6" a="1"/>
  <c r="E368" i="6" s="1"/>
  <c r="E369" i="6" a="1"/>
  <c r="E369" i="6" s="1"/>
  <c r="E370" i="6" a="1"/>
  <c r="E370" i="6" s="1"/>
  <c r="E371" i="6" a="1"/>
  <c r="E371" i="6" s="1"/>
  <c r="E372" i="6" a="1"/>
  <c r="E372" i="6" s="1"/>
  <c r="E373" i="6" a="1"/>
  <c r="E373" i="6" s="1"/>
  <c r="E374" i="6" a="1"/>
  <c r="E374" i="6" s="1"/>
  <c r="E375" i="6" a="1"/>
  <c r="E375" i="6" s="1"/>
  <c r="E376" i="6" a="1"/>
  <c r="E376" i="6" s="1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 s="1"/>
  <c r="E384" i="6" a="1"/>
  <c r="E384" i="6" s="1"/>
  <c r="E385" i="6" a="1"/>
  <c r="E385" i="6" s="1"/>
  <c r="E386" i="6" a="1"/>
  <c r="E386" i="6" s="1"/>
  <c r="E387" i="6" a="1"/>
  <c r="E387" i="6" s="1"/>
  <c r="E388" i="6" a="1"/>
  <c r="E388" i="6" s="1"/>
  <c r="E389" i="6" a="1"/>
  <c r="E389" i="6" s="1"/>
  <c r="E390" i="6" a="1"/>
  <c r="E390" i="6" s="1"/>
  <c r="E391" i="6" a="1"/>
  <c r="E391" i="6" s="1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 s="1"/>
  <c r="E400" i="6" a="1"/>
  <c r="E400" i="6" s="1"/>
  <c r="E401" i="6" a="1"/>
  <c r="E401" i="6" s="1"/>
  <c r="E402" i="6" a="1"/>
  <c r="E402" i="6" s="1"/>
  <c r="E403" i="6" a="1"/>
  <c r="E403" i="6" s="1"/>
  <c r="E404" i="6" a="1"/>
  <c r="E404" i="6" s="1"/>
  <c r="E405" i="6" a="1"/>
  <c r="E405" i="6" s="1"/>
  <c r="E406" i="6" a="1"/>
  <c r="E406" i="6" s="1"/>
  <c r="E407" i="6" a="1"/>
  <c r="E407" i="6" s="1"/>
  <c r="E408" i="6" a="1"/>
  <c r="E408" i="6" s="1"/>
  <c r="E409" i="6" a="1"/>
  <c r="E409" i="6" s="1"/>
  <c r="E410" i="6" a="1"/>
  <c r="E410" i="6" s="1"/>
  <c r="E411" i="6" a="1"/>
  <c r="E411" i="6" s="1"/>
  <c r="E412" i="6" a="1"/>
  <c r="E412" i="6" s="1"/>
  <c r="E413" i="6" a="1"/>
  <c r="E413" i="6" s="1"/>
  <c r="E414" i="6" a="1"/>
  <c r="E414" i="6" s="1"/>
  <c r="E415" i="6" a="1"/>
  <c r="E415" i="6" s="1"/>
  <c r="E416" i="6" a="1"/>
  <c r="E416" i="6" s="1"/>
  <c r="E417" i="6" a="1"/>
  <c r="E417" i="6" s="1"/>
  <c r="E418" i="6" a="1"/>
  <c r="E418" i="6" s="1"/>
  <c r="E419" i="6" a="1"/>
  <c r="E419" i="6" s="1"/>
  <c r="E420" i="6" a="1"/>
  <c r="E420" i="6" s="1"/>
  <c r="E421" i="6" a="1"/>
  <c r="E421" i="6" s="1"/>
  <c r="E422" i="6" a="1"/>
  <c r="E422" i="6" s="1"/>
  <c r="E423" i="6" a="1"/>
  <c r="E423" i="6" s="1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 s="1"/>
  <c r="E430" i="6" a="1"/>
  <c r="E430" i="6" s="1"/>
  <c r="E431" i="6" a="1"/>
  <c r="E431" i="6" s="1"/>
  <c r="E432" i="6" a="1"/>
  <c r="E432" i="6" s="1"/>
  <c r="E433" i="6" a="1"/>
  <c r="E433" i="6" s="1"/>
  <c r="E434" i="6" a="1"/>
  <c r="E434" i="6" s="1"/>
  <c r="E435" i="6" a="1"/>
  <c r="E435" i="6" s="1"/>
  <c r="E436" i="6" a="1"/>
  <c r="E436" i="6" s="1"/>
  <c r="E437" i="6" a="1"/>
  <c r="E437" i="6" s="1"/>
  <c r="E438" i="6" a="1"/>
  <c r="E438" i="6" s="1"/>
  <c r="E439" i="6" a="1"/>
  <c r="E439" i="6" s="1"/>
  <c r="E440" i="6" a="1"/>
  <c r="E440" i="6" s="1"/>
  <c r="E441" i="6" a="1"/>
  <c r="E441" i="6" s="1"/>
  <c r="E442" i="6" a="1"/>
  <c r="E442" i="6" s="1"/>
  <c r="E443" i="6" a="1"/>
  <c r="E443" i="6" s="1"/>
  <c r="E444" i="6" a="1"/>
  <c r="E444" i="6" s="1"/>
  <c r="E445" i="6" a="1"/>
  <c r="E445" i="6" s="1"/>
  <c r="E446" i="6" a="1"/>
  <c r="E446" i="6" s="1"/>
  <c r="E447" i="6" a="1"/>
  <c r="E447" i="6" s="1"/>
  <c r="E448" i="6" a="1"/>
  <c r="E448" i="6" s="1"/>
  <c r="E449" i="6" a="1"/>
  <c r="E449" i="6" s="1"/>
  <c r="E450" i="6" a="1"/>
  <c r="E450" i="6" s="1"/>
  <c r="E451" i="6" a="1"/>
  <c r="E451" i="6" s="1"/>
  <c r="E452" i="6" a="1"/>
  <c r="E452" i="6" s="1"/>
  <c r="E453" i="6" a="1"/>
  <c r="E453" i="6" s="1"/>
  <c r="E454" i="6" a="1"/>
  <c r="E454" i="6" s="1"/>
  <c r="E455" i="6" a="1"/>
  <c r="E455" i="6" s="1"/>
  <c r="E456" i="6" a="1"/>
  <c r="E456" i="6" s="1"/>
  <c r="E457" i="6" a="1"/>
  <c r="E457" i="6" s="1"/>
  <c r="E458" i="6" a="1"/>
  <c r="E458" i="6" s="1"/>
  <c r="E459" i="6" a="1"/>
  <c r="E459" i="6" s="1"/>
  <c r="E460" i="6" a="1"/>
  <c r="E460" i="6" s="1"/>
  <c r="E461" i="6" a="1"/>
  <c r="E461" i="6" s="1"/>
  <c r="E462" i="6" a="1"/>
  <c r="E462" i="6" s="1"/>
  <c r="E463" i="6" a="1"/>
  <c r="E463" i="6" s="1"/>
  <c r="E464" i="6" a="1"/>
  <c r="E464" i="6" s="1"/>
  <c r="E465" i="6" a="1"/>
  <c r="E465" i="6" s="1"/>
  <c r="E466" i="6" a="1"/>
  <c r="E466" i="6" s="1"/>
  <c r="E467" i="6" a="1"/>
  <c r="E467" i="6" s="1"/>
  <c r="E468" i="6" a="1"/>
  <c r="E468" i="6" s="1"/>
  <c r="E469" i="6" a="1"/>
  <c r="E469" i="6" s="1"/>
  <c r="E470" i="6" a="1"/>
  <c r="E470" i="6" s="1"/>
  <c r="E471" i="6" a="1"/>
  <c r="E471" i="6" s="1"/>
  <c r="E472" i="6" a="1"/>
  <c r="E472" i="6" s="1"/>
  <c r="E473" i="6" a="1"/>
  <c r="E473" i="6" s="1"/>
  <c r="E474" i="6" a="1"/>
  <c r="E474" i="6" s="1"/>
  <c r="E475" i="6" a="1"/>
  <c r="E475" i="6" s="1"/>
  <c r="E476" i="6" a="1"/>
  <c r="E476" i="6" s="1"/>
  <c r="E477" i="6" a="1"/>
  <c r="E477" i="6" s="1"/>
  <c r="E478" i="6" a="1"/>
  <c r="E478" i="6" s="1"/>
  <c r="E479" i="6" a="1"/>
  <c r="E479" i="6" s="1"/>
  <c r="E480" i="6" a="1"/>
  <c r="E480" i="6" s="1"/>
  <c r="E481" i="6" a="1"/>
  <c r="E481" i="6" s="1"/>
  <c r="E482" i="6" a="1"/>
  <c r="E482" i="6" s="1"/>
  <c r="E483" i="6" a="1"/>
  <c r="E483" i="6" s="1"/>
  <c r="E484" i="6" a="1"/>
  <c r="E484" i="6" s="1"/>
  <c r="E485" i="6" a="1"/>
  <c r="E485" i="6" s="1"/>
  <c r="E486" i="6" a="1"/>
  <c r="E486" i="6" s="1"/>
  <c r="E487" i="6" a="1"/>
  <c r="E487" i="6" s="1"/>
  <c r="E488" i="6" a="1"/>
  <c r="E488" i="6" s="1"/>
  <c r="E489" i="6" a="1"/>
  <c r="E489" i="6" s="1"/>
  <c r="E490" i="6" a="1"/>
  <c r="E490" i="6" s="1"/>
  <c r="E491" i="6" a="1"/>
  <c r="E491" i="6" s="1"/>
  <c r="E492" i="6" a="1"/>
  <c r="E492" i="6" s="1"/>
  <c r="E493" i="6" a="1"/>
  <c r="E493" i="6" s="1"/>
  <c r="E494" i="6" a="1"/>
  <c r="E494" i="6" s="1"/>
  <c r="E495" i="6" a="1"/>
  <c r="E495" i="6" s="1"/>
  <c r="E496" i="6" a="1"/>
  <c r="E496" i="6" s="1"/>
  <c r="E497" i="6" a="1"/>
  <c r="E497" i="6" s="1"/>
  <c r="E498" i="6" a="1"/>
  <c r="E498" i="6" s="1"/>
  <c r="E499" i="6" a="1"/>
  <c r="E499" i="6" s="1"/>
  <c r="E500" i="6" a="1"/>
  <c r="E500" i="6" s="1"/>
  <c r="E501" i="6" a="1"/>
  <c r="E501" i="6" s="1"/>
  <c r="E502" i="6" a="1"/>
  <c r="E502" i="6" s="1"/>
  <c r="E503" i="6" a="1"/>
  <c r="E503" i="6" s="1"/>
  <c r="E504" i="6" a="1"/>
  <c r="E504" i="6" s="1"/>
  <c r="E505" i="6" a="1"/>
  <c r="E505" i="6" s="1"/>
  <c r="E506" i="6" a="1"/>
  <c r="E506" i="6" s="1"/>
  <c r="E507" i="6" a="1"/>
  <c r="E507" i="6" s="1"/>
  <c r="E508" i="6" a="1"/>
  <c r="E508" i="6" s="1"/>
  <c r="E509" i="6" a="1"/>
  <c r="E509" i="6" s="1"/>
  <c r="E510" i="6" a="1"/>
  <c r="E510" i="6" s="1"/>
  <c r="E511" i="6" a="1"/>
  <c r="E511" i="6" s="1"/>
  <c r="E512" i="6" a="1"/>
  <c r="E512" i="6" s="1"/>
  <c r="E513" i="6" a="1"/>
  <c r="E513" i="6" s="1"/>
  <c r="E514" i="6" a="1"/>
  <c r="E514" i="6" s="1"/>
  <c r="E515" i="6" a="1"/>
  <c r="E515" i="6" s="1"/>
  <c r="E516" i="6" a="1"/>
  <c r="E516" i="6" s="1"/>
  <c r="E517" i="6" a="1"/>
  <c r="E517" i="6" s="1"/>
  <c r="E518" i="6" a="1"/>
  <c r="E518" i="6" s="1"/>
  <c r="E519" i="6" a="1"/>
  <c r="E519" i="6" s="1"/>
  <c r="E520" i="6" a="1"/>
  <c r="E520" i="6" s="1"/>
  <c r="E521" i="6" a="1"/>
  <c r="E521" i="6" s="1"/>
  <c r="E522" i="6" a="1"/>
  <c r="E522" i="6" s="1"/>
  <c r="E523" i="6" a="1"/>
  <c r="E523" i="6" s="1"/>
  <c r="E524" i="6" a="1"/>
  <c r="E524" i="6" s="1"/>
  <c r="E525" i="6" a="1"/>
  <c r="E525" i="6" s="1"/>
  <c r="E526" i="6" a="1"/>
  <c r="E526" i="6" s="1"/>
  <c r="E527" i="6" a="1"/>
  <c r="E527" i="6" s="1"/>
  <c r="E528" i="6" a="1"/>
  <c r="E528" i="6" s="1"/>
  <c r="E529" i="6" a="1"/>
  <c r="E529" i="6" s="1"/>
  <c r="E530" i="6" a="1"/>
  <c r="E530" i="6" s="1"/>
  <c r="E531" i="6" a="1"/>
  <c r="E531" i="6" s="1"/>
  <c r="E532" i="6" a="1"/>
  <c r="E532" i="6" s="1"/>
  <c r="E533" i="6" a="1"/>
  <c r="E533" i="6" s="1"/>
  <c r="E534" i="6" a="1"/>
  <c r="E534" i="6" s="1"/>
  <c r="E535" i="6" a="1"/>
  <c r="E535" i="6" s="1"/>
  <c r="E536" i="6" a="1"/>
  <c r="E536" i="6" s="1"/>
  <c r="E537" i="6" a="1"/>
  <c r="E537" i="6" s="1"/>
  <c r="E538" i="6" a="1"/>
  <c r="E538" i="6" s="1"/>
  <c r="E539" i="6" a="1"/>
  <c r="E539" i="6" s="1"/>
  <c r="E540" i="6" a="1"/>
  <c r="E540" i="6" s="1"/>
  <c r="E541" i="6" a="1"/>
  <c r="E541" i="6" s="1"/>
  <c r="E542" i="6" a="1"/>
  <c r="E542" i="6" s="1"/>
  <c r="E543" i="6" a="1"/>
  <c r="E543" i="6" s="1"/>
  <c r="E544" i="6" a="1"/>
  <c r="E544" i="6" s="1"/>
  <c r="E545" i="6" a="1"/>
  <c r="E545" i="6" s="1"/>
  <c r="E546" i="6" a="1"/>
  <c r="E546" i="6" s="1"/>
  <c r="E547" i="6" a="1"/>
  <c r="E547" i="6" s="1"/>
  <c r="E548" i="6" a="1"/>
  <c r="E548" i="6" s="1"/>
  <c r="E549" i="6" a="1"/>
  <c r="E549" i="6" s="1"/>
  <c r="E550" i="6" a="1"/>
  <c r="E550" i="6" s="1"/>
  <c r="E551" i="6" a="1"/>
  <c r="E551" i="6" s="1"/>
  <c r="E552" i="6" a="1"/>
  <c r="E552" i="6" s="1"/>
  <c r="E553" i="6" a="1"/>
  <c r="E553" i="6" s="1"/>
  <c r="E554" i="6" a="1"/>
  <c r="E554" i="6" s="1"/>
  <c r="E555" i="6" a="1"/>
  <c r="E555" i="6" s="1"/>
  <c r="E556" i="6" a="1"/>
  <c r="E556" i="6" s="1"/>
  <c r="E557" i="6" a="1"/>
  <c r="E557" i="6" s="1"/>
  <c r="E558" i="6" a="1"/>
  <c r="E558" i="6" s="1"/>
  <c r="E559" i="6" a="1"/>
  <c r="E559" i="6" s="1"/>
  <c r="E560" i="6" a="1"/>
  <c r="E560" i="6" s="1"/>
  <c r="E561" i="6" a="1"/>
  <c r="E561" i="6" s="1"/>
  <c r="E562" i="6" a="1"/>
  <c r="E562" i="6" s="1"/>
  <c r="E563" i="6" a="1"/>
  <c r="E563" i="6" s="1"/>
  <c r="E564" i="6" a="1"/>
  <c r="E564" i="6" s="1"/>
  <c r="E565" i="6" a="1"/>
  <c r="E565" i="6" s="1"/>
  <c r="E566" i="6" a="1"/>
  <c r="E566" i="6" s="1"/>
  <c r="E567" i="6" a="1"/>
  <c r="E567" i="6" s="1"/>
  <c r="E568" i="6" a="1"/>
  <c r="E568" i="6" s="1"/>
  <c r="E569" i="6" a="1"/>
  <c r="E569" i="6" s="1"/>
  <c r="E570" i="6" a="1"/>
  <c r="E570" i="6" s="1"/>
  <c r="E571" i="6" a="1"/>
  <c r="E571" i="6" s="1"/>
  <c r="E572" i="6" a="1"/>
  <c r="E572" i="6" s="1"/>
  <c r="E573" i="6" a="1"/>
  <c r="E573" i="6" s="1"/>
  <c r="E574" i="6" a="1"/>
  <c r="E574" i="6" s="1"/>
  <c r="E575" i="6" a="1"/>
  <c r="E575" i="6" s="1"/>
  <c r="E576" i="6" a="1"/>
  <c r="E576" i="6" s="1"/>
  <c r="E577" i="6" a="1"/>
  <c r="E577" i="6" s="1"/>
  <c r="E578" i="6" a="1"/>
  <c r="E578" i="6" s="1"/>
  <c r="E579" i="6" a="1"/>
  <c r="E579" i="6" s="1"/>
  <c r="E580" i="6" a="1"/>
  <c r="E580" i="6" s="1"/>
  <c r="E581" i="6" a="1"/>
  <c r="E581" i="6" s="1"/>
  <c r="E582" i="6" a="1"/>
  <c r="E582" i="6" s="1"/>
  <c r="E583" i="6" a="1"/>
  <c r="E583" i="6" s="1"/>
  <c r="E584" i="6" a="1"/>
  <c r="E584" i="6" s="1"/>
  <c r="E585" i="6" a="1"/>
  <c r="E585" i="6" s="1"/>
  <c r="E586" i="6" a="1"/>
  <c r="E586" i="6" s="1"/>
  <c r="E587" i="6" a="1"/>
  <c r="E587" i="6" s="1"/>
  <c r="E588" i="6" a="1"/>
  <c r="E588" i="6" s="1"/>
  <c r="E589" i="6" a="1"/>
  <c r="E589" i="6" s="1"/>
  <c r="E590" i="6" a="1"/>
  <c r="E590" i="6" s="1"/>
  <c r="E591" i="6" a="1"/>
  <c r="E591" i="6" s="1"/>
  <c r="E592" i="6" a="1"/>
  <c r="E592" i="6" s="1"/>
  <c r="E593" i="6" a="1"/>
  <c r="E593" i="6" s="1"/>
  <c r="E594" i="6" a="1"/>
  <c r="E594" i="6" s="1"/>
  <c r="E595" i="6" a="1"/>
  <c r="E595" i="6" s="1"/>
  <c r="E596" i="6" a="1"/>
  <c r="E596" i="6" s="1"/>
  <c r="E597" i="6" a="1"/>
  <c r="E597" i="6" s="1"/>
  <c r="E598" i="6" a="1"/>
  <c r="E598" i="6" s="1"/>
  <c r="E599" i="6" a="1"/>
  <c r="E599" i="6" s="1"/>
  <c r="E600" i="6" a="1"/>
  <c r="E600" i="6" s="1"/>
  <c r="E601" i="6" a="1"/>
  <c r="E601" i="6" s="1"/>
  <c r="E602" i="6" a="1"/>
  <c r="E602" i="6" s="1"/>
  <c r="E603" i="6" a="1"/>
  <c r="E603" i="6" s="1"/>
  <c r="E604" i="6" a="1"/>
  <c r="E604" i="6" s="1"/>
  <c r="E605" i="6" a="1"/>
  <c r="E605" i="6" s="1"/>
  <c r="E606" i="6" a="1"/>
  <c r="E606" i="6" s="1"/>
  <c r="E607" i="6" a="1"/>
  <c r="E607" i="6" s="1"/>
  <c r="E608" i="6" a="1"/>
  <c r="E608" i="6" s="1"/>
  <c r="E609" i="6" a="1"/>
  <c r="E609" i="6" s="1"/>
  <c r="E610" i="6" a="1"/>
  <c r="E610" i="6" s="1"/>
  <c r="E611" i="6" a="1"/>
  <c r="E611" i="6" s="1"/>
  <c r="E612" i="6" a="1"/>
  <c r="E612" i="6" s="1"/>
  <c r="E613" i="6" a="1"/>
  <c r="E613" i="6" s="1"/>
  <c r="E614" i="6" a="1"/>
  <c r="E614" i="6" s="1"/>
  <c r="E615" i="6" a="1"/>
  <c r="E615" i="6" s="1"/>
  <c r="E616" i="6" a="1"/>
  <c r="E616" i="6" s="1"/>
  <c r="E617" i="6" a="1"/>
  <c r="E617" i="6" s="1"/>
  <c r="E618" i="6" a="1"/>
  <c r="E618" i="6" s="1"/>
  <c r="E619" i="6" a="1"/>
  <c r="E619" i="6" s="1"/>
  <c r="E620" i="6" a="1"/>
  <c r="E620" i="6" s="1"/>
  <c r="E621" i="6" a="1"/>
  <c r="E621" i="6" s="1"/>
  <c r="E622" i="6" a="1"/>
  <c r="E622" i="6" s="1"/>
  <c r="E623" i="6" a="1"/>
  <c r="E623" i="6" s="1"/>
  <c r="E624" i="6" a="1"/>
  <c r="E624" i="6" s="1"/>
  <c r="E625" i="6" a="1"/>
  <c r="E625" i="6" s="1"/>
  <c r="E626" i="6" a="1"/>
  <c r="E626" i="6" s="1"/>
  <c r="E627" i="6" a="1"/>
  <c r="E627" i="6" s="1"/>
  <c r="E628" i="6" a="1"/>
  <c r="E628" i="6" s="1"/>
  <c r="E629" i="6" a="1"/>
  <c r="E629" i="6" s="1"/>
  <c r="E630" i="6" a="1"/>
  <c r="E630" i="6" s="1"/>
  <c r="E631" i="6" a="1"/>
  <c r="E631" i="6" s="1"/>
  <c r="E632" i="6" a="1"/>
  <c r="E632" i="6" s="1"/>
  <c r="E633" i="6" a="1"/>
  <c r="E633" i="6" s="1"/>
  <c r="E634" i="6" a="1"/>
  <c r="E634" i="6" s="1"/>
  <c r="E635" i="6" a="1"/>
  <c r="E635" i="6" s="1"/>
  <c r="E636" i="6" a="1"/>
  <c r="E636" i="6" s="1"/>
  <c r="E637" i="6" a="1"/>
  <c r="E637" i="6" s="1"/>
  <c r="E638" i="6" a="1"/>
  <c r="E638" i="6" s="1"/>
  <c r="E639" i="6" a="1"/>
  <c r="E639" i="6" s="1"/>
  <c r="E640" i="6" a="1"/>
  <c r="E640" i="6" s="1"/>
  <c r="E641" i="6" a="1"/>
  <c r="E641" i="6" s="1"/>
  <c r="E642" i="6" a="1"/>
  <c r="E642" i="6" s="1"/>
  <c r="E643" i="6" a="1"/>
  <c r="E643" i="6" s="1"/>
  <c r="E644" i="6" a="1"/>
  <c r="E644" i="6" s="1"/>
  <c r="E645" i="6" a="1"/>
  <c r="E645" i="6" s="1"/>
  <c r="E646" i="6" a="1"/>
  <c r="E646" i="6" s="1"/>
  <c r="E647" i="6" a="1"/>
  <c r="E647" i="6" s="1"/>
  <c r="E648" i="6" a="1"/>
  <c r="E648" i="6" s="1"/>
  <c r="E649" i="6" a="1"/>
  <c r="E649" i="6" s="1"/>
  <c r="E650" i="6" a="1"/>
  <c r="E650" i="6" s="1"/>
  <c r="E651" i="6" a="1"/>
  <c r="E651" i="6" s="1"/>
  <c r="E652" i="6" a="1"/>
  <c r="E652" i="6" s="1"/>
  <c r="E653" i="6" a="1"/>
  <c r="E653" i="6" s="1"/>
  <c r="E654" i="6" a="1"/>
  <c r="E654" i="6" s="1"/>
  <c r="E655" i="6" a="1"/>
  <c r="E655" i="6" s="1"/>
  <c r="E656" i="6" a="1"/>
  <c r="E656" i="6" s="1"/>
  <c r="E657" i="6" a="1"/>
  <c r="E657" i="6" s="1"/>
  <c r="E658" i="6" a="1"/>
  <c r="E658" i="6" s="1"/>
  <c r="E659" i="6" a="1"/>
  <c r="E659" i="6" s="1"/>
  <c r="E660" i="6" a="1"/>
  <c r="E660" i="6" s="1"/>
  <c r="E661" i="6" a="1"/>
  <c r="E661" i="6" s="1"/>
  <c r="E662" i="6" a="1"/>
  <c r="E662" i="6" s="1"/>
  <c r="E663" i="6" a="1"/>
  <c r="E663" i="6" s="1"/>
  <c r="E664" i="6" a="1"/>
  <c r="E664" i="6" s="1"/>
  <c r="E665" i="6" a="1"/>
  <c r="E665" i="6" s="1"/>
  <c r="E666" i="6" a="1"/>
  <c r="E666" i="6" s="1"/>
  <c r="E667" i="6" a="1"/>
  <c r="E667" i="6" s="1"/>
  <c r="E668" i="6" a="1"/>
  <c r="E668" i="6" s="1"/>
  <c r="E669" i="6" a="1"/>
  <c r="E669" i="6" s="1"/>
  <c r="E670" i="6" a="1"/>
  <c r="E670" i="6" s="1"/>
  <c r="E671" i="6" a="1"/>
  <c r="E671" i="6" s="1"/>
  <c r="E672" i="6" a="1"/>
  <c r="E672" i="6" s="1"/>
  <c r="E673" i="6" a="1"/>
  <c r="E673" i="6" s="1"/>
  <c r="E674" i="6" a="1"/>
  <c r="E674" i="6" s="1"/>
  <c r="E675" i="6" a="1"/>
  <c r="E675" i="6" s="1"/>
  <c r="E676" i="6" a="1"/>
  <c r="E676" i="6" s="1"/>
  <c r="E677" i="6" a="1"/>
  <c r="E677" i="6" s="1"/>
  <c r="E678" i="6" a="1"/>
  <c r="E678" i="6" s="1"/>
  <c r="E679" i="6" a="1"/>
  <c r="E679" i="6" s="1"/>
  <c r="E680" i="6" a="1"/>
  <c r="E680" i="6" s="1"/>
  <c r="E681" i="6" a="1"/>
  <c r="E681" i="6" s="1"/>
  <c r="E682" i="6" a="1"/>
  <c r="E682" i="6" s="1"/>
  <c r="E683" i="6" a="1"/>
  <c r="E683" i="6" s="1"/>
  <c r="E684" i="6" a="1"/>
  <c r="E684" i="6" s="1"/>
  <c r="E685" i="6" a="1"/>
  <c r="E685" i="6" s="1"/>
  <c r="E686" i="6" a="1"/>
  <c r="E686" i="6" s="1"/>
  <c r="E687" i="6" a="1"/>
  <c r="E687" i="6" s="1"/>
  <c r="E688" i="6" a="1"/>
  <c r="E688" i="6" s="1"/>
  <c r="E689" i="6" a="1"/>
  <c r="E689" i="6" s="1"/>
  <c r="E690" i="6" a="1"/>
  <c r="E690" i="6" s="1"/>
  <c r="E691" i="6" a="1"/>
  <c r="E691" i="6" s="1"/>
  <c r="E692" i="6" a="1"/>
  <c r="E692" i="6" s="1"/>
  <c r="E693" i="6" a="1"/>
  <c r="E693" i="6" s="1"/>
  <c r="E694" i="6" a="1"/>
  <c r="E694" i="6" s="1"/>
  <c r="E695" i="6" a="1"/>
  <c r="E695" i="6" s="1"/>
  <c r="E696" i="6" a="1"/>
  <c r="E696" i="6" s="1"/>
  <c r="E697" i="6" a="1"/>
  <c r="E697" i="6" s="1"/>
  <c r="E698" i="6" a="1"/>
  <c r="E698" i="6" s="1"/>
  <c r="E699" i="6" a="1"/>
  <c r="E699" i="6" s="1"/>
  <c r="E700" i="6" a="1"/>
  <c r="E700" i="6" s="1"/>
  <c r="E701" i="6" a="1"/>
  <c r="E701" i="6" s="1"/>
  <c r="E702" i="6" a="1"/>
  <c r="E702" i="6" s="1"/>
  <c r="E703" i="6" a="1"/>
  <c r="E703" i="6" s="1"/>
  <c r="E704" i="6" a="1"/>
  <c r="E704" i="6" s="1"/>
  <c r="E705" i="6" a="1"/>
  <c r="E705" i="6" s="1"/>
  <c r="E706" i="6" a="1"/>
  <c r="E706" i="6" s="1"/>
  <c r="E707" i="6" a="1"/>
  <c r="E707" i="6" s="1"/>
  <c r="E708" i="6" a="1"/>
  <c r="E708" i="6" s="1"/>
  <c r="E709" i="6" a="1"/>
  <c r="E709" i="6" s="1"/>
  <c r="E710" i="6" a="1"/>
  <c r="E710" i="6" s="1"/>
  <c r="E711" i="6" a="1"/>
  <c r="E711" i="6" s="1"/>
  <c r="E712" i="6" a="1"/>
  <c r="E712" i="6" s="1"/>
  <c r="E713" i="6" a="1"/>
  <c r="E713" i="6" s="1"/>
  <c r="E714" i="6" a="1"/>
  <c r="E714" i="6" s="1"/>
  <c r="E715" i="6" a="1"/>
  <c r="E715" i="6" s="1"/>
  <c r="E716" i="6" a="1"/>
  <c r="E716" i="6" s="1"/>
  <c r="E717" i="6" a="1"/>
  <c r="E717" i="6" s="1"/>
  <c r="E718" i="6" a="1"/>
  <c r="E718" i="6" s="1"/>
  <c r="E719" i="6" a="1"/>
  <c r="E719" i="6" s="1"/>
  <c r="E720" i="6" a="1"/>
  <c r="E720" i="6" s="1"/>
  <c r="E721" i="6" a="1"/>
  <c r="E721" i="6" s="1"/>
  <c r="E722" i="6" a="1"/>
  <c r="E722" i="6" s="1"/>
  <c r="E723" i="6" a="1"/>
  <c r="E723" i="6" s="1"/>
  <c r="E724" i="6" a="1"/>
  <c r="E724" i="6" s="1"/>
  <c r="E725" i="6" a="1"/>
  <c r="E725" i="6" s="1"/>
  <c r="E726" i="6" a="1"/>
  <c r="E726" i="6" s="1"/>
  <c r="E727" i="6" a="1"/>
  <c r="E727" i="6" s="1"/>
  <c r="E728" i="6" a="1"/>
  <c r="E728" i="6" s="1"/>
  <c r="E729" i="6" a="1"/>
  <c r="E729" i="6" s="1"/>
  <c r="E730" i="6" a="1"/>
  <c r="E730" i="6" s="1"/>
  <c r="E731" i="6" a="1"/>
  <c r="E731" i="6" s="1"/>
  <c r="E732" i="6" a="1"/>
  <c r="E732" i="6" s="1"/>
  <c r="E733" i="6" a="1"/>
  <c r="E733" i="6" s="1"/>
  <c r="E734" i="6" a="1"/>
  <c r="E734" i="6" s="1"/>
  <c r="E735" i="6" a="1"/>
  <c r="E735" i="6" s="1"/>
  <c r="E736" i="6" a="1"/>
  <c r="E736" i="6" s="1"/>
  <c r="E737" i="6" a="1"/>
  <c r="E737" i="6" s="1"/>
  <c r="E738" i="6" a="1"/>
  <c r="E738" i="6" s="1"/>
  <c r="E739" i="6" a="1"/>
  <c r="E739" i="6" s="1"/>
  <c r="E740" i="6" a="1"/>
  <c r="E740" i="6" s="1"/>
  <c r="E741" i="6" a="1"/>
  <c r="E741" i="6" s="1"/>
  <c r="E742" i="6" a="1"/>
  <c r="E742" i="6" s="1"/>
  <c r="E743" i="6" a="1"/>
  <c r="E743" i="6" s="1"/>
  <c r="E744" i="6" a="1"/>
  <c r="E744" i="6" s="1"/>
  <c r="E745" i="6" a="1"/>
  <c r="E745" i="6" s="1"/>
  <c r="E746" i="6" a="1"/>
  <c r="E746" i="6" s="1"/>
  <c r="E747" i="6" a="1"/>
  <c r="E747" i="6" s="1"/>
  <c r="E748" i="6" a="1"/>
  <c r="E748" i="6" s="1"/>
  <c r="E749" i="6" a="1"/>
  <c r="E749" i="6" s="1"/>
  <c r="E750" i="6" a="1"/>
  <c r="E750" i="6" s="1"/>
  <c r="E751" i="6" a="1"/>
  <c r="E751" i="6" s="1"/>
  <c r="E752" i="6" a="1"/>
  <c r="E752" i="6" s="1"/>
  <c r="E753" i="6" a="1"/>
  <c r="E753" i="6" s="1"/>
  <c r="E754" i="6" a="1"/>
  <c r="E754" i="6" s="1"/>
  <c r="E755" i="6" a="1"/>
  <c r="E755" i="6" s="1"/>
  <c r="E756" i="6" a="1"/>
  <c r="E756" i="6" s="1"/>
  <c r="E757" i="6" a="1"/>
  <c r="E757" i="6" s="1"/>
  <c r="E758" i="6" a="1"/>
  <c r="E758" i="6" s="1"/>
  <c r="E759" i="6" a="1"/>
  <c r="E759" i="6" s="1"/>
  <c r="E760" i="6" a="1"/>
  <c r="E760" i="6" s="1"/>
  <c r="E761" i="6" a="1"/>
  <c r="E761" i="6" s="1"/>
  <c r="E762" i="6" a="1"/>
  <c r="E762" i="6" s="1"/>
  <c r="E763" i="6" a="1"/>
  <c r="E763" i="6" s="1"/>
  <c r="E764" i="6" a="1"/>
  <c r="E764" i="6" s="1"/>
  <c r="E765" i="6" a="1"/>
  <c r="E765" i="6" s="1"/>
  <c r="E766" i="6" a="1"/>
  <c r="E766" i="6" s="1"/>
  <c r="E767" i="6" a="1"/>
  <c r="E767" i="6" s="1"/>
  <c r="E768" i="6" a="1"/>
  <c r="E768" i="6" s="1"/>
  <c r="E769" i="6" a="1"/>
  <c r="E769" i="6" s="1"/>
  <c r="E770" i="6" a="1"/>
  <c r="E770" i="6" s="1"/>
  <c r="E771" i="6" a="1"/>
  <c r="E771" i="6" s="1"/>
  <c r="E772" i="6" a="1"/>
  <c r="E772" i="6" s="1"/>
  <c r="E773" i="6" a="1"/>
  <c r="E773" i="6" s="1"/>
  <c r="E774" i="6" a="1"/>
  <c r="E774" i="6" s="1"/>
  <c r="E775" i="6" a="1"/>
  <c r="E775" i="6" s="1"/>
  <c r="E776" i="6" a="1"/>
  <c r="E776" i="6" s="1"/>
  <c r="E777" i="6" a="1"/>
  <c r="E777" i="6" s="1"/>
  <c r="E778" i="6" a="1"/>
  <c r="E778" i="6" s="1"/>
  <c r="E779" i="6" a="1"/>
  <c r="E779" i="6" s="1"/>
  <c r="E780" i="6" a="1"/>
  <c r="E780" i="6" s="1"/>
  <c r="E781" i="6" a="1"/>
  <c r="E781" i="6" s="1"/>
  <c r="E782" i="6" a="1"/>
  <c r="E782" i="6" s="1"/>
  <c r="E783" i="6" a="1"/>
  <c r="E783" i="6" s="1"/>
  <c r="E784" i="6" a="1"/>
  <c r="E784" i="6" s="1"/>
  <c r="E785" i="6" a="1"/>
  <c r="E785" i="6" s="1"/>
  <c r="E786" i="6" a="1"/>
  <c r="E786" i="6" s="1"/>
  <c r="E787" i="6" a="1"/>
  <c r="E787" i="6" s="1"/>
  <c r="E788" i="6" a="1"/>
  <c r="E788" i="6" s="1"/>
  <c r="E789" i="6" a="1"/>
  <c r="E789" i="6" s="1"/>
  <c r="E790" i="6" a="1"/>
  <c r="E790" i="6" s="1"/>
  <c r="E791" i="6" a="1"/>
  <c r="E791" i="6" s="1"/>
  <c r="E792" i="6" a="1"/>
  <c r="E792" i="6" s="1"/>
  <c r="E793" i="6" a="1"/>
  <c r="E793" i="6" s="1"/>
  <c r="E794" i="6" a="1"/>
  <c r="E794" i="6" s="1"/>
  <c r="E795" i="6" a="1"/>
  <c r="E795" i="6" s="1"/>
  <c r="E796" i="6" a="1"/>
  <c r="E796" i="6" s="1"/>
  <c r="E797" i="6" a="1"/>
  <c r="E797" i="6" s="1"/>
  <c r="E798" i="6" a="1"/>
  <c r="E798" i="6" s="1"/>
  <c r="E799" i="6" a="1"/>
  <c r="E799" i="6" s="1"/>
  <c r="E800" i="6" a="1"/>
  <c r="E800" i="6" s="1"/>
  <c r="E801" i="6" a="1"/>
  <c r="E801" i="6" s="1"/>
  <c r="E802" i="6" a="1"/>
  <c r="E802" i="6" s="1"/>
  <c r="E803" i="6" a="1"/>
  <c r="E803" i="6" s="1"/>
  <c r="E804" i="6" a="1"/>
  <c r="E804" i="6" s="1"/>
  <c r="E805" i="6" a="1"/>
  <c r="E805" i="6" s="1"/>
  <c r="E806" i="6" a="1"/>
  <c r="E806" i="6" s="1"/>
  <c r="E807" i="6" a="1"/>
  <c r="E807" i="6" s="1"/>
  <c r="E808" i="6" a="1"/>
  <c r="E808" i="6" s="1"/>
  <c r="E809" i="6" a="1"/>
  <c r="E809" i="6" s="1"/>
  <c r="E810" i="6" a="1"/>
  <c r="E810" i="6" s="1"/>
  <c r="E811" i="6" a="1"/>
  <c r="E811" i="6" s="1"/>
  <c r="E812" i="6" a="1"/>
  <c r="E812" i="6" s="1"/>
  <c r="E813" i="6" a="1"/>
  <c r="E813" i="6" s="1"/>
  <c r="E814" i="6" a="1"/>
  <c r="E814" i="6" s="1"/>
  <c r="E815" i="6" a="1"/>
  <c r="E815" i="6" s="1"/>
  <c r="E816" i="6" a="1"/>
  <c r="E816" i="6" s="1"/>
  <c r="E817" i="6" a="1"/>
  <c r="E817" i="6" s="1"/>
  <c r="E818" i="6" a="1"/>
  <c r="E818" i="6" s="1"/>
  <c r="E819" i="6" a="1"/>
  <c r="E819" i="6" s="1"/>
  <c r="E820" i="6" a="1"/>
  <c r="E820" i="6" s="1"/>
  <c r="E821" i="6" a="1"/>
  <c r="E821" i="6" s="1"/>
  <c r="E822" i="6" a="1"/>
  <c r="E822" i="6" s="1"/>
  <c r="E823" i="6" a="1"/>
  <c r="E823" i="6" s="1"/>
  <c r="E824" i="6" a="1"/>
  <c r="E824" i="6" s="1"/>
  <c r="E825" i="6" a="1"/>
  <c r="E825" i="6" s="1"/>
  <c r="E826" i="6" a="1"/>
  <c r="E826" i="6" s="1"/>
  <c r="E827" i="6" a="1"/>
  <c r="E827" i="6" s="1"/>
  <c r="E828" i="6" a="1"/>
  <c r="E828" i="6" s="1"/>
  <c r="E829" i="6" a="1"/>
  <c r="E829" i="6" s="1"/>
  <c r="E830" i="6" a="1"/>
  <c r="E830" i="6" s="1"/>
  <c r="E831" i="6" a="1"/>
  <c r="E831" i="6" s="1"/>
  <c r="E832" i="6" a="1"/>
  <c r="E832" i="6" s="1"/>
  <c r="E833" i="6" a="1"/>
  <c r="E833" i="6" s="1"/>
  <c r="E834" i="6" a="1"/>
  <c r="E834" i="6" s="1"/>
  <c r="E835" i="6" a="1"/>
  <c r="E835" i="6" s="1"/>
  <c r="E836" i="6" a="1"/>
  <c r="E836" i="6" s="1"/>
  <c r="E837" i="6" a="1"/>
  <c r="E837" i="6" s="1"/>
  <c r="E838" i="6" a="1"/>
  <c r="E838" i="6" s="1"/>
  <c r="E839" i="6" a="1"/>
  <c r="E839" i="6" s="1"/>
  <c r="E840" i="6" a="1"/>
  <c r="E840" i="6" s="1"/>
  <c r="E841" i="6" a="1"/>
  <c r="E841" i="6" s="1"/>
  <c r="E842" i="6" a="1"/>
  <c r="E842" i="6" s="1"/>
  <c r="E843" i="6" a="1"/>
  <c r="E843" i="6" s="1"/>
  <c r="E844" i="6" a="1"/>
  <c r="E844" i="6" s="1"/>
  <c r="E845" i="6" a="1"/>
  <c r="E845" i="6" s="1"/>
  <c r="E846" i="6" a="1"/>
  <c r="E846" i="6" s="1"/>
  <c r="E847" i="6" a="1"/>
  <c r="E847" i="6" s="1"/>
  <c r="E848" i="6" a="1"/>
  <c r="E848" i="6" s="1"/>
  <c r="E849" i="6" a="1"/>
  <c r="E849" i="6" s="1"/>
  <c r="E850" i="6" a="1"/>
  <c r="E850" i="6" s="1"/>
  <c r="E851" i="6" a="1"/>
  <c r="E851" i="6" s="1"/>
  <c r="E852" i="6" a="1"/>
  <c r="E852" i="6" s="1"/>
  <c r="E853" i="6" a="1"/>
  <c r="E853" i="6" s="1"/>
  <c r="E854" i="6" a="1"/>
  <c r="E854" i="6" s="1"/>
  <c r="E855" i="6" a="1"/>
  <c r="E855" i="6" s="1"/>
  <c r="E856" i="6" a="1"/>
  <c r="E856" i="6" s="1"/>
  <c r="E857" i="6" a="1"/>
  <c r="E857" i="6" s="1"/>
  <c r="E858" i="6" a="1"/>
  <c r="E858" i="6" s="1"/>
  <c r="E859" i="6" a="1"/>
  <c r="E859" i="6" s="1"/>
  <c r="E860" i="6" a="1"/>
  <c r="E860" i="6" s="1"/>
  <c r="E861" i="6" a="1"/>
  <c r="E861" i="6" s="1"/>
  <c r="E862" i="6" a="1"/>
  <c r="E862" i="6" s="1"/>
  <c r="E863" i="6" a="1"/>
  <c r="E863" i="6" s="1"/>
  <c r="E864" i="6" a="1"/>
  <c r="E864" i="6" s="1"/>
  <c r="E865" i="6" a="1"/>
  <c r="E865" i="6" s="1"/>
  <c r="E866" i="6" a="1"/>
  <c r="E866" i="6" s="1"/>
  <c r="E867" i="6" a="1"/>
  <c r="E867" i="6" s="1"/>
  <c r="E868" i="6" a="1"/>
  <c r="E868" i="6" s="1"/>
  <c r="E869" i="6" a="1"/>
  <c r="E869" i="6" s="1"/>
  <c r="E870" i="6" a="1"/>
  <c r="E870" i="6" s="1"/>
  <c r="E871" i="6" a="1"/>
  <c r="E871" i="6" s="1"/>
  <c r="E872" i="6" a="1"/>
  <c r="E872" i="6" s="1"/>
  <c r="E873" i="6" a="1"/>
  <c r="E873" i="6" s="1"/>
  <c r="E874" i="6" a="1"/>
  <c r="E874" i="6" s="1"/>
  <c r="E875" i="6" a="1"/>
  <c r="E875" i="6" s="1"/>
  <c r="E876" i="6" a="1"/>
  <c r="E876" i="6" s="1"/>
  <c r="E877" i="6" a="1"/>
  <c r="E877" i="6" s="1"/>
  <c r="E878" i="6" a="1"/>
  <c r="E878" i="6" s="1"/>
  <c r="E879" i="6" a="1"/>
  <c r="E879" i="6" s="1"/>
  <c r="E880" i="6" a="1"/>
  <c r="E880" i="6" s="1"/>
  <c r="E881" i="6" a="1"/>
  <c r="E881" i="6" s="1"/>
  <c r="E882" i="6" a="1"/>
  <c r="E882" i="6" s="1"/>
  <c r="E883" i="6" a="1"/>
  <c r="E883" i="6" s="1"/>
  <c r="E884" i="6" a="1"/>
  <c r="E884" i="6" s="1"/>
  <c r="E885" i="6" a="1"/>
  <c r="E885" i="6" s="1"/>
  <c r="E886" i="6" a="1"/>
  <c r="E886" i="6" s="1"/>
  <c r="E887" i="6" a="1"/>
  <c r="E887" i="6" s="1"/>
  <c r="E888" i="6" a="1"/>
  <c r="E888" i="6" s="1"/>
  <c r="E889" i="6" a="1"/>
  <c r="E889" i="6" s="1"/>
  <c r="E890" i="6" a="1"/>
  <c r="E890" i="6" s="1"/>
  <c r="E891" i="6" a="1"/>
  <c r="E891" i="6" s="1"/>
  <c r="E892" i="6" a="1"/>
  <c r="E892" i="6" s="1"/>
  <c r="E893" i="6" a="1"/>
  <c r="E893" i="6" s="1"/>
  <c r="E894" i="6" a="1"/>
  <c r="E894" i="6" s="1"/>
  <c r="E895" i="6" a="1"/>
  <c r="E895" i="6" s="1"/>
  <c r="E896" i="6" a="1"/>
  <c r="E896" i="6" s="1"/>
  <c r="E897" i="6" a="1"/>
  <c r="E897" i="6" s="1"/>
  <c r="E898" i="6" a="1"/>
  <c r="E898" i="6" s="1"/>
  <c r="E899" i="6" a="1"/>
  <c r="E899" i="6" s="1"/>
  <c r="E900" i="6" a="1"/>
  <c r="E900" i="6" s="1"/>
  <c r="E901" i="6" a="1"/>
  <c r="E901" i="6" s="1"/>
  <c r="E902" i="6" a="1"/>
  <c r="E902" i="6" s="1"/>
  <c r="E903" i="6" a="1"/>
  <c r="E903" i="6" s="1"/>
  <c r="E904" i="6" a="1"/>
  <c r="E904" i="6" s="1"/>
  <c r="E905" i="6" a="1"/>
  <c r="E905" i="6" s="1"/>
  <c r="E906" i="6" a="1"/>
  <c r="E906" i="6" s="1"/>
  <c r="E907" i="6" a="1"/>
  <c r="E907" i="6" s="1"/>
  <c r="E908" i="6" a="1"/>
  <c r="E908" i="6" s="1"/>
  <c r="E909" i="6" a="1"/>
  <c r="E909" i="6" s="1"/>
  <c r="E910" i="6" a="1"/>
  <c r="E910" i="6" s="1"/>
  <c r="E911" i="6" a="1"/>
  <c r="E911" i="6" s="1"/>
  <c r="E912" i="6" a="1"/>
  <c r="E912" i="6" s="1"/>
  <c r="E913" i="6" a="1"/>
  <c r="E913" i="6" s="1"/>
  <c r="E914" i="6" a="1"/>
  <c r="E914" i="6" s="1"/>
  <c r="E915" i="6" a="1"/>
  <c r="E915" i="6" s="1"/>
  <c r="E916" i="6" a="1"/>
  <c r="E916" i="6" s="1"/>
  <c r="E917" i="6" a="1"/>
  <c r="E917" i="6" s="1"/>
  <c r="E918" i="6" a="1"/>
  <c r="E918" i="6" s="1"/>
  <c r="E919" i="6" a="1"/>
  <c r="E919" i="6" s="1"/>
  <c r="E920" i="6" a="1"/>
  <c r="E920" i="6" s="1"/>
  <c r="E921" i="6" a="1"/>
  <c r="E921" i="6" s="1"/>
  <c r="E922" i="6" a="1"/>
  <c r="E922" i="6" s="1"/>
  <c r="E923" i="6" a="1"/>
  <c r="E923" i="6" s="1"/>
  <c r="E924" i="6" a="1"/>
  <c r="E924" i="6" s="1"/>
  <c r="E925" i="6" a="1"/>
  <c r="E925" i="6" s="1"/>
  <c r="E926" i="6" a="1"/>
  <c r="E926" i="6" s="1"/>
  <c r="E927" i="6" a="1"/>
  <c r="E927" i="6" s="1"/>
  <c r="E928" i="6" a="1"/>
  <c r="E928" i="6" s="1"/>
  <c r="E929" i="6" a="1"/>
  <c r="E929" i="6" s="1"/>
  <c r="E930" i="6" a="1"/>
  <c r="E930" i="6" s="1"/>
  <c r="E931" i="6" a="1"/>
  <c r="E931" i="6" s="1"/>
  <c r="E932" i="6" a="1"/>
  <c r="E932" i="6" s="1"/>
  <c r="E933" i="6" a="1"/>
  <c r="E933" i="6" s="1"/>
  <c r="E934" i="6" a="1"/>
  <c r="E934" i="6" s="1"/>
  <c r="E935" i="6" a="1"/>
  <c r="E935" i="6" s="1"/>
  <c r="E936" i="6" a="1"/>
  <c r="E936" i="6" s="1"/>
  <c r="E937" i="6" a="1"/>
  <c r="E937" i="6" s="1"/>
  <c r="E938" i="6" a="1"/>
  <c r="E938" i="6" s="1"/>
  <c r="E939" i="6" a="1"/>
  <c r="E939" i="6" s="1"/>
  <c r="E940" i="6" a="1"/>
  <c r="E940" i="6" s="1"/>
  <c r="E941" i="6" a="1"/>
  <c r="E941" i="6" s="1"/>
  <c r="E942" i="6" a="1"/>
  <c r="E942" i="6" s="1"/>
  <c r="E943" i="6" a="1"/>
  <c r="E943" i="6" s="1"/>
  <c r="E944" i="6" a="1"/>
  <c r="E944" i="6" s="1"/>
  <c r="E945" i="6" a="1"/>
  <c r="E945" i="6" s="1"/>
  <c r="E946" i="6" a="1"/>
  <c r="E946" i="6" s="1"/>
  <c r="E947" i="6" a="1"/>
  <c r="E947" i="6" s="1"/>
  <c r="E948" i="6" a="1"/>
  <c r="E948" i="6" s="1"/>
  <c r="E949" i="6" a="1"/>
  <c r="E949" i="6" s="1"/>
  <c r="E950" i="6" a="1"/>
  <c r="E950" i="6" s="1"/>
  <c r="E951" i="6" a="1"/>
  <c r="E951" i="6" s="1"/>
  <c r="E952" i="6" a="1"/>
  <c r="E952" i="6" s="1"/>
  <c r="E953" i="6" a="1"/>
  <c r="E953" i="6" s="1"/>
  <c r="E954" i="6" a="1"/>
  <c r="E954" i="6" s="1"/>
  <c r="E955" i="6" a="1"/>
  <c r="E955" i="6" s="1"/>
  <c r="E956" i="6" a="1"/>
  <c r="E956" i="6" s="1"/>
  <c r="E957" i="6" a="1"/>
  <c r="E957" i="6" s="1"/>
  <c r="E958" i="6" a="1"/>
  <c r="E958" i="6" s="1"/>
  <c r="E959" i="6" a="1"/>
  <c r="E959" i="6" s="1"/>
  <c r="E960" i="6" a="1"/>
  <c r="E960" i="6" s="1"/>
  <c r="E961" i="6" a="1"/>
  <c r="E961" i="6" s="1"/>
  <c r="E962" i="6" a="1"/>
  <c r="E962" i="6" s="1"/>
  <c r="E963" i="6" a="1"/>
  <c r="E963" i="6" s="1"/>
  <c r="E964" i="6" a="1"/>
  <c r="E964" i="6" s="1"/>
  <c r="E965" i="6" a="1"/>
  <c r="E965" i="6" s="1"/>
  <c r="E966" i="6" a="1"/>
  <c r="E966" i="6" s="1"/>
  <c r="E967" i="6" a="1"/>
  <c r="E967" i="6" s="1"/>
  <c r="E968" i="6" a="1"/>
  <c r="E968" i="6" s="1"/>
  <c r="E969" i="6" a="1"/>
  <c r="E969" i="6" s="1"/>
  <c r="E970" i="6" a="1"/>
  <c r="E970" i="6" s="1"/>
  <c r="E971" i="6" a="1"/>
  <c r="E971" i="6" s="1"/>
  <c r="E972" i="6" a="1"/>
  <c r="E972" i="6" s="1"/>
  <c r="E973" i="6" a="1"/>
  <c r="E973" i="6" s="1"/>
  <c r="E974" i="6" a="1"/>
  <c r="E974" i="6" s="1"/>
  <c r="E975" i="6" a="1"/>
  <c r="E975" i="6" s="1"/>
  <c r="E976" i="6" a="1"/>
  <c r="E976" i="6" s="1"/>
  <c r="E977" i="6" a="1"/>
  <c r="E977" i="6" s="1"/>
  <c r="E978" i="6" a="1"/>
  <c r="E978" i="6" s="1"/>
  <c r="E979" i="6" a="1"/>
  <c r="E979" i="6" s="1"/>
  <c r="E980" i="6" a="1"/>
  <c r="E980" i="6" s="1"/>
  <c r="E981" i="6" a="1"/>
  <c r="E981" i="6" s="1"/>
  <c r="E982" i="6" a="1"/>
  <c r="E982" i="6" s="1"/>
  <c r="E983" i="6" a="1"/>
  <c r="E983" i="6" s="1"/>
  <c r="E984" i="6" a="1"/>
  <c r="E984" i="6" s="1"/>
  <c r="E985" i="6" a="1"/>
  <c r="E985" i="6" s="1"/>
  <c r="E986" i="6" a="1"/>
  <c r="E986" i="6" s="1"/>
  <c r="E987" i="6" a="1"/>
  <c r="E987" i="6" s="1"/>
  <c r="E988" i="6" a="1"/>
  <c r="E988" i="6" s="1"/>
  <c r="E989" i="6" a="1"/>
  <c r="E989" i="6" s="1"/>
  <c r="E990" i="6" a="1"/>
  <c r="E990" i="6" s="1"/>
  <c r="E991" i="6" a="1"/>
  <c r="E991" i="6" s="1"/>
  <c r="E992" i="6" a="1"/>
  <c r="E992" i="6" s="1"/>
  <c r="E993" i="6" a="1"/>
  <c r="E993" i="6" s="1"/>
  <c r="E994" i="6" a="1"/>
  <c r="E994" i="6" s="1"/>
  <c r="E995" i="6" a="1"/>
  <c r="E995" i="6" s="1"/>
  <c r="E996" i="6" a="1"/>
  <c r="E996" i="6" s="1"/>
  <c r="E997" i="6" a="1"/>
  <c r="E997" i="6" s="1"/>
  <c r="E998" i="6" a="1"/>
  <c r="E998" i="6" s="1"/>
  <c r="E999" i="6" a="1"/>
  <c r="E999" i="6" s="1"/>
  <c r="E1000" i="6" a="1"/>
  <c r="E1000" i="6" s="1"/>
  <c r="E1001" i="6" a="1"/>
  <c r="E1001" i="6" s="1"/>
  <c r="E1002" i="6" a="1"/>
  <c r="E1002" i="6" s="1"/>
  <c r="E4" i="6" a="1"/>
  <c r="E4" i="6" s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4" i="6"/>
  <c r="T3" i="6" a="1"/>
  <c r="T3" i="6" s="1"/>
  <c r="O3" i="6"/>
  <c r="M3" i="6" a="1"/>
  <c r="M3" i="6" s="1"/>
  <c r="E3" i="6" a="1"/>
  <c r="E3" i="6" s="1"/>
  <c r="J3" i="6"/>
  <c r="C3" i="6"/>
  <c r="Z3" i="6"/>
  <c r="AA3" i="6" s="1"/>
  <c r="AA182" i="6"/>
  <c r="AA32" i="6"/>
  <c r="AA233" i="6"/>
  <c r="AA354" i="6"/>
  <c r="AA221" i="6"/>
  <c r="AA366" i="6"/>
  <c r="AA85" i="6"/>
  <c r="AA892" i="6"/>
  <c r="AA137" i="6"/>
  <c r="AA318" i="6"/>
  <c r="AA53" i="6"/>
  <c r="AA205" i="6"/>
  <c r="AA324" i="6"/>
  <c r="AA224" i="6"/>
  <c r="AA398" i="6"/>
  <c r="AA169" i="6"/>
  <c r="AA30" i="6"/>
  <c r="AA425" i="6"/>
  <c r="AA116" i="6"/>
  <c r="AA734" i="6"/>
  <c r="AA295" i="6"/>
  <c r="AA195" i="6"/>
  <c r="AA379" i="6"/>
  <c r="AA243" i="6"/>
  <c r="AA201" i="6"/>
  <c r="AA92" i="6"/>
  <c r="AA317" i="6"/>
  <c r="AA149" i="6"/>
  <c r="AA77" i="6"/>
  <c r="AA406" i="6"/>
  <c r="AA403" i="6"/>
  <c r="AA178" i="6"/>
  <c r="AA823" i="6"/>
  <c r="AA385" i="6"/>
  <c r="AA141" i="6"/>
  <c r="AA181" i="6"/>
  <c r="AA309" i="6"/>
  <c r="AA87" i="6"/>
  <c r="AA73" i="6"/>
  <c r="AA329" i="6"/>
  <c r="AA351" i="6"/>
  <c r="AA80" i="6"/>
  <c r="AA147" i="6"/>
  <c r="AA806" i="6"/>
  <c r="AA374" i="6"/>
  <c r="AA62" i="6"/>
  <c r="AA316" i="6"/>
  <c r="AA301" i="6"/>
  <c r="AA800" i="6"/>
  <c r="AA94" i="6"/>
  <c r="AA60" i="6"/>
  <c r="AA128" i="6"/>
  <c r="AA320" i="6"/>
  <c r="AA50" i="6"/>
  <c r="AA135" i="6"/>
  <c r="AA306" i="6"/>
  <c r="AA405" i="6"/>
  <c r="AA44" i="6"/>
  <c r="AA173" i="6"/>
  <c r="AA136" i="6"/>
  <c r="AA61" i="6"/>
  <c r="AA46" i="6"/>
  <c r="AA236" i="6"/>
  <c r="AA442" i="6"/>
  <c r="AA146" i="6"/>
  <c r="AA55" i="6"/>
  <c r="AA119" i="6"/>
  <c r="AA148" i="6"/>
  <c r="AA234" i="6"/>
  <c r="AA389" i="6"/>
  <c r="AA200" i="6"/>
  <c r="AA103" i="6"/>
  <c r="AA597" i="6"/>
  <c r="AA661" i="6"/>
  <c r="AA639" i="6"/>
  <c r="AA56" i="6"/>
  <c r="AA115" i="6"/>
  <c r="AA286" i="6"/>
  <c r="AA245" i="6"/>
  <c r="AA297" i="6"/>
  <c r="AA197" i="6"/>
  <c r="AA256" i="6"/>
  <c r="AA151" i="6"/>
  <c r="AA237" i="6"/>
  <c r="AA279" i="6"/>
  <c r="AA391" i="6"/>
  <c r="AA397" i="6"/>
  <c r="AA51" i="6"/>
  <c r="AA222" i="6"/>
  <c r="AA45" i="6"/>
  <c r="AA117" i="6"/>
  <c r="AA89" i="6"/>
  <c r="AA6" i="6"/>
  <c r="AA48" i="6"/>
  <c r="AA176" i="6"/>
  <c r="AA358" i="6"/>
  <c r="AA419" i="6"/>
  <c r="AA333" i="6"/>
  <c r="AA355" i="6"/>
  <c r="AA265" i="6"/>
  <c r="AA258" i="6"/>
  <c r="AA81" i="6"/>
  <c r="AA190" i="6"/>
  <c r="AA129" i="6"/>
  <c r="AA257" i="6"/>
  <c r="AA102" i="6"/>
  <c r="AA144" i="6"/>
  <c r="AA272" i="6"/>
  <c r="AA438" i="6"/>
  <c r="AA67" i="6"/>
  <c r="AA153" i="6"/>
  <c r="AA264" i="6"/>
  <c r="AA204" i="6"/>
  <c r="AA105" i="6"/>
  <c r="AA206" i="6"/>
  <c r="AA327" i="6"/>
  <c r="AA104" i="6"/>
  <c r="AA275" i="6"/>
  <c r="AA590" i="6"/>
  <c r="AA654" i="6"/>
  <c r="AA171" i="6"/>
  <c r="AA342" i="6"/>
  <c r="AA412" i="6"/>
  <c r="AA494" i="6"/>
  <c r="AA526" i="6"/>
  <c r="AA232" i="6"/>
  <c r="AA189" i="6"/>
  <c r="AA302" i="6"/>
  <c r="AA43" i="6"/>
  <c r="AA614" i="6"/>
  <c r="AA599" i="6"/>
  <c r="AA636" i="6"/>
  <c r="AA356" i="6"/>
  <c r="AA98" i="6"/>
  <c r="AA183" i="6"/>
  <c r="AA269" i="6"/>
  <c r="AA477" i="6"/>
  <c r="AA409" i="6"/>
  <c r="AA158" i="6"/>
  <c r="AA483" i="6"/>
  <c r="AA124" i="6"/>
  <c r="AA156" i="6"/>
  <c r="AA220" i="6"/>
  <c r="AA252" i="6"/>
  <c r="AA284" i="6"/>
  <c r="AA341" i="6"/>
  <c r="AA64" i="6"/>
  <c r="AA192" i="6"/>
  <c r="AA235" i="6"/>
  <c r="AA332" i="6"/>
  <c r="AA41" i="6"/>
  <c r="AA242" i="6"/>
  <c r="AA179" i="6"/>
  <c r="AA58" i="6"/>
  <c r="AA229" i="6"/>
  <c r="AA130" i="6"/>
  <c r="AA322" i="6"/>
  <c r="AA435" i="6"/>
  <c r="AA112" i="6"/>
  <c r="AA208" i="6"/>
  <c r="AA240" i="6"/>
  <c r="AA304" i="6"/>
  <c r="AA336" i="6"/>
  <c r="AA29" i="6"/>
  <c r="AA71" i="6"/>
  <c r="AA114" i="6"/>
  <c r="AA157" i="6"/>
  <c r="AA199" i="6"/>
  <c r="AA285" i="6"/>
  <c r="AA343" i="6"/>
  <c r="AA381" i="6"/>
  <c r="AA780" i="6"/>
  <c r="AA188" i="6"/>
  <c r="AA140" i="6"/>
  <c r="AA390" i="6"/>
  <c r="AA202" i="6"/>
  <c r="AA167" i="6"/>
  <c r="AA69" i="6"/>
  <c r="AA96" i="6"/>
  <c r="AA160" i="6"/>
  <c r="AA288" i="6"/>
  <c r="AA352" i="6"/>
  <c r="AA93" i="6"/>
  <c r="AA263" i="6"/>
  <c r="AA359" i="6"/>
  <c r="AA394" i="6"/>
  <c r="AA66" i="6"/>
  <c r="AA108" i="6"/>
  <c r="AA348" i="6"/>
  <c r="AA307" i="6"/>
  <c r="AA138" i="6"/>
  <c r="AA39" i="6"/>
  <c r="AA253" i="6"/>
  <c r="AA855" i="6"/>
  <c r="AA492" i="6"/>
  <c r="AA328" i="6"/>
  <c r="AA231" i="6"/>
  <c r="AA82" i="6"/>
  <c r="AA382" i="6"/>
  <c r="AA76" i="6"/>
  <c r="AA281" i="6"/>
  <c r="AA213" i="6"/>
  <c r="AA549" i="6"/>
  <c r="AA276" i="6"/>
  <c r="AA421" i="6"/>
  <c r="AA487" i="6"/>
  <c r="AA733" i="6"/>
  <c r="AA296" i="6"/>
  <c r="AA274" i="6"/>
  <c r="AA35" i="6"/>
  <c r="AA162" i="6"/>
  <c r="AA215" i="6"/>
  <c r="AA127" i="6"/>
  <c r="AA298" i="6"/>
  <c r="AA86" i="6"/>
  <c r="AA299" i="6"/>
  <c r="AA462" i="6"/>
  <c r="AA249" i="6"/>
  <c r="AA84" i="6"/>
  <c r="AA100" i="6"/>
  <c r="AA287" i="6"/>
  <c r="AA537" i="6"/>
  <c r="AA486" i="6"/>
  <c r="AA214" i="6"/>
  <c r="AA380" i="6"/>
  <c r="AA478" i="6"/>
  <c r="AA542" i="6"/>
  <c r="AA172" i="6"/>
  <c r="AA226" i="6"/>
  <c r="AA126" i="6"/>
  <c r="AA278" i="6"/>
  <c r="AA783" i="6"/>
  <c r="AA942" i="6"/>
  <c r="AA314" i="6"/>
  <c r="AA629" i="6"/>
  <c r="AA547" i="6"/>
  <c r="AA109" i="6"/>
  <c r="AA125" i="6"/>
  <c r="AA191" i="6"/>
  <c r="AA150" i="6"/>
  <c r="AA454" i="6"/>
  <c r="AA566" i="6"/>
  <c r="AA311" i="6"/>
  <c r="AA411" i="6"/>
  <c r="AA505" i="6"/>
  <c r="AA524" i="6"/>
  <c r="AA706" i="6"/>
  <c r="AA159" i="6"/>
  <c r="AA330" i="6"/>
  <c r="AA651" i="6"/>
  <c r="AA444" i="6"/>
  <c r="AA517" i="6"/>
  <c r="AA364" i="6"/>
  <c r="AA123" i="6"/>
  <c r="AA947" i="6"/>
  <c r="AA266" i="6"/>
  <c r="AA589" i="6"/>
  <c r="AA371" i="6"/>
  <c r="AA121" i="6"/>
  <c r="AA319" i="6"/>
  <c r="AA678" i="6"/>
  <c r="AA255" i="6"/>
  <c r="AA337" i="6"/>
  <c r="AA533" i="6"/>
  <c r="AA247" i="6"/>
  <c r="AA168" i="6"/>
  <c r="AA630" i="6"/>
  <c r="AA78" i="6"/>
  <c r="AA417" i="6"/>
  <c r="AA677" i="6"/>
  <c r="AA840" i="6"/>
  <c r="AA434" i="6"/>
  <c r="AA556" i="6"/>
  <c r="AA652" i="6"/>
  <c r="AA31" i="6"/>
  <c r="AA426" i="6"/>
  <c r="AA291" i="6"/>
  <c r="AA193" i="6"/>
  <c r="AA795" i="6"/>
  <c r="AA962" i="6"/>
  <c r="AA574" i="6"/>
  <c r="AA638" i="6"/>
  <c r="AA120" i="6"/>
  <c r="AA338" i="6"/>
  <c r="AA107" i="6"/>
  <c r="AA428" i="6"/>
  <c r="AA558" i="6"/>
  <c r="AA622" i="6"/>
  <c r="AA370" i="6"/>
  <c r="AA501" i="6"/>
  <c r="AA910" i="6"/>
  <c r="AA684" i="6"/>
  <c r="AA686" i="6"/>
  <c r="AA350" i="6"/>
  <c r="AA446" i="6"/>
  <c r="AA362" i="6"/>
  <c r="AA321" i="6"/>
  <c r="AA518" i="6"/>
  <c r="AA702" i="6"/>
  <c r="AA290" i="6"/>
  <c r="AA387" i="6"/>
  <c r="AA469" i="6"/>
  <c r="AA110" i="6"/>
  <c r="AA74" i="6"/>
  <c r="AA244" i="6"/>
  <c r="AA470" i="6"/>
  <c r="AA565" i="6"/>
  <c r="AA277" i="6"/>
  <c r="AA520" i="6"/>
  <c r="AA675" i="6"/>
  <c r="AA461" i="6"/>
  <c r="AA737" i="6"/>
  <c r="AA300" i="6"/>
  <c r="AA723" i="6"/>
  <c r="AA738" i="6"/>
  <c r="AA268" i="6"/>
  <c r="AA211" i="6"/>
  <c r="AA514" i="6"/>
  <c r="AA170" i="6"/>
  <c r="AA551" i="6"/>
  <c r="AA615" i="6"/>
  <c r="AA691" i="6"/>
  <c r="AA440" i="6"/>
  <c r="AA378" i="6"/>
  <c r="AA430" i="6"/>
  <c r="AA143" i="6"/>
  <c r="AA801" i="6"/>
  <c r="AA133" i="6"/>
  <c r="AA510" i="6"/>
  <c r="AA578" i="6"/>
  <c r="AA642" i="6"/>
  <c r="AA540" i="6"/>
  <c r="AA978" i="6"/>
  <c r="AA922" i="6"/>
  <c r="AA228" i="6"/>
  <c r="AA72" i="6"/>
  <c r="AA254" i="6"/>
  <c r="AA755" i="6"/>
  <c r="AA481" i="6"/>
  <c r="AA703" i="6"/>
  <c r="AA118" i="6"/>
  <c r="AA209" i="6"/>
  <c r="AA685" i="6"/>
  <c r="AA865" i="6"/>
  <c r="AA970" i="6"/>
  <c r="AA527" i="6"/>
  <c r="AA698" i="6"/>
  <c r="AA858" i="6"/>
  <c r="AA694" i="6"/>
  <c r="AA180" i="6"/>
  <c r="AA36" i="6"/>
  <c r="AA613" i="6"/>
  <c r="AA365" i="6"/>
  <c r="AA443" i="6"/>
  <c r="AA475" i="6"/>
  <c r="AA539" i="6"/>
  <c r="AA707" i="6"/>
  <c r="AA163" i="6"/>
  <c r="AA572" i="6"/>
  <c r="AA353" i="6"/>
  <c r="AA645" i="6"/>
  <c r="AA838" i="6"/>
  <c r="AA794" i="6"/>
  <c r="AA210" i="6"/>
  <c r="AA63" i="6"/>
  <c r="AA395" i="6"/>
  <c r="AA534" i="6"/>
  <c r="AA606" i="6"/>
  <c r="AA101" i="6"/>
  <c r="AA791" i="6"/>
  <c r="AA458" i="6"/>
  <c r="AA758" i="6"/>
  <c r="AA887" i="6"/>
  <c r="AA437" i="6"/>
  <c r="AA693" i="6"/>
  <c r="AA893" i="6"/>
  <c r="AA575" i="6"/>
  <c r="AA778" i="6"/>
  <c r="AA383" i="6"/>
  <c r="AA57" i="6"/>
  <c r="AA646" i="6"/>
  <c r="AA414" i="6"/>
  <c r="AA742" i="6"/>
  <c r="AA680" i="6"/>
  <c r="AA95" i="6"/>
  <c r="AA413" i="6"/>
  <c r="AA611" i="6"/>
  <c r="AA863" i="6"/>
  <c r="AA797" i="6"/>
  <c r="AA164" i="6"/>
  <c r="AA493" i="6"/>
  <c r="AA621" i="6"/>
  <c r="AA822" i="6"/>
  <c r="AA886" i="6"/>
  <c r="AA924" i="6"/>
  <c r="AA308" i="6"/>
  <c r="AA748" i="6"/>
  <c r="AA620" i="6"/>
  <c r="AA451" i="6"/>
  <c r="AA753" i="6"/>
  <c r="AA523" i="6"/>
  <c r="AA292" i="6"/>
  <c r="AA54" i="6"/>
  <c r="AA139" i="6"/>
  <c r="AA225" i="6"/>
  <c r="AA310" i="6"/>
  <c r="AA388" i="6"/>
  <c r="AA466" i="6"/>
  <c r="AA498" i="6"/>
  <c r="AA562" i="6"/>
  <c r="AA594" i="6"/>
  <c r="AA626" i="6"/>
  <c r="AA658" i="6"/>
  <c r="AA690" i="6"/>
  <c r="AA854" i="6"/>
  <c r="AA186" i="6"/>
  <c r="AA668" i="6"/>
  <c r="AA479" i="6"/>
  <c r="AA251" i="6"/>
  <c r="AA393" i="6"/>
  <c r="AA918" i="6"/>
  <c r="AA185" i="6"/>
  <c r="AA40" i="6"/>
  <c r="AA710" i="6"/>
  <c r="AA340" i="6"/>
  <c r="AA511" i="6"/>
  <c r="AA670" i="6"/>
  <c r="AA762" i="6"/>
  <c r="AA423" i="6"/>
  <c r="AA700" i="6"/>
  <c r="AA47" i="6"/>
  <c r="AA313" i="6"/>
  <c r="AA410" i="6"/>
  <c r="AA490" i="6"/>
  <c r="AA862" i="6"/>
  <c r="AA951" i="6"/>
  <c r="AA460" i="6"/>
  <c r="AA570" i="6"/>
  <c r="AA530" i="6"/>
  <c r="AA633" i="6"/>
  <c r="AA97" i="6"/>
  <c r="AA267" i="6"/>
  <c r="AA420" i="6"/>
  <c r="AA482" i="6"/>
  <c r="AA546" i="6"/>
  <c r="AA610" i="6"/>
  <c r="AA674" i="6"/>
  <c r="AA774" i="6"/>
  <c r="AA38" i="6"/>
  <c r="AA776" i="6"/>
  <c r="AA735" i="6"/>
  <c r="AA885" i="6"/>
  <c r="AA360" i="6"/>
  <c r="AA789" i="6"/>
  <c r="AA34" i="6"/>
  <c r="AA662" i="6"/>
  <c r="AA543" i="6"/>
  <c r="AA402" i="6"/>
  <c r="AA289" i="6"/>
  <c r="AA506" i="6"/>
  <c r="AA819" i="6"/>
  <c r="AA908" i="6"/>
  <c r="AA241" i="6"/>
  <c r="AA883" i="6"/>
  <c r="AA653" i="6"/>
  <c r="AA844" i="6"/>
  <c r="AA998" i="6"/>
  <c r="AA861" i="6"/>
  <c r="AA563" i="6"/>
  <c r="AA369" i="6"/>
  <c r="AA441" i="6"/>
  <c r="AA571" i="6"/>
  <c r="AA339" i="6"/>
  <c r="AA579" i="6"/>
  <c r="AA876" i="6"/>
  <c r="AA595" i="6"/>
  <c r="AA764" i="6"/>
  <c r="AA154" i="6"/>
  <c r="AA747" i="6"/>
  <c r="AA709" i="6"/>
  <c r="AA644" i="6"/>
  <c r="AA760" i="6"/>
  <c r="AA966" i="6"/>
  <c r="AA217" i="6"/>
  <c r="AA65" i="6"/>
  <c r="AA870" i="6"/>
  <c r="AA294" i="6"/>
  <c r="AA418" i="6"/>
  <c r="AA807" i="6"/>
  <c r="AA525" i="6"/>
  <c r="AA161" i="6"/>
  <c r="AA522" i="6"/>
  <c r="AA650" i="6"/>
  <c r="AA950" i="6"/>
  <c r="AA476" i="6"/>
  <c r="AA280" i="6"/>
  <c r="AA818" i="6"/>
  <c r="AA850" i="6"/>
  <c r="AA184" i="6"/>
  <c r="AA516" i="6"/>
  <c r="AA867" i="6"/>
  <c r="AA392" i="6"/>
  <c r="AA765" i="6"/>
  <c r="AA936" i="6"/>
  <c r="AA839" i="6"/>
  <c r="AA212" i="6"/>
  <c r="AA671" i="6"/>
  <c r="AA725" i="6"/>
  <c r="AA902" i="6"/>
  <c r="AA347" i="6"/>
  <c r="AA716" i="6"/>
  <c r="AA609" i="6"/>
  <c r="AA33" i="6"/>
  <c r="AA372" i="6"/>
  <c r="AA538" i="6"/>
  <c r="AA666" i="6"/>
  <c r="AA357" i="6"/>
  <c r="AA604" i="6"/>
  <c r="AA933" i="6"/>
  <c r="AA787" i="6"/>
  <c r="AA938" i="6"/>
  <c r="AA122" i="6"/>
  <c r="AA439" i="6"/>
  <c r="AA635" i="6"/>
  <c r="AA541" i="6"/>
  <c r="AA605" i="6"/>
  <c r="AA726" i="6"/>
  <c r="AA812" i="6"/>
  <c r="AA897" i="6"/>
  <c r="AA982" i="6"/>
  <c r="AA623" i="6"/>
  <c r="AA831" i="6"/>
  <c r="AA679" i="6"/>
  <c r="AA246" i="6"/>
  <c r="AA929" i="6"/>
  <c r="AA766" i="6"/>
  <c r="AA763" i="6"/>
  <c r="AA174" i="6"/>
  <c r="AA940" i="6"/>
  <c r="AA585" i="6"/>
  <c r="AA713" i="6"/>
  <c r="AA967" i="6"/>
  <c r="AA376" i="6"/>
  <c r="AA851" i="6"/>
  <c r="AA457" i="6"/>
  <c r="AA508" i="6"/>
  <c r="AA667" i="6"/>
  <c r="AA580" i="6"/>
  <c r="AA688" i="6"/>
  <c r="AA194" i="6"/>
  <c r="AA42" i="6"/>
  <c r="AA588" i="6"/>
  <c r="AA502" i="6"/>
  <c r="AA634" i="6"/>
  <c r="AA499" i="6"/>
  <c r="AA627" i="6"/>
  <c r="AA927" i="6"/>
  <c r="AA453" i="6"/>
  <c r="AA960" i="6"/>
  <c r="AA875" i="6"/>
  <c r="AA37" i="6"/>
  <c r="AA375" i="6"/>
  <c r="AA452" i="6"/>
  <c r="AA603" i="6"/>
  <c r="AA775" i="6"/>
  <c r="AA860" i="6"/>
  <c r="AA919" i="6"/>
  <c r="AA187" i="6"/>
  <c r="AA429" i="6"/>
  <c r="AA708" i="6"/>
  <c r="AA888" i="6"/>
  <c r="AA959" i="6"/>
  <c r="AA697" i="6"/>
  <c r="AA1001" i="6"/>
  <c r="AA913" i="6"/>
  <c r="AA969" i="6"/>
  <c r="AA415" i="6"/>
  <c r="AA557" i="6"/>
  <c r="AA582" i="6"/>
  <c r="AA948" i="6"/>
  <c r="AA450" i="6"/>
  <c r="AA871" i="6"/>
  <c r="AA10" i="6"/>
  <c r="AA349" i="6"/>
  <c r="AA515" i="6"/>
  <c r="AA643" i="6"/>
  <c r="AA334" i="6"/>
  <c r="AA581" i="6"/>
  <c r="AA961" i="6"/>
  <c r="AA882" i="6"/>
  <c r="AA931" i="6"/>
  <c r="AA207" i="6"/>
  <c r="AA507" i="6"/>
  <c r="AA699" i="6"/>
  <c r="AA796" i="6"/>
  <c r="AA986" i="6"/>
  <c r="AA628" i="6"/>
  <c r="AA669" i="6"/>
  <c r="AA999" i="6"/>
  <c r="AA261" i="6"/>
  <c r="AA687" i="6"/>
  <c r="AA873" i="6"/>
  <c r="AA853" i="6"/>
  <c r="AA456" i="6"/>
  <c r="AA166" i="6"/>
  <c r="AA223" i="6"/>
  <c r="AA906" i="6"/>
  <c r="AA743" i="6"/>
  <c r="AA849" i="6"/>
  <c r="AA829" i="6"/>
  <c r="AA830" i="6"/>
  <c r="AA736" i="6"/>
  <c r="AA984" i="6"/>
  <c r="AA866" i="6"/>
  <c r="AA407" i="6"/>
  <c r="AA987" i="6"/>
  <c r="AA945" i="6"/>
  <c r="AA977" i="6"/>
  <c r="AA833" i="6"/>
  <c r="AA750" i="6"/>
  <c r="AA545" i="6"/>
  <c r="AA346" i="6"/>
  <c r="AA779" i="6"/>
  <c r="AA28" i="6"/>
  <c r="AA427" i="6"/>
  <c r="AA550" i="6"/>
  <c r="AA323" i="6"/>
  <c r="AA497" i="6"/>
  <c r="AA593" i="6"/>
  <c r="AA721" i="6"/>
  <c r="AA331" i="6"/>
  <c r="AA586" i="6"/>
  <c r="AA714" i="6"/>
  <c r="AA769" i="6"/>
  <c r="AA904" i="6"/>
  <c r="AA216" i="6"/>
  <c r="AA793" i="6"/>
  <c r="AA782" i="6"/>
  <c r="AA915" i="6"/>
  <c r="AA99" i="6"/>
  <c r="AA270" i="6"/>
  <c r="AA416" i="6"/>
  <c r="AA484" i="6"/>
  <c r="AA548" i="6"/>
  <c r="AA676" i="6"/>
  <c r="AA730" i="6"/>
  <c r="AA773" i="6"/>
  <c r="AA881" i="6"/>
  <c r="AA273" i="6"/>
  <c r="AA612" i="6"/>
  <c r="AA739" i="6"/>
  <c r="AA238" i="6"/>
  <c r="AA600" i="6"/>
  <c r="AA722" i="6"/>
  <c r="AA808" i="6"/>
  <c r="AA656" i="6"/>
  <c r="AA433" i="6"/>
  <c r="AA802" i="6"/>
  <c r="AA890" i="6"/>
  <c r="AA1002" i="6"/>
  <c r="AA559" i="6"/>
  <c r="AA911" i="6"/>
  <c r="AA485" i="6"/>
  <c r="AA925" i="6"/>
  <c r="AA203" i="6"/>
  <c r="AA474" i="6"/>
  <c r="AA602" i="6"/>
  <c r="AA746" i="6"/>
  <c r="AA218" i="6"/>
  <c r="AA825" i="6"/>
  <c r="AA816" i="6"/>
  <c r="AA834" i="6"/>
  <c r="AA954" i="6"/>
  <c r="AA293" i="6"/>
  <c r="AA731" i="6"/>
  <c r="AA817" i="6"/>
  <c r="AA145" i="6"/>
  <c r="AA509" i="6"/>
  <c r="AA573" i="6"/>
  <c r="AA637" i="6"/>
  <c r="AA701" i="6"/>
  <c r="AA790" i="6"/>
  <c r="AA899" i="6"/>
  <c r="AA941" i="6"/>
  <c r="AA983" i="6"/>
  <c r="AA495" i="6"/>
  <c r="AA745" i="6"/>
  <c r="AA916" i="6"/>
  <c r="AA464" i="6"/>
  <c r="AA754" i="6"/>
  <c r="AA561" i="6"/>
  <c r="AA618" i="6"/>
  <c r="AA560" i="6"/>
  <c r="AA842" i="6"/>
  <c r="AA312" i="6"/>
  <c r="AA655" i="6"/>
  <c r="AA177" i="6"/>
  <c r="AA985" i="6"/>
  <c r="AA973" i="6"/>
  <c r="AA821" i="6"/>
  <c r="AA521" i="6"/>
  <c r="AA649" i="6"/>
  <c r="AA480" i="6"/>
  <c r="AA683" i="6"/>
  <c r="AA872" i="6"/>
  <c r="AA879" i="6"/>
  <c r="AA455" i="6"/>
  <c r="AA729" i="6"/>
  <c r="AA991" i="6"/>
  <c r="AA373" i="6"/>
  <c r="AA705" i="6"/>
  <c r="AA935" i="6"/>
  <c r="AA152" i="6"/>
  <c r="AA552" i="6"/>
  <c r="AA912" i="6"/>
  <c r="AA90" i="6"/>
  <c r="AA513" i="6"/>
  <c r="AA500" i="6"/>
  <c r="AA625" i="6"/>
  <c r="AA682" i="6"/>
  <c r="AA848" i="6"/>
  <c r="AA719" i="6"/>
  <c r="AA592" i="6"/>
  <c r="AA473" i="6"/>
  <c r="AA724" i="6"/>
  <c r="AA856" i="6"/>
  <c r="AA282" i="6"/>
  <c r="AA757" i="6"/>
  <c r="AA647" i="6"/>
  <c r="AA798" i="6"/>
  <c r="AA869" i="6"/>
  <c r="AA445" i="6"/>
  <c r="AA165" i="6"/>
  <c r="AA968" i="6"/>
  <c r="AA608" i="6"/>
  <c r="AA749" i="6"/>
  <c r="AA386" i="6"/>
  <c r="AA250" i="6"/>
  <c r="AA975" i="6"/>
  <c r="AA880" i="6"/>
  <c r="AA325" i="6"/>
  <c r="AA503" i="6"/>
  <c r="AA335" i="6"/>
  <c r="AA868" i="6"/>
  <c r="AA810" i="6"/>
  <c r="AA720" i="6"/>
  <c r="AA665" i="6"/>
  <c r="AA884" i="6"/>
  <c r="AA864" i="6"/>
  <c r="AA491" i="6"/>
  <c r="AA995" i="6"/>
  <c r="AA155" i="6"/>
  <c r="AA992" i="6"/>
  <c r="AA377" i="6"/>
  <c r="AA672" i="6"/>
  <c r="AA529" i="6"/>
  <c r="AA932" i="6"/>
  <c r="AA631" i="6"/>
  <c r="AA113" i="6"/>
  <c r="AA943" i="6"/>
  <c r="AA106" i="6"/>
  <c r="AA994" i="6"/>
  <c r="AA659" i="6"/>
  <c r="AA79" i="6"/>
  <c r="AA555" i="6"/>
  <c r="AA785" i="6"/>
  <c r="AA963" i="6"/>
  <c r="AA920" i="6"/>
  <c r="AA569" i="6"/>
  <c r="AA660" i="6"/>
  <c r="AA917" i="6"/>
  <c r="AA624" i="6"/>
  <c r="AA976" i="6"/>
  <c r="AA70" i="6"/>
  <c r="AA843" i="6"/>
  <c r="AA131" i="6"/>
  <c r="AA928" i="6"/>
  <c r="AA993" i="6"/>
  <c r="AA467" i="6"/>
  <c r="AA564" i="6"/>
  <c r="AA811" i="6"/>
  <c r="AA305" i="6"/>
  <c r="AA553" i="6"/>
  <c r="AA496" i="6"/>
  <c r="AA567" i="6"/>
  <c r="AA536" i="6"/>
  <c r="AA878" i="6"/>
  <c r="AA596" i="6"/>
  <c r="AA49" i="6"/>
  <c r="AA859" i="6"/>
  <c r="AA926" i="6"/>
  <c r="AA535" i="6"/>
  <c r="AA930" i="6"/>
  <c r="AA952" i="6"/>
  <c r="AA741" i="6"/>
  <c r="AA577" i="6"/>
  <c r="AA809" i="6"/>
  <c r="AA219" i="6"/>
  <c r="AA448" i="6"/>
  <c r="AA436" i="6"/>
  <c r="AA852" i="6"/>
  <c r="AA489" i="6"/>
  <c r="AA260" i="6"/>
  <c r="AA88" i="6"/>
  <c r="AA673" i="6"/>
  <c r="AA449" i="6"/>
  <c r="AA781" i="6"/>
  <c r="AA400" i="6"/>
  <c r="AA657" i="6"/>
  <c r="AA846" i="6"/>
  <c r="AA955" i="6"/>
  <c r="AA988" i="6"/>
  <c r="AA695" i="6"/>
  <c r="AA504" i="6"/>
  <c r="AA83" i="6"/>
  <c r="AA971" i="6"/>
  <c r="AA404" i="6"/>
  <c r="AA732" i="6"/>
  <c r="AA835" i="6"/>
  <c r="AA532" i="6"/>
  <c r="AA230" i="6"/>
  <c r="AA463" i="6"/>
  <c r="AA895" i="6"/>
  <c r="AA894" i="6"/>
  <c r="AA91" i="6"/>
  <c r="AA601" i="6"/>
  <c r="AA953" i="6"/>
  <c r="AA891" i="6"/>
  <c r="AA544" i="6"/>
  <c r="AA905" i="6"/>
  <c r="AA784" i="6"/>
  <c r="AA786" i="6"/>
  <c r="AA965" i="6"/>
  <c r="AA898" i="6"/>
  <c r="AA607" i="6"/>
  <c r="AA788" i="6"/>
  <c r="AA704" i="6"/>
  <c r="AA847" i="6"/>
  <c r="AA827" i="6"/>
  <c r="AA175" i="6"/>
  <c r="AA368" i="6"/>
  <c r="AA768" i="6"/>
  <c r="AA828" i="6"/>
  <c r="AA836" i="6"/>
  <c r="AA399" i="6"/>
  <c r="AA815" i="6"/>
  <c r="AA727" i="6"/>
  <c r="AA907" i="6"/>
  <c r="AA640" i="6"/>
  <c r="AA718" i="6"/>
  <c r="AA980" i="6"/>
  <c r="AA944" i="6"/>
  <c r="AA196" i="6"/>
  <c r="AA664" i="6"/>
  <c r="AA488" i="6"/>
  <c r="AA837" i="6"/>
  <c r="AA826" i="6"/>
  <c r="AA964" i="6"/>
  <c r="AA751" i="6"/>
  <c r="AA972" i="6"/>
  <c r="AA422" i="6"/>
  <c r="AA584" i="6"/>
  <c r="AA142" i="6"/>
  <c r="AA937" i="6"/>
  <c r="AA770" i="6"/>
  <c r="AA845" i="6"/>
  <c r="AA712" i="6"/>
  <c r="AA756" i="6"/>
  <c r="AA681" i="6"/>
  <c r="AA824" i="6"/>
  <c r="AA981" i="6"/>
  <c r="AA804" i="6"/>
  <c r="AA903" i="6"/>
  <c r="AA198" i="6"/>
  <c r="AA59" i="6"/>
  <c r="AA363" i="6"/>
  <c r="AA227" i="6"/>
  <c r="AA805" i="6"/>
  <c r="AA979" i="6"/>
  <c r="AA857" i="6"/>
  <c r="AA877" i="6"/>
  <c r="AA431" i="6"/>
  <c r="AA384" i="6"/>
  <c r="AA447" i="6"/>
  <c r="AA820" i="6"/>
  <c r="AA583" i="6"/>
  <c r="AA792" i="6"/>
  <c r="AA345" i="6"/>
  <c r="AA271" i="6"/>
  <c r="AA957" i="6"/>
  <c r="AA715" i="6"/>
  <c r="AA767" i="6"/>
  <c r="AA262" i="6"/>
  <c r="AA134" i="6"/>
  <c r="AA617" i="6"/>
  <c r="AA909" i="6"/>
  <c r="AA367" i="6"/>
  <c r="AA75" i="6"/>
  <c r="AA946" i="6"/>
  <c r="AA974" i="6"/>
  <c r="AA740" i="6"/>
  <c r="AA648" i="6"/>
  <c r="AA641" i="6"/>
  <c r="AA799" i="6"/>
  <c r="AA68" i="6"/>
  <c r="AA303" i="6"/>
  <c r="AA841" i="6"/>
  <c r="AA465" i="6"/>
  <c r="AA814" i="6"/>
  <c r="AA777" i="6"/>
  <c r="AA772" i="6"/>
  <c r="AA468" i="6"/>
  <c r="AA921" i="6"/>
  <c r="AA956" i="6"/>
  <c r="AA132" i="6"/>
  <c r="AA803" i="6"/>
  <c r="AA259" i="6"/>
  <c r="AA598" i="6"/>
  <c r="AA874" i="6"/>
  <c r="AA587" i="6"/>
  <c r="AA771" i="6"/>
  <c r="AA914" i="6"/>
  <c r="AA939" i="6"/>
  <c r="AA689" i="6"/>
  <c r="AA576" i="6"/>
  <c r="AA1000" i="6"/>
  <c r="AA519" i="6"/>
  <c r="AA616" i="6"/>
  <c r="AA8" i="6"/>
  <c r="AA23" i="6"/>
  <c r="AA24" i="6"/>
  <c r="AA21" i="6"/>
  <c r="AA16" i="6"/>
  <c r="AA22" i="6"/>
  <c r="AA11" i="6"/>
  <c r="AA14" i="6"/>
  <c r="AA25" i="6"/>
  <c r="AA5" i="6"/>
  <c r="AA18" i="6"/>
  <c r="AA20" i="6"/>
  <c r="AA19" i="6"/>
  <c r="AA9" i="6"/>
  <c r="AA17" i="6"/>
  <c r="AA13" i="6"/>
  <c r="AA26" i="6"/>
  <c r="AA12" i="6"/>
  <c r="AA15" i="6"/>
  <c r="AA7" i="6"/>
  <c r="AA27" i="6"/>
  <c r="AA752" i="6"/>
  <c r="AA896" i="6"/>
  <c r="AA901" i="6"/>
  <c r="AA396" i="6"/>
  <c r="AA554" i="6"/>
  <c r="AA619" i="6"/>
  <c r="AA591" i="6"/>
  <c r="AA990" i="6"/>
  <c r="AA832" i="6"/>
  <c r="AA528" i="6"/>
  <c r="AA997" i="6"/>
  <c r="AA408" i="6"/>
  <c r="AA361" i="6"/>
  <c r="AA711" i="6"/>
  <c r="AA424" i="6"/>
  <c r="AA949" i="6"/>
  <c r="AA889" i="6"/>
  <c r="AA4" i="6"/>
  <c r="AA728" i="6"/>
  <c r="AA989" i="6"/>
  <c r="AA663" i="6"/>
  <c r="AA248" i="6"/>
  <c r="AA934" i="6"/>
  <c r="AA692" i="6"/>
  <c r="AA744" i="6"/>
  <c r="AA239" i="6"/>
  <c r="AA900" i="6"/>
  <c r="AA761" i="6"/>
  <c r="AA344" i="6"/>
  <c r="AA326" i="6"/>
  <c r="AA52" i="6"/>
  <c r="AA923" i="6"/>
  <c r="AA401" i="6"/>
  <c r="AA717" i="6"/>
  <c r="AA813" i="6"/>
  <c r="AA471" i="6"/>
  <c r="AA958" i="6"/>
  <c r="AA459" i="6"/>
  <c r="AA315" i="6"/>
  <c r="AA512" i="6"/>
  <c r="AA996" i="6"/>
  <c r="AA283" i="6"/>
  <c r="AA759" i="6"/>
  <c r="AA111" i="6"/>
  <c r="AA432" i="6"/>
  <c r="AA531" i="6"/>
  <c r="AA696" i="6"/>
  <c r="AA568" i="6"/>
  <c r="AA632" i="6"/>
  <c r="AA47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321185-AAF5-481D-8F87-77CB240F78B1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CC88FF99-DD28-4822-97DE-212526BD64E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9A312542-A51D-4436-B8A4-52BE38C02E8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4" xr16:uid="{C97691F2-E5FE-4719-A7D2-79DC040FAAF7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5" xr16:uid="{F7B4816B-B9FE-43E7-B9BE-37825B1E4AA3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<sst xmlns="http://schemas.openxmlformats.org/spreadsheetml/2006/main" count="255" uniqueCount="117">
  <si>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</si>
  <si>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</si>
  <si>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</si>
  <si>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</si>
  <si>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</si>
  <si>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</si>
  <si>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</si>
  <si>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</si>
  <si>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</si>
  <si>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</si>
  <si>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</si>
  <si>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</si>
  <si>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</si>
  <si>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</si>
  <si>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</si>
  <si>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</si>
  <si>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</si>
  <si>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atemp.1</t>
  </si>
  <si>
    <t>hum.1</t>
  </si>
  <si>
    <t>windspeed.1</t>
  </si>
  <si>
    <t>casual.1</t>
  </si>
  <si>
    <t>registered.1</t>
  </si>
  <si>
    <t>cnt.1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</si>
  <si>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</si>
  <si>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</si>
  <si>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</si>
  <si>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</si>
  <si>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</si>
  <si>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</si>
  <si>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</si>
  <si>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</si>
  <si>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</si>
  <si>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</si>
  <si>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</si>
  <si>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</si>
  <si>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</si>
  <si>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</si>
  <si>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</si>
  <si>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</si>
  <si>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</si>
  <si>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</si>
  <si>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</si>
  <si>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</si>
  <si>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</si>
  <si>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</si>
  <si>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Day Name</t>
  </si>
  <si>
    <t>Weekend_Weekday</t>
  </si>
  <si>
    <t>weather_label</t>
  </si>
  <si>
    <t>temp_band</t>
  </si>
  <si>
    <t>Wind 
Category</t>
  </si>
  <si>
    <t>Anomaly Hours
 (|z|&gt;=3)</t>
  </si>
  <si>
    <t>Std Hr 
Classification</t>
  </si>
  <si>
    <t>Missing Values 
Helper Column to Finf the Data</t>
  </si>
  <si>
    <t>1st Stage</t>
  </si>
  <si>
    <t>2nd Stage to Find Missing Values</t>
  </si>
  <si>
    <t>rolling_
mean_24h</t>
  </si>
  <si>
    <t>rolling_
std_24h</t>
  </si>
  <si>
    <t>zscore_
24h</t>
  </si>
  <si>
    <t>Bike Sharing – Visual Dashboard</t>
  </si>
  <si>
    <t>SUM(CleanedData!U:U)</t>
  </si>
  <si>
    <t>AVERAGE(CleanedData!U:U)</t>
  </si>
  <si>
    <t>MAX(CleanedData!U:U)</t>
  </si>
  <si>
    <t>COUNTIF(CleanedData!X:X,"&gt;=3")+COUNTIF(CleanedData!X:X,"&lt;=-2")</t>
  </si>
  <si>
    <t>Total Rentals</t>
  </si>
  <si>
    <t>Avg Rentals/Hour</t>
  </si>
  <si>
    <t>Max Hourly Rentals</t>
  </si>
  <si>
    <t>Anomaly Hours (|z|&gt;=3)</t>
  </si>
  <si>
    <t>Usage Patterns</t>
  </si>
  <si>
    <t>Demand Drivers</t>
  </si>
  <si>
    <t>Heatmap is available in 'DshboardData' sheet (Weekday x Hour).</t>
  </si>
  <si>
    <t>Bike Rentals HeatMap Pivot with Average Numbers</t>
  </si>
  <si>
    <t>Average of cnt</t>
  </si>
  <si>
    <t>Column Labels</t>
  </si>
  <si>
    <t>Row Labels</t>
  </si>
  <si>
    <t>Grand Total</t>
  </si>
  <si>
    <t>Monday</t>
  </si>
  <si>
    <t>Tuesday</t>
  </si>
  <si>
    <t>Wednesday</t>
  </si>
  <si>
    <t>Thursday</t>
  </si>
  <si>
    <t>Friday</t>
  </si>
  <si>
    <t>Saturday</t>
  </si>
  <si>
    <t>Sunday</t>
  </si>
  <si>
    <t>Bike Rentals HeatMap Pivot with Average Numbers (ctrl+1 - Custom - " ")</t>
  </si>
  <si>
    <t>Bike Rentals Pivot with Average Numbers Hr by Weekend_Weekdays</t>
  </si>
  <si>
    <t>Weekday</t>
  </si>
  <si>
    <t>Weekend</t>
  </si>
  <si>
    <t>Bike Rentals Pivot with Average Numbers Hr by Month</t>
  </si>
  <si>
    <t>Bike Rentals Pivot with Average hr Numbers by Weather Labels</t>
  </si>
  <si>
    <t>Clear / Partly Cloudy</t>
  </si>
  <si>
    <t>Heavy Precipitation</t>
  </si>
  <si>
    <t>Light Snow / Rain</t>
  </si>
  <si>
    <t>Mist / Cloudy</t>
  </si>
  <si>
    <t>Dashboard Data</t>
  </si>
  <si>
    <t>Key KPIs</t>
  </si>
  <si>
    <t>Total Rentals by Weekday</t>
  </si>
  <si>
    <t>Total Rentals by Month</t>
  </si>
  <si>
    <t>KPI</t>
  </si>
  <si>
    <t>Value</t>
  </si>
  <si>
    <t>Day</t>
  </si>
  <si>
    <t>Total_Rentals</t>
  </si>
  <si>
    <t>Month</t>
  </si>
  <si>
    <t>Avg Rentals by Hour</t>
  </si>
  <si>
    <t>Avg Rentals by Weather</t>
  </si>
  <si>
    <t>Avg Rentals by Temp Band</t>
  </si>
  <si>
    <t>Hour</t>
  </si>
  <si>
    <t>Avg_Rentals</t>
  </si>
  <si>
    <t>Weather</t>
  </si>
  <si>
    <t>Temp_Band</t>
  </si>
  <si>
    <t>Clear / Few clouds</t>
  </si>
  <si>
    <t>Cold</t>
  </si>
  <si>
    <t>Mild</t>
  </si>
  <si>
    <t>Light Snow/Rain</t>
  </si>
  <si>
    <t>Warm</t>
  </si>
  <si>
    <t>Heavy Rain/Snow</t>
  </si>
  <si>
    <t>Casual vs Registered by Month</t>
  </si>
  <si>
    <t>Casual</t>
  </si>
  <si>
    <t>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</si>
</sst>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&quot;₹&quot;\ * #,##0.00_ ;_ &quot;₹&quot;\ * \-#,##0.00_ ;_ &quot;₹&quot;\ * &quot;-&quot;??_ ;_ @_ "/>
    <numFmt numFmtId="165" formatCode="0.000"/>
    <numFmt numFmtId="166" formatCode="0.0"/>
    <numFmt numFmtId="167" formatCode="&quot; &quot;"/>
  </numFmts>
  <fonts count="1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rgb="FFFF0000"/>
      <name val="Times New Roman"/>
      <family val="1"/>
    </font>
    <font>
      <sz val="11"/>
      <color theme="1"/>
      <name val="Aptos Narrow"/>
      <family val="2"/>
      <scheme val="minor"/>
    </font>
    <font>
      <b/>
      <sz val="18"/>
      <color rgb="FF1F4E79"/>
      <name val="Times New Roman"/>
      <family val="1"/>
    </font>
    <font>
      <b/>
      <sz val="11"/>
      <color rgb="FFFFFFFF"/>
      <name val="Times New Roman"/>
      <family val="1"/>
    </font>
    <font>
      <b/>
      <sz val="20"/>
      <color rgb="FF1F4E79"/>
      <name val="Times New Roman"/>
      <family val="1"/>
    </font>
    <font>
      <b/>
      <sz val="14"/>
      <color rgb="FF1F4E79"/>
      <name val="Times New Roman"/>
      <family val="1"/>
    </font>
    <font>
      <i/>
      <sz val="11"/>
      <name val="Times New Roman"/>
      <family val="1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E7EEF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82">
    <xf numFmtId="0" fontId="0" fillId="0" borderId="0" xfId="0"/>
    <xf numFmtId="0" fontId="1" fillId="0" borderId="1" xfId="0" applyFont="1" applyBorder="1" applyAlignment="1">
      <alignment horizontal="right" wrapText="1"/>
    </xf>
    <xf numFmtId="14" fontId="0" fillId="0" borderId="0" xfId="0" applyNumberFormat="1"/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14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5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5" fontId="3" fillId="0" borderId="10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5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2" fontId="5" fillId="2" borderId="10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0" fontId="3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7" borderId="0" xfId="0" applyFill="1"/>
    <xf numFmtId="0" fontId="0" fillId="7" borderId="0" xfId="0" applyFill="1" applyAlignment="1">
      <alignment horizontal="left"/>
    </xf>
    <xf numFmtId="1" fontId="0" fillId="7" borderId="0" xfId="0" applyNumberFormat="1" applyFill="1"/>
    <xf numFmtId="0" fontId="12" fillId="0" borderId="0" xfId="0" applyFont="1"/>
    <xf numFmtId="0" fontId="13" fillId="4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6" fontId="0" fillId="0" borderId="16" xfId="0" applyNumberForma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1" fontId="9" fillId="5" borderId="16" xfId="0" applyNumberFormat="1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166" fontId="9" fillId="5" borderId="16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22" xfId="0" applyFont="1" applyBorder="1" applyAlignment="1">
      <alignment horizontal="center"/>
    </xf>
    <xf numFmtId="44" fontId="12" fillId="0" borderId="22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79">
    <dxf>
      <numFmt numFmtId="166" formatCode="0.0"/>
    </dxf>
    <dxf>
      <border outline="0">
        <right style="thin">
          <color rgb="FFD9D9D9"/>
        </right>
      </border>
    </dxf>
    <dxf>
      <numFmt numFmtId="2" formatCode="0.00"/>
    </dxf>
    <dxf>
      <border outline="0">
        <right style="thin">
          <color rgb="FFD9D9D9"/>
        </right>
      </border>
    </dxf>
    <dxf>
      <numFmt numFmtId="166" formatCode="0.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" formatCode="0"/>
    </dxf>
    <dxf>
      <numFmt numFmtId="1" formatCode="0"/>
    </dxf>
    <dxf>
      <numFmt numFmtId="167" formatCode="&quot; &quot;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" formatCode="0"/>
    </dxf>
    <dxf>
      <numFmt numFmtId="1" formatCode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1" defaultTableStyle="TableStyleMedium2" defaultPivotStyle="PivotStyleLight16">
    <tableStyle name="Invisible" pivot="0" table="0" count="0" xr9:uid="{FB33C270-3E1D-4A37-AE4D-A66CA32F59AA}"/>
  </tableStyles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 Rentals by Hour</a:t>
            </a:r>
          </a:p>
        </c:rich>
      </c:tx>
      <c:layout>
        <c:manualLayout>
          <c:xMode val="edge"/>
          <c:yMode val="edge"/>
          <c:x val="0.52455477931727379"/>
          <c:y val="5.3333333333333337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dLbls>
            <c:numFmt formatCode="#,##0_);\(#,##0\)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</c:numLit>
          </c:cat>
          <c:val>
            <c:numLit>
              <c:formatCode>General</c:formatCode>
              <c:ptCount val="24"/>
              <c:pt idx="0">
                <c:v>16.348837209302321</c:v>
              </c:pt>
              <c:pt idx="1">
                <c:v>10.697674418604651</c:v>
              </c:pt>
              <c:pt idx="2">
                <c:v>7.1707317073170733</c:v>
              </c:pt>
              <c:pt idx="3">
                <c:v>4.870967741935484</c:v>
              </c:pt>
              <c:pt idx="4">
                <c:v>2.15625</c:v>
              </c:pt>
              <c:pt idx="5">
                <c:v>4.2051282051282053</c:v>
              </c:pt>
              <c:pt idx="6">
                <c:v>19.571428571428569</c:v>
              </c:pt>
              <c:pt idx="7">
                <c:v>54.395348837209298</c:v>
              </c:pt>
              <c:pt idx="8">
                <c:v>128.28571428571431</c:v>
              </c:pt>
              <c:pt idx="9">
                <c:v>87.428571428571431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821A-4959-AB7F-9B9E1FE54D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Rentals by Weekday</a:t>
            </a:r>
          </a:p>
        </c:rich>
      </c:tx>
      <c:layout>
        <c:manualLayout>
          <c:xMode val="edge"/>
          <c:yMode val="edge"/>
          <c:x val="0.15622880039864978"/>
          <c:y val="7.58082497212932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8121</c:v>
              </c:pt>
              <c:pt idx="1">
                <c:v>8450</c:v>
              </c:pt>
              <c:pt idx="2">
                <c:v>8383</c:v>
              </c:pt>
              <c:pt idx="3">
                <c:v>8049</c:v>
              </c:pt>
              <c:pt idx="4">
                <c:v>8458</c:v>
              </c:pt>
              <c:pt idx="5">
                <c:v>9095</c:v>
              </c:pt>
              <c:pt idx="6">
                <c:v>7748</c:v>
              </c:pt>
            </c:numLit>
          </c:val>
          <c:extLst>
            <c:ext xmlns:c16="http://schemas.microsoft.com/office/drawing/2014/chart" uri="{C3380CC4-5D6E-409C-BE32-E72D297353CC}">
              <c16:uniqueId val="{00000000-7674-4F78-8990-0A0936698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Rentals by Month</a:t>
            </a:r>
          </a:p>
        </c:rich>
      </c:tx>
      <c:layout>
        <c:manualLayout>
          <c:xMode val="edge"/>
          <c:yMode val="edge"/>
          <c:x val="0.4391690861651143"/>
          <c:y val="4.808743169398907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38189</c:v>
              </c:pt>
              <c:pt idx="1">
                <c:v>20115</c:v>
              </c:pt>
            </c:numLit>
          </c:val>
          <c:extLst>
            <c:ext xmlns:c16="http://schemas.microsoft.com/office/drawing/2014/chart" uri="{C3380CC4-5D6E-409C-BE32-E72D297353CC}">
              <c16:uniqueId val="{00000000-4DC6-4CB9-9087-67533DE306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 Rentals by Weather</a:t>
            </a:r>
          </a:p>
        </c:rich>
      </c:tx>
      <c:layout>
        <c:manualLayout>
          <c:xMode val="edge"/>
          <c:yMode val="edge"/>
          <c:x val="0.488072445019405"/>
          <c:y val="7.0874861572535988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numFmt formatCode="#,##0_);\(#,##0\)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4"/>
              <c:pt idx="0">
                <c:v>Clear / Few clouds</c:v>
              </c:pt>
              <c:pt idx="1">
                <c:v>Mist / Cloudy</c:v>
              </c:pt>
              <c:pt idx="2">
                <c:v>Light Snow/Rain</c:v>
              </c:pt>
              <c:pt idx="3">
                <c:v>Heavy Rain/Snow</c:v>
              </c:pt>
            </c:strLit>
          </c:cat>
          <c:val>
            <c:numLit>
              <c:formatCode>General</c:formatCode>
              <c:ptCount val="4"/>
              <c:pt idx="0">
                <c:v>61.671617161716171</c:v>
              </c:pt>
              <c:pt idx="1">
                <c:v>58.595469255663431</c:v>
              </c:pt>
              <c:pt idx="2">
                <c:v>33.202380952380949</c:v>
              </c:pt>
              <c:pt idx="3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0-C944-44A0-ADA2-7178E3C7CE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Key KPIs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[1]DshboardData!$B$4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[1]DshboardData!$A$5:$A$8</c:f>
              <c:strCache>
                <c:ptCount val="4"/>
                <c:pt idx="0">
                  <c:v>Total Rentals</c:v>
                </c:pt>
                <c:pt idx="1">
                  <c:v>Avg Rentals/Hour</c:v>
                </c:pt>
                <c:pt idx="2">
                  <c:v>Max Hourly Rentals</c:v>
                </c:pt>
                <c:pt idx="3">
                  <c:v>Anomaly Hours (|z|&gt;=3)</c:v>
                </c:pt>
              </c:strCache>
            </c:strRef>
          </c:cat>
          <c:val>
            <c:numRef>
              <c:f>[1]DshboardData!$B$5:$B$8</c:f>
              <c:numCache>
                <c:formatCode>General</c:formatCode>
                <c:ptCount val="4"/>
                <c:pt idx="0">
                  <c:v>58304</c:v>
                </c:pt>
                <c:pt idx="1">
                  <c:v>58.304000000000002</c:v>
                </c:pt>
                <c:pt idx="2">
                  <c:v>249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0-431D-A4DD-5B3FEA3ADC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3317599"/>
        <c:axId val="813320959"/>
        <c:axId val="0"/>
      </c:bar3DChart>
      <c:catAx>
        <c:axId val="81331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20959"/>
        <c:crosses val="autoZero"/>
        <c:auto val="1"/>
        <c:lblAlgn val="ctr"/>
        <c:lblOffset val="100"/>
        <c:noMultiLvlLbl val="0"/>
      </c:catAx>
      <c:valAx>
        <c:axId val="8133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1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Rentals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[1]DshboardData!$A$14</c:f>
              <c:strCache>
                <c:ptCount val="1"/>
                <c:pt idx="0">
                  <c:v>Hour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[1]DshboardData!$A$15:$A$38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4-479C-8A41-D5EAF765755F}"/>
            </c:ext>
          </c:extLst>
        </c:ser>
        <c:ser>
          <c:idx val="1"/>
          <c:order val="1"/>
          <c:tx>
            <c:strRef>
              <c:f>[1]DshboardData!$B$14</c:f>
              <c:strCache>
                <c:ptCount val="1"/>
                <c:pt idx="0">
                  <c:v>Avg_Rentals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[1]DshboardData!$B$15:$B$38</c:f>
              <c:numCache>
                <c:formatCode>General</c:formatCode>
                <c:ptCount val="24"/>
                <c:pt idx="0">
                  <c:v>16.348837209302324</c:v>
                </c:pt>
                <c:pt idx="1">
                  <c:v>10.697674418604651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2.15625</c:v>
                </c:pt>
                <c:pt idx="5">
                  <c:v>4.2051282051282053</c:v>
                </c:pt>
                <c:pt idx="6">
                  <c:v>19.571428571428573</c:v>
                </c:pt>
                <c:pt idx="7">
                  <c:v>54.395348837209305</c:v>
                </c:pt>
                <c:pt idx="8">
                  <c:v>128.28571428571428</c:v>
                </c:pt>
                <c:pt idx="9">
                  <c:v>87.428571428571431</c:v>
                </c:pt>
                <c:pt idx="10">
                  <c:v>53.642857142857146</c:v>
                </c:pt>
                <c:pt idx="11">
                  <c:v>59.38095238095238</c:v>
                </c:pt>
                <c:pt idx="12">
                  <c:v>76.348837209302332</c:v>
                </c:pt>
                <c:pt idx="13">
                  <c:v>78.511627906976742</c:v>
                </c:pt>
                <c:pt idx="14">
                  <c:v>74.418604651162795</c:v>
                </c:pt>
                <c:pt idx="15">
                  <c:v>77.95348837209302</c:v>
                </c:pt>
                <c:pt idx="16">
                  <c:v>89.272727272727266</c:v>
                </c:pt>
                <c:pt idx="17">
                  <c:v>140.20454545454547</c:v>
                </c:pt>
                <c:pt idx="18">
                  <c:v>122.86046511627907</c:v>
                </c:pt>
                <c:pt idx="19">
                  <c:v>85.139534883720927</c:v>
                </c:pt>
                <c:pt idx="20">
                  <c:v>61.767441860465119</c:v>
                </c:pt>
                <c:pt idx="21">
                  <c:v>46.418604651162788</c:v>
                </c:pt>
                <c:pt idx="22">
                  <c:v>35.069767441860463</c:v>
                </c:pt>
                <c:pt idx="23">
                  <c:v>25.186046511627907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4-479C-8A41-D5EAF76575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8387087"/>
        <c:axId val="518404431"/>
      </c:barChart>
      <c:catAx>
        <c:axId val="51838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04431"/>
        <c:crosses val="autoZero"/>
        <c:auto val="1"/>
        <c:lblAlgn val="ctr"/>
        <c:lblOffset val="100"/>
        <c:noMultiLvlLbl val="0"/>
      </c:catAx>
      <c:valAx>
        <c:axId val="5184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8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Rentals by Temp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[1]DshboardData!$I$14</c:f>
              <c:strCache>
                <c:ptCount val="1"/>
                <c:pt idx="0">
                  <c:v>Avg_Rentals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[1]DshboardData!$H$15:$H$17</c:f>
              <c:strCache>
                <c:ptCount val="3"/>
                <c:pt idx="0">
                  <c:v>Cold</c:v>
                </c:pt>
                <c:pt idx="1">
                  <c:v>Mild</c:v>
                </c:pt>
                <c:pt idx="2">
                  <c:v>Warm</c:v>
                </c:pt>
              </c:strCache>
            </c:strRef>
          </c:cat>
          <c:val>
            <c:numRef>
              <c:f>[1]DshboardData!$I$15:$I$17</c:f>
              <c:numCache>
                <c:formatCode>General</c:formatCode>
                <c:ptCount val="3"/>
                <c:pt idx="0">
                  <c:v>47.684705882352937</c:v>
                </c:pt>
                <c:pt idx="1">
                  <c:v>66.5590405904059</c:v>
                </c:pt>
                <c:pt idx="2">
                  <c:v>59.484848484848477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2-44EC-A18A-2500CD012F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5197119"/>
        <c:axId val="945199999"/>
      </c:barChart>
      <c:catAx>
        <c:axId val="94519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99999"/>
        <c:crosses val="autoZero"/>
        <c:auto val="1"/>
        <c:lblAlgn val="ctr"/>
        <c:lblOffset val="100"/>
        <c:noMultiLvlLbl val="0"/>
      </c:catAx>
      <c:valAx>
        <c:axId val="94519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9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9.5714285714285712</c:v>
              </c:pt>
              <c:pt idx="1">
                <c:v>8.8000000000000007</c:v>
              </c:pt>
              <c:pt idx="2">
                <c:v>8.6666666666666661</c:v>
              </c:pt>
              <c:pt idx="3">
                <c:v>11.8</c:v>
              </c:pt>
              <c:pt idx="4">
                <c:v>14.666666666666666</c:v>
              </c:pt>
              <c:pt idx="5">
                <c:v>25.571428571428573</c:v>
              </c:pt>
              <c:pt idx="6">
                <c:v>30.571428571428573</c:v>
              </c:pt>
            </c:numLit>
          </c:val>
          <c:extLst>
            <c:ext xmlns:c16="http://schemas.microsoft.com/office/drawing/2014/chart" uri="{C3380CC4-5D6E-409C-BE32-E72D297353CC}">
              <c16:uniqueId val="{00000000-48B6-4B8E-A3EB-617F99288B7B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5.5714285714285712</c:v>
              </c:pt>
              <c:pt idx="1">
                <c:v>3.4</c:v>
              </c:pt>
              <c:pt idx="2">
                <c:v>5.666666666666667</c:v>
              </c:pt>
              <c:pt idx="3">
                <c:v>4.5999999999999996</c:v>
              </c:pt>
              <c:pt idx="4">
                <c:v>5.833333333333333</c:v>
              </c:pt>
              <c:pt idx="5">
                <c:v>21.428571428571427</c:v>
              </c:pt>
              <c:pt idx="6">
                <c:v>23.142857142857142</c:v>
              </c:pt>
            </c:numLit>
          </c:val>
          <c:extLst>
            <c:ext xmlns:c16="http://schemas.microsoft.com/office/drawing/2014/chart" uri="{C3380CC4-5D6E-409C-BE32-E72D297353CC}">
              <c16:uniqueId val="{00000001-48B6-4B8E-A3EB-617F99288B7B}"/>
            </c:ext>
          </c:extLst>
        </c:ser>
        <c:ser>
          <c:idx val="2"/>
          <c:order val="2"/>
          <c:tx>
            <c:v>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3.4</c:v>
              </c:pt>
              <c:pt idx="1">
                <c:v>2</c:v>
              </c:pt>
              <c:pt idx="2">
                <c:v>3.8333333333333335</c:v>
              </c:pt>
              <c:pt idx="3">
                <c:v>2.2000000000000002</c:v>
              </c:pt>
              <c:pt idx="4">
                <c:v>1.6666666666666667</c:v>
              </c:pt>
              <c:pt idx="5">
                <c:v>16.857142857142858</c:v>
              </c:pt>
              <c:pt idx="6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2-48B6-4B8E-A3EB-617F99288B7B}"/>
            </c:ext>
          </c:extLst>
        </c:ser>
        <c:ser>
          <c:idx val="3"/>
          <c:order val="3"/>
          <c:tx>
            <c:v>3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1.5</c:v>
              </c:pt>
              <c:pt idx="1">
                <c:v>1.5</c:v>
              </c:pt>
              <c:pt idx="2">
                <c:v>1.5</c:v>
              </c:pt>
              <c:pt idx="3">
                <c:v>1.6666666666666667</c:v>
              </c:pt>
              <c:pt idx="4">
                <c:v>1</c:v>
              </c:pt>
              <c:pt idx="5">
                <c:v>9.1428571428571423</c:v>
              </c:pt>
              <c:pt idx="6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3-48B6-4B8E-A3EB-617F99288B7B}"/>
            </c:ext>
          </c:extLst>
        </c:ser>
        <c:ser>
          <c:idx val="4"/>
          <c:order val="4"/>
          <c:tx>
            <c:v>4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2</c:v>
              </c:pt>
              <c:pt idx="1">
                <c:v>2</c:v>
              </c:pt>
              <c:pt idx="2">
                <c:v>1.6666666666666667</c:v>
              </c:pt>
              <c:pt idx="3">
                <c:v>1.75</c:v>
              </c:pt>
              <c:pt idx="4">
                <c:v>1</c:v>
              </c:pt>
              <c:pt idx="5">
                <c:v>3.5714285714285716</c:v>
              </c:pt>
              <c:pt idx="6">
                <c:v>1.6666666666666667</c:v>
              </c:pt>
            </c:numLit>
          </c:val>
          <c:extLst>
            <c:ext xmlns:c16="http://schemas.microsoft.com/office/drawing/2014/chart" uri="{C3380CC4-5D6E-409C-BE32-E72D297353CC}">
              <c16:uniqueId val="{00000004-48B6-4B8E-A3EB-617F99288B7B}"/>
            </c:ext>
          </c:extLst>
        </c:ser>
        <c:ser>
          <c:idx val="5"/>
          <c:order val="5"/>
          <c:tx>
            <c:v>5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4.7142857142857144</c:v>
              </c:pt>
              <c:pt idx="1">
                <c:v>4.8</c:v>
              </c:pt>
              <c:pt idx="2">
                <c:v>4.333333333333333</c:v>
              </c:pt>
              <c:pt idx="3">
                <c:v>4.2</c:v>
              </c:pt>
              <c:pt idx="4">
                <c:v>5.5</c:v>
              </c:pt>
              <c:pt idx="5">
                <c:v>3.4</c:v>
              </c:pt>
              <c:pt idx="6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5-48B6-4B8E-A3EB-617F99288B7B}"/>
            </c:ext>
          </c:extLst>
        </c:ser>
        <c:ser>
          <c:idx val="6"/>
          <c:order val="6"/>
          <c:tx>
            <c:v>6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24.857142857142858</c:v>
              </c:pt>
              <c:pt idx="1">
                <c:v>32</c:v>
              </c:pt>
              <c:pt idx="2">
                <c:v>25</c:v>
              </c:pt>
              <c:pt idx="3">
                <c:v>32.799999999999997</c:v>
              </c:pt>
              <c:pt idx="4">
                <c:v>24.333333333333332</c:v>
              </c:pt>
              <c:pt idx="5">
                <c:v>2.4285714285714284</c:v>
              </c:pt>
              <c:pt idx="6">
                <c:v>1.8333333333333333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6-48B6-4B8E-A3EB-617F99288B7B}"/>
            </c:ext>
          </c:extLst>
        </c:ser>
        <c:ser>
          <c:idx val="7"/>
          <c:order val="7"/>
          <c:tx>
            <c:v>7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71.857142857142861</c:v>
              </c:pt>
              <c:pt idx="1">
                <c:v>90.6</c:v>
              </c:pt>
              <c:pt idx="2">
                <c:v>68.333333333333329</c:v>
              </c:pt>
              <c:pt idx="3">
                <c:v>90.8</c:v>
              </c:pt>
              <c:pt idx="4">
                <c:v>73.833333333333329</c:v>
              </c:pt>
              <c:pt idx="5">
                <c:v>7.1428571428571432</c:v>
              </c:pt>
              <c:pt idx="6">
                <c:v>3.7142857142857144</c:v>
              </c:pt>
            </c:numLit>
          </c:val>
          <c:extLst>
            <c:ext xmlns:c16="http://schemas.microsoft.com/office/drawing/2014/chart" uri="{C3380CC4-5D6E-409C-BE32-E72D297353CC}">
              <c16:uniqueId val="{00000007-48B6-4B8E-A3EB-617F99288B7B}"/>
            </c:ext>
          </c:extLst>
        </c:ser>
        <c:ser>
          <c:idx val="8"/>
          <c:order val="8"/>
          <c:tx>
            <c:v>8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161.16666666666666</c:v>
              </c:pt>
              <c:pt idx="1">
                <c:v>202.4</c:v>
              </c:pt>
              <c:pt idx="2">
                <c:v>157.66666666666666</c:v>
              </c:pt>
              <c:pt idx="3">
                <c:v>207.2</c:v>
              </c:pt>
              <c:pt idx="4">
                <c:v>196.33333333333334</c:v>
              </c:pt>
              <c:pt idx="5">
                <c:v>21</c:v>
              </c:pt>
              <c:pt idx="6">
                <c:v>14.571428571428571</c:v>
              </c:pt>
            </c:numLit>
          </c:val>
          <c:extLst>
            <c:ext xmlns:c16="http://schemas.microsoft.com/office/drawing/2014/chart" uri="{C3380CC4-5D6E-409C-BE32-E72D297353CC}">
              <c16:uniqueId val="{00000008-48B6-4B8E-A3EB-617F99288B7B}"/>
            </c:ext>
          </c:extLst>
        </c:ser>
        <c:ser>
          <c:idx val="9"/>
          <c:order val="9"/>
          <c:tx>
            <c:v>9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93.5</c:v>
              </c:pt>
              <c:pt idx="1">
                <c:v>125</c:v>
              </c:pt>
              <c:pt idx="2">
                <c:v>101.5</c:v>
              </c:pt>
              <c:pt idx="3">
                <c:v>131.80000000000001</c:v>
              </c:pt>
              <c:pt idx="4">
                <c:v>130.83333333333334</c:v>
              </c:pt>
              <c:pt idx="5">
                <c:v>29.142857142857142</c:v>
              </c:pt>
              <c:pt idx="6">
                <c:v>32.714285714285715</c:v>
              </c:pt>
            </c:numLit>
          </c:val>
          <c:extLst>
            <c:ext xmlns:c16="http://schemas.microsoft.com/office/drawing/2014/chart" uri="{C3380CC4-5D6E-409C-BE32-E72D297353CC}">
              <c16:uniqueId val="{00000009-48B6-4B8E-A3EB-617F99288B7B}"/>
            </c:ext>
          </c:extLst>
        </c:ser>
        <c:ser>
          <c:idx val="10"/>
          <c:order val="10"/>
          <c:tx>
            <c:v>10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49.333333333333336</c:v>
              </c:pt>
              <c:pt idx="1">
                <c:v>49.2</c:v>
              </c:pt>
              <c:pt idx="2">
                <c:v>48.5</c:v>
              </c:pt>
              <c:pt idx="3">
                <c:v>45.4</c:v>
              </c:pt>
              <c:pt idx="4">
                <c:v>52.333333333333336</c:v>
              </c:pt>
              <c:pt idx="5">
                <c:v>54.571428571428569</c:v>
              </c:pt>
              <c:pt idx="6">
                <c:v>71</c:v>
              </c:pt>
            </c:numLit>
          </c:val>
          <c:extLst>
            <c:ext xmlns:c16="http://schemas.microsoft.com/office/drawing/2014/chart" uri="{C3380CC4-5D6E-409C-BE32-E72D297353CC}">
              <c16:uniqueId val="{0000000A-48B6-4B8E-A3EB-617F99288B7B}"/>
            </c:ext>
          </c:extLst>
        </c:ser>
        <c:ser>
          <c:idx val="11"/>
          <c:order val="11"/>
          <c:tx>
            <c:v>11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47.666666666666664</c:v>
              </c:pt>
              <c:pt idx="1">
                <c:v>50.8</c:v>
              </c:pt>
              <c:pt idx="2">
                <c:v>44.5</c:v>
              </c:pt>
              <c:pt idx="3">
                <c:v>54.6</c:v>
              </c:pt>
              <c:pt idx="4">
                <c:v>56.166666666666664</c:v>
              </c:pt>
              <c:pt idx="5">
                <c:v>68.285714285714292</c:v>
              </c:pt>
              <c:pt idx="6">
                <c:v>85.571428571428569</c:v>
              </c:pt>
            </c:numLit>
          </c:val>
          <c:extLst>
            <c:ext xmlns:c16="http://schemas.microsoft.com/office/drawing/2014/chart" uri="{C3380CC4-5D6E-409C-BE32-E72D297353CC}">
              <c16:uniqueId val="{0000000B-48B6-4B8E-A3EB-617F99288B7B}"/>
            </c:ext>
          </c:extLst>
        </c:ser>
        <c:ser>
          <c:idx val="12"/>
          <c:order val="12"/>
          <c:tx>
            <c:v>12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65</c:v>
              </c:pt>
              <c:pt idx="1">
                <c:v>60.666666666666664</c:v>
              </c:pt>
              <c:pt idx="2">
                <c:v>62.833333333333336</c:v>
              </c:pt>
              <c:pt idx="3">
                <c:v>71.599999999999994</c:v>
              </c:pt>
              <c:pt idx="4">
                <c:v>64</c:v>
              </c:pt>
              <c:pt idx="5">
                <c:v>84.428571428571431</c:v>
              </c:pt>
              <c:pt idx="6">
                <c:v>117</c:v>
              </c:pt>
            </c:numLit>
          </c:val>
          <c:extLst>
            <c:ext xmlns:c16="http://schemas.microsoft.com/office/drawing/2014/chart" uri="{C3380CC4-5D6E-409C-BE32-E72D297353CC}">
              <c16:uniqueId val="{0000000C-48B6-4B8E-A3EB-617F99288B7B}"/>
            </c:ext>
          </c:extLst>
        </c:ser>
        <c:ser>
          <c:idx val="13"/>
          <c:order val="13"/>
          <c:tx>
            <c:v>13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64.333333333333329</c:v>
              </c:pt>
              <c:pt idx="1">
                <c:v>61</c:v>
              </c:pt>
              <c:pt idx="2">
                <c:v>64.833333333333329</c:v>
              </c:pt>
              <c:pt idx="3">
                <c:v>72.2</c:v>
              </c:pt>
              <c:pt idx="4">
                <c:v>74.333333333333329</c:v>
              </c:pt>
              <c:pt idx="5">
                <c:v>93.285714285714292</c:v>
              </c:pt>
              <c:pt idx="6">
                <c:v>110.71428571428571</c:v>
              </c:pt>
            </c:numLit>
          </c:val>
          <c:extLst>
            <c:ext xmlns:c16="http://schemas.microsoft.com/office/drawing/2014/chart" uri="{C3380CC4-5D6E-409C-BE32-E72D297353CC}">
              <c16:uniqueId val="{0000000D-48B6-4B8E-A3EB-617F99288B7B}"/>
            </c:ext>
          </c:extLst>
        </c:ser>
        <c:ser>
          <c:idx val="14"/>
          <c:order val="14"/>
          <c:tx>
            <c:v>14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66.833333333333329</c:v>
              </c:pt>
              <c:pt idx="1">
                <c:v>56.666666666666664</c:v>
              </c:pt>
              <c:pt idx="2">
                <c:v>56.333333333333336</c:v>
              </c:pt>
              <c:pt idx="3">
                <c:v>57.6</c:v>
              </c:pt>
              <c:pt idx="4">
                <c:v>64.833333333333329</c:v>
              </c:pt>
              <c:pt idx="5">
                <c:v>95.428571428571431</c:v>
              </c:pt>
              <c:pt idx="6">
                <c:v>110.85714285714286</c:v>
              </c:pt>
            </c:numLit>
          </c:val>
          <c:extLst>
            <c:ext xmlns:c16="http://schemas.microsoft.com/office/drawing/2014/chart" uri="{C3380CC4-5D6E-409C-BE32-E72D297353CC}">
              <c16:uniqueId val="{0000000E-48B6-4B8E-A3EB-617F99288B7B}"/>
            </c:ext>
          </c:extLst>
        </c:ser>
        <c:ser>
          <c:idx val="15"/>
          <c:order val="15"/>
          <c:tx>
            <c:v>15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60.166666666666664</c:v>
              </c:pt>
              <c:pt idx="1">
                <c:v>55.666666666666664</c:v>
              </c:pt>
              <c:pt idx="2">
                <c:v>62.666666666666664</c:v>
              </c:pt>
              <c:pt idx="3">
                <c:v>60.4</c:v>
              </c:pt>
              <c:pt idx="4">
                <c:v>68.333333333333329</c:v>
              </c:pt>
              <c:pt idx="5">
                <c:v>110</c:v>
              </c:pt>
              <c:pt idx="6">
                <c:v>114.14285714285714</c:v>
              </c:pt>
            </c:numLit>
          </c:val>
          <c:extLst>
            <c:ext xmlns:c16="http://schemas.microsoft.com/office/drawing/2014/chart" uri="{C3380CC4-5D6E-409C-BE32-E72D297353CC}">
              <c16:uniqueId val="{0000000F-48B6-4B8E-A3EB-617F99288B7B}"/>
            </c:ext>
          </c:extLst>
        </c:ser>
        <c:ser>
          <c:idx val="16"/>
          <c:order val="16"/>
          <c:tx>
            <c:v>16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83.666666666666671</c:v>
              </c:pt>
              <c:pt idx="1">
                <c:v>80.5</c:v>
              </c:pt>
              <c:pt idx="2">
                <c:v>79.833333333333329</c:v>
              </c:pt>
              <c:pt idx="3">
                <c:v>72.833333333333329</c:v>
              </c:pt>
              <c:pt idx="4">
                <c:v>96.333333333333329</c:v>
              </c:pt>
              <c:pt idx="5">
                <c:v>100.42857142857143</c:v>
              </c:pt>
              <c:pt idx="6">
                <c:v>106.57142857142857</c:v>
              </c:pt>
            </c:numLit>
          </c:val>
          <c:extLst>
            <c:ext xmlns:c16="http://schemas.microsoft.com/office/drawing/2014/chart" uri="{C3380CC4-5D6E-409C-BE32-E72D297353CC}">
              <c16:uniqueId val="{00000010-48B6-4B8E-A3EB-617F99288B7B}"/>
            </c:ext>
          </c:extLst>
        </c:ser>
        <c:ser>
          <c:idx val="17"/>
          <c:order val="17"/>
          <c:tx>
            <c:v>17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161.16666666666666</c:v>
              </c:pt>
              <c:pt idx="1">
                <c:v>174.5</c:v>
              </c:pt>
              <c:pt idx="2">
                <c:v>151.33333333333334</c:v>
              </c:pt>
              <c:pt idx="3">
                <c:v>162.16666666666666</c:v>
              </c:pt>
              <c:pt idx="4">
                <c:v>178.66666666666666</c:v>
              </c:pt>
              <c:pt idx="5">
                <c:v>84.571428571428569</c:v>
              </c:pt>
              <c:pt idx="6">
                <c:v>87.142857142857139</c:v>
              </c:pt>
            </c:numLit>
          </c:val>
          <c:extLst>
            <c:ext xmlns:c16="http://schemas.microsoft.com/office/drawing/2014/chart" uri="{C3380CC4-5D6E-409C-BE32-E72D297353CC}">
              <c16:uniqueId val="{00000011-48B6-4B8E-A3EB-617F99288B7B}"/>
            </c:ext>
          </c:extLst>
        </c:ser>
        <c:ser>
          <c:idx val="18"/>
          <c:order val="18"/>
          <c:tx>
            <c:v>18</c:v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148</c:v>
              </c:pt>
              <c:pt idx="1">
                <c:v>159.16666666666666</c:v>
              </c:pt>
              <c:pt idx="2">
                <c:v>163.80000000000001</c:v>
              </c:pt>
              <c:pt idx="3">
                <c:v>150.5</c:v>
              </c:pt>
              <c:pt idx="4">
                <c:v>136.66666666666666</c:v>
              </c:pt>
              <c:pt idx="5">
                <c:v>63.285714285714285</c:v>
              </c:pt>
              <c:pt idx="6">
                <c:v>65</c:v>
              </c:pt>
            </c:numLit>
          </c:val>
          <c:extLst>
            <c:ext xmlns:c16="http://schemas.microsoft.com/office/drawing/2014/chart" uri="{C3380CC4-5D6E-409C-BE32-E72D297353CC}">
              <c16:uniqueId val="{00000012-48B6-4B8E-A3EB-617F99288B7B}"/>
            </c:ext>
          </c:extLst>
        </c:ser>
        <c:ser>
          <c:idx val="19"/>
          <c:order val="19"/>
          <c:tx>
            <c:v>19</c:v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101.66666666666667</c:v>
              </c:pt>
              <c:pt idx="1">
                <c:v>102.83333333333333</c:v>
              </c:pt>
              <c:pt idx="2">
                <c:v>101.2</c:v>
              </c:pt>
              <c:pt idx="3">
                <c:v>108.33333333333333</c:v>
              </c:pt>
              <c:pt idx="4">
                <c:v>96</c:v>
              </c:pt>
              <c:pt idx="5">
                <c:v>54.714285714285715</c:v>
              </c:pt>
              <c:pt idx="6">
                <c:v>45.571428571428569</c:v>
              </c:pt>
            </c:numLit>
          </c:val>
          <c:extLst>
            <c:ext xmlns:c16="http://schemas.microsoft.com/office/drawing/2014/chart" uri="{C3380CC4-5D6E-409C-BE32-E72D297353CC}">
              <c16:uniqueId val="{00000013-48B6-4B8E-A3EB-617F99288B7B}"/>
            </c:ext>
          </c:extLst>
        </c:ser>
        <c:ser>
          <c:idx val="20"/>
          <c:order val="20"/>
          <c:tx>
            <c:v>20</c:v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67.666666666666671</c:v>
              </c:pt>
              <c:pt idx="1">
                <c:v>69.666666666666671</c:v>
              </c:pt>
              <c:pt idx="2">
                <c:v>76</c:v>
              </c:pt>
              <c:pt idx="3">
                <c:v>87.333333333333329</c:v>
              </c:pt>
              <c:pt idx="4">
                <c:v>61.333333333333336</c:v>
              </c:pt>
              <c:pt idx="5">
                <c:v>43.142857142857146</c:v>
              </c:pt>
              <c:pt idx="6">
                <c:v>36.857142857142854</c:v>
              </c:pt>
            </c:numLit>
          </c:val>
          <c:extLst>
            <c:ext xmlns:c16="http://schemas.microsoft.com/office/drawing/2014/chart" uri="{C3380CC4-5D6E-409C-BE32-E72D297353CC}">
              <c16:uniqueId val="{00000014-48B6-4B8E-A3EB-617F99288B7B}"/>
            </c:ext>
          </c:extLst>
        </c:ser>
        <c:ser>
          <c:idx val="21"/>
          <c:order val="21"/>
          <c:tx>
            <c:v>21</c:v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51.666666666666664</c:v>
              </c:pt>
              <c:pt idx="1">
                <c:v>45.333333333333336</c:v>
              </c:pt>
              <c:pt idx="2">
                <c:v>61</c:v>
              </c:pt>
              <c:pt idx="3">
                <c:v>51.5</c:v>
              </c:pt>
              <c:pt idx="4">
                <c:v>46.666666666666664</c:v>
              </c:pt>
              <c:pt idx="5">
                <c:v>44.285714285714285</c:v>
              </c:pt>
              <c:pt idx="6">
                <c:v>30</c:v>
              </c:pt>
            </c:numLit>
          </c:val>
          <c:extLst>
            <c:ext xmlns:c16="http://schemas.microsoft.com/office/drawing/2014/chart" uri="{C3380CC4-5D6E-409C-BE32-E72D297353CC}">
              <c16:uniqueId val="{00000015-48B6-4B8E-A3EB-617F99288B7B}"/>
            </c:ext>
          </c:extLst>
        </c:ser>
        <c:ser>
          <c:idx val="22"/>
          <c:order val="22"/>
          <c:tx>
            <c:v>22</c:v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27.166666666666668</c:v>
              </c:pt>
              <c:pt idx="1">
                <c:v>35.833333333333336</c:v>
              </c:pt>
              <c:pt idx="2">
                <c:v>44</c:v>
              </c:pt>
              <c:pt idx="3">
                <c:v>42.833333333333336</c:v>
              </c:pt>
              <c:pt idx="4">
                <c:v>36.833333333333336</c:v>
              </c:pt>
              <c:pt idx="5">
                <c:v>34.285714285714285</c:v>
              </c:pt>
              <c:pt idx="6">
                <c:v>27.428571428571427</c:v>
              </c:pt>
            </c:numLit>
          </c:val>
          <c:extLst>
            <c:ext xmlns:c16="http://schemas.microsoft.com/office/drawing/2014/chart" uri="{C3380CC4-5D6E-409C-BE32-E72D297353CC}">
              <c16:uniqueId val="{00000016-48B6-4B8E-A3EB-617F99288B7B}"/>
            </c:ext>
          </c:extLst>
        </c:ser>
        <c:ser>
          <c:idx val="23"/>
          <c:order val="23"/>
          <c:tx>
            <c:v>23</c:v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16.666666666666668</c:v>
              </c:pt>
              <c:pt idx="1">
                <c:v>19.666666666666668</c:v>
              </c:pt>
              <c:pt idx="2">
                <c:v>27.2</c:v>
              </c:pt>
              <c:pt idx="3">
                <c:v>26.166666666666668</c:v>
              </c:pt>
              <c:pt idx="4">
                <c:v>29.333333333333332</c:v>
              </c:pt>
              <c:pt idx="5">
                <c:v>37.428571428571431</c:v>
              </c:pt>
              <c:pt idx="6">
                <c:v>19.142857142857142</c:v>
              </c:pt>
            </c:numLit>
          </c:val>
          <c:extLst>
            <c:ext xmlns:c16="http://schemas.microsoft.com/office/drawing/2014/chart" uri="{C3380CC4-5D6E-409C-BE32-E72D297353CC}">
              <c16:uniqueId val="{00000017-48B6-4B8E-A3EB-617F99288B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6434016"/>
        <c:axId val="1836439776"/>
      </c:barChart>
      <c:catAx>
        <c:axId val="183643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39776"/>
        <c:crosses val="autoZero"/>
        <c:auto val="1"/>
        <c:lblAlgn val="ctr"/>
        <c:lblOffset val="100"/>
        <c:noMultiLvlLbl val="0"/>
      </c:catAx>
      <c:valAx>
        <c:axId val="18364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3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10.689655172413794</c:v>
              </c:pt>
              <c:pt idx="1">
                <c:v>28.071428571428573</c:v>
              </c:pt>
            </c:numLit>
          </c:val>
          <c:extLst>
            <c:ext xmlns:c16="http://schemas.microsoft.com/office/drawing/2014/chart" uri="{C3380CC4-5D6E-409C-BE32-E72D297353CC}">
              <c16:uniqueId val="{00000000-5C06-4453-B6EC-454C79FD0B1F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5.1034482758620694</c:v>
              </c:pt>
              <c:pt idx="1">
                <c:v>22.285714285714285</c:v>
              </c:pt>
            </c:numLit>
          </c:val>
          <c:extLst>
            <c:ext xmlns:c16="http://schemas.microsoft.com/office/drawing/2014/chart" uri="{C3380CC4-5D6E-409C-BE32-E72D297353CC}">
              <c16:uniqueId val="{00000001-5C06-4453-B6EC-454C79FD0B1F}"/>
            </c:ext>
          </c:extLst>
        </c:ser>
        <c:ser>
          <c:idx val="2"/>
          <c:order val="2"/>
          <c:tx>
            <c:v>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2.6296296296296298</c:v>
              </c:pt>
              <c:pt idx="1">
                <c:v>15.928571428571429</c:v>
              </c:pt>
            </c:numLit>
          </c:val>
          <c:extLst>
            <c:ext xmlns:c16="http://schemas.microsoft.com/office/drawing/2014/chart" uri="{C3380CC4-5D6E-409C-BE32-E72D297353CC}">
              <c16:uniqueId val="{00000002-5C06-4453-B6EC-454C79FD0B1F}"/>
            </c:ext>
          </c:extLst>
        </c:ser>
        <c:ser>
          <c:idx val="3"/>
          <c:order val="3"/>
          <c:tx>
            <c:v>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1.411764705882353</c:v>
              </c:pt>
              <c:pt idx="1">
                <c:v>9.0714285714285712</c:v>
              </c:pt>
            </c:numLit>
          </c:val>
          <c:extLst>
            <c:ext xmlns:c16="http://schemas.microsoft.com/office/drawing/2014/chart" uri="{C3380CC4-5D6E-409C-BE32-E72D297353CC}">
              <c16:uniqueId val="{00000003-5C06-4453-B6EC-454C79FD0B1F}"/>
            </c:ext>
          </c:extLst>
        </c:ser>
        <c:ser>
          <c:idx val="4"/>
          <c:order val="4"/>
          <c:tx>
            <c:v>4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1.7894736842105263</c:v>
              </c:pt>
              <c:pt idx="1">
                <c:v>2.6923076923076925</c:v>
              </c:pt>
            </c:numLit>
          </c:val>
          <c:extLst>
            <c:ext xmlns:c16="http://schemas.microsoft.com/office/drawing/2014/chart" uri="{C3380CC4-5D6E-409C-BE32-E72D297353CC}">
              <c16:uniqueId val="{00000004-5C06-4453-B6EC-454C79FD0B1F}"/>
            </c:ext>
          </c:extLst>
        </c:ser>
        <c:ser>
          <c:idx val="5"/>
          <c:order val="5"/>
          <c:tx>
            <c:v>5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4.7241379310344831</c:v>
              </c:pt>
              <c:pt idx="1">
                <c:v>2.7</c:v>
              </c:pt>
            </c:numLit>
          </c:val>
          <c:extLst>
            <c:ext xmlns:c16="http://schemas.microsoft.com/office/drawing/2014/chart" uri="{C3380CC4-5D6E-409C-BE32-E72D297353CC}">
              <c16:uniqueId val="{00000005-5C06-4453-B6EC-454C79FD0B1F}"/>
            </c:ext>
          </c:extLst>
        </c:ser>
        <c:ser>
          <c:idx val="6"/>
          <c:order val="6"/>
          <c:tx>
            <c:v>6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27.379310344827587</c:v>
              </c:pt>
              <c:pt idx="1">
                <c:v>2.1538461538461537</c:v>
              </c:pt>
            </c:numLit>
          </c:val>
          <c:extLst>
            <c:ext xmlns:c16="http://schemas.microsoft.com/office/drawing/2014/chart" uri="{C3380CC4-5D6E-409C-BE32-E72D297353CC}">
              <c16:uniqueId val="{00000006-5C06-4453-B6EC-454C79FD0B1F}"/>
            </c:ext>
          </c:extLst>
        </c:ser>
        <c:ser>
          <c:idx val="7"/>
          <c:order val="7"/>
          <c:tx>
            <c:v>7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78.034482758620683</c:v>
              </c:pt>
              <c:pt idx="1">
                <c:v>5.4285714285714288</c:v>
              </c:pt>
            </c:numLit>
          </c:val>
          <c:extLst>
            <c:ext xmlns:c16="http://schemas.microsoft.com/office/drawing/2014/chart" uri="{C3380CC4-5D6E-409C-BE32-E72D297353CC}">
              <c16:uniqueId val="{00000007-5C06-4453-B6EC-454C79FD0B1F}"/>
            </c:ext>
          </c:extLst>
        </c:ser>
        <c:ser>
          <c:idx val="8"/>
          <c:order val="8"/>
          <c:tx>
            <c:v>8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183.53571428571428</c:v>
              </c:pt>
              <c:pt idx="1">
                <c:v>17.785714285714285</c:v>
              </c:pt>
            </c:numLit>
          </c:val>
          <c:extLst>
            <c:ext xmlns:c16="http://schemas.microsoft.com/office/drawing/2014/chart" uri="{C3380CC4-5D6E-409C-BE32-E72D297353CC}">
              <c16:uniqueId val="{00000008-5C06-4453-B6EC-454C79FD0B1F}"/>
            </c:ext>
          </c:extLst>
        </c:ser>
        <c:ser>
          <c:idx val="9"/>
          <c:order val="9"/>
          <c:tx>
            <c:v>9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115.67857142857143</c:v>
              </c:pt>
              <c:pt idx="1">
                <c:v>30.928571428571427</c:v>
              </c:pt>
            </c:numLit>
          </c:val>
          <c:extLst>
            <c:ext xmlns:c16="http://schemas.microsoft.com/office/drawing/2014/chart" uri="{C3380CC4-5D6E-409C-BE32-E72D297353CC}">
              <c16:uniqueId val="{00000009-5C06-4453-B6EC-454C79FD0B1F}"/>
            </c:ext>
          </c:extLst>
        </c:ser>
        <c:ser>
          <c:idx val="10"/>
          <c:order val="10"/>
          <c:tx>
            <c:v>10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49.071428571428569</c:v>
              </c:pt>
              <c:pt idx="1">
                <c:v>62.785714285714285</c:v>
              </c:pt>
            </c:numLit>
          </c:val>
          <c:extLst>
            <c:ext xmlns:c16="http://schemas.microsoft.com/office/drawing/2014/chart" uri="{C3380CC4-5D6E-409C-BE32-E72D297353CC}">
              <c16:uniqueId val="{0000000A-5C06-4453-B6EC-454C79FD0B1F}"/>
            </c:ext>
          </c:extLst>
        </c:ser>
        <c:ser>
          <c:idx val="11"/>
          <c:order val="11"/>
          <c:tx>
            <c:v>11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50.607142857142854</c:v>
              </c:pt>
              <c:pt idx="1">
                <c:v>76.928571428571431</c:v>
              </c:pt>
            </c:numLit>
          </c:val>
          <c:extLst>
            <c:ext xmlns:c16="http://schemas.microsoft.com/office/drawing/2014/chart" uri="{C3380CC4-5D6E-409C-BE32-E72D297353CC}">
              <c16:uniqueId val="{0000000B-5C06-4453-B6EC-454C79FD0B1F}"/>
            </c:ext>
          </c:extLst>
        </c:ser>
        <c:ser>
          <c:idx val="12"/>
          <c:order val="12"/>
          <c:tx>
            <c:v>12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64.58620689655173</c:v>
              </c:pt>
              <c:pt idx="1">
                <c:v>100.71428571428571</c:v>
              </c:pt>
            </c:numLit>
          </c:val>
          <c:extLst>
            <c:ext xmlns:c16="http://schemas.microsoft.com/office/drawing/2014/chart" uri="{C3380CC4-5D6E-409C-BE32-E72D297353CC}">
              <c16:uniqueId val="{0000000C-5C06-4453-B6EC-454C79FD0B1F}"/>
            </c:ext>
          </c:extLst>
        </c:ser>
        <c:ser>
          <c:idx val="13"/>
          <c:order val="13"/>
          <c:tx>
            <c:v>13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67.172413793103445</c:v>
              </c:pt>
              <c:pt idx="1">
                <c:v>102</c:v>
              </c:pt>
            </c:numLit>
          </c:val>
          <c:extLst>
            <c:ext xmlns:c16="http://schemas.microsoft.com/office/drawing/2014/chart" uri="{C3380CC4-5D6E-409C-BE32-E72D297353CC}">
              <c16:uniqueId val="{0000000D-5C06-4453-B6EC-454C79FD0B1F}"/>
            </c:ext>
          </c:extLst>
        </c:ser>
        <c:ser>
          <c:idx val="14"/>
          <c:order val="14"/>
          <c:tx>
            <c:v>14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60.551724137931032</c:v>
              </c:pt>
              <c:pt idx="1">
                <c:v>103.14285714285714</c:v>
              </c:pt>
            </c:numLit>
          </c:val>
          <c:extLst>
            <c:ext xmlns:c16="http://schemas.microsoft.com/office/drawing/2014/chart" uri="{C3380CC4-5D6E-409C-BE32-E72D297353CC}">
              <c16:uniqueId val="{0000000E-5C06-4453-B6EC-454C79FD0B1F}"/>
            </c:ext>
          </c:extLst>
        </c:ser>
        <c:ser>
          <c:idx val="15"/>
          <c:order val="15"/>
          <c:tx>
            <c:v>15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61.482758620689658</c:v>
              </c:pt>
              <c:pt idx="1">
                <c:v>112.07142857142857</c:v>
              </c:pt>
            </c:numLit>
          </c:val>
          <c:extLst>
            <c:ext xmlns:c16="http://schemas.microsoft.com/office/drawing/2014/chart" uri="{C3380CC4-5D6E-409C-BE32-E72D297353CC}">
              <c16:uniqueId val="{0000000F-5C06-4453-B6EC-454C79FD0B1F}"/>
            </c:ext>
          </c:extLst>
        </c:ser>
        <c:ser>
          <c:idx val="16"/>
          <c:order val="16"/>
          <c:tx>
            <c:v>16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82.63333333333334</c:v>
              </c:pt>
              <c:pt idx="1">
                <c:v>103.5</c:v>
              </c:pt>
            </c:numLit>
          </c:val>
          <c:extLst>
            <c:ext xmlns:c16="http://schemas.microsoft.com/office/drawing/2014/chart" uri="{C3380CC4-5D6E-409C-BE32-E72D297353CC}">
              <c16:uniqueId val="{00000010-5C06-4453-B6EC-454C79FD0B1F}"/>
            </c:ext>
          </c:extLst>
        </c:ser>
        <c:ser>
          <c:idx val="17"/>
          <c:order val="17"/>
          <c:tx>
            <c:v>17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165.56666666666666</c:v>
              </c:pt>
              <c:pt idx="1">
                <c:v>85.857142857142861</c:v>
              </c:pt>
            </c:numLit>
          </c:val>
          <c:extLst>
            <c:ext xmlns:c16="http://schemas.microsoft.com/office/drawing/2014/chart" uri="{C3380CC4-5D6E-409C-BE32-E72D297353CC}">
              <c16:uniqueId val="{00000011-5C06-4453-B6EC-454C79FD0B1F}"/>
            </c:ext>
          </c:extLst>
        </c:ser>
        <c:ser>
          <c:idx val="18"/>
          <c:order val="18"/>
          <c:tx>
            <c:v>18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151.20689655172413</c:v>
              </c:pt>
              <c:pt idx="1">
                <c:v>64.142857142857139</c:v>
              </c:pt>
            </c:numLit>
          </c:val>
          <c:extLst>
            <c:ext xmlns:c16="http://schemas.microsoft.com/office/drawing/2014/chart" uri="{C3380CC4-5D6E-409C-BE32-E72D297353CC}">
              <c16:uniqueId val="{00000012-5C06-4453-B6EC-454C79FD0B1F}"/>
            </c:ext>
          </c:extLst>
        </c:ser>
        <c:ser>
          <c:idx val="19"/>
          <c:order val="19"/>
          <c:tx>
            <c:v>19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102.03448275862068</c:v>
              </c:pt>
              <c:pt idx="1">
                <c:v>50.142857142857146</c:v>
              </c:pt>
            </c:numLit>
          </c:val>
          <c:extLst>
            <c:ext xmlns:c16="http://schemas.microsoft.com/office/drawing/2014/chart" uri="{C3380CC4-5D6E-409C-BE32-E72D297353CC}">
              <c16:uniqueId val="{00000013-5C06-4453-B6EC-454C79FD0B1F}"/>
            </c:ext>
          </c:extLst>
        </c:ser>
        <c:ser>
          <c:idx val="20"/>
          <c:order val="20"/>
          <c:tx>
            <c:v>20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72.275862068965523</c:v>
              </c:pt>
              <c:pt idx="1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14-5C06-4453-B6EC-454C79FD0B1F}"/>
            </c:ext>
          </c:extLst>
        </c:ser>
        <c:ser>
          <c:idx val="21"/>
          <c:order val="21"/>
          <c:tx>
            <c:v>21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50.896551724137929</c:v>
              </c:pt>
              <c:pt idx="1">
                <c:v>37.142857142857146</c:v>
              </c:pt>
            </c:numLit>
          </c:val>
          <c:extLst>
            <c:ext xmlns:c16="http://schemas.microsoft.com/office/drawing/2014/chart" uri="{C3380CC4-5D6E-409C-BE32-E72D297353CC}">
              <c16:uniqueId val="{00000015-5C06-4453-B6EC-454C79FD0B1F}"/>
            </c:ext>
          </c:extLst>
        </c:ser>
        <c:ser>
          <c:idx val="22"/>
          <c:order val="22"/>
          <c:tx>
            <c:v>22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37.103448275862071</c:v>
              </c:pt>
              <c:pt idx="1">
                <c:v>30.857142857142858</c:v>
              </c:pt>
            </c:numLit>
          </c:val>
          <c:extLst>
            <c:ext xmlns:c16="http://schemas.microsoft.com/office/drawing/2014/chart" uri="{C3380CC4-5D6E-409C-BE32-E72D297353CC}">
              <c16:uniqueId val="{00000016-5C06-4453-B6EC-454C79FD0B1F}"/>
            </c:ext>
          </c:extLst>
        </c:ser>
        <c:ser>
          <c:idx val="23"/>
          <c:order val="23"/>
          <c:tx>
            <c:v>23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23.689655172413794</c:v>
              </c:pt>
              <c:pt idx="1">
                <c:v>28.285714285714285</c:v>
              </c:pt>
            </c:numLit>
          </c:val>
          <c:extLst>
            <c:ext xmlns:c16="http://schemas.microsoft.com/office/drawing/2014/chart" uri="{C3380CC4-5D6E-409C-BE32-E72D297353CC}">
              <c16:uniqueId val="{00000017-5C06-4453-B6EC-454C79FD0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0045808"/>
        <c:axId val="1910042928"/>
      </c:barChart>
      <c:catAx>
        <c:axId val="191004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42928"/>
        <c:crosses val="autoZero"/>
        <c:auto val="1"/>
        <c:lblAlgn val="ctr"/>
        <c:lblOffset val="100"/>
        <c:noMultiLvlLbl val="0"/>
      </c:catAx>
      <c:valAx>
        <c:axId val="19100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4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15.103448275862069</c:v>
              </c:pt>
              <c:pt idx="1">
                <c:v>18.928571428571427</c:v>
              </c:pt>
            </c:numLit>
          </c:val>
          <c:extLst>
            <c:ext xmlns:c16="http://schemas.microsoft.com/office/drawing/2014/chart" uri="{C3380CC4-5D6E-409C-BE32-E72D297353CC}">
              <c16:uniqueId val="{00000000-C31B-4246-BBD6-31C4FBF8E660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10.172413793103448</c:v>
              </c:pt>
              <c:pt idx="1">
                <c:v>11.785714285714286</c:v>
              </c:pt>
            </c:numLit>
          </c:val>
          <c:extLst>
            <c:ext xmlns:c16="http://schemas.microsoft.com/office/drawing/2014/chart" uri="{C3380CC4-5D6E-409C-BE32-E72D297353CC}">
              <c16:uniqueId val="{00000001-C31B-4246-BBD6-31C4FBF8E660}"/>
            </c:ext>
          </c:extLst>
        </c:ser>
        <c:ser>
          <c:idx val="2"/>
          <c:order val="2"/>
          <c:tx>
            <c:v>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7.2962962962962967</c:v>
              </c:pt>
              <c:pt idx="1">
                <c:v>6.9285714285714288</c:v>
              </c:pt>
            </c:numLit>
          </c:val>
          <c:extLst>
            <c:ext xmlns:c16="http://schemas.microsoft.com/office/drawing/2014/chart" uri="{C3380CC4-5D6E-409C-BE32-E72D297353CC}">
              <c16:uniqueId val="{00000002-C31B-4246-BBD6-31C4FBF8E660}"/>
            </c:ext>
          </c:extLst>
        </c:ser>
        <c:ser>
          <c:idx val="3"/>
          <c:order val="3"/>
          <c:tx>
            <c:v>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4.9473684210526319</c:v>
              </c:pt>
              <c:pt idx="1">
                <c:v>4.75</c:v>
              </c:pt>
            </c:numLit>
          </c:val>
          <c:extLst>
            <c:ext xmlns:c16="http://schemas.microsoft.com/office/drawing/2014/chart" uri="{C3380CC4-5D6E-409C-BE32-E72D297353CC}">
              <c16:uniqueId val="{00000003-C31B-4246-BBD6-31C4FBF8E660}"/>
            </c:ext>
          </c:extLst>
        </c:ser>
        <c:ser>
          <c:idx val="4"/>
          <c:order val="4"/>
          <c:tx>
            <c:v>4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1.9130434782608696</c:v>
              </c:pt>
              <c:pt idx="1">
                <c:v>2.7777777777777777</c:v>
              </c:pt>
            </c:numLit>
          </c:val>
          <c:extLst>
            <c:ext xmlns:c16="http://schemas.microsoft.com/office/drawing/2014/chart" uri="{C3380CC4-5D6E-409C-BE32-E72D297353CC}">
              <c16:uniqueId val="{00000004-C31B-4246-BBD6-31C4FBF8E660}"/>
            </c:ext>
          </c:extLst>
        </c:ser>
        <c:ser>
          <c:idx val="5"/>
          <c:order val="5"/>
          <c:tx>
            <c:v>5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4.0769230769230766</c:v>
              </c:pt>
              <c:pt idx="1">
                <c:v>4.4615384615384617</c:v>
              </c:pt>
            </c:numLit>
          </c:val>
          <c:extLst>
            <c:ext xmlns:c16="http://schemas.microsoft.com/office/drawing/2014/chart" uri="{C3380CC4-5D6E-409C-BE32-E72D297353CC}">
              <c16:uniqueId val="{00000005-C31B-4246-BBD6-31C4FBF8E660}"/>
            </c:ext>
          </c:extLst>
        </c:ser>
        <c:ser>
          <c:idx val="6"/>
          <c:order val="6"/>
          <c:tx>
            <c:v>6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18.392857142857142</c:v>
              </c:pt>
              <c:pt idx="1">
                <c:v>21.928571428571427</c:v>
              </c:pt>
            </c:numLit>
          </c:val>
          <c:extLst>
            <c:ext xmlns:c16="http://schemas.microsoft.com/office/drawing/2014/chart" uri="{C3380CC4-5D6E-409C-BE32-E72D297353CC}">
              <c16:uniqueId val="{00000006-C31B-4246-BBD6-31C4FBF8E660}"/>
            </c:ext>
          </c:extLst>
        </c:ser>
        <c:ser>
          <c:idx val="7"/>
          <c:order val="7"/>
          <c:tx>
            <c:v>7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50.793103448275865</c:v>
              </c:pt>
              <c:pt idx="1">
                <c:v>61.857142857142854</c:v>
              </c:pt>
            </c:numLit>
          </c:val>
          <c:extLst>
            <c:ext xmlns:c16="http://schemas.microsoft.com/office/drawing/2014/chart" uri="{C3380CC4-5D6E-409C-BE32-E72D297353CC}">
              <c16:uniqueId val="{00000007-C31B-4246-BBD6-31C4FBF8E660}"/>
            </c:ext>
          </c:extLst>
        </c:ser>
        <c:ser>
          <c:idx val="8"/>
          <c:order val="8"/>
          <c:tx>
            <c:v>8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122.37931034482759</c:v>
              </c:pt>
              <c:pt idx="1">
                <c:v>141.46153846153845</c:v>
              </c:pt>
            </c:numLit>
          </c:val>
          <c:extLst>
            <c:ext xmlns:c16="http://schemas.microsoft.com/office/drawing/2014/chart" uri="{C3380CC4-5D6E-409C-BE32-E72D297353CC}">
              <c16:uniqueId val="{00000008-C31B-4246-BBD6-31C4FBF8E660}"/>
            </c:ext>
          </c:extLst>
        </c:ser>
        <c:ser>
          <c:idx val="9"/>
          <c:order val="9"/>
          <c:tx>
            <c:v>9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82.068965517241381</c:v>
              </c:pt>
              <c:pt idx="1">
                <c:v>99.384615384615387</c:v>
              </c:pt>
            </c:numLit>
          </c:val>
          <c:extLst>
            <c:ext xmlns:c16="http://schemas.microsoft.com/office/drawing/2014/chart" uri="{C3380CC4-5D6E-409C-BE32-E72D297353CC}">
              <c16:uniqueId val="{00000009-C31B-4246-BBD6-31C4FBF8E660}"/>
            </c:ext>
          </c:extLst>
        </c:ser>
        <c:ser>
          <c:idx val="10"/>
          <c:order val="10"/>
          <c:tx>
            <c:v>10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51.344827586206897</c:v>
              </c:pt>
              <c:pt idx="1">
                <c:v>58.769230769230766</c:v>
              </c:pt>
            </c:numLit>
          </c:val>
          <c:extLst>
            <c:ext xmlns:c16="http://schemas.microsoft.com/office/drawing/2014/chart" uri="{C3380CC4-5D6E-409C-BE32-E72D297353CC}">
              <c16:uniqueId val="{0000000A-C31B-4246-BBD6-31C4FBF8E660}"/>
            </c:ext>
          </c:extLst>
        </c:ser>
        <c:ser>
          <c:idx val="11"/>
          <c:order val="11"/>
          <c:tx>
            <c:v>11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56.068965517241381</c:v>
              </c:pt>
              <c:pt idx="1">
                <c:v>66.769230769230774</c:v>
              </c:pt>
            </c:numLit>
          </c:val>
          <c:extLst>
            <c:ext xmlns:c16="http://schemas.microsoft.com/office/drawing/2014/chart" uri="{C3380CC4-5D6E-409C-BE32-E72D297353CC}">
              <c16:uniqueId val="{0000000B-C31B-4246-BBD6-31C4FBF8E660}"/>
            </c:ext>
          </c:extLst>
        </c:ser>
        <c:ser>
          <c:idx val="12"/>
          <c:order val="12"/>
          <c:tx>
            <c:v>12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72.63333333333334</c:v>
              </c:pt>
              <c:pt idx="1">
                <c:v>84.92307692307692</c:v>
              </c:pt>
            </c:numLit>
          </c:val>
          <c:extLst>
            <c:ext xmlns:c16="http://schemas.microsoft.com/office/drawing/2014/chart" uri="{C3380CC4-5D6E-409C-BE32-E72D297353CC}">
              <c16:uniqueId val="{0000000C-C31B-4246-BBD6-31C4FBF8E660}"/>
            </c:ext>
          </c:extLst>
        </c:ser>
        <c:ser>
          <c:idx val="13"/>
          <c:order val="13"/>
          <c:tx>
            <c:v>13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73.933333333333337</c:v>
              </c:pt>
              <c:pt idx="1">
                <c:v>89.07692307692308</c:v>
              </c:pt>
            </c:numLit>
          </c:val>
          <c:extLst>
            <c:ext xmlns:c16="http://schemas.microsoft.com/office/drawing/2014/chart" uri="{C3380CC4-5D6E-409C-BE32-E72D297353CC}">
              <c16:uniqueId val="{0000000D-C31B-4246-BBD6-31C4FBF8E660}"/>
            </c:ext>
          </c:extLst>
        </c:ser>
        <c:ser>
          <c:idx val="14"/>
          <c:order val="14"/>
          <c:tx>
            <c:v>14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71.13333333333334</c:v>
              </c:pt>
              <c:pt idx="1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E-C31B-4246-BBD6-31C4FBF8E660}"/>
            </c:ext>
          </c:extLst>
        </c:ser>
        <c:ser>
          <c:idx val="15"/>
          <c:order val="15"/>
          <c:tx>
            <c:v>15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73.566666666666663</c:v>
              </c:pt>
              <c:pt idx="1">
                <c:v>88.07692307692308</c:v>
              </c:pt>
            </c:numLit>
          </c:val>
          <c:extLst>
            <c:ext xmlns:c16="http://schemas.microsoft.com/office/drawing/2014/chart" uri="{C3380CC4-5D6E-409C-BE32-E72D297353CC}">
              <c16:uniqueId val="{0000000F-C31B-4246-BBD6-31C4FBF8E660}"/>
            </c:ext>
          </c:extLst>
        </c:ser>
        <c:ser>
          <c:idx val="16"/>
          <c:order val="16"/>
          <c:tx>
            <c:v>16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83.741935483870961</c:v>
              </c:pt>
              <c:pt idx="1">
                <c:v>102.46153846153847</c:v>
              </c:pt>
            </c:numLit>
          </c:val>
          <c:extLst>
            <c:ext xmlns:c16="http://schemas.microsoft.com/office/drawing/2014/chart" uri="{C3380CC4-5D6E-409C-BE32-E72D297353CC}">
              <c16:uniqueId val="{00000010-C31B-4246-BBD6-31C4FBF8E660}"/>
            </c:ext>
          </c:extLst>
        </c:ser>
        <c:ser>
          <c:idx val="17"/>
          <c:order val="17"/>
          <c:tx>
            <c:v>17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129.93548387096774</c:v>
              </c:pt>
              <c:pt idx="1">
                <c:v>164.69230769230768</c:v>
              </c:pt>
            </c:numLit>
          </c:val>
          <c:extLst>
            <c:ext xmlns:c16="http://schemas.microsoft.com/office/drawing/2014/chart" uri="{C3380CC4-5D6E-409C-BE32-E72D297353CC}">
              <c16:uniqueId val="{00000011-C31B-4246-BBD6-31C4FBF8E660}"/>
            </c:ext>
          </c:extLst>
        </c:ser>
        <c:ser>
          <c:idx val="18"/>
          <c:order val="18"/>
          <c:tx>
            <c:v>18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116</c:v>
              </c:pt>
              <c:pt idx="1">
                <c:v>138.69230769230768</c:v>
              </c:pt>
            </c:numLit>
          </c:val>
          <c:extLst>
            <c:ext xmlns:c16="http://schemas.microsoft.com/office/drawing/2014/chart" uri="{C3380CC4-5D6E-409C-BE32-E72D297353CC}">
              <c16:uniqueId val="{00000012-C31B-4246-BBD6-31C4FBF8E660}"/>
            </c:ext>
          </c:extLst>
        </c:ser>
        <c:ser>
          <c:idx val="19"/>
          <c:order val="19"/>
          <c:tx>
            <c:v>19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84.2</c:v>
              </c:pt>
              <c:pt idx="1">
                <c:v>87.307692307692307</c:v>
              </c:pt>
            </c:numLit>
          </c:val>
          <c:extLst>
            <c:ext xmlns:c16="http://schemas.microsoft.com/office/drawing/2014/chart" uri="{C3380CC4-5D6E-409C-BE32-E72D297353CC}">
              <c16:uniqueId val="{00000013-C31B-4246-BBD6-31C4FBF8E660}"/>
            </c:ext>
          </c:extLst>
        </c:ser>
        <c:ser>
          <c:idx val="20"/>
          <c:order val="20"/>
          <c:tx>
            <c:v>20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58.56666666666667</c:v>
              </c:pt>
              <c:pt idx="1">
                <c:v>69.15384615384616</c:v>
              </c:pt>
            </c:numLit>
          </c:val>
          <c:extLst>
            <c:ext xmlns:c16="http://schemas.microsoft.com/office/drawing/2014/chart" uri="{C3380CC4-5D6E-409C-BE32-E72D297353CC}">
              <c16:uniqueId val="{00000014-C31B-4246-BBD6-31C4FBF8E660}"/>
            </c:ext>
          </c:extLst>
        </c:ser>
        <c:ser>
          <c:idx val="21"/>
          <c:order val="21"/>
          <c:tx>
            <c:v>21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41.766666666666666</c:v>
              </c:pt>
              <c:pt idx="1">
                <c:v>57.153846153846153</c:v>
              </c:pt>
            </c:numLit>
          </c:val>
          <c:extLst>
            <c:ext xmlns:c16="http://schemas.microsoft.com/office/drawing/2014/chart" uri="{C3380CC4-5D6E-409C-BE32-E72D297353CC}">
              <c16:uniqueId val="{00000015-C31B-4246-BBD6-31C4FBF8E660}"/>
            </c:ext>
          </c:extLst>
        </c:ser>
        <c:ser>
          <c:idx val="22"/>
          <c:order val="22"/>
          <c:tx>
            <c:v>22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31.7</c:v>
              </c:pt>
              <c:pt idx="1">
                <c:v>42.846153846153847</c:v>
              </c:pt>
            </c:numLit>
          </c:val>
          <c:extLst>
            <c:ext xmlns:c16="http://schemas.microsoft.com/office/drawing/2014/chart" uri="{C3380CC4-5D6E-409C-BE32-E72D297353CC}">
              <c16:uniqueId val="{00000016-C31B-4246-BBD6-31C4FBF8E660}"/>
            </c:ext>
          </c:extLst>
        </c:ser>
        <c:ser>
          <c:idx val="23"/>
          <c:order val="23"/>
          <c:tx>
            <c:v>23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21.8</c:v>
              </c:pt>
              <c:pt idx="1">
                <c:v>33</c:v>
              </c:pt>
            </c:numLit>
          </c:val>
          <c:extLst>
            <c:ext xmlns:c16="http://schemas.microsoft.com/office/drawing/2014/chart" uri="{C3380CC4-5D6E-409C-BE32-E72D297353CC}">
              <c16:uniqueId val="{00000017-C31B-4246-BBD6-31C4FBF8E6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4602560"/>
        <c:axId val="1304603040"/>
      </c:barChart>
      <c:catAx>
        <c:axId val="13046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03040"/>
        <c:crosses val="autoZero"/>
        <c:auto val="1"/>
        <c:lblAlgn val="ctr"/>
        <c:lblOffset val="100"/>
        <c:noMultiLvlLbl val="0"/>
      </c:catAx>
      <c:valAx>
        <c:axId val="130460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648357000521087E-2"/>
          <c:y val="0.14249781277340332"/>
          <c:w val="0.9209813841835277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17.923076923076923</c:v>
              </c:pt>
              <c:pt idx="1">
                <c:v>0</c:v>
              </c:pt>
              <c:pt idx="2">
                <c:v>9</c:v>
              </c:pt>
              <c:pt idx="3">
                <c:v>14.6</c:v>
              </c:pt>
            </c:numLit>
          </c:val>
          <c:extLst>
            <c:ext xmlns:c16="http://schemas.microsoft.com/office/drawing/2014/chart" uri="{C3380CC4-5D6E-409C-BE32-E72D297353CC}">
              <c16:uniqueId val="{00000000-52A3-42E3-98F0-50266D1F946E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11.92</c:v>
              </c:pt>
              <c:pt idx="1">
                <c:v>0</c:v>
              </c:pt>
              <c:pt idx="2">
                <c:v>5.666666666666667</c:v>
              </c:pt>
              <c:pt idx="3">
                <c:v>9.6666666666666661</c:v>
              </c:pt>
            </c:numLit>
          </c:val>
          <c:extLst>
            <c:ext xmlns:c16="http://schemas.microsoft.com/office/drawing/2014/chart" uri="{C3380CC4-5D6E-409C-BE32-E72D297353CC}">
              <c16:uniqueId val="{00000001-52A3-42E3-98F0-50266D1F946E}"/>
            </c:ext>
          </c:extLst>
        </c:ser>
        <c:ser>
          <c:idx val="2"/>
          <c:order val="2"/>
          <c:tx>
            <c:v>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7.3043478260869561</c:v>
              </c:pt>
              <c:pt idx="1">
                <c:v>0</c:v>
              </c:pt>
              <c:pt idx="2">
                <c:v>4.4000000000000004</c:v>
              </c:pt>
              <c:pt idx="3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2-52A3-42E3-98F0-50266D1F946E}"/>
            </c:ext>
          </c:extLst>
        </c:ser>
        <c:ser>
          <c:idx val="3"/>
          <c:order val="3"/>
          <c:tx>
            <c:v>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5.0555555555555554</c:v>
              </c:pt>
              <c:pt idx="1">
                <c:v>0</c:v>
              </c:pt>
              <c:pt idx="2">
                <c:v>2.5</c:v>
              </c:pt>
              <c:pt idx="3">
                <c:v>5.5555555555555554</c:v>
              </c:pt>
            </c:numLit>
          </c:val>
          <c:extLst>
            <c:ext xmlns:c16="http://schemas.microsoft.com/office/drawing/2014/chart" uri="{C3380CC4-5D6E-409C-BE32-E72D297353CC}">
              <c16:uniqueId val="{00000003-52A3-42E3-98F0-50266D1F946E}"/>
            </c:ext>
          </c:extLst>
        </c:ser>
        <c:ser>
          <c:idx val="4"/>
          <c:order val="4"/>
          <c:tx>
            <c:v>4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1.9473684210526316</c:v>
              </c:pt>
              <c:pt idx="1">
                <c:v>0</c:v>
              </c:pt>
              <c:pt idx="2">
                <c:v>3</c:v>
              </c:pt>
              <c:pt idx="3">
                <c:v>2.2222222222222223</c:v>
              </c:pt>
            </c:numLit>
          </c:val>
          <c:extLst>
            <c:ext xmlns:c16="http://schemas.microsoft.com/office/drawing/2014/chart" uri="{C3380CC4-5D6E-409C-BE32-E72D297353CC}">
              <c16:uniqueId val="{00000004-52A3-42E3-98F0-50266D1F946E}"/>
            </c:ext>
          </c:extLst>
        </c:ser>
        <c:ser>
          <c:idx val="5"/>
          <c:order val="5"/>
          <c:tx>
            <c:v>5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4.2173913043478262</c:v>
              </c:pt>
              <c:pt idx="1">
                <c:v>0</c:v>
              </c:pt>
              <c:pt idx="2">
                <c:v>4.2</c:v>
              </c:pt>
              <c:pt idx="3">
                <c:v>4.1818181818181817</c:v>
              </c:pt>
            </c:numLit>
          </c:val>
          <c:extLst>
            <c:ext xmlns:c16="http://schemas.microsoft.com/office/drawing/2014/chart" uri="{C3380CC4-5D6E-409C-BE32-E72D297353CC}">
              <c16:uniqueId val="{00000005-52A3-42E3-98F0-50266D1F946E}"/>
            </c:ext>
          </c:extLst>
        </c:ser>
        <c:ser>
          <c:idx val="6"/>
          <c:order val="6"/>
          <c:tx>
            <c:v>6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23.041666666666668</c:v>
              </c:pt>
              <c:pt idx="1">
                <c:v>0</c:v>
              </c:pt>
              <c:pt idx="2">
                <c:v>10.8</c:v>
              </c:pt>
              <c:pt idx="3">
                <c:v>16.53846153846154</c:v>
              </c:pt>
            </c:numLit>
          </c:val>
          <c:extLst>
            <c:ext xmlns:c16="http://schemas.microsoft.com/office/drawing/2014/chart" uri="{C3380CC4-5D6E-409C-BE32-E72D297353CC}">
              <c16:uniqueId val="{00000006-52A3-42E3-98F0-50266D1F946E}"/>
            </c:ext>
          </c:extLst>
        </c:ser>
        <c:ser>
          <c:idx val="7"/>
          <c:order val="7"/>
          <c:tx>
            <c:v>7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60.655172413793103</c:v>
              </c:pt>
              <c:pt idx="1">
                <c:v>0</c:v>
              </c:pt>
              <c:pt idx="2">
                <c:v>33.75</c:v>
              </c:pt>
              <c:pt idx="3">
                <c:v>44.5</c:v>
              </c:pt>
            </c:numLit>
          </c:val>
          <c:extLst>
            <c:ext xmlns:c16="http://schemas.microsoft.com/office/drawing/2014/chart" uri="{C3380CC4-5D6E-409C-BE32-E72D297353CC}">
              <c16:uniqueId val="{00000007-52A3-42E3-98F0-50266D1F946E}"/>
            </c:ext>
          </c:extLst>
        </c:ser>
        <c:ser>
          <c:idx val="8"/>
          <c:order val="8"/>
          <c:tx>
            <c:v>8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135.53846153846155</c:v>
              </c:pt>
              <c:pt idx="1">
                <c:v>0</c:v>
              </c:pt>
              <c:pt idx="2">
                <c:v>65.833333333333329</c:v>
              </c:pt>
              <c:pt idx="3">
                <c:v>146.9</c:v>
              </c:pt>
            </c:numLit>
          </c:val>
          <c:extLst>
            <c:ext xmlns:c16="http://schemas.microsoft.com/office/drawing/2014/chart" uri="{C3380CC4-5D6E-409C-BE32-E72D297353CC}">
              <c16:uniqueId val="{00000008-52A3-42E3-98F0-50266D1F946E}"/>
            </c:ext>
          </c:extLst>
        </c:ser>
        <c:ser>
          <c:idx val="9"/>
          <c:order val="9"/>
          <c:tx>
            <c:v>9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87.541666666666671</c:v>
              </c:pt>
              <c:pt idx="1">
                <c:v>0</c:v>
              </c:pt>
              <c:pt idx="2">
                <c:v>49.75</c:v>
              </c:pt>
              <c:pt idx="3">
                <c:v>98</c:v>
              </c:pt>
            </c:numLit>
          </c:val>
          <c:extLst>
            <c:ext xmlns:c16="http://schemas.microsoft.com/office/drawing/2014/chart" uri="{C3380CC4-5D6E-409C-BE32-E72D297353CC}">
              <c16:uniqueId val="{00000009-52A3-42E3-98F0-50266D1F946E}"/>
            </c:ext>
          </c:extLst>
        </c:ser>
        <c:ser>
          <c:idx val="10"/>
          <c:order val="10"/>
          <c:tx>
            <c:v>10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56.695652173913047</c:v>
              </c:pt>
              <c:pt idx="1">
                <c:v>0</c:v>
              </c:pt>
              <c:pt idx="2">
                <c:v>37</c:v>
              </c:pt>
              <c:pt idx="3">
                <c:v>52.375</c:v>
              </c:pt>
            </c:numLit>
          </c:val>
          <c:extLst>
            <c:ext xmlns:c16="http://schemas.microsoft.com/office/drawing/2014/chart" uri="{C3380CC4-5D6E-409C-BE32-E72D297353CC}">
              <c16:uniqueId val="{0000000A-52A3-42E3-98F0-50266D1F946E}"/>
            </c:ext>
          </c:extLst>
        </c:ser>
        <c:ser>
          <c:idx val="11"/>
          <c:order val="11"/>
          <c:tx>
            <c:v>11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65.695652173913047</c:v>
              </c:pt>
              <c:pt idx="1">
                <c:v>0</c:v>
              </c:pt>
              <c:pt idx="2">
                <c:v>39.333333333333336</c:v>
              </c:pt>
              <c:pt idx="3">
                <c:v>54.0625</c:v>
              </c:pt>
            </c:numLit>
          </c:val>
          <c:extLst>
            <c:ext xmlns:c16="http://schemas.microsoft.com/office/drawing/2014/chart" uri="{C3380CC4-5D6E-409C-BE32-E72D297353CC}">
              <c16:uniqueId val="{0000000B-52A3-42E3-98F0-50266D1F946E}"/>
            </c:ext>
          </c:extLst>
        </c:ser>
        <c:ser>
          <c:idx val="12"/>
          <c:order val="12"/>
          <c:tx>
            <c:v>12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87.666666666666671</c:v>
              </c:pt>
              <c:pt idx="1">
                <c:v>0</c:v>
              </c:pt>
              <c:pt idx="2">
                <c:v>43</c:v>
              </c:pt>
              <c:pt idx="3">
                <c:v>69.10526315789474</c:v>
              </c:pt>
            </c:numLit>
          </c:val>
          <c:extLst>
            <c:ext xmlns:c16="http://schemas.microsoft.com/office/drawing/2014/chart" uri="{C3380CC4-5D6E-409C-BE32-E72D297353CC}">
              <c16:uniqueId val="{0000000C-52A3-42E3-98F0-50266D1F946E}"/>
            </c:ext>
          </c:extLst>
        </c:ser>
        <c:ser>
          <c:idx val="13"/>
          <c:order val="13"/>
          <c:tx>
            <c:v>13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89.375</c:v>
              </c:pt>
              <c:pt idx="1">
                <c:v>0</c:v>
              </c:pt>
              <c:pt idx="2">
                <c:v>50</c:v>
              </c:pt>
              <c:pt idx="3">
                <c:v>67.5625</c:v>
              </c:pt>
            </c:numLit>
          </c:val>
          <c:extLst>
            <c:ext xmlns:c16="http://schemas.microsoft.com/office/drawing/2014/chart" uri="{C3380CC4-5D6E-409C-BE32-E72D297353CC}">
              <c16:uniqueId val="{0000000D-52A3-42E3-98F0-50266D1F946E}"/>
            </c:ext>
          </c:extLst>
        </c:ser>
        <c:ser>
          <c:idx val="14"/>
          <c:order val="14"/>
          <c:tx>
            <c:v>14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78.625</c:v>
              </c:pt>
              <c:pt idx="1">
                <c:v>0</c:v>
              </c:pt>
              <c:pt idx="2">
                <c:v>47</c:v>
              </c:pt>
              <c:pt idx="3">
                <c:v>75</c:v>
              </c:pt>
            </c:numLit>
          </c:val>
          <c:extLst>
            <c:ext xmlns:c16="http://schemas.microsoft.com/office/drawing/2014/chart" uri="{C3380CC4-5D6E-409C-BE32-E72D297353CC}">
              <c16:uniqueId val="{0000000E-52A3-42E3-98F0-50266D1F946E}"/>
            </c:ext>
          </c:extLst>
        </c:ser>
        <c:ser>
          <c:idx val="15"/>
          <c:order val="15"/>
          <c:tx>
            <c:v>15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82.791666666666671</c:v>
              </c:pt>
              <c:pt idx="1">
                <c:v>0</c:v>
              </c:pt>
              <c:pt idx="2">
                <c:v>59</c:v>
              </c:pt>
              <c:pt idx="3">
                <c:v>74.25</c:v>
              </c:pt>
            </c:numLit>
          </c:val>
          <c:extLst>
            <c:ext xmlns:c16="http://schemas.microsoft.com/office/drawing/2014/chart" uri="{C3380CC4-5D6E-409C-BE32-E72D297353CC}">
              <c16:uniqueId val="{0000000F-52A3-42E3-98F0-50266D1F946E}"/>
            </c:ext>
          </c:extLst>
        </c:ser>
        <c:ser>
          <c:idx val="16"/>
          <c:order val="16"/>
          <c:tx>
            <c:v>16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90.18518518518519</c:v>
              </c:pt>
              <c:pt idx="1">
                <c:v>36</c:v>
              </c:pt>
              <c:pt idx="2">
                <c:v>73.5</c:v>
              </c:pt>
              <c:pt idx="3">
                <c:v>93.571428571428569</c:v>
              </c:pt>
            </c:numLit>
          </c:val>
          <c:extLst>
            <c:ext xmlns:c16="http://schemas.microsoft.com/office/drawing/2014/chart" uri="{C3380CC4-5D6E-409C-BE32-E72D297353CC}">
              <c16:uniqueId val="{00000010-52A3-42E3-98F0-50266D1F946E}"/>
            </c:ext>
          </c:extLst>
        </c:ser>
        <c:ser>
          <c:idx val="17"/>
          <c:order val="17"/>
          <c:tx>
            <c:v>17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139.61290322580646</c:v>
              </c:pt>
              <c:pt idx="1">
                <c:v>0</c:v>
              </c:pt>
              <c:pt idx="2">
                <c:v>26</c:v>
              </c:pt>
              <c:pt idx="3">
                <c:v>151.25</c:v>
              </c:pt>
            </c:numLit>
          </c:val>
          <c:extLst>
            <c:ext xmlns:c16="http://schemas.microsoft.com/office/drawing/2014/chart" uri="{C3380CC4-5D6E-409C-BE32-E72D297353CC}">
              <c16:uniqueId val="{00000011-52A3-42E3-98F0-50266D1F946E}"/>
            </c:ext>
          </c:extLst>
        </c:ser>
        <c:ser>
          <c:idx val="18"/>
          <c:order val="18"/>
          <c:tx>
            <c:v>18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119.79310344827586</c:v>
              </c:pt>
              <c:pt idx="1">
                <c:v>0</c:v>
              </c:pt>
              <c:pt idx="2">
                <c:v>65</c:v>
              </c:pt>
              <c:pt idx="3">
                <c:v>139.91666666666666</c:v>
              </c:pt>
            </c:numLit>
          </c:val>
          <c:extLst>
            <c:ext xmlns:c16="http://schemas.microsoft.com/office/drawing/2014/chart" uri="{C3380CC4-5D6E-409C-BE32-E72D297353CC}">
              <c16:uniqueId val="{00000012-52A3-42E3-98F0-50266D1F946E}"/>
            </c:ext>
          </c:extLst>
        </c:ser>
        <c:ser>
          <c:idx val="19"/>
          <c:order val="19"/>
          <c:tx>
            <c:v>19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84.533333333333331</c:v>
              </c:pt>
              <c:pt idx="1">
                <c:v>0</c:v>
              </c:pt>
              <c:pt idx="2">
                <c:v>59</c:v>
              </c:pt>
              <c:pt idx="3">
                <c:v>98.777777777777771</c:v>
              </c:pt>
            </c:numLit>
          </c:val>
          <c:extLst>
            <c:ext xmlns:c16="http://schemas.microsoft.com/office/drawing/2014/chart" uri="{C3380CC4-5D6E-409C-BE32-E72D297353CC}">
              <c16:uniqueId val="{00000013-52A3-42E3-98F0-50266D1F946E}"/>
            </c:ext>
          </c:extLst>
        </c:ser>
        <c:ser>
          <c:idx val="20"/>
          <c:order val="20"/>
          <c:tx>
            <c:v>20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60.5</c:v>
              </c:pt>
              <c:pt idx="1">
                <c:v>0</c:v>
              </c:pt>
              <c:pt idx="2">
                <c:v>56.75</c:v>
              </c:pt>
              <c:pt idx="3">
                <c:v>68.222222222222229</c:v>
              </c:pt>
            </c:numLit>
          </c:val>
          <c:extLst>
            <c:ext xmlns:c16="http://schemas.microsoft.com/office/drawing/2014/chart" uri="{C3380CC4-5D6E-409C-BE32-E72D297353CC}">
              <c16:uniqueId val="{00000014-52A3-42E3-98F0-50266D1F946E}"/>
            </c:ext>
          </c:extLst>
        </c:ser>
        <c:ser>
          <c:idx val="21"/>
          <c:order val="21"/>
          <c:tx>
            <c:v>21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46</c:v>
              </c:pt>
              <c:pt idx="1">
                <c:v>0</c:v>
              </c:pt>
              <c:pt idx="2">
                <c:v>34.333333333333336</c:v>
              </c:pt>
              <c:pt idx="3">
                <c:v>51.3</c:v>
              </c:pt>
            </c:numLit>
          </c:val>
          <c:extLst>
            <c:ext xmlns:c16="http://schemas.microsoft.com/office/drawing/2014/chart" uri="{C3380CC4-5D6E-409C-BE32-E72D297353CC}">
              <c16:uniqueId val="{00000015-52A3-42E3-98F0-50266D1F946E}"/>
            </c:ext>
          </c:extLst>
        </c:ser>
        <c:ser>
          <c:idx val="22"/>
          <c:order val="22"/>
          <c:tx>
            <c:v>22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35.555555555555557</c:v>
              </c:pt>
              <c:pt idx="1">
                <c:v>0</c:v>
              </c:pt>
              <c:pt idx="2">
                <c:v>29.333333333333332</c:v>
              </c:pt>
              <c:pt idx="3">
                <c:v>35.384615384615387</c:v>
              </c:pt>
            </c:numLit>
          </c:val>
          <c:extLst>
            <c:ext xmlns:c16="http://schemas.microsoft.com/office/drawing/2014/chart" uri="{C3380CC4-5D6E-409C-BE32-E72D297353CC}">
              <c16:uniqueId val="{00000016-52A3-42E3-98F0-50266D1F946E}"/>
            </c:ext>
          </c:extLst>
        </c:ser>
        <c:ser>
          <c:idx val="23"/>
          <c:order val="23"/>
          <c:tx>
            <c:v>23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Clear / Partly Cloudy</c:v>
              </c:pt>
              <c:pt idx="1">
                <c:v>Heavy Precipitation</c:v>
              </c:pt>
              <c:pt idx="2">
                <c:v>Light Snow /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26</c:v>
              </c:pt>
              <c:pt idx="1">
                <c:v>0</c:v>
              </c:pt>
              <c:pt idx="2">
                <c:v>19</c:v>
              </c:pt>
              <c:pt idx="3">
                <c:v>25.46153846153846</c:v>
              </c:pt>
            </c:numLit>
          </c:val>
          <c:extLst>
            <c:ext xmlns:c16="http://schemas.microsoft.com/office/drawing/2014/chart" uri="{C3380CC4-5D6E-409C-BE32-E72D297353CC}">
              <c16:uniqueId val="{00000017-52A3-42E3-98F0-50266D1F94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4777296"/>
        <c:axId val="1304781616"/>
      </c:barChart>
      <c:catAx>
        <c:axId val="130477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81616"/>
        <c:crosses val="autoZero"/>
        <c:auto val="1"/>
        <c:lblAlgn val="ctr"/>
        <c:lblOffset val="100"/>
        <c:noMultiLvlLbl val="0"/>
      </c:catAx>
      <c:valAx>
        <c:axId val="13047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8</xdr:row>
      <xdr:rowOff>0</xdr:rowOff>
    </xdr:from>
    <xdr:ext cx="6753225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5D974-1574-45FA-9664-E12E7CDDE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9524</xdr:colOff>
      <xdr:row>8</xdr:row>
      <xdr:rowOff>0</xdr:rowOff>
    </xdr:from>
    <xdr:ext cx="7324725" cy="2876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90AEB9-01C5-4BAC-A501-10C8EF68F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9525</xdr:colOff>
      <xdr:row>25</xdr:row>
      <xdr:rowOff>209549</xdr:rowOff>
    </xdr:from>
    <xdr:ext cx="6686550" cy="29051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9FEB52-91F3-4FA6-83E2-51C92475F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609599</xdr:colOff>
      <xdr:row>25</xdr:row>
      <xdr:rowOff>209549</xdr:rowOff>
    </xdr:from>
    <xdr:ext cx="7362825" cy="28670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191BF9-9058-47D9-926E-2282A86BC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1</xdr:col>
      <xdr:colOff>9525</xdr:colOff>
      <xdr:row>44</xdr:row>
      <xdr:rowOff>0</xdr:rowOff>
    </xdr:from>
    <xdr:to>
      <xdr:col>11</xdr:col>
      <xdr:colOff>590551</xdr:colOff>
      <xdr:row>57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66A94B-9F87-4F45-9522-1067938FC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590550</xdr:colOff>
      <xdr:row>44</xdr:row>
      <xdr:rowOff>0</xdr:rowOff>
    </xdr:from>
    <xdr:to>
      <xdr:col>25</xdr:col>
      <xdr:colOff>600075</xdr:colOff>
      <xdr:row>57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883997-B48D-4459-ABC3-76DDB63D7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600076</xdr:colOff>
      <xdr:row>58</xdr:row>
      <xdr:rowOff>9524</xdr:rowOff>
    </xdr:from>
    <xdr:to>
      <xdr:col>12</xdr:col>
      <xdr:colOff>9526</xdr:colOff>
      <xdr:row>71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6C6188-DFE3-4625-BF47-27B7ADD42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12</xdr:row>
      <xdr:rowOff>23812</xdr:rowOff>
    </xdr:from>
    <xdr:to>
      <xdr:col>31</xdr:col>
      <xdr:colOff>47624</xdr:colOff>
      <xdr:row>26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D9E33-5A64-45BB-9C2A-23DD5079B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57</xdr:row>
      <xdr:rowOff>157162</xdr:rowOff>
    </xdr:from>
    <xdr:to>
      <xdr:col>30</xdr:col>
      <xdr:colOff>19050</xdr:colOff>
      <xdr:row>72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1344F9-8F5F-4293-A95F-2C0B7DFE5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79</xdr:row>
      <xdr:rowOff>147637</xdr:rowOff>
    </xdr:from>
    <xdr:to>
      <xdr:col>30</xdr:col>
      <xdr:colOff>28575</xdr:colOff>
      <xdr:row>94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DADF57-8C39-4340-9361-B1B26DC4E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266699</xdr:colOff>
      <xdr:row>104</xdr:row>
      <xdr:rowOff>185737</xdr:rowOff>
    </xdr:from>
    <xdr:to>
      <xdr:col>33</xdr:col>
      <xdr:colOff>28575</xdr:colOff>
      <xdr:row>119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01DFC0-E0BE-429C-8BFD-58C4915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mika%20Rani\AppData\Roaming\Microsoft\Excel\Bike%20Sharing%20Data%20Project%20Original_Last%20Date%20of%20Submission20012026%20(1)%20(version%201).xlsb" TargetMode="External"/><Relationship Id="rId1" Type="http://schemas.openxmlformats.org/officeDocument/2006/relationships/externalLinkPath" Target="file:///C:\Users\Anamika%20Rani\AppData\Roaming\Microsoft\Excel\Bike%20Sharing%20Data%20Project%20Original_Last%20Date%20of%20Submission20012026%20(1)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1"/>
      <sheetName val="data 2"/>
      <sheetName val="data 3"/>
      <sheetName val="Merged Data"/>
      <sheetName val="Project Guide"/>
      <sheetName val="Instructions"/>
      <sheetName val="CleanedData"/>
      <sheetName val="Meaning &amp; Interpretation"/>
      <sheetName val="Stats"/>
      <sheetName val="Dashboard"/>
      <sheetName val="Heatmap"/>
      <sheetName val="DshboardData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V1" t="str">
            <v>cnt</v>
          </cell>
          <cell r="Y1" t="str">
            <v>zscore_24h</v>
          </cell>
        </row>
        <row r="2">
          <cell r="V2">
            <v>16</v>
          </cell>
          <cell r="Y2">
            <v>0</v>
          </cell>
        </row>
        <row r="3">
          <cell r="V3">
            <v>40</v>
          </cell>
          <cell r="Y3">
            <v>0.70710678118654757</v>
          </cell>
        </row>
        <row r="4">
          <cell r="V4">
            <v>32</v>
          </cell>
          <cell r="Y4">
            <v>0.21821789023599253</v>
          </cell>
        </row>
        <row r="5">
          <cell r="V5">
            <v>13</v>
          </cell>
          <cell r="Y5">
            <v>-0.9500692495536146</v>
          </cell>
        </row>
        <row r="6">
          <cell r="V6">
            <v>1</v>
          </cell>
          <cell r="Y6">
            <v>-1.2463069672201459</v>
          </cell>
        </row>
        <row r="7">
          <cell r="V7">
            <v>1</v>
          </cell>
          <cell r="Y7">
            <v>-1.0093002201047063</v>
          </cell>
        </row>
        <row r="8">
          <cell r="V8">
            <v>2</v>
          </cell>
          <cell r="Y8">
            <v>-0.82772890195711735</v>
          </cell>
        </row>
        <row r="9">
          <cell r="V9">
            <v>3</v>
          </cell>
          <cell r="Y9">
            <v>-0.69321116447689812</v>
          </cell>
        </row>
        <row r="10">
          <cell r="V10">
            <v>8</v>
          </cell>
          <cell r="Y10">
            <v>-0.34219750885008926</v>
          </cell>
        </row>
        <row r="11">
          <cell r="V11">
            <v>14</v>
          </cell>
          <cell r="Y11">
            <v>7.4215604399294019E-2</v>
          </cell>
        </row>
        <row r="12">
          <cell r="V12">
            <v>36</v>
          </cell>
          <cell r="Y12">
            <v>1.4377696070793609</v>
          </cell>
        </row>
        <row r="13">
          <cell r="V13">
            <v>56</v>
          </cell>
          <cell r="Y13">
            <v>2.0589257190268584</v>
          </cell>
        </row>
        <row r="14">
          <cell r="V14">
            <v>84</v>
          </cell>
          <cell r="Y14">
            <v>2.4010402423833268</v>
          </cell>
        </row>
        <row r="15">
          <cell r="V15">
            <v>94</v>
          </cell>
          <cell r="Y15">
            <v>2.1340945937130553</v>
          </cell>
        </row>
        <row r="16">
          <cell r="V16">
            <v>106</v>
          </cell>
          <cell r="Y16">
            <v>2.0258623824336022</v>
          </cell>
        </row>
        <row r="17">
          <cell r="V17">
            <v>110</v>
          </cell>
          <cell r="Y17">
            <v>1.8153992168826314</v>
          </cell>
        </row>
        <row r="18">
          <cell r="V18">
            <v>93</v>
          </cell>
          <cell r="Y18">
            <v>1.2708987192885854</v>
          </cell>
        </row>
        <row r="19">
          <cell r="V19">
            <v>67</v>
          </cell>
          <cell r="Y19">
            <v>0.60315231272099867</v>
          </cell>
        </row>
        <row r="20">
          <cell r="V20">
            <v>35</v>
          </cell>
          <cell r="Y20">
            <v>-0.19940460008622696</v>
          </cell>
        </row>
        <row r="21">
          <cell r="V21">
            <v>37</v>
          </cell>
          <cell r="Y21">
            <v>-0.14388681989052407</v>
          </cell>
        </row>
        <row r="22">
          <cell r="V22">
            <v>36</v>
          </cell>
          <cell r="Y22">
            <v>-0.1665098076313955</v>
          </cell>
        </row>
        <row r="23">
          <cell r="V23">
            <v>34</v>
          </cell>
          <cell r="Y23">
            <v>-0.21605472870943815</v>
          </cell>
        </row>
        <row r="24">
          <cell r="V24">
            <v>28</v>
          </cell>
          <cell r="Y24">
            <v>-0.37451236008308036</v>
          </cell>
        </row>
        <row r="25">
          <cell r="V25">
            <v>39</v>
          </cell>
          <cell r="Y25">
            <v>-5.9537355481831498E-2</v>
          </cell>
        </row>
        <row r="26">
          <cell r="V26">
            <v>17</v>
          </cell>
          <cell r="Y26">
            <v>-0.70293644185522697</v>
          </cell>
        </row>
        <row r="27">
          <cell r="V27">
            <v>17</v>
          </cell>
          <cell r="Y27">
            <v>-0.66811066888995552</v>
          </cell>
        </row>
        <row r="28">
          <cell r="V28">
            <v>9</v>
          </cell>
          <cell r="Y28">
            <v>-0.857950201700307</v>
          </cell>
        </row>
        <row r="29">
          <cell r="V29">
            <v>6</v>
          </cell>
          <cell r="Y29">
            <v>-0.92825462190118369</v>
          </cell>
        </row>
        <row r="30">
          <cell r="V30">
            <v>3</v>
          </cell>
          <cell r="Y30">
            <v>-1.017923809902157</v>
          </cell>
        </row>
        <row r="31">
          <cell r="V31">
            <v>2</v>
          </cell>
          <cell r="Y31">
            <v>-1.0487822017731308</v>
          </cell>
        </row>
        <row r="32">
          <cell r="V32">
            <v>1</v>
          </cell>
          <cell r="Y32">
            <v>-1.0745406614378505</v>
          </cell>
        </row>
        <row r="33">
          <cell r="V33">
            <v>8</v>
          </cell>
          <cell r="Y33">
            <v>-0.88748358370220948</v>
          </cell>
        </row>
        <row r="34">
          <cell r="V34">
            <v>20</v>
          </cell>
          <cell r="Y34">
            <v>-0.56613688527252459</v>
          </cell>
        </row>
        <row r="35">
          <cell r="V35">
            <v>53</v>
          </cell>
          <cell r="Y35">
            <v>0.34039806098753073</v>
          </cell>
        </row>
        <row r="36">
          <cell r="V36">
            <v>70</v>
          </cell>
          <cell r="Y36">
            <v>0.78276875648198541</v>
          </cell>
        </row>
        <row r="37">
          <cell r="V37">
            <v>93</v>
          </cell>
          <cell r="Y37">
            <v>1.3441370371193002</v>
          </cell>
        </row>
        <row r="38">
          <cell r="V38">
            <v>75</v>
          </cell>
          <cell r="Y38">
            <v>0.8673721927347503</v>
          </cell>
        </row>
        <row r="39">
          <cell r="V39">
            <v>59</v>
          </cell>
          <cell r="Y39">
            <v>0.48150297261916686</v>
          </cell>
        </row>
        <row r="40">
          <cell r="V40">
            <v>74</v>
          </cell>
          <cell r="Y40">
            <v>1.0149097514467582</v>
          </cell>
        </row>
        <row r="41">
          <cell r="V41">
            <v>76</v>
          </cell>
          <cell r="Y41">
            <v>1.2135955645917775</v>
          </cell>
        </row>
        <row r="42">
          <cell r="V42">
            <v>65</v>
          </cell>
          <cell r="Y42">
            <v>0.93742609429401402</v>
          </cell>
        </row>
        <row r="43">
          <cell r="V43">
            <v>53</v>
          </cell>
          <cell r="Y43">
            <v>0.54264970291648207</v>
          </cell>
        </row>
        <row r="44">
          <cell r="V44">
            <v>30</v>
          </cell>
          <cell r="Y44">
            <v>-0.27690736616165595</v>
          </cell>
        </row>
        <row r="45">
          <cell r="V45">
            <v>22</v>
          </cell>
          <cell r="Y45">
            <v>-0.53827520843352106</v>
          </cell>
        </row>
        <row r="46">
          <cell r="V46">
            <v>31</v>
          </cell>
          <cell r="Y46">
            <v>-0.20945802076291789</v>
          </cell>
        </row>
        <row r="47">
          <cell r="V47">
            <v>9</v>
          </cell>
          <cell r="Y47">
            <v>-0.93762425249335479</v>
          </cell>
        </row>
        <row r="48">
          <cell r="V48">
            <v>8</v>
          </cell>
          <cell r="Y48">
            <v>-0.92647155616573074</v>
          </cell>
        </row>
        <row r="49">
          <cell r="V49">
            <v>5</v>
          </cell>
          <cell r="Y49">
            <v>-0.96046834100660994</v>
          </cell>
        </row>
        <row r="50">
          <cell r="V50">
            <v>2</v>
          </cell>
          <cell r="Y50">
            <v>-1.0225291905405902</v>
          </cell>
        </row>
        <row r="51">
          <cell r="V51">
            <v>1</v>
          </cell>
          <cell r="Y51">
            <v>-1.0154923438309889</v>
          </cell>
        </row>
        <row r="52">
          <cell r="V52">
            <v>3</v>
          </cell>
          <cell r="Y52">
            <v>-0.93577101508839122</v>
          </cell>
        </row>
        <row r="53">
          <cell r="V53">
            <v>30</v>
          </cell>
          <cell r="Y53">
            <v>-9.9589075023964233E-2</v>
          </cell>
        </row>
        <row r="54">
          <cell r="V54">
            <v>64</v>
          </cell>
          <cell r="Y54">
            <v>0.93256430763501097</v>
          </cell>
        </row>
        <row r="55">
          <cell r="V55">
            <v>154</v>
          </cell>
          <cell r="Y55">
            <v>2.9461997757745135</v>
          </cell>
        </row>
        <row r="56">
          <cell r="V56">
            <v>88</v>
          </cell>
          <cell r="Y56">
            <v>1.1138094892004824</v>
          </cell>
        </row>
        <row r="57">
          <cell r="V57">
            <v>44</v>
          </cell>
          <cell r="Y57">
            <v>-8.1595393268426325E-2</v>
          </cell>
        </row>
        <row r="58">
          <cell r="V58">
            <v>51</v>
          </cell>
          <cell r="Y58">
            <v>7.2396611099521557E-2</v>
          </cell>
        </row>
        <row r="59">
          <cell r="V59">
            <v>61</v>
          </cell>
          <cell r="Y59">
            <v>0.33410706027173109</v>
          </cell>
        </row>
        <row r="60">
          <cell r="V60">
            <v>61</v>
          </cell>
          <cell r="Y60">
            <v>0.34596083156067819</v>
          </cell>
        </row>
        <row r="61">
          <cell r="V61">
            <v>77</v>
          </cell>
          <cell r="Y61">
            <v>0.81540309123781374</v>
          </cell>
        </row>
        <row r="62">
          <cell r="V62">
            <v>72</v>
          </cell>
          <cell r="Y62">
            <v>0.68186068474384109</v>
          </cell>
        </row>
        <row r="63">
          <cell r="V63">
            <v>76</v>
          </cell>
          <cell r="Y63">
            <v>0.76491577974796054</v>
          </cell>
        </row>
        <row r="64">
          <cell r="V64">
            <v>157</v>
          </cell>
          <cell r="Y64">
            <v>2.4873811396618311</v>
          </cell>
        </row>
        <row r="65">
          <cell r="V65">
            <v>157</v>
          </cell>
          <cell r="Y65">
            <v>2.1552052870670919</v>
          </cell>
        </row>
        <row r="66">
          <cell r="V66">
            <v>110</v>
          </cell>
          <cell r="Y66">
            <v>1.0923828488950167</v>
          </cell>
        </row>
        <row r="67">
          <cell r="V67">
            <v>52</v>
          </cell>
          <cell r="Y67">
            <v>-0.10031275519968687</v>
          </cell>
        </row>
        <row r="68">
          <cell r="V68">
            <v>52</v>
          </cell>
          <cell r="Y68">
            <v>-0.11997124013294781</v>
          </cell>
        </row>
        <row r="69">
          <cell r="V69">
            <v>20</v>
          </cell>
          <cell r="Y69">
            <v>-0.78003884312359184</v>
          </cell>
        </row>
        <row r="70">
          <cell r="V70">
            <v>12</v>
          </cell>
          <cell r="Y70">
            <v>-0.91760736004723098</v>
          </cell>
        </row>
        <row r="71">
          <cell r="V71">
            <v>5</v>
          </cell>
          <cell r="Y71">
            <v>-1.0534029405306335</v>
          </cell>
        </row>
        <row r="72">
          <cell r="V72">
            <v>2</v>
          </cell>
          <cell r="Y72">
            <v>-1.1032416182006499</v>
          </cell>
        </row>
        <row r="73">
          <cell r="V73">
            <v>1</v>
          </cell>
          <cell r="Y73">
            <v>-1.115870941210473</v>
          </cell>
        </row>
        <row r="74">
          <cell r="V74">
            <v>2</v>
          </cell>
          <cell r="Y74">
            <v>-1.0957045988994405</v>
          </cell>
        </row>
        <row r="75">
          <cell r="V75">
            <v>4</v>
          </cell>
          <cell r="Y75">
            <v>-1.0609301758614886</v>
          </cell>
        </row>
        <row r="76">
          <cell r="V76">
            <v>36</v>
          </cell>
          <cell r="Y76">
            <v>-0.45165362728162028</v>
          </cell>
        </row>
        <row r="77">
          <cell r="V77">
            <v>94</v>
          </cell>
          <cell r="Y77">
            <v>0.69066899128058468</v>
          </cell>
        </row>
        <row r="78">
          <cell r="V78">
            <v>179</v>
          </cell>
          <cell r="Y78">
            <v>2.0975790431611023</v>
          </cell>
        </row>
        <row r="79">
          <cell r="V79">
            <v>100</v>
          </cell>
          <cell r="Y79">
            <v>0.71880971983352926</v>
          </cell>
        </row>
        <row r="80">
          <cell r="V80">
            <v>42</v>
          </cell>
          <cell r="Y80">
            <v>-0.37278929582359271</v>
          </cell>
        </row>
        <row r="81">
          <cell r="V81">
            <v>57</v>
          </cell>
          <cell r="Y81">
            <v>-9.1177434463187018E-2</v>
          </cell>
        </row>
        <row r="82">
          <cell r="V82">
            <v>78</v>
          </cell>
          <cell r="Y82">
            <v>0.29683883292102853</v>
          </cell>
        </row>
        <row r="83">
          <cell r="V83">
            <v>97</v>
          </cell>
          <cell r="Y83">
            <v>0.63260238975636063</v>
          </cell>
        </row>
        <row r="84">
          <cell r="V84">
            <v>63</v>
          </cell>
          <cell r="Y84">
            <v>-2.6595494848254363E-2</v>
          </cell>
        </row>
        <row r="85">
          <cell r="V85">
            <v>65</v>
          </cell>
          <cell r="Y85">
            <v>2.1789210042399792E-2</v>
          </cell>
        </row>
        <row r="86">
          <cell r="V86">
            <v>83</v>
          </cell>
          <cell r="Y86">
            <v>0.36067370812014793</v>
          </cell>
        </row>
        <row r="87">
          <cell r="V87">
            <v>212</v>
          </cell>
          <cell r="Y87">
            <v>2.3708795799848481</v>
          </cell>
        </row>
        <row r="88">
          <cell r="V88">
            <v>182</v>
          </cell>
          <cell r="Y88">
            <v>1.7994161919321943</v>
          </cell>
        </row>
        <row r="89">
          <cell r="V89">
            <v>112</v>
          </cell>
          <cell r="Y89">
            <v>0.71885761215215982</v>
          </cell>
        </row>
        <row r="90">
          <cell r="V90">
            <v>54</v>
          </cell>
          <cell r="Y90">
            <v>-0.21747564668903435</v>
          </cell>
        </row>
        <row r="91">
          <cell r="V91">
            <v>48</v>
          </cell>
          <cell r="Y91">
            <v>-0.31606392218913959</v>
          </cell>
        </row>
        <row r="92">
          <cell r="V92">
            <v>35</v>
          </cell>
          <cell r="Y92">
            <v>-0.52167065982130179</v>
          </cell>
        </row>
        <row r="93">
          <cell r="V93">
            <v>11</v>
          </cell>
          <cell r="Y93">
            <v>-0.91467446553966369</v>
          </cell>
        </row>
        <row r="94">
          <cell r="V94">
            <v>6</v>
          </cell>
          <cell r="Y94">
            <v>-0.99018526977682997</v>
          </cell>
        </row>
        <row r="95">
          <cell r="V95">
            <v>6</v>
          </cell>
          <cell r="Y95">
            <v>-0.99159956978357222</v>
          </cell>
        </row>
        <row r="96">
          <cell r="V96">
            <v>2</v>
          </cell>
          <cell r="Y96">
            <v>-1.0584020671163603</v>
          </cell>
        </row>
        <row r="97">
          <cell r="V97">
            <v>2</v>
          </cell>
          <cell r="Y97">
            <v>-1.059919509292965</v>
          </cell>
        </row>
        <row r="98">
          <cell r="V98">
            <v>3</v>
          </cell>
          <cell r="Y98">
            <v>-1.0447012037049994</v>
          </cell>
        </row>
        <row r="99">
          <cell r="V99">
            <v>33</v>
          </cell>
          <cell r="Y99">
            <v>-0.57281376027607311</v>
          </cell>
        </row>
        <row r="100">
          <cell r="V100">
            <v>88</v>
          </cell>
          <cell r="Y100">
            <v>0.32734105635244964</v>
          </cell>
        </row>
        <row r="101">
          <cell r="V101">
            <v>195</v>
          </cell>
          <cell r="Y101">
            <v>1.9106255222183268</v>
          </cell>
        </row>
        <row r="102">
          <cell r="V102">
            <v>115</v>
          </cell>
          <cell r="Y102">
            <v>0.73808621615598824</v>
          </cell>
        </row>
        <row r="103">
          <cell r="V103">
            <v>57</v>
          </cell>
          <cell r="Y103">
            <v>-0.19247547761748571</v>
          </cell>
        </row>
        <row r="104">
          <cell r="V104">
            <v>46</v>
          </cell>
          <cell r="Y104">
            <v>-0.37847593844214678</v>
          </cell>
        </row>
        <row r="105">
          <cell r="V105">
            <v>79</v>
          </cell>
          <cell r="Y105">
            <v>0.15532187312888848</v>
          </cell>
        </row>
        <row r="106">
          <cell r="V106">
            <v>71</v>
          </cell>
          <cell r="Y106">
            <v>2.7054003968922428E-2</v>
          </cell>
        </row>
        <row r="107">
          <cell r="V107">
            <v>62</v>
          </cell>
          <cell r="Y107">
            <v>-9.8958413627685635E-2</v>
          </cell>
        </row>
        <row r="108">
          <cell r="V108">
            <v>62</v>
          </cell>
          <cell r="Y108">
            <v>-9.8255075425773442E-2</v>
          </cell>
        </row>
        <row r="109">
          <cell r="V109">
            <v>89</v>
          </cell>
          <cell r="Y109">
            <v>0.335731816580354</v>
          </cell>
        </row>
        <row r="110">
          <cell r="V110">
            <v>190</v>
          </cell>
          <cell r="Y110">
            <v>1.7998393599275058</v>
          </cell>
        </row>
        <row r="111">
          <cell r="V111">
            <v>169</v>
          </cell>
          <cell r="Y111">
            <v>1.5893154199593391</v>
          </cell>
        </row>
        <row r="112">
          <cell r="V112">
            <v>132</v>
          </cell>
          <cell r="Y112">
            <v>1.0750860585794226</v>
          </cell>
        </row>
        <row r="113">
          <cell r="V113">
            <v>89</v>
          </cell>
          <cell r="Y113">
            <v>0.35572213874261677</v>
          </cell>
        </row>
        <row r="114">
          <cell r="V114">
            <v>43</v>
          </cell>
          <cell r="Y114">
            <v>-0.43329860215570781</v>
          </cell>
        </row>
        <row r="115">
          <cell r="V115">
            <v>42</v>
          </cell>
          <cell r="Y115">
            <v>-0.44547929089389326</v>
          </cell>
        </row>
        <row r="116">
          <cell r="V116">
            <v>19</v>
          </cell>
          <cell r="Y116">
            <v>-0.82433283102431665</v>
          </cell>
        </row>
        <row r="117">
          <cell r="V117">
            <v>11</v>
          </cell>
          <cell r="Y117">
            <v>-0.96136478215563159</v>
          </cell>
        </row>
        <row r="118">
          <cell r="V118">
            <v>4</v>
          </cell>
          <cell r="Y118">
            <v>-1.0781339655183573</v>
          </cell>
        </row>
        <row r="119">
          <cell r="V119">
            <v>2</v>
          </cell>
          <cell r="Y119">
            <v>-1.1059514527775274</v>
          </cell>
        </row>
        <row r="120">
          <cell r="V120">
            <v>1</v>
          </cell>
          <cell r="Y120">
            <v>-1.1213629509784993</v>
          </cell>
        </row>
        <row r="121">
          <cell r="V121">
            <v>4</v>
          </cell>
          <cell r="Y121">
            <v>-1.0734135297337295</v>
          </cell>
        </row>
        <row r="122">
          <cell r="V122">
            <v>36</v>
          </cell>
          <cell r="Y122">
            <v>-0.56233711234429162</v>
          </cell>
        </row>
        <row r="123">
          <cell r="V123">
            <v>95</v>
          </cell>
          <cell r="Y123">
            <v>0.42205100778012661</v>
          </cell>
        </row>
        <row r="124">
          <cell r="V124">
            <v>219</v>
          </cell>
          <cell r="Y124">
            <v>2.2073052776200726</v>
          </cell>
        </row>
        <row r="125">
          <cell r="V125">
            <v>122</v>
          </cell>
          <cell r="Y125">
            <v>0.80663473534943164</v>
          </cell>
        </row>
        <row r="126">
          <cell r="V126">
            <v>45</v>
          </cell>
          <cell r="Y126">
            <v>-0.42311696644535657</v>
          </cell>
        </row>
        <row r="127">
          <cell r="V127">
            <v>59</v>
          </cell>
          <cell r="Y127">
            <v>-0.19112005312835431</v>
          </cell>
        </row>
        <row r="128">
          <cell r="V128">
            <v>84</v>
          </cell>
          <cell r="Y128">
            <v>0.2000353265700677</v>
          </cell>
        </row>
        <row r="129">
          <cell r="V129">
            <v>67</v>
          </cell>
          <cell r="Y129">
            <v>-7.5985010224934993E-2</v>
          </cell>
        </row>
        <row r="130">
          <cell r="V130">
            <v>70</v>
          </cell>
          <cell r="Y130">
            <v>-2.5095654899845429E-2</v>
          </cell>
        </row>
        <row r="131">
          <cell r="V131">
            <v>62</v>
          </cell>
          <cell r="Y131">
            <v>-0.15893914769902104</v>
          </cell>
        </row>
        <row r="132">
          <cell r="V132">
            <v>86</v>
          </cell>
          <cell r="Y132">
            <v>0.22572907186860169</v>
          </cell>
        </row>
        <row r="133">
          <cell r="V133">
            <v>172</v>
          </cell>
          <cell r="Y133">
            <v>1.5218062884401562</v>
          </cell>
        </row>
        <row r="134">
          <cell r="V134">
            <v>163</v>
          </cell>
          <cell r="Y134">
            <v>1.4406133015023952</v>
          </cell>
        </row>
        <row r="135">
          <cell r="V135">
            <v>112</v>
          </cell>
          <cell r="Y135">
            <v>0.67672507065226084</v>
          </cell>
        </row>
        <row r="136">
          <cell r="V136">
            <v>69</v>
          </cell>
          <cell r="Y136">
            <v>-1.4610078110178577E-2</v>
          </cell>
        </row>
        <row r="137">
          <cell r="V137">
            <v>48</v>
          </cell>
          <cell r="Y137">
            <v>-0.35274078681302018</v>
          </cell>
        </row>
        <row r="138">
          <cell r="V138">
            <v>52</v>
          </cell>
          <cell r="Y138">
            <v>-0.2899299261531128</v>
          </cell>
        </row>
        <row r="139">
          <cell r="V139">
            <v>23</v>
          </cell>
          <cell r="Y139">
            <v>-0.77855453671144925</v>
          </cell>
        </row>
        <row r="140">
          <cell r="V140">
            <v>17</v>
          </cell>
          <cell r="Y140">
            <v>-0.88043550623478928</v>
          </cell>
        </row>
        <row r="141">
          <cell r="V141">
            <v>7</v>
          </cell>
          <cell r="Y141">
            <v>-1.0482272119128173</v>
          </cell>
        </row>
        <row r="142">
          <cell r="V142">
            <v>1</v>
          </cell>
          <cell r="Y142">
            <v>-1.1471727040986919</v>
          </cell>
        </row>
        <row r="143">
          <cell r="V143">
            <v>1</v>
          </cell>
          <cell r="Y143">
            <v>-1.1454722371542045</v>
          </cell>
        </row>
        <row r="144">
          <cell r="V144">
            <v>5</v>
          </cell>
          <cell r="Y144">
            <v>-1.0828607750475787</v>
          </cell>
        </row>
        <row r="145">
          <cell r="V145">
            <v>34</v>
          </cell>
          <cell r="Y145">
            <v>-0.6136751933623954</v>
          </cell>
        </row>
        <row r="146">
          <cell r="V146">
            <v>84</v>
          </cell>
          <cell r="Y146">
            <v>0.23651167118460634</v>
          </cell>
        </row>
        <row r="147">
          <cell r="V147">
            <v>210</v>
          </cell>
          <cell r="Y147">
            <v>2.1394369050853368</v>
          </cell>
        </row>
        <row r="148">
          <cell r="V148">
            <v>134</v>
          </cell>
          <cell r="Y148">
            <v>1.0980137432512385</v>
          </cell>
        </row>
        <row r="149">
          <cell r="V149">
            <v>63</v>
          </cell>
          <cell r="Y149">
            <v>-0.11710368775954225</v>
          </cell>
        </row>
        <row r="150">
          <cell r="V150">
            <v>67</v>
          </cell>
          <cell r="Y150">
            <v>-6.1822998028273457E-2</v>
          </cell>
        </row>
        <row r="151">
          <cell r="V151">
            <v>59</v>
          </cell>
          <cell r="Y151">
            <v>-0.20657928609447451</v>
          </cell>
        </row>
        <row r="152">
          <cell r="V152">
            <v>73</v>
          </cell>
          <cell r="Y152">
            <v>5.5109326361129203E-2</v>
          </cell>
        </row>
        <row r="153">
          <cell r="V153">
            <v>50</v>
          </cell>
          <cell r="Y153">
            <v>-0.34783819720504849</v>
          </cell>
        </row>
        <row r="154">
          <cell r="V154">
            <v>72</v>
          </cell>
          <cell r="Y154">
            <v>4.818304100647746E-2</v>
          </cell>
        </row>
        <row r="155">
          <cell r="V155">
            <v>87</v>
          </cell>
          <cell r="Y155">
            <v>0.29989712972375032</v>
          </cell>
        </row>
        <row r="156">
          <cell r="V156">
            <v>187</v>
          </cell>
          <cell r="Y156">
            <v>1.8644706638304647</v>
          </cell>
        </row>
        <row r="157">
          <cell r="V157">
            <v>123</v>
          </cell>
          <cell r="Y157">
            <v>0.87567152865605025</v>
          </cell>
        </row>
        <row r="158">
          <cell r="V158">
            <v>95</v>
          </cell>
          <cell r="Y158">
            <v>0.46345302803029864</v>
          </cell>
        </row>
        <row r="159">
          <cell r="V159">
            <v>51</v>
          </cell>
          <cell r="Y159">
            <v>-0.29975091935615256</v>
          </cell>
        </row>
        <row r="160">
          <cell r="V160">
            <v>39</v>
          </cell>
          <cell r="Y160">
            <v>-0.49628662428962061</v>
          </cell>
        </row>
        <row r="161">
          <cell r="V161">
            <v>36</v>
          </cell>
          <cell r="Y161">
            <v>-0.54011883033061103</v>
          </cell>
        </row>
        <row r="162">
          <cell r="V162">
            <v>15</v>
          </cell>
          <cell r="Y162">
            <v>-0.88260824443672392</v>
          </cell>
        </row>
        <row r="163">
          <cell r="V163">
            <v>25</v>
          </cell>
          <cell r="Y163">
            <v>-0.70432600891662855</v>
          </cell>
        </row>
        <row r="164">
          <cell r="V164">
            <v>16</v>
          </cell>
          <cell r="Y164">
            <v>-0.86569993276242829</v>
          </cell>
        </row>
        <row r="165">
          <cell r="V165">
            <v>16</v>
          </cell>
          <cell r="Y165">
            <v>-0.87839677266848915</v>
          </cell>
        </row>
        <row r="166">
          <cell r="V166">
            <v>7</v>
          </cell>
          <cell r="Y166">
            <v>-1.0521496581811869</v>
          </cell>
        </row>
        <row r="167">
          <cell r="V167">
            <v>1</v>
          </cell>
          <cell r="Y167">
            <v>-1.161859687709131</v>
          </cell>
        </row>
        <row r="168">
          <cell r="V168">
            <v>5</v>
          </cell>
          <cell r="Y168">
            <v>-1.0887196680238349</v>
          </cell>
        </row>
        <row r="169">
          <cell r="V169">
            <v>2</v>
          </cell>
          <cell r="Y169">
            <v>-1.0960496746035024</v>
          </cell>
        </row>
        <row r="170">
          <cell r="V170">
            <v>9</v>
          </cell>
          <cell r="Y170">
            <v>-0.90059135902013443</v>
          </cell>
        </row>
        <row r="171">
          <cell r="V171">
            <v>15</v>
          </cell>
          <cell r="Y171">
            <v>-0.77747704832931064</v>
          </cell>
        </row>
        <row r="172">
          <cell r="V172">
            <v>20</v>
          </cell>
          <cell r="Y172">
            <v>-0.6102438984535995</v>
          </cell>
        </row>
        <row r="173">
          <cell r="V173">
            <v>61</v>
          </cell>
          <cell r="Y173">
            <v>0.3113984688161443</v>
          </cell>
        </row>
        <row r="174">
          <cell r="V174">
            <v>62</v>
          </cell>
          <cell r="Y174">
            <v>0.33916702442625041</v>
          </cell>
        </row>
        <row r="175">
          <cell r="V175">
            <v>98</v>
          </cell>
          <cell r="Y175">
            <v>1.0839025410803163</v>
          </cell>
        </row>
        <row r="176">
          <cell r="V176">
            <v>102</v>
          </cell>
          <cell r="Y176">
            <v>1.1193790594222253</v>
          </cell>
        </row>
        <row r="177">
          <cell r="V177">
            <v>95</v>
          </cell>
          <cell r="Y177">
            <v>0.91156189031344492</v>
          </cell>
        </row>
        <row r="178">
          <cell r="V178">
            <v>74</v>
          </cell>
          <cell r="Y178">
            <v>0.46809464987945537</v>
          </cell>
        </row>
        <row r="179">
          <cell r="V179">
            <v>76</v>
          </cell>
          <cell r="Y179">
            <v>0.523038187833894</v>
          </cell>
        </row>
        <row r="180">
          <cell r="V180">
            <v>69</v>
          </cell>
          <cell r="Y180">
            <v>0.60015870594358134</v>
          </cell>
        </row>
        <row r="181">
          <cell r="V181">
            <v>55</v>
          </cell>
          <cell r="Y181">
            <v>0.33681944274830344</v>
          </cell>
        </row>
        <row r="182">
          <cell r="V182">
            <v>30</v>
          </cell>
          <cell r="Y182">
            <v>-0.33292808230381893</v>
          </cell>
        </row>
        <row r="183">
          <cell r="V183">
            <v>28</v>
          </cell>
          <cell r="Y183">
            <v>-0.36478202116805553</v>
          </cell>
        </row>
        <row r="184">
          <cell r="V184">
            <v>37</v>
          </cell>
          <cell r="Y184">
            <v>-8.4760738606454764E-2</v>
          </cell>
        </row>
        <row r="185">
          <cell r="V185">
            <v>34</v>
          </cell>
          <cell r="Y185">
            <v>-0.17459059791461262</v>
          </cell>
        </row>
        <row r="186">
          <cell r="V186">
            <v>22</v>
          </cell>
          <cell r="Y186">
            <v>-0.5567367644474821</v>
          </cell>
        </row>
        <row r="187">
          <cell r="V187">
            <v>25</v>
          </cell>
          <cell r="Y187">
            <v>-0.46373201493421362</v>
          </cell>
        </row>
        <row r="188">
          <cell r="V188">
            <v>12</v>
          </cell>
          <cell r="Y188">
            <v>-0.85788335899473045</v>
          </cell>
        </row>
        <row r="189">
          <cell r="V189">
            <v>11</v>
          </cell>
          <cell r="Y189">
            <v>-0.87757322047547759</v>
          </cell>
        </row>
        <row r="190">
          <cell r="V190">
            <v>4</v>
          </cell>
          <cell r="Y190">
            <v>-1.0841259624322819</v>
          </cell>
        </row>
        <row r="191">
          <cell r="V191">
            <v>1</v>
          </cell>
          <cell r="Y191">
            <v>-1.1758498981492318</v>
          </cell>
        </row>
        <row r="192">
          <cell r="V192">
            <v>1</v>
          </cell>
          <cell r="Y192">
            <v>-1.1638914713412096</v>
          </cell>
        </row>
        <row r="193">
          <cell r="V193">
            <v>1</v>
          </cell>
          <cell r="Y193">
            <v>-1.160865055490486</v>
          </cell>
        </row>
        <row r="194">
          <cell r="V194">
            <v>6</v>
          </cell>
          <cell r="Y194">
            <v>-1.0015187686720031</v>
          </cell>
        </row>
        <row r="195">
          <cell r="V195">
            <v>10</v>
          </cell>
          <cell r="Y195">
            <v>-0.86971017054917021</v>
          </cell>
        </row>
        <row r="196">
          <cell r="V196">
            <v>19</v>
          </cell>
          <cell r="Y196">
            <v>-0.59731361333353339</v>
          </cell>
        </row>
        <row r="197">
          <cell r="V197">
            <v>49</v>
          </cell>
          <cell r="Y197">
            <v>0.32181154105517285</v>
          </cell>
        </row>
        <row r="198">
          <cell r="V198">
            <v>49</v>
          </cell>
          <cell r="Y198">
            <v>0.34131024619793321</v>
          </cell>
        </row>
        <row r="199">
          <cell r="V199">
            <v>83</v>
          </cell>
          <cell r="Y199">
            <v>1.4471174904350745</v>
          </cell>
        </row>
        <row r="200">
          <cell r="V200">
            <v>75</v>
          </cell>
          <cell r="Y200">
            <v>1.3122101724076167</v>
          </cell>
        </row>
        <row r="201">
          <cell r="V201">
            <v>72</v>
          </cell>
          <cell r="Y201">
            <v>1.3171606107460516</v>
          </cell>
        </row>
        <row r="202">
          <cell r="V202">
            <v>82</v>
          </cell>
          <cell r="Y202">
            <v>1.6318094326912027</v>
          </cell>
        </row>
        <row r="203">
          <cell r="V203">
            <v>92</v>
          </cell>
          <cell r="Y203">
            <v>1.8829586956085029</v>
          </cell>
        </row>
        <row r="204">
          <cell r="V204">
            <v>62</v>
          </cell>
          <cell r="Y204">
            <v>0.89094066719764942</v>
          </cell>
        </row>
        <row r="205">
          <cell r="V205">
            <v>48</v>
          </cell>
          <cell r="Y205">
            <v>0.42657653352496483</v>
          </cell>
        </row>
        <row r="206">
          <cell r="V206">
            <v>41</v>
          </cell>
          <cell r="Y206">
            <v>0.17122728876468099</v>
          </cell>
        </row>
        <row r="207">
          <cell r="V207">
            <v>38</v>
          </cell>
          <cell r="Y207">
            <v>5.4310894933650176E-2</v>
          </cell>
        </row>
        <row r="208">
          <cell r="V208">
            <v>20</v>
          </cell>
          <cell r="Y208">
            <v>-0.5353120998135602</v>
          </cell>
        </row>
        <row r="209">
          <cell r="V209">
            <v>15</v>
          </cell>
          <cell r="Y209">
            <v>-0.67179187767974002</v>
          </cell>
        </row>
        <row r="210">
          <cell r="V210">
            <v>6</v>
          </cell>
          <cell r="Y210">
            <v>-0.93772248392009128</v>
          </cell>
        </row>
        <row r="211">
          <cell r="V211">
            <v>5</v>
          </cell>
          <cell r="Y211">
            <v>-0.92668160856393689</v>
          </cell>
        </row>
        <row r="212">
          <cell r="V212">
            <v>1</v>
          </cell>
          <cell r="Y212">
            <v>-1.0283129112631937</v>
          </cell>
        </row>
        <row r="213">
          <cell r="V213">
            <v>3</v>
          </cell>
          <cell r="Y213">
            <v>-0.94450180162760755</v>
          </cell>
        </row>
        <row r="214">
          <cell r="V214">
            <v>1</v>
          </cell>
          <cell r="Y214">
            <v>-1.0003013839069148</v>
          </cell>
        </row>
        <row r="215">
          <cell r="V215">
            <v>3</v>
          </cell>
          <cell r="Y215">
            <v>-0.94196259283870276</v>
          </cell>
        </row>
        <row r="216">
          <cell r="V216">
            <v>3</v>
          </cell>
          <cell r="Y216">
            <v>-0.94717677443279691</v>
          </cell>
        </row>
        <row r="217">
          <cell r="V217">
            <v>31</v>
          </cell>
          <cell r="Y217">
            <v>-9.5339030136067898E-2</v>
          </cell>
        </row>
        <row r="218">
          <cell r="V218">
            <v>77</v>
          </cell>
          <cell r="Y218">
            <v>1.2859570384403065</v>
          </cell>
        </row>
        <row r="219">
          <cell r="V219">
            <v>188</v>
          </cell>
          <cell r="Y219">
            <v>3.3163434876333335</v>
          </cell>
        </row>
        <row r="220">
          <cell r="V220">
            <v>94</v>
          </cell>
          <cell r="Y220">
            <v>1.0556602042802958</v>
          </cell>
        </row>
        <row r="221">
          <cell r="V221">
            <v>31</v>
          </cell>
          <cell r="Y221">
            <v>-0.35403365154081573</v>
          </cell>
        </row>
        <row r="222">
          <cell r="V222">
            <v>30</v>
          </cell>
          <cell r="Y222">
            <v>-0.35772124184692039</v>
          </cell>
        </row>
        <row r="223">
          <cell r="V223">
            <v>52</v>
          </cell>
          <cell r="Y223">
            <v>0.16973136915050979</v>
          </cell>
        </row>
        <row r="224">
          <cell r="V224">
            <v>54</v>
          </cell>
          <cell r="Y224">
            <v>0.23785253481176569</v>
          </cell>
        </row>
        <row r="225">
          <cell r="V225">
            <v>47</v>
          </cell>
          <cell r="Y225">
            <v>0.10111059009169947</v>
          </cell>
        </row>
        <row r="226">
          <cell r="V226">
            <v>45</v>
          </cell>
          <cell r="Y226">
            <v>9.2177171925054285E-2</v>
          </cell>
        </row>
        <row r="227">
          <cell r="V227">
            <v>74</v>
          </cell>
          <cell r="Y227">
            <v>0.81525893447268405</v>
          </cell>
        </row>
        <row r="228">
          <cell r="V228">
            <v>178</v>
          </cell>
          <cell r="Y228">
            <v>2.6665685580608476</v>
          </cell>
        </row>
        <row r="229">
          <cell r="V229">
            <v>155</v>
          </cell>
          <cell r="Y229">
            <v>1.9286102752948262</v>
          </cell>
        </row>
        <row r="230">
          <cell r="V230">
            <v>95</v>
          </cell>
          <cell r="Y230">
            <v>0.77836611069349804</v>
          </cell>
        </row>
        <row r="231">
          <cell r="V231">
            <v>74</v>
          </cell>
          <cell r="Y231">
            <v>0.37123763954982203</v>
          </cell>
        </row>
        <row r="232">
          <cell r="V232">
            <v>38</v>
          </cell>
          <cell r="Y232">
            <v>-0.29343723020830165</v>
          </cell>
        </row>
        <row r="233">
          <cell r="V233">
            <v>24</v>
          </cell>
          <cell r="Y233">
            <v>-0.55686211232501615</v>
          </cell>
        </row>
        <row r="234">
          <cell r="V234">
            <v>18</v>
          </cell>
          <cell r="Y234">
            <v>-0.68044490259616053</v>
          </cell>
        </row>
        <row r="235">
          <cell r="V235">
            <v>12</v>
          </cell>
          <cell r="Y235">
            <v>-0.79986551372437631</v>
          </cell>
        </row>
        <row r="236">
          <cell r="V236">
            <v>3</v>
          </cell>
          <cell r="Y236">
            <v>-0.96906327915597479</v>
          </cell>
        </row>
        <row r="237">
          <cell r="V237">
            <v>3</v>
          </cell>
          <cell r="Y237">
            <v>-0.96906327915597479</v>
          </cell>
        </row>
        <row r="238">
          <cell r="V238">
            <v>6</v>
          </cell>
          <cell r="Y238">
            <v>-0.92101873589303607</v>
          </cell>
        </row>
        <row r="239">
          <cell r="V239">
            <v>27</v>
          </cell>
          <cell r="Y239">
            <v>-0.55813946653865953</v>
          </cell>
        </row>
        <row r="240">
          <cell r="V240">
            <v>99</v>
          </cell>
          <cell r="Y240">
            <v>0.73129925898405601</v>
          </cell>
        </row>
        <row r="241">
          <cell r="V241">
            <v>217</v>
          </cell>
          <cell r="Y241">
            <v>2.4381193864031911</v>
          </cell>
        </row>
        <row r="242">
          <cell r="V242">
            <v>130</v>
          </cell>
          <cell r="Y242">
            <v>0.95476640757866393</v>
          </cell>
        </row>
        <row r="243">
          <cell r="V243">
            <v>54</v>
          </cell>
          <cell r="Y243">
            <v>-0.1928702153994688</v>
          </cell>
        </row>
        <row r="244">
          <cell r="V244">
            <v>35</v>
          </cell>
          <cell r="Y244">
            <v>-0.48318403622597272</v>
          </cell>
        </row>
        <row r="245">
          <cell r="V245">
            <v>57</v>
          </cell>
          <cell r="Y245">
            <v>-0.11700680422129101</v>
          </cell>
        </row>
        <row r="246">
          <cell r="V246">
            <v>52</v>
          </cell>
          <cell r="Y246">
            <v>-0.22304493277080084</v>
          </cell>
        </row>
        <row r="247">
          <cell r="V247">
            <v>63</v>
          </cell>
          <cell r="Y247">
            <v>-3.5607811043038527E-2</v>
          </cell>
        </row>
        <row r="248">
          <cell r="V248">
            <v>47</v>
          </cell>
          <cell r="Y248">
            <v>-0.31484181046054865</v>
          </cell>
        </row>
        <row r="249">
          <cell r="V249">
            <v>76</v>
          </cell>
          <cell r="Y249">
            <v>0.17954766666554242</v>
          </cell>
        </row>
        <row r="250">
          <cell r="V250">
            <v>136</v>
          </cell>
          <cell r="Y250">
            <v>1.1481881875578219</v>
          </cell>
        </row>
        <row r="251">
          <cell r="V251">
            <v>95</v>
          </cell>
          <cell r="Y251">
            <v>0.42124977716821432</v>
          </cell>
        </row>
        <row r="252">
          <cell r="V252">
            <v>51</v>
          </cell>
          <cell r="Y252">
            <v>-0.26792219869434358</v>
          </cell>
        </row>
        <row r="253">
          <cell r="V253">
            <v>32</v>
          </cell>
          <cell r="Y253">
            <v>-0.5615036963709561</v>
          </cell>
        </row>
        <row r="254">
          <cell r="V254">
            <v>20</v>
          </cell>
          <cell r="Y254">
            <v>-0.73737286202700292</v>
          </cell>
        </row>
        <row r="255">
          <cell r="V255">
            <v>29</v>
          </cell>
          <cell r="Y255">
            <v>-0.51903930820918986</v>
          </cell>
        </row>
        <row r="256">
          <cell r="V256">
            <v>19</v>
          </cell>
          <cell r="Y256">
            <v>-0.69577880782543233</v>
          </cell>
        </row>
        <row r="257">
          <cell r="V257">
            <v>7</v>
          </cell>
          <cell r="Y257">
            <v>-0.90792485190620653</v>
          </cell>
        </row>
        <row r="258">
          <cell r="V258">
            <v>6</v>
          </cell>
          <cell r="Y258">
            <v>-0.91023773480029324</v>
          </cell>
        </row>
        <row r="259">
          <cell r="V259">
            <v>1</v>
          </cell>
          <cell r="Y259">
            <v>-0.9897315283241076</v>
          </cell>
        </row>
        <row r="260">
          <cell r="V260">
            <v>5</v>
          </cell>
          <cell r="Y260">
            <v>-0.91618795981764856</v>
          </cell>
        </row>
        <row r="261">
          <cell r="V261">
            <v>16</v>
          </cell>
          <cell r="Y261">
            <v>-0.72226244008284113</v>
          </cell>
        </row>
        <row r="262">
          <cell r="V262">
            <v>54</v>
          </cell>
          <cell r="Y262">
            <v>-2.629980831869071E-2</v>
          </cell>
        </row>
        <row r="263">
          <cell r="V263">
            <v>128</v>
          </cell>
          <cell r="Y263">
            <v>1.3062966696647522</v>
          </cell>
        </row>
        <row r="264">
          <cell r="V264">
            <v>81</v>
          </cell>
          <cell r="Y264">
            <v>0.42754432241624096</v>
          </cell>
        </row>
        <row r="265">
          <cell r="V265">
            <v>39</v>
          </cell>
          <cell r="Y265">
            <v>-0.31236170186039419</v>
          </cell>
        </row>
        <row r="266">
          <cell r="V266">
            <v>35</v>
          </cell>
          <cell r="Y266">
            <v>-0.34489680117619548</v>
          </cell>
        </row>
        <row r="267">
          <cell r="V267">
            <v>55</v>
          </cell>
          <cell r="Y267">
            <v>0.20943468563285536</v>
          </cell>
        </row>
        <row r="268">
          <cell r="V268">
            <v>49</v>
          </cell>
          <cell r="Y268">
            <v>2.6685373235711671E-2</v>
          </cell>
        </row>
        <row r="269">
          <cell r="V269">
            <v>44</v>
          </cell>
          <cell r="Y269">
            <v>-9.7576402711131327E-2</v>
          </cell>
        </row>
        <row r="270">
          <cell r="V270">
            <v>49</v>
          </cell>
          <cell r="Y270">
            <v>4.5317401818625931E-2</v>
          </cell>
        </row>
        <row r="271">
          <cell r="V271">
            <v>68</v>
          </cell>
          <cell r="Y271">
            <v>0.56764562285979214</v>
          </cell>
        </row>
        <row r="272">
          <cell r="V272">
            <v>139</v>
          </cell>
          <cell r="Y272">
            <v>2.16163247070727</v>
          </cell>
        </row>
        <row r="273">
          <cell r="V273">
            <v>137</v>
          </cell>
          <cell r="Y273">
            <v>1.8916709963828846</v>
          </cell>
        </row>
        <row r="274">
          <cell r="V274">
            <v>83</v>
          </cell>
          <cell r="Y274">
            <v>0.76561368855740564</v>
          </cell>
        </row>
        <row r="275">
          <cell r="V275">
            <v>56</v>
          </cell>
          <cell r="Y275">
            <v>0.14767447584018503</v>
          </cell>
        </row>
        <row r="276">
          <cell r="V276">
            <v>57</v>
          </cell>
          <cell r="Y276">
            <v>0.1664237039787515</v>
          </cell>
        </row>
        <row r="277">
          <cell r="V277">
            <v>33</v>
          </cell>
          <cell r="Y277">
            <v>-0.43773138366449671</v>
          </cell>
        </row>
        <row r="278">
          <cell r="V278">
            <v>20</v>
          </cell>
          <cell r="Y278">
            <v>-0.76445911501215946</v>
          </cell>
        </row>
        <row r="279">
          <cell r="V279">
            <v>7</v>
          </cell>
          <cell r="Y279">
            <v>-1.0481020472875591</v>
          </cell>
        </row>
        <row r="280">
          <cell r="V280">
            <v>2</v>
          </cell>
          <cell r="Y280">
            <v>-1.1344011062187331</v>
          </cell>
        </row>
        <row r="281">
          <cell r="V281">
            <v>2</v>
          </cell>
          <cell r="Y281">
            <v>-1.1230275737654798</v>
          </cell>
        </row>
        <row r="282">
          <cell r="V282">
            <v>3</v>
          </cell>
          <cell r="Y282">
            <v>-1.0922671951368246</v>
          </cell>
        </row>
        <row r="283">
          <cell r="V283">
            <v>4</v>
          </cell>
          <cell r="Y283">
            <v>-1.0749747158757077</v>
          </cell>
        </row>
        <row r="284">
          <cell r="V284">
            <v>3</v>
          </cell>
          <cell r="Y284">
            <v>-1.0946149700061893</v>
          </cell>
        </row>
        <row r="285">
          <cell r="V285">
            <v>28</v>
          </cell>
          <cell r="Y285">
            <v>-0.50933783928608756</v>
          </cell>
        </row>
        <row r="286">
          <cell r="V286">
            <v>72</v>
          </cell>
          <cell r="Y286">
            <v>0.53630199185231098</v>
          </cell>
        </row>
        <row r="287">
          <cell r="V287">
            <v>202</v>
          </cell>
          <cell r="Y287">
            <v>3.0118228623684242</v>
          </cell>
        </row>
        <row r="288">
          <cell r="V288">
            <v>139</v>
          </cell>
          <cell r="Y288">
            <v>1.6013787778537318</v>
          </cell>
        </row>
        <row r="289">
          <cell r="V289">
            <v>38</v>
          </cell>
          <cell r="Y289">
            <v>-0.32895205390976517</v>
          </cell>
        </row>
        <row r="290">
          <cell r="V290">
            <v>37</v>
          </cell>
          <cell r="Y290">
            <v>-0.34987497506187587</v>
          </cell>
        </row>
        <row r="291">
          <cell r="V291">
            <v>52</v>
          </cell>
          <cell r="Y291">
            <v>-6.0565613160755941E-2</v>
          </cell>
        </row>
        <row r="292">
          <cell r="V292">
            <v>83</v>
          </cell>
          <cell r="Y292">
            <v>0.50250095799346384</v>
          </cell>
        </row>
        <row r="293">
          <cell r="V293">
            <v>42</v>
          </cell>
          <cell r="Y293">
            <v>-0.27570326824066266</v>
          </cell>
        </row>
        <row r="294">
          <cell r="V294">
            <v>60</v>
          </cell>
          <cell r="Y294">
            <v>5.7856610739684851E-2</v>
          </cell>
        </row>
        <row r="295">
          <cell r="V295">
            <v>78</v>
          </cell>
          <cell r="Y295">
            <v>0.39134185680572137</v>
          </cell>
        </row>
        <row r="296">
          <cell r="V296">
            <v>162</v>
          </cell>
          <cell r="Y296">
            <v>1.9044896605839683</v>
          </cell>
        </row>
        <row r="297">
          <cell r="V297">
            <v>144</v>
          </cell>
          <cell r="Y297">
            <v>1.5553986820180963</v>
          </cell>
        </row>
        <row r="298">
          <cell r="V298">
            <v>99</v>
          </cell>
          <cell r="Y298">
            <v>0.71813019308863513</v>
          </cell>
        </row>
        <row r="299">
          <cell r="V299">
            <v>64</v>
          </cell>
          <cell r="Y299">
            <v>7.9117548963743789E-2</v>
          </cell>
        </row>
        <row r="300">
          <cell r="V300">
            <v>40</v>
          </cell>
          <cell r="Y300">
            <v>-0.34120204078507654</v>
          </cell>
        </row>
        <row r="301">
          <cell r="V301">
            <v>30</v>
          </cell>
          <cell r="Y301">
            <v>-0.51871675625502289</v>
          </cell>
        </row>
        <row r="302">
          <cell r="V302">
            <v>15</v>
          </cell>
          <cell r="Y302">
            <v>-0.78293443688043973</v>
          </cell>
        </row>
        <row r="303">
          <cell r="V303">
            <v>14</v>
          </cell>
          <cell r="Y303">
            <v>-0.80998394367950088</v>
          </cell>
        </row>
        <row r="304">
          <cell r="V304">
            <v>5</v>
          </cell>
          <cell r="Y304">
            <v>-0.97699252956388383</v>
          </cell>
        </row>
        <row r="305">
          <cell r="V305">
            <v>1</v>
          </cell>
          <cell r="Y305">
            <v>-1.047751735742982</v>
          </cell>
        </row>
        <row r="306">
          <cell r="V306">
            <v>1</v>
          </cell>
          <cell r="Y306">
            <v>-1.0445571248008343</v>
          </cell>
        </row>
        <row r="307">
          <cell r="V307">
            <v>8</v>
          </cell>
          <cell r="Y307">
            <v>-0.92400203932246805</v>
          </cell>
        </row>
        <row r="308">
          <cell r="V308">
            <v>17</v>
          </cell>
          <cell r="Y308">
            <v>-0.77934357989783709</v>
          </cell>
        </row>
        <row r="309">
          <cell r="V309">
            <v>70</v>
          </cell>
          <cell r="Y309">
            <v>0.15881594620175682</v>
          </cell>
        </row>
        <row r="310">
          <cell r="V310">
            <v>158</v>
          </cell>
          <cell r="Y310">
            <v>1.6106437657148489</v>
          </cell>
        </row>
        <row r="311">
          <cell r="V311">
            <v>117</v>
          </cell>
          <cell r="Y311">
            <v>1.0848501259726093</v>
          </cell>
        </row>
        <row r="312">
          <cell r="V312">
            <v>44</v>
          </cell>
          <cell r="Y312">
            <v>-0.27702020359561297</v>
          </cell>
        </row>
        <row r="313">
          <cell r="V313">
            <v>53</v>
          </cell>
          <cell r="Y313">
            <v>-0.10498960239410331</v>
          </cell>
        </row>
        <row r="314">
          <cell r="V314">
            <v>61</v>
          </cell>
          <cell r="Y314">
            <v>3.9756196789443671E-2</v>
          </cell>
        </row>
        <row r="315">
          <cell r="V315">
            <v>77</v>
          </cell>
          <cell r="Y315">
            <v>0.34922871196710165</v>
          </cell>
        </row>
        <row r="316">
          <cell r="V316">
            <v>64</v>
          </cell>
          <cell r="Y316">
            <v>9.7050830163445373E-2</v>
          </cell>
        </row>
        <row r="317">
          <cell r="V317">
            <v>68</v>
          </cell>
          <cell r="Y317">
            <v>0.15808483557683475</v>
          </cell>
        </row>
        <row r="318">
          <cell r="V318">
            <v>90</v>
          </cell>
          <cell r="Y318">
            <v>0.58602817354746162</v>
          </cell>
        </row>
        <row r="319">
          <cell r="V319">
            <v>159</v>
          </cell>
          <cell r="Y319">
            <v>1.7996000082087418</v>
          </cell>
        </row>
        <row r="320">
          <cell r="V320">
            <v>139</v>
          </cell>
          <cell r="Y320">
            <v>1.4823857181529252</v>
          </cell>
        </row>
        <row r="321">
          <cell r="V321">
            <v>92</v>
          </cell>
          <cell r="Y321">
            <v>0.62654794954642257</v>
          </cell>
        </row>
        <row r="322">
          <cell r="V322">
            <v>68</v>
          </cell>
          <cell r="Y322">
            <v>0.15563568228690378</v>
          </cell>
        </row>
        <row r="323">
          <cell r="V323">
            <v>52</v>
          </cell>
          <cell r="Y323">
            <v>-0.17136849829791367</v>
          </cell>
        </row>
        <row r="324">
          <cell r="V324">
            <v>36</v>
          </cell>
          <cell r="Y324">
            <v>-0.50445786474973586</v>
          </cell>
        </row>
        <row r="325">
          <cell r="V325">
            <v>27</v>
          </cell>
          <cell r="Y325">
            <v>-0.69007489183257043</v>
          </cell>
        </row>
        <row r="326">
          <cell r="V326">
            <v>28</v>
          </cell>
          <cell r="Y326">
            <v>-0.68709671796315852</v>
          </cell>
        </row>
        <row r="327">
          <cell r="V327">
            <v>20</v>
          </cell>
          <cell r="Y327">
            <v>-0.86662794977653812</v>
          </cell>
        </row>
        <row r="328">
          <cell r="V328">
            <v>12</v>
          </cell>
          <cell r="Y328">
            <v>-1.0511464524472303</v>
          </cell>
        </row>
        <row r="329">
          <cell r="V329">
            <v>8</v>
          </cell>
          <cell r="Y329">
            <v>-1.1525664256599204</v>
          </cell>
        </row>
        <row r="330">
          <cell r="V330">
            <v>5</v>
          </cell>
          <cell r="Y330">
            <v>-1.2270113720783495</v>
          </cell>
        </row>
        <row r="331">
          <cell r="V331">
            <v>1</v>
          </cell>
          <cell r="Y331">
            <v>-1.2971574458310597</v>
          </cell>
        </row>
        <row r="332">
          <cell r="V332">
            <v>3</v>
          </cell>
          <cell r="Y332">
            <v>-1.2238740749519235</v>
          </cell>
        </row>
        <row r="333">
          <cell r="V333">
            <v>10</v>
          </cell>
          <cell r="Y333">
            <v>-0.99918954308965158</v>
          </cell>
        </row>
        <row r="334">
          <cell r="V334">
            <v>23</v>
          </cell>
          <cell r="Y334">
            <v>-0.67511771304310442</v>
          </cell>
        </row>
        <row r="335">
          <cell r="V335">
            <v>33</v>
          </cell>
          <cell r="Y335">
            <v>-0.38332020949959666</v>
          </cell>
        </row>
        <row r="336">
          <cell r="V336">
            <v>59</v>
          </cell>
          <cell r="Y336">
            <v>0.22918703430861195</v>
          </cell>
        </row>
        <row r="337">
          <cell r="V337">
            <v>72</v>
          </cell>
          <cell r="Y337">
            <v>0.52056733937322675</v>
          </cell>
        </row>
        <row r="338">
          <cell r="V338">
            <v>89</v>
          </cell>
          <cell r="Y338">
            <v>0.88542225208034686</v>
          </cell>
        </row>
        <row r="339">
          <cell r="V339">
            <v>101</v>
          </cell>
          <cell r="Y339">
            <v>1.121009317086642</v>
          </cell>
        </row>
        <row r="340">
          <cell r="V340">
            <v>118</v>
          </cell>
          <cell r="Y340">
            <v>1.3976277493618485</v>
          </cell>
        </row>
        <row r="341">
          <cell r="V341">
            <v>129</v>
          </cell>
          <cell r="Y341">
            <v>1.503864872921634</v>
          </cell>
        </row>
        <row r="342">
          <cell r="V342">
            <v>128</v>
          </cell>
          <cell r="Y342">
            <v>1.3989011296413236</v>
          </cell>
        </row>
        <row r="343">
          <cell r="V343">
            <v>83</v>
          </cell>
          <cell r="Y343">
            <v>0.60765317121779028</v>
          </cell>
        </row>
        <row r="344">
          <cell r="V344">
            <v>84</v>
          </cell>
          <cell r="Y344">
            <v>0.7318991161396996</v>
          </cell>
        </row>
        <row r="345">
          <cell r="V345">
            <v>74</v>
          </cell>
          <cell r="Y345">
            <v>0.51782675710633075</v>
          </cell>
        </row>
        <row r="346">
          <cell r="V346">
            <v>41</v>
          </cell>
          <cell r="Y346">
            <v>-0.25479929178204452</v>
          </cell>
        </row>
        <row r="347">
          <cell r="V347">
            <v>57</v>
          </cell>
          <cell r="Y347">
            <v>0.12836317757566282</v>
          </cell>
        </row>
        <row r="348">
          <cell r="V348">
            <v>26</v>
          </cell>
          <cell r="Y348">
            <v>-0.61032272570977919</v>
          </cell>
        </row>
        <row r="349">
          <cell r="V349">
            <v>44</v>
          </cell>
          <cell r="Y349">
            <v>-0.19440674298803365</v>
          </cell>
        </row>
        <row r="350">
          <cell r="V350">
            <v>39</v>
          </cell>
          <cell r="Y350">
            <v>-0.32879266228669934</v>
          </cell>
        </row>
        <row r="351">
          <cell r="V351">
            <v>23</v>
          </cell>
          <cell r="Y351">
            <v>-0.7244848106173003</v>
          </cell>
        </row>
        <row r="352">
          <cell r="V352">
            <v>16</v>
          </cell>
          <cell r="Y352">
            <v>-0.90364563087003724</v>
          </cell>
        </row>
        <row r="353">
          <cell r="V353">
            <v>15</v>
          </cell>
          <cell r="Y353">
            <v>-0.94261427432096012</v>
          </cell>
        </row>
        <row r="354">
          <cell r="V354">
            <v>1</v>
          </cell>
          <cell r="Y354">
            <v>-1.2785806814683429</v>
          </cell>
        </row>
        <row r="355">
          <cell r="V355">
            <v>2</v>
          </cell>
          <cell r="Y355">
            <v>-1.2566674020952824</v>
          </cell>
        </row>
        <row r="356">
          <cell r="V356">
            <v>1</v>
          </cell>
          <cell r="Y356">
            <v>-1.2758579605153155</v>
          </cell>
        </row>
        <row r="357">
          <cell r="V357">
            <v>3</v>
          </cell>
          <cell r="Y357">
            <v>-1.2091943603816853</v>
          </cell>
        </row>
        <row r="358">
          <cell r="V358">
            <v>18</v>
          </cell>
          <cell r="Y358">
            <v>-0.83455038344435606</v>
          </cell>
        </row>
        <row r="359">
          <cell r="V359">
            <v>32</v>
          </cell>
          <cell r="Y359">
            <v>-0.4929846352740786</v>
          </cell>
        </row>
        <row r="360">
          <cell r="V360">
            <v>79</v>
          </cell>
          <cell r="Y360">
            <v>0.62343987625906683</v>
          </cell>
        </row>
        <row r="361">
          <cell r="V361">
            <v>93</v>
          </cell>
          <cell r="Y361">
            <v>0.92558767465253022</v>
          </cell>
        </row>
        <row r="362">
          <cell r="V362">
            <v>104</v>
          </cell>
          <cell r="Y362">
            <v>1.1540693655237213</v>
          </cell>
        </row>
        <row r="363">
          <cell r="V363">
            <v>118</v>
          </cell>
          <cell r="Y363">
            <v>1.4335227982578553</v>
          </cell>
        </row>
        <row r="364">
          <cell r="V364">
            <v>91</v>
          </cell>
          <cell r="Y364">
            <v>0.86857412637425213</v>
          </cell>
        </row>
        <row r="365">
          <cell r="V365">
            <v>113</v>
          </cell>
          <cell r="Y365">
            <v>1.4417084955783011</v>
          </cell>
        </row>
        <row r="366">
          <cell r="V366">
            <v>99</v>
          </cell>
          <cell r="Y366">
            <v>1.1860444725868413</v>
          </cell>
        </row>
        <row r="367">
          <cell r="V367">
            <v>105</v>
          </cell>
          <cell r="Y367">
            <v>1.2829787969167208</v>
          </cell>
        </row>
        <row r="368">
          <cell r="V368">
            <v>67</v>
          </cell>
          <cell r="Y368">
            <v>0.36218758452678818</v>
          </cell>
        </row>
        <row r="369">
          <cell r="V369">
            <v>61</v>
          </cell>
          <cell r="Y369">
            <v>0.22668171168247658</v>
          </cell>
        </row>
        <row r="370">
          <cell r="V370">
            <v>57</v>
          </cell>
          <cell r="Y370">
            <v>0.10930395319982117</v>
          </cell>
        </row>
        <row r="371">
          <cell r="V371">
            <v>28</v>
          </cell>
          <cell r="Y371">
            <v>-0.58722511219065365</v>
          </cell>
        </row>
        <row r="372">
          <cell r="V372">
            <v>21</v>
          </cell>
          <cell r="Y372">
            <v>-0.75438173372355632</v>
          </cell>
        </row>
        <row r="373">
          <cell r="V373">
            <v>18</v>
          </cell>
          <cell r="Y373">
            <v>-0.79129109217667881</v>
          </cell>
        </row>
        <row r="374">
          <cell r="V374">
            <v>17</v>
          </cell>
          <cell r="Y374">
            <v>-0.78355634065444724</v>
          </cell>
        </row>
        <row r="375">
          <cell r="V375">
            <v>16</v>
          </cell>
          <cell r="Y375">
            <v>-0.7965408932369491</v>
          </cell>
        </row>
        <row r="376">
          <cell r="V376">
            <v>8</v>
          </cell>
          <cell r="Y376">
            <v>-0.9745721296418135</v>
          </cell>
        </row>
        <row r="377">
          <cell r="V377">
            <v>2</v>
          </cell>
          <cell r="Y377">
            <v>-1.0914558307529192</v>
          </cell>
        </row>
        <row r="378">
          <cell r="V378">
            <v>3</v>
          </cell>
          <cell r="Y378">
            <v>-1.0721601082725936</v>
          </cell>
        </row>
        <row r="379">
          <cell r="V379">
            <v>1</v>
          </cell>
          <cell r="Y379">
            <v>-1.1173705586491984</v>
          </cell>
        </row>
        <row r="380">
          <cell r="V380">
            <v>5</v>
          </cell>
          <cell r="Y380">
            <v>-1.0310467860882795</v>
          </cell>
        </row>
        <row r="381">
          <cell r="V381">
            <v>13</v>
          </cell>
          <cell r="Y381">
            <v>-0.85906348360850771</v>
          </cell>
        </row>
        <row r="382">
          <cell r="V382">
            <v>33</v>
          </cell>
          <cell r="Y382">
            <v>-0.3964796699264147</v>
          </cell>
        </row>
        <row r="383">
          <cell r="V383">
            <v>47</v>
          </cell>
          <cell r="Y383">
            <v>-7.2093003112151624E-2</v>
          </cell>
        </row>
        <row r="384">
          <cell r="V384">
            <v>57</v>
          </cell>
          <cell r="Y384">
            <v>0.19601113886368762</v>
          </cell>
        </row>
        <row r="385">
          <cell r="V385">
            <v>64</v>
          </cell>
          <cell r="Y385">
            <v>0.40766379490508664</v>
          </cell>
        </row>
        <row r="386">
          <cell r="V386">
            <v>80</v>
          </cell>
          <cell r="Y386">
            <v>0.86228689606046904</v>
          </cell>
        </row>
        <row r="387">
          <cell r="V387">
            <v>93</v>
          </cell>
          <cell r="Y387">
            <v>1.2844766953732476</v>
          </cell>
        </row>
        <row r="388">
          <cell r="V388">
            <v>86</v>
          </cell>
          <cell r="Y388">
            <v>1.1073405691463676</v>
          </cell>
        </row>
        <row r="389">
          <cell r="V389">
            <v>93</v>
          </cell>
          <cell r="Y389">
            <v>1.3748799457524292</v>
          </cell>
        </row>
        <row r="390">
          <cell r="V390">
            <v>82</v>
          </cell>
          <cell r="Y390">
            <v>1.1128495425540532</v>
          </cell>
        </row>
        <row r="391">
          <cell r="V391">
            <v>71</v>
          </cell>
          <cell r="Y391">
            <v>0.88354275520012859</v>
          </cell>
        </row>
        <row r="392">
          <cell r="V392">
            <v>92</v>
          </cell>
          <cell r="Y392">
            <v>1.4504604366107683</v>
          </cell>
        </row>
        <row r="393">
          <cell r="V393">
            <v>60</v>
          </cell>
          <cell r="Y393">
            <v>0.4917306075675788</v>
          </cell>
        </row>
        <row r="394">
          <cell r="V394">
            <v>33</v>
          </cell>
          <cell r="Y394">
            <v>-0.28954379291692994</v>
          </cell>
        </row>
        <row r="395">
          <cell r="V395">
            <v>27</v>
          </cell>
          <cell r="Y395">
            <v>-0.46850684385262742</v>
          </cell>
        </row>
        <row r="396">
          <cell r="V396">
            <v>13</v>
          </cell>
          <cell r="Y396">
            <v>-0.87244591803478655</v>
          </cell>
        </row>
        <row r="397">
          <cell r="V397">
            <v>4</v>
          </cell>
          <cell r="Y397">
            <v>-1.1051170968872999</v>
          </cell>
        </row>
        <row r="398">
          <cell r="V398">
            <v>3</v>
          </cell>
          <cell r="Y398">
            <v>-1.0994142917676029</v>
          </cell>
        </row>
        <row r="399">
          <cell r="V399">
            <v>22</v>
          </cell>
          <cell r="Y399">
            <v>-0.5608416359094921</v>
          </cell>
        </row>
        <row r="400">
          <cell r="V400">
            <v>28</v>
          </cell>
          <cell r="Y400">
            <v>-0.41829552906339029</v>
          </cell>
        </row>
        <row r="401">
          <cell r="V401">
            <v>35</v>
          </cell>
          <cell r="Y401">
            <v>-0.26026084526536475</v>
          </cell>
        </row>
        <row r="402">
          <cell r="V402">
            <v>61</v>
          </cell>
          <cell r="Y402">
            <v>0.47263829745471003</v>
          </cell>
        </row>
        <row r="403">
          <cell r="V403">
            <v>125</v>
          </cell>
          <cell r="Y403">
            <v>2.1609351347522572</v>
          </cell>
        </row>
        <row r="404">
          <cell r="V404">
            <v>133</v>
          </cell>
          <cell r="Y404">
            <v>2.0925225742638287</v>
          </cell>
        </row>
        <row r="405">
          <cell r="V405">
            <v>99</v>
          </cell>
          <cell r="Y405">
            <v>1.071817076321498</v>
          </cell>
        </row>
        <row r="406">
          <cell r="V406">
            <v>83</v>
          </cell>
          <cell r="Y406">
            <v>0.57724663848540059</v>
          </cell>
        </row>
        <row r="407">
          <cell r="V407">
            <v>41</v>
          </cell>
          <cell r="Y407">
            <v>-0.5751850793707407</v>
          </cell>
        </row>
        <row r="408">
          <cell r="V408">
            <v>33</v>
          </cell>
          <cell r="Y408">
            <v>-0.758287544405155</v>
          </cell>
        </row>
        <row r="409">
          <cell r="V409">
            <v>20</v>
          </cell>
          <cell r="Y409">
            <v>-1.0360430587219969</v>
          </cell>
        </row>
        <row r="410">
          <cell r="V410">
            <v>3</v>
          </cell>
          <cell r="Y410">
            <v>-1.3521458270252098</v>
          </cell>
        </row>
        <row r="411">
          <cell r="V411">
            <v>7</v>
          </cell>
          <cell r="Y411">
            <v>-1.146772603671796</v>
          </cell>
        </row>
        <row r="412">
          <cell r="V412">
            <v>3</v>
          </cell>
          <cell r="Y412">
            <v>-1.1446368038432615</v>
          </cell>
        </row>
        <row r="413">
          <cell r="V413">
            <v>2</v>
          </cell>
          <cell r="Y413">
            <v>-1.0764635813448835</v>
          </cell>
        </row>
        <row r="414">
          <cell r="V414">
            <v>7</v>
          </cell>
          <cell r="Y414">
            <v>-0.87496392761407282</v>
          </cell>
        </row>
        <row r="415">
          <cell r="V415">
            <v>32</v>
          </cell>
          <cell r="Y415">
            <v>-0.20932573777618108</v>
          </cell>
        </row>
        <row r="416">
          <cell r="V416">
            <v>90</v>
          </cell>
          <cell r="Y416">
            <v>1.2680226185812373</v>
          </cell>
        </row>
        <row r="417">
          <cell r="V417">
            <v>197</v>
          </cell>
          <cell r="Y417">
            <v>2.9852322678066452</v>
          </cell>
        </row>
        <row r="418">
          <cell r="V418">
            <v>109</v>
          </cell>
          <cell r="Y418">
            <v>1.1499890650758662</v>
          </cell>
        </row>
        <row r="419">
          <cell r="V419">
            <v>47</v>
          </cell>
          <cell r="Y419">
            <v>-5.5363009926984119E-2</v>
          </cell>
        </row>
        <row r="420">
          <cell r="V420">
            <v>52</v>
          </cell>
          <cell r="Y420">
            <v>9.7403847395826654E-3</v>
          </cell>
        </row>
        <row r="421">
          <cell r="V421">
            <v>70</v>
          </cell>
          <cell r="Y421">
            <v>0.31226806451784733</v>
          </cell>
        </row>
        <row r="422">
          <cell r="V422">
            <v>78</v>
          </cell>
          <cell r="Y422">
            <v>0.41719306366141495</v>
          </cell>
        </row>
        <row r="423">
          <cell r="V423">
            <v>75</v>
          </cell>
          <cell r="Y423">
            <v>0.31481736172437191</v>
          </cell>
        </row>
        <row r="424">
          <cell r="V424">
            <v>82</v>
          </cell>
          <cell r="Y424">
            <v>0.41413613442010921</v>
          </cell>
        </row>
        <row r="425">
          <cell r="V425">
            <v>104</v>
          </cell>
          <cell r="Y425">
            <v>0.8005962833977821</v>
          </cell>
        </row>
        <row r="426">
          <cell r="V426">
            <v>197</v>
          </cell>
          <cell r="Y426">
            <v>2.261354712906154</v>
          </cell>
        </row>
        <row r="427">
          <cell r="V427">
            <v>161</v>
          </cell>
          <cell r="Y427">
            <v>1.537446638533017</v>
          </cell>
        </row>
        <row r="428">
          <cell r="V428">
            <v>112</v>
          </cell>
          <cell r="Y428">
            <v>0.71729010640395907</v>
          </cell>
        </row>
        <row r="429">
          <cell r="V429">
            <v>76</v>
          </cell>
          <cell r="Y429">
            <v>0.10478630930966532</v>
          </cell>
        </row>
        <row r="430">
          <cell r="V430">
            <v>59</v>
          </cell>
          <cell r="Y430">
            <v>-0.17668108074243016</v>
          </cell>
        </row>
        <row r="431">
          <cell r="V431">
            <v>59</v>
          </cell>
          <cell r="Y431">
            <v>-0.19077675523206447</v>
          </cell>
        </row>
        <row r="432">
          <cell r="V432">
            <v>28</v>
          </cell>
          <cell r="Y432">
            <v>-0.73316725955121165</v>
          </cell>
        </row>
        <row r="433">
          <cell r="V433">
            <v>13</v>
          </cell>
          <cell r="Y433">
            <v>-0.98756015925095342</v>
          </cell>
        </row>
        <row r="434">
          <cell r="V434">
            <v>5</v>
          </cell>
          <cell r="Y434">
            <v>-1.1313511131966134</v>
          </cell>
        </row>
        <row r="435">
          <cell r="V435">
            <v>2</v>
          </cell>
          <cell r="Y435">
            <v>-1.1753126603564916</v>
          </cell>
        </row>
        <row r="436">
          <cell r="V436">
            <v>1</v>
          </cell>
          <cell r="Y436">
            <v>-1.1892293514877328</v>
          </cell>
        </row>
        <row r="437">
          <cell r="V437">
            <v>1</v>
          </cell>
          <cell r="Y437">
            <v>-1.1874377884169318</v>
          </cell>
        </row>
        <row r="438">
          <cell r="V438">
            <v>6</v>
          </cell>
          <cell r="Y438">
            <v>-1.0985434133471503</v>
          </cell>
        </row>
        <row r="439">
          <cell r="V439">
            <v>35</v>
          </cell>
          <cell r="Y439">
            <v>-0.59588537284763421</v>
          </cell>
        </row>
        <row r="440">
          <cell r="V440">
            <v>101</v>
          </cell>
          <cell r="Y440">
            <v>0.54651307879537858</v>
          </cell>
        </row>
        <row r="441">
          <cell r="V441">
            <v>249</v>
          </cell>
          <cell r="Y441">
            <v>2.8048789798602387</v>
          </cell>
        </row>
        <row r="442">
          <cell r="V442">
            <v>143</v>
          </cell>
          <cell r="Y442">
            <v>1.0838002826721613</v>
          </cell>
        </row>
        <row r="443">
          <cell r="V443">
            <v>57</v>
          </cell>
          <cell r="Y443">
            <v>-0.25794829138846798</v>
          </cell>
        </row>
        <row r="444">
          <cell r="V444">
            <v>68</v>
          </cell>
          <cell r="Y444">
            <v>-9.7445210014012101E-2</v>
          </cell>
        </row>
        <row r="445">
          <cell r="V445">
            <v>84</v>
          </cell>
          <cell r="Y445">
            <v>0.14286768281114209</v>
          </cell>
        </row>
        <row r="446">
          <cell r="V446">
            <v>98</v>
          </cell>
          <cell r="Y446">
            <v>0.34714397855676987</v>
          </cell>
        </row>
        <row r="447">
          <cell r="V447">
            <v>81</v>
          </cell>
          <cell r="Y447">
            <v>7.9003119041162126E-2</v>
          </cell>
        </row>
        <row r="448">
          <cell r="V448">
            <v>70</v>
          </cell>
          <cell r="Y448">
            <v>-8.4187187977332226E-2</v>
          </cell>
        </row>
        <row r="449">
          <cell r="V449">
            <v>91</v>
          </cell>
          <cell r="Y449">
            <v>0.25138722143774778</v>
          </cell>
        </row>
        <row r="450">
          <cell r="V450">
            <v>215</v>
          </cell>
          <cell r="Y450">
            <v>2.120740549117885</v>
          </cell>
        </row>
        <row r="451">
          <cell r="V451">
            <v>185</v>
          </cell>
          <cell r="Y451">
            <v>1.6117512750410794</v>
          </cell>
        </row>
        <row r="452">
          <cell r="V452">
            <v>152</v>
          </cell>
          <cell r="Y452">
            <v>1.073890801927609</v>
          </cell>
        </row>
        <row r="453">
          <cell r="V453">
            <v>126</v>
          </cell>
          <cell r="Y453">
            <v>0.65818365666897682</v>
          </cell>
        </row>
        <row r="454">
          <cell r="V454">
            <v>57</v>
          </cell>
          <cell r="Y454">
            <v>-0.33586854509154401</v>
          </cell>
        </row>
        <row r="455">
          <cell r="V455">
            <v>56</v>
          </cell>
          <cell r="Y455">
            <v>-0.34827151291739122</v>
          </cell>
        </row>
        <row r="456">
          <cell r="V456">
            <v>31</v>
          </cell>
          <cell r="Y456">
            <v>-0.71133198583778001</v>
          </cell>
        </row>
        <row r="457">
          <cell r="V457">
            <v>21</v>
          </cell>
          <cell r="Y457">
            <v>-0.86443589466460802</v>
          </cell>
        </row>
        <row r="458">
          <cell r="V458">
            <v>6</v>
          </cell>
          <cell r="Y458">
            <v>-1.0832522796437405</v>
          </cell>
        </row>
        <row r="459">
          <cell r="V459">
            <v>2</v>
          </cell>
          <cell r="Y459">
            <v>-1.1412836517675122</v>
          </cell>
        </row>
        <row r="460">
          <cell r="V460">
            <v>1</v>
          </cell>
          <cell r="Y460">
            <v>-1.1557914947984551</v>
          </cell>
        </row>
        <row r="461">
          <cell r="V461">
            <v>1</v>
          </cell>
          <cell r="Y461">
            <v>-1.1557914947984551</v>
          </cell>
        </row>
        <row r="462">
          <cell r="V462">
            <v>5</v>
          </cell>
          <cell r="Y462">
            <v>-1.0964019209058447</v>
          </cell>
        </row>
        <row r="463">
          <cell r="V463">
            <v>27</v>
          </cell>
          <cell r="Y463">
            <v>-0.76983740700040715</v>
          </cell>
        </row>
        <row r="464">
          <cell r="V464">
            <v>68</v>
          </cell>
          <cell r="Y464">
            <v>-0.15793097125314207</v>
          </cell>
        </row>
        <row r="465">
          <cell r="V465">
            <v>217</v>
          </cell>
          <cell r="Y465">
            <v>2.1144659243995894</v>
          </cell>
        </row>
        <row r="466">
          <cell r="V466">
            <v>166</v>
          </cell>
          <cell r="Y466">
            <v>1.303714331022376</v>
          </cell>
        </row>
        <row r="467">
          <cell r="V467">
            <v>63</v>
          </cell>
          <cell r="Y467">
            <v>-0.23565662537906656</v>
          </cell>
        </row>
        <row r="468">
          <cell r="V468">
            <v>59</v>
          </cell>
          <cell r="Y468">
            <v>-0.28937133168523321</v>
          </cell>
        </row>
        <row r="469">
          <cell r="V469">
            <v>78</v>
          </cell>
          <cell r="Y469">
            <v>-2.4842639609877963E-3</v>
          </cell>
        </row>
        <row r="470">
          <cell r="V470">
            <v>73</v>
          </cell>
          <cell r="Y470">
            <v>-6.1602488624154197E-2</v>
          </cell>
        </row>
        <row r="471">
          <cell r="V471">
            <v>62</v>
          </cell>
          <cell r="Y471">
            <v>-0.21384717046321572</v>
          </cell>
        </row>
        <row r="472">
          <cell r="V472">
            <v>65</v>
          </cell>
          <cell r="Y472">
            <v>-0.16591015036654683</v>
          </cell>
        </row>
        <row r="473">
          <cell r="V473">
            <v>97</v>
          </cell>
          <cell r="Y473">
            <v>0.30726995923969563</v>
          </cell>
        </row>
        <row r="474">
          <cell r="V474">
            <v>161</v>
          </cell>
          <cell r="Y474">
            <v>1.3777340650392937</v>
          </cell>
        </row>
        <row r="475">
          <cell r="V475">
            <v>120</v>
          </cell>
          <cell r="Y475">
            <v>0.81823628496606804</v>
          </cell>
        </row>
        <row r="476">
          <cell r="V476">
            <v>96</v>
          </cell>
          <cell r="Y476">
            <v>0.47115525480827009</v>
          </cell>
        </row>
        <row r="477">
          <cell r="V477">
            <v>53</v>
          </cell>
          <cell r="Y477">
            <v>-0.23331597091044953</v>
          </cell>
        </row>
        <row r="478">
          <cell r="V478">
            <v>41</v>
          </cell>
          <cell r="Y478">
            <v>-0.43445658351456024</v>
          </cell>
        </row>
        <row r="479">
          <cell r="V479">
            <v>34</v>
          </cell>
          <cell r="Y479">
            <v>-0.53962893261820244</v>
          </cell>
        </row>
        <row r="480">
          <cell r="V480">
            <v>27</v>
          </cell>
          <cell r="Y480">
            <v>-0.65942260464381541</v>
          </cell>
        </row>
        <row r="481">
          <cell r="V481">
            <v>13</v>
          </cell>
          <cell r="Y481">
            <v>-0.89650497154927189</v>
          </cell>
        </row>
        <row r="482">
          <cell r="V482">
            <v>12</v>
          </cell>
          <cell r="Y482">
            <v>-0.9226085915635861</v>
          </cell>
        </row>
        <row r="483">
          <cell r="V483">
            <v>11</v>
          </cell>
          <cell r="Y483">
            <v>-0.95367831190559593</v>
          </cell>
        </row>
        <row r="484">
          <cell r="V484">
            <v>7</v>
          </cell>
          <cell r="Y484">
            <v>-1.0345229324410996</v>
          </cell>
        </row>
        <row r="485">
          <cell r="V485">
            <v>3</v>
          </cell>
          <cell r="Y485">
            <v>-1.1095083589437464</v>
          </cell>
        </row>
        <row r="486">
          <cell r="V486">
            <v>2</v>
          </cell>
          <cell r="Y486">
            <v>-1.1223075128375688</v>
          </cell>
        </row>
        <row r="487">
          <cell r="V487">
            <v>8</v>
          </cell>
          <cell r="Y487">
            <v>-0.9887545749736365</v>
          </cell>
        </row>
        <row r="488">
          <cell r="V488">
            <v>27</v>
          </cell>
          <cell r="Y488">
            <v>-0.61777315759369666</v>
          </cell>
        </row>
        <row r="489">
          <cell r="V489">
            <v>40</v>
          </cell>
          <cell r="Y489">
            <v>-0.3189148459829706</v>
          </cell>
        </row>
        <row r="490">
          <cell r="V490">
            <v>53</v>
          </cell>
          <cell r="Y490">
            <v>6.918338535809225E-2</v>
          </cell>
        </row>
        <row r="491">
          <cell r="V491">
            <v>63</v>
          </cell>
          <cell r="Y491">
            <v>0.31700446723782588</v>
          </cell>
        </row>
        <row r="492">
          <cell r="V492">
            <v>70</v>
          </cell>
          <cell r="Y492">
            <v>0.47715392199519768</v>
          </cell>
        </row>
        <row r="493">
          <cell r="V493">
            <v>84</v>
          </cell>
          <cell r="Y493">
            <v>0.81261772228165008</v>
          </cell>
        </row>
        <row r="494">
          <cell r="V494">
            <v>75</v>
          </cell>
          <cell r="Y494">
            <v>0.5887947244229037</v>
          </cell>
        </row>
        <row r="495">
          <cell r="V495">
            <v>103</v>
          </cell>
          <cell r="Y495">
            <v>1.1951404850400256</v>
          </cell>
        </row>
        <row r="496">
          <cell r="V496">
            <v>83</v>
          </cell>
          <cell r="Y496">
            <v>0.69563232648607543</v>
          </cell>
        </row>
        <row r="497">
          <cell r="V497">
            <v>67</v>
          </cell>
          <cell r="Y497">
            <v>0.35589507207431881</v>
          </cell>
        </row>
        <row r="498">
          <cell r="V498">
            <v>54</v>
          </cell>
          <cell r="Y498">
            <v>0.18101153468693976</v>
          </cell>
        </row>
        <row r="499">
          <cell r="V499">
            <v>59</v>
          </cell>
          <cell r="Y499">
            <v>0.44420009100330171</v>
          </cell>
        </row>
        <row r="500">
          <cell r="V500">
            <v>45</v>
          </cell>
          <cell r="Y500">
            <v>6.5852657395287881E-2</v>
          </cell>
        </row>
        <row r="501">
          <cell r="V501">
            <v>39</v>
          </cell>
          <cell r="Y501">
            <v>-0.12053086316778766</v>
          </cell>
        </row>
        <row r="502">
          <cell r="V502">
            <v>30</v>
          </cell>
          <cell r="Y502">
            <v>-0.41310016268704225</v>
          </cell>
        </row>
        <row r="503">
          <cell r="V503">
            <v>33</v>
          </cell>
          <cell r="Y503">
            <v>-0.30861853277631618</v>
          </cell>
        </row>
        <row r="504">
          <cell r="V504">
            <v>22</v>
          </cell>
          <cell r="Y504">
            <v>-0.67567707258754528</v>
          </cell>
        </row>
        <row r="505">
          <cell r="V505">
            <v>13</v>
          </cell>
          <cell r="Y505">
            <v>-0.98293233085893439</v>
          </cell>
        </row>
        <row r="506">
          <cell r="V506">
            <v>18</v>
          </cell>
          <cell r="Y506">
            <v>-0.82757049921400694</v>
          </cell>
        </row>
        <row r="507">
          <cell r="V507">
            <v>5</v>
          </cell>
          <cell r="Y507">
            <v>-1.2533833591407124</v>
          </cell>
        </row>
        <row r="508">
          <cell r="V508">
            <v>3</v>
          </cell>
          <cell r="Y508">
            <v>-1.3061974426723246</v>
          </cell>
        </row>
        <row r="509">
          <cell r="V509">
            <v>1</v>
          </cell>
          <cell r="Y509">
            <v>-1.3656489922896133</v>
          </cell>
        </row>
        <row r="510">
          <cell r="V510">
            <v>2</v>
          </cell>
          <cell r="Y510">
            <v>-1.3319639195096022</v>
          </cell>
        </row>
        <row r="511">
          <cell r="V511">
            <v>19</v>
          </cell>
          <cell r="Y511">
            <v>-0.78692361668819466</v>
          </cell>
        </row>
        <row r="512">
          <cell r="V512">
            <v>28</v>
          </cell>
          <cell r="Y512">
            <v>-0.48077802020953186</v>
          </cell>
        </row>
        <row r="513">
          <cell r="V513">
            <v>58</v>
          </cell>
          <cell r="Y513">
            <v>0.51760696823407459</v>
          </cell>
        </row>
        <row r="514">
          <cell r="V514">
            <v>99</v>
          </cell>
          <cell r="Y514">
            <v>1.7234993474613882</v>
          </cell>
        </row>
        <row r="515">
          <cell r="V515">
            <v>116</v>
          </cell>
          <cell r="Y515">
            <v>1.9995658276046975</v>
          </cell>
        </row>
        <row r="516">
          <cell r="V516">
            <v>87</v>
          </cell>
          <cell r="Y516">
            <v>1.1182606356816234</v>
          </cell>
        </row>
        <row r="517">
          <cell r="V517">
            <v>110</v>
          </cell>
          <cell r="Y517">
            <v>1.6680146995450349</v>
          </cell>
        </row>
        <row r="518">
          <cell r="V518">
            <v>77</v>
          </cell>
          <cell r="Y518">
            <v>0.76632860598888453</v>
          </cell>
        </row>
        <row r="519">
          <cell r="V519">
            <v>65</v>
          </cell>
          <cell r="Y519">
            <v>0.50606664783366317</v>
          </cell>
        </row>
        <row r="520">
          <cell r="V520">
            <v>55</v>
          </cell>
          <cell r="Y520">
            <v>0.26061937129450613</v>
          </cell>
        </row>
        <row r="521">
          <cell r="V521">
            <v>49</v>
          </cell>
          <cell r="Y521">
            <v>0.10877658457</v>
          </cell>
        </row>
        <row r="522">
          <cell r="V522">
            <v>50</v>
          </cell>
          <cell r="Y522">
            <v>0.14314398259629896</v>
          </cell>
        </row>
        <row r="523">
          <cell r="V523">
            <v>35</v>
          </cell>
          <cell r="Y523">
            <v>-0.26851051377907187</v>
          </cell>
        </row>
        <row r="524">
          <cell r="V524">
            <v>25</v>
          </cell>
          <cell r="Y524">
            <v>-0.53475224269283272</v>
          </cell>
        </row>
        <row r="525">
          <cell r="V525">
            <v>28</v>
          </cell>
          <cell r="Y525">
            <v>-0.43196360409882595</v>
          </cell>
        </row>
        <row r="526">
          <cell r="V526">
            <v>21</v>
          </cell>
          <cell r="Y526">
            <v>-0.62136577910666801</v>
          </cell>
        </row>
        <row r="527">
          <cell r="V527">
            <v>7</v>
          </cell>
          <cell r="Y527">
            <v>-0.9753362254743313</v>
          </cell>
        </row>
        <row r="528">
          <cell r="V528">
            <v>1</v>
          </cell>
          <cell r="Y528">
            <v>-1.0972590337305352</v>
          </cell>
        </row>
        <row r="529">
          <cell r="V529">
            <v>1</v>
          </cell>
          <cell r="Y529">
            <v>-1.0691519401506773</v>
          </cell>
        </row>
        <row r="530">
          <cell r="V530">
            <v>1</v>
          </cell>
          <cell r="Y530">
            <v>-1.0325848364474839</v>
          </cell>
        </row>
        <row r="531">
          <cell r="V531">
            <v>5</v>
          </cell>
          <cell r="Y531">
            <v>-0.92471960870106551</v>
          </cell>
        </row>
        <row r="532">
          <cell r="V532">
            <v>15</v>
          </cell>
          <cell r="Y532">
            <v>-0.67642368597537716</v>
          </cell>
        </row>
        <row r="533">
          <cell r="V533">
            <v>84</v>
          </cell>
          <cell r="Y533">
            <v>1.108922747896079</v>
          </cell>
        </row>
        <row r="534">
          <cell r="V534">
            <v>177</v>
          </cell>
          <cell r="Y534">
            <v>2.8286181039469285</v>
          </cell>
        </row>
        <row r="535">
          <cell r="V535">
            <v>102</v>
          </cell>
          <cell r="Y535">
            <v>1.0580577612437356</v>
          </cell>
        </row>
        <row r="536">
          <cell r="V536">
            <v>40</v>
          </cell>
          <cell r="Y536">
            <v>-0.32127514082988351</v>
          </cell>
        </row>
        <row r="537">
          <cell r="V537">
            <v>46</v>
          </cell>
          <cell r="Y537">
            <v>-0.17715318483009562</v>
          </cell>
        </row>
        <row r="538">
          <cell r="V538">
            <v>63</v>
          </cell>
          <cell r="Y538">
            <v>0.23762987035381683</v>
          </cell>
        </row>
        <row r="539">
          <cell r="V539">
            <v>60</v>
          </cell>
          <cell r="Y539">
            <v>0.23347379677424535</v>
          </cell>
        </row>
        <row r="540">
          <cell r="V540">
            <v>45</v>
          </cell>
          <cell r="Y540">
            <v>-8.2554620050804911E-2</v>
          </cell>
        </row>
        <row r="541">
          <cell r="V541">
            <v>57</v>
          </cell>
          <cell r="Y541">
            <v>0.27445542438031151</v>
          </cell>
        </row>
        <row r="542">
          <cell r="V542">
            <v>70</v>
          </cell>
          <cell r="Y542">
            <v>0.61582642047772729</v>
          </cell>
        </row>
        <row r="543">
          <cell r="V543">
            <v>184</v>
          </cell>
          <cell r="Y543">
            <v>2.765707717878934</v>
          </cell>
        </row>
        <row r="544">
          <cell r="V544">
            <v>153</v>
          </cell>
          <cell r="Y544">
            <v>1.8688285534448092</v>
          </cell>
        </row>
        <row r="545">
          <cell r="V545">
            <v>106</v>
          </cell>
          <cell r="Y545">
            <v>0.91032419198463166</v>
          </cell>
        </row>
        <row r="546">
          <cell r="V546">
            <v>81</v>
          </cell>
          <cell r="Y546">
            <v>0.41705433241889295</v>
          </cell>
        </row>
        <row r="547">
          <cell r="V547">
            <v>59</v>
          </cell>
          <cell r="Y547">
            <v>-1.1701110031752334E-2</v>
          </cell>
        </row>
        <row r="548">
          <cell r="V548">
            <v>35</v>
          </cell>
          <cell r="Y548">
            <v>-0.47097058757866339</v>
          </cell>
        </row>
        <row r="549">
          <cell r="V549">
            <v>24</v>
          </cell>
          <cell r="Y549">
            <v>-0.67331317374099275</v>
          </cell>
        </row>
        <row r="550">
          <cell r="V550">
            <v>9</v>
          </cell>
          <cell r="Y550">
            <v>-0.93779385531327353</v>
          </cell>
        </row>
        <row r="551">
          <cell r="V551">
            <v>5</v>
          </cell>
          <cell r="Y551">
            <v>-1.009086959908057</v>
          </cell>
        </row>
        <row r="552">
          <cell r="V552">
            <v>2</v>
          </cell>
          <cell r="Y552">
            <v>-1.0665471287316095</v>
          </cell>
        </row>
        <row r="553">
          <cell r="V553">
            <v>1</v>
          </cell>
          <cell r="Y553">
            <v>-1.0851496949304167</v>
          </cell>
        </row>
        <row r="554">
          <cell r="V554">
            <v>9</v>
          </cell>
          <cell r="Y554">
            <v>-0.94877453899930719</v>
          </cell>
        </row>
        <row r="555">
          <cell r="V555">
            <v>36</v>
          </cell>
          <cell r="Y555">
            <v>-0.47641543838418871</v>
          </cell>
        </row>
        <row r="556">
          <cell r="V556">
            <v>108</v>
          </cell>
          <cell r="Y556">
            <v>0.82568373351985247</v>
          </cell>
        </row>
        <row r="557">
          <cell r="V557">
            <v>238</v>
          </cell>
          <cell r="Y557">
            <v>2.6438223309866107</v>
          </cell>
        </row>
        <row r="558">
          <cell r="V558">
            <v>144</v>
          </cell>
          <cell r="Y558">
            <v>1.2153370175701033</v>
          </cell>
        </row>
        <row r="559">
          <cell r="V559">
            <v>55</v>
          </cell>
          <cell r="Y559">
            <v>-0.21290503173455153</v>
          </cell>
        </row>
        <row r="560">
          <cell r="V560">
            <v>61</v>
          </cell>
          <cell r="Y560">
            <v>-0.12900242723303082</v>
          </cell>
        </row>
        <row r="561">
          <cell r="V561">
            <v>106</v>
          </cell>
          <cell r="Y561">
            <v>0.57221430144495189</v>
          </cell>
        </row>
        <row r="562">
          <cell r="V562">
            <v>93</v>
          </cell>
          <cell r="Y562">
            <v>0.33655851316103552</v>
          </cell>
        </row>
        <row r="563">
          <cell r="V563">
            <v>68</v>
          </cell>
          <cell r="Y563">
            <v>-8.0264083705385333E-2</v>
          </cell>
        </row>
        <row r="564">
          <cell r="V564">
            <v>84</v>
          </cell>
          <cell r="Y564">
            <v>0.15707681218343533</v>
          </cell>
        </row>
        <row r="565">
          <cell r="V565">
            <v>116</v>
          </cell>
          <cell r="Y565">
            <v>0.64070910408137927</v>
          </cell>
        </row>
        <row r="566">
          <cell r="V566">
            <v>222</v>
          </cell>
          <cell r="Y566">
            <v>2.0487578612558783</v>
          </cell>
        </row>
        <row r="567">
          <cell r="V567">
            <v>225</v>
          </cell>
          <cell r="Y567">
            <v>1.9773558517139809</v>
          </cell>
        </row>
        <row r="568">
          <cell r="V568">
            <v>146</v>
          </cell>
          <cell r="Y568">
            <v>0.86909949951022492</v>
          </cell>
        </row>
        <row r="569">
          <cell r="V569">
            <v>119</v>
          </cell>
          <cell r="Y569">
            <v>0.47707622138908395</v>
          </cell>
        </row>
        <row r="570">
          <cell r="V570">
            <v>45</v>
          </cell>
          <cell r="Y570">
            <v>-0.54410770583362966</v>
          </cell>
        </row>
        <row r="571">
          <cell r="V571">
            <v>53</v>
          </cell>
          <cell r="Y571">
            <v>-0.42765820765857443</v>
          </cell>
        </row>
        <row r="572">
          <cell r="V572">
            <v>40</v>
          </cell>
          <cell r="Y572">
            <v>-0.6140711391006618</v>
          </cell>
        </row>
        <row r="573">
          <cell r="V573">
            <v>17</v>
          </cell>
          <cell r="Y573">
            <v>-0.92959216912894893</v>
          </cell>
        </row>
        <row r="574">
          <cell r="V574">
            <v>5</v>
          </cell>
          <cell r="Y574">
            <v>-1.0923786889666318</v>
          </cell>
        </row>
        <row r="575">
          <cell r="V575">
            <v>10</v>
          </cell>
          <cell r="Y575">
            <v>-1.0287980225681266</v>
          </cell>
        </row>
        <row r="576">
          <cell r="V576">
            <v>1</v>
          </cell>
          <cell r="Y576">
            <v>-1.1534554797440293</v>
          </cell>
        </row>
        <row r="577">
          <cell r="V577">
            <v>8</v>
          </cell>
          <cell r="Y577">
            <v>-1.0645990765748501</v>
          </cell>
        </row>
        <row r="578">
          <cell r="V578">
            <v>30</v>
          </cell>
          <cell r="Y578">
            <v>-0.77666064991855999</v>
          </cell>
        </row>
        <row r="579">
          <cell r="V579">
            <v>72</v>
          </cell>
          <cell r="Y579">
            <v>-0.20241019887918368</v>
          </cell>
        </row>
        <row r="580">
          <cell r="V580">
            <v>58</v>
          </cell>
          <cell r="Y580">
            <v>-0.37333824248122377</v>
          </cell>
        </row>
        <row r="581">
          <cell r="V581">
            <v>28</v>
          </cell>
          <cell r="Y581">
            <v>-0.75901033056615963</v>
          </cell>
        </row>
        <row r="582">
          <cell r="V582">
            <v>41</v>
          </cell>
          <cell r="Y582">
            <v>-0.4924050537110029</v>
          </cell>
        </row>
        <row r="583">
          <cell r="V583">
            <v>48</v>
          </cell>
          <cell r="Y583">
            <v>-0.37196664274150715</v>
          </cell>
        </row>
        <row r="584">
          <cell r="V584">
            <v>47</v>
          </cell>
          <cell r="Y584">
            <v>-0.37779155570316736</v>
          </cell>
        </row>
        <row r="585">
          <cell r="V585">
            <v>36</v>
          </cell>
          <cell r="Y585">
            <v>-0.51107728085839721</v>
          </cell>
        </row>
        <row r="586">
          <cell r="V586">
            <v>43</v>
          </cell>
          <cell r="Y586">
            <v>-0.36252451838244026</v>
          </cell>
        </row>
        <row r="587">
          <cell r="V587">
            <v>36</v>
          </cell>
          <cell r="Y587">
            <v>-0.45344353189830044</v>
          </cell>
        </row>
        <row r="588">
          <cell r="V588">
            <v>26</v>
          </cell>
          <cell r="Y588">
            <v>-0.57444788455285256</v>
          </cell>
        </row>
        <row r="589">
          <cell r="V589">
            <v>24</v>
          </cell>
          <cell r="Y589">
            <v>-0.55084018293250636</v>
          </cell>
        </row>
        <row r="590">
          <cell r="V590">
            <v>84</v>
          </cell>
          <cell r="Y590">
            <v>0.64267659283129797</v>
          </cell>
        </row>
        <row r="591">
          <cell r="V591">
            <v>104</v>
          </cell>
          <cell r="Y591">
            <v>1.5857805930048081</v>
          </cell>
        </row>
        <row r="592">
          <cell r="V592">
            <v>79</v>
          </cell>
          <cell r="Y592">
            <v>1.1605685455468349</v>
          </cell>
        </row>
        <row r="593">
          <cell r="V593">
            <v>59</v>
          </cell>
          <cell r="Y593">
            <v>0.67825158455881351</v>
          </cell>
        </row>
        <row r="594">
          <cell r="V594">
            <v>38</v>
          </cell>
          <cell r="Y594">
            <v>-0.12055485469062314</v>
          </cell>
        </row>
        <row r="595">
          <cell r="V595">
            <v>27</v>
          </cell>
          <cell r="Y595">
            <v>-0.50262257791006826</v>
          </cell>
        </row>
        <row r="596">
          <cell r="V596">
            <v>16</v>
          </cell>
          <cell r="Y596">
            <v>-0.87254880490960596</v>
          </cell>
        </row>
        <row r="597">
          <cell r="V597">
            <v>9</v>
          </cell>
          <cell r="Y597">
            <v>-1.1107599370787871</v>
          </cell>
        </row>
        <row r="598">
          <cell r="V598">
            <v>3</v>
          </cell>
          <cell r="Y598">
            <v>-1.3263994385009845</v>
          </cell>
        </row>
        <row r="599">
          <cell r="V599">
            <v>2</v>
          </cell>
          <cell r="Y599">
            <v>-1.3305575524338664</v>
          </cell>
        </row>
        <row r="600">
          <cell r="V600">
            <v>1</v>
          </cell>
          <cell r="Y600">
            <v>-1.3672204471048341</v>
          </cell>
        </row>
        <row r="601">
          <cell r="V601">
            <v>4</v>
          </cell>
          <cell r="Y601">
            <v>-1.2418062999222992</v>
          </cell>
        </row>
        <row r="602">
          <cell r="V602">
            <v>16</v>
          </cell>
          <cell r="Y602">
            <v>-0.77469187895053537</v>
          </cell>
        </row>
        <row r="603">
          <cell r="V603">
            <v>60</v>
          </cell>
          <cell r="Y603">
            <v>0.84211276747841635</v>
          </cell>
        </row>
        <row r="604">
          <cell r="V604">
            <v>157</v>
          </cell>
          <cell r="Y604">
            <v>3.1737447199381261</v>
          </cell>
        </row>
        <row r="605">
          <cell r="V605">
            <v>101</v>
          </cell>
          <cell r="Y605">
            <v>1.4809798753356369</v>
          </cell>
        </row>
        <row r="606">
          <cell r="V606">
            <v>49</v>
          </cell>
          <cell r="Y606">
            <v>0.11624462621281749</v>
          </cell>
        </row>
        <row r="607">
          <cell r="V607">
            <v>30</v>
          </cell>
          <cell r="Y607">
            <v>-0.3586134282396381</v>
          </cell>
        </row>
        <row r="608">
          <cell r="V608">
            <v>29</v>
          </cell>
          <cell r="Y608">
            <v>-0.36407198606177815</v>
          </cell>
        </row>
        <row r="609">
          <cell r="V609">
            <v>31</v>
          </cell>
          <cell r="Y609">
            <v>-0.30639208022602898</v>
          </cell>
        </row>
        <row r="610">
          <cell r="V610">
            <v>38</v>
          </cell>
          <cell r="Y610">
            <v>-0.11971294791265483</v>
          </cell>
        </row>
        <row r="611">
          <cell r="V611">
            <v>41</v>
          </cell>
          <cell r="Y611">
            <v>-4.7483038037926209E-2</v>
          </cell>
        </row>
        <row r="612">
          <cell r="V612">
            <v>80</v>
          </cell>
          <cell r="Y612">
            <v>0.89172703748237458</v>
          </cell>
        </row>
        <row r="613">
          <cell r="V613">
            <v>149</v>
          </cell>
          <cell r="Y613">
            <v>2.2323946912404682</v>
          </cell>
        </row>
        <row r="614">
          <cell r="V614">
            <v>109</v>
          </cell>
          <cell r="Y614">
            <v>1.2722771649879439</v>
          </cell>
        </row>
        <row r="615">
          <cell r="V615">
            <v>89</v>
          </cell>
          <cell r="Y615">
            <v>0.85728169814149602</v>
          </cell>
        </row>
        <row r="616">
          <cell r="V616">
            <v>62</v>
          </cell>
          <cell r="Y616">
            <v>0.27068633914435303</v>
          </cell>
        </row>
        <row r="617">
          <cell r="V617">
            <v>58</v>
          </cell>
          <cell r="Y617">
            <v>0.18143164667000392</v>
          </cell>
        </row>
        <row r="618">
          <cell r="V618">
            <v>26</v>
          </cell>
          <cell r="Y618">
            <v>-0.52678237187478383</v>
          </cell>
        </row>
        <row r="619">
          <cell r="V619">
            <v>23</v>
          </cell>
          <cell r="Y619">
            <v>-0.58914987426527121</v>
          </cell>
        </row>
        <row r="620">
          <cell r="V620">
            <v>28</v>
          </cell>
          <cell r="Y620">
            <v>-0.49187477037015442</v>
          </cell>
        </row>
        <row r="621">
          <cell r="V621">
            <v>20</v>
          </cell>
          <cell r="Y621">
            <v>-0.68878120967704259</v>
          </cell>
        </row>
        <row r="622">
          <cell r="V622">
            <v>15</v>
          </cell>
          <cell r="Y622">
            <v>-0.82330883855871451</v>
          </cell>
        </row>
        <row r="623">
          <cell r="V623">
            <v>8</v>
          </cell>
          <cell r="Y623">
            <v>-0.99661937912426668</v>
          </cell>
        </row>
        <row r="624">
          <cell r="V624">
            <v>3</v>
          </cell>
          <cell r="Y624">
            <v>-1.1169985557631605</v>
          </cell>
        </row>
        <row r="625">
          <cell r="V625">
            <v>2</v>
          </cell>
          <cell r="Y625">
            <v>-1.1357356014681055</v>
          </cell>
        </row>
        <row r="626">
          <cell r="V626">
            <v>5</v>
          </cell>
          <cell r="Y626">
            <v>-1.0448218953586192</v>
          </cell>
        </row>
        <row r="627">
          <cell r="V627">
            <v>34</v>
          </cell>
          <cell r="Y627">
            <v>-0.35401542563106247</v>
          </cell>
        </row>
        <row r="628">
          <cell r="V628">
            <v>34</v>
          </cell>
          <cell r="Y628">
            <v>-0.27747711391513602</v>
          </cell>
        </row>
        <row r="629">
          <cell r="V629">
            <v>55</v>
          </cell>
          <cell r="Y629">
            <v>0.3561468906570025</v>
          </cell>
        </row>
        <row r="630">
          <cell r="V630">
            <v>64</v>
          </cell>
          <cell r="Y630">
            <v>0.58896299012328446</v>
          </cell>
        </row>
        <row r="631">
          <cell r="V631">
            <v>78</v>
          </cell>
          <cell r="Y631">
            <v>0.9113460713375876</v>
          </cell>
        </row>
        <row r="632">
          <cell r="V632">
            <v>65</v>
          </cell>
          <cell r="Y632">
            <v>0.50966339486769074</v>
          </cell>
        </row>
        <row r="633">
          <cell r="V633">
            <v>99</v>
          </cell>
          <cell r="Y633">
            <v>1.3204404637309763</v>
          </cell>
        </row>
        <row r="634">
          <cell r="V634">
            <v>120</v>
          </cell>
          <cell r="Y634">
            <v>1.6742146744957709</v>
          </cell>
        </row>
        <row r="635">
          <cell r="V635">
            <v>107</v>
          </cell>
          <cell r="Y635">
            <v>1.2388624381984719</v>
          </cell>
        </row>
        <row r="636">
          <cell r="V636">
            <v>91</v>
          </cell>
          <cell r="Y636">
            <v>0.83576763319225822</v>
          </cell>
        </row>
        <row r="637">
          <cell r="V637">
            <v>68</v>
          </cell>
          <cell r="Y637">
            <v>0.41507529658119391</v>
          </cell>
        </row>
        <row r="638">
          <cell r="V638">
            <v>58</v>
          </cell>
          <cell r="Y638">
            <v>0.21381194471586523</v>
          </cell>
        </row>
        <row r="639">
          <cell r="V639">
            <v>43</v>
          </cell>
          <cell r="Y639">
            <v>-0.16360813480243847</v>
          </cell>
        </row>
        <row r="640">
          <cell r="V640">
            <v>36</v>
          </cell>
          <cell r="Y640">
            <v>-0.33729782605140901</v>
          </cell>
        </row>
        <row r="641">
          <cell r="V641">
            <v>32</v>
          </cell>
          <cell r="Y641">
            <v>-0.4220413944696656</v>
          </cell>
        </row>
        <row r="642">
          <cell r="V642">
            <v>33</v>
          </cell>
          <cell r="Y642">
            <v>-0.40310321289717549</v>
          </cell>
        </row>
        <row r="643">
          <cell r="V643">
            <v>33</v>
          </cell>
          <cell r="Y643">
            <v>-0.41834140899396977</v>
          </cell>
        </row>
        <row r="644">
          <cell r="V644">
            <v>29</v>
          </cell>
          <cell r="Y644">
            <v>-0.53842683673735092</v>
          </cell>
        </row>
        <row r="645">
          <cell r="V645">
            <v>11</v>
          </cell>
          <cell r="Y645">
            <v>-1.0495044519643706</v>
          </cell>
        </row>
        <row r="646">
          <cell r="V646">
            <v>8</v>
          </cell>
          <cell r="Y646">
            <v>-1.1186781440417455</v>
          </cell>
        </row>
        <row r="647">
          <cell r="V647">
            <v>1</v>
          </cell>
          <cell r="Y647">
            <v>-1.2996958801018295</v>
          </cell>
        </row>
        <row r="648">
          <cell r="V648">
            <v>3</v>
          </cell>
          <cell r="Y648">
            <v>-1.2421978135166793</v>
          </cell>
        </row>
        <row r="649">
          <cell r="V649">
            <v>3</v>
          </cell>
          <cell r="Y649">
            <v>-1.2453541935065282</v>
          </cell>
        </row>
        <row r="650">
          <cell r="V650">
            <v>12</v>
          </cell>
          <cell r="Y650">
            <v>-1.0042533022370128</v>
          </cell>
        </row>
        <row r="651">
          <cell r="V651">
            <v>38</v>
          </cell>
          <cell r="Y651">
            <v>-0.25357966428366713</v>
          </cell>
        </row>
        <row r="652">
          <cell r="V652">
            <v>64</v>
          </cell>
          <cell r="Y652">
            <v>0.46626175489655203</v>
          </cell>
        </row>
        <row r="653">
          <cell r="V653">
            <v>59</v>
          </cell>
          <cell r="Y653">
            <v>0.31567392260880517</v>
          </cell>
        </row>
        <row r="654">
          <cell r="V654">
            <v>97</v>
          </cell>
          <cell r="Y654">
            <v>1.3288394477650687</v>
          </cell>
        </row>
        <row r="655">
          <cell r="V655">
            <v>84</v>
          </cell>
          <cell r="Y655">
            <v>0.95208384944245572</v>
          </cell>
        </row>
        <row r="656">
          <cell r="V656">
            <v>122</v>
          </cell>
          <cell r="Y656">
            <v>1.8011230210703362</v>
          </cell>
        </row>
        <row r="657">
          <cell r="V657">
            <v>109</v>
          </cell>
          <cell r="Y657">
            <v>1.4340439387448218</v>
          </cell>
        </row>
        <row r="658">
          <cell r="V658">
            <v>123</v>
          </cell>
          <cell r="Y658">
            <v>1.7762013080359207</v>
          </cell>
        </row>
        <row r="659">
          <cell r="V659">
            <v>77</v>
          </cell>
          <cell r="Y659">
            <v>0.66869236248598429</v>
          </cell>
        </row>
        <row r="660">
          <cell r="V660">
            <v>65</v>
          </cell>
          <cell r="Y660">
            <v>0.39164679113445822</v>
          </cell>
        </row>
        <row r="661">
          <cell r="V661">
            <v>55</v>
          </cell>
          <cell r="Y661">
            <v>0.13972469690792899</v>
          </cell>
        </row>
        <row r="662">
          <cell r="V662">
            <v>33</v>
          </cell>
          <cell r="Y662">
            <v>-0.42128658337248609</v>
          </cell>
        </row>
        <row r="663">
          <cell r="V663">
            <v>28</v>
          </cell>
          <cell r="Y663">
            <v>-0.53509008577359263</v>
          </cell>
        </row>
        <row r="664">
          <cell r="V664">
            <v>21</v>
          </cell>
          <cell r="Y664">
            <v>-0.69839958031740101</v>
          </cell>
        </row>
        <row r="665">
          <cell r="V665">
            <v>21</v>
          </cell>
          <cell r="Y665">
            <v>-0.68163333949336735</v>
          </cell>
        </row>
        <row r="666">
          <cell r="V666">
            <v>7</v>
          </cell>
          <cell r="Y666">
            <v>-0.99941800496256772</v>
          </cell>
        </row>
        <row r="667">
          <cell r="V667">
            <v>7</v>
          </cell>
          <cell r="Y667">
            <v>-0.95375985818005005</v>
          </cell>
        </row>
        <row r="668">
          <cell r="V668">
            <v>1</v>
          </cell>
          <cell r="Y668">
            <v>-1.0519477286739112</v>
          </cell>
        </row>
        <row r="669">
          <cell r="V669">
            <v>2</v>
          </cell>
          <cell r="Y669">
            <v>-1.0092488114436895</v>
          </cell>
        </row>
        <row r="670">
          <cell r="V670">
            <v>2</v>
          </cell>
          <cell r="Y670">
            <v>-0.99723580631289932</v>
          </cell>
        </row>
        <row r="671">
          <cell r="V671">
            <v>8</v>
          </cell>
          <cell r="Y671">
            <v>-0.86470099948040668</v>
          </cell>
        </row>
        <row r="672">
          <cell r="V672">
            <v>37</v>
          </cell>
          <cell r="Y672">
            <v>-0.19464373458057052</v>
          </cell>
        </row>
        <row r="673">
          <cell r="V673">
            <v>72</v>
          </cell>
          <cell r="Y673">
            <v>0.61805572699796907</v>
          </cell>
        </row>
        <row r="674">
          <cell r="V674">
            <v>185</v>
          </cell>
          <cell r="Y674">
            <v>2.7368675995961591</v>
          </cell>
        </row>
        <row r="675">
          <cell r="V675">
            <v>112</v>
          </cell>
          <cell r="Y675">
            <v>1.1077162347328862</v>
          </cell>
        </row>
        <row r="676">
          <cell r="V676">
            <v>69</v>
          </cell>
          <cell r="Y676">
            <v>0.22188475414217765</v>
          </cell>
        </row>
        <row r="677">
          <cell r="V677">
            <v>48</v>
          </cell>
          <cell r="Y677">
            <v>-0.19866608307347811</v>
          </cell>
        </row>
        <row r="678">
          <cell r="V678">
            <v>68</v>
          </cell>
          <cell r="Y678">
            <v>0.23855019642294392</v>
          </cell>
        </row>
        <row r="679">
          <cell r="V679">
            <v>54</v>
          </cell>
          <cell r="Y679">
            <v>-2.612251266177917E-2</v>
          </cell>
        </row>
        <row r="680">
          <cell r="V680">
            <v>86</v>
          </cell>
          <cell r="Y680">
            <v>0.69799237712153472</v>
          </cell>
        </row>
        <row r="681">
          <cell r="V681">
            <v>44</v>
          </cell>
          <cell r="Y681">
            <v>-0.15751303415581808</v>
          </cell>
        </row>
        <row r="682">
          <cell r="V682">
            <v>86</v>
          </cell>
          <cell r="Y682">
            <v>0.85461418207295115</v>
          </cell>
        </row>
        <row r="683">
          <cell r="V683">
            <v>161</v>
          </cell>
          <cell r="Y683">
            <v>2.2427323753793318</v>
          </cell>
        </row>
        <row r="684">
          <cell r="V684">
            <v>156</v>
          </cell>
          <cell r="Y684">
            <v>1.888756048071454</v>
          </cell>
        </row>
        <row r="685">
          <cell r="V685">
            <v>111</v>
          </cell>
          <cell r="Y685">
            <v>0.96648309864840531</v>
          </cell>
        </row>
        <row r="686">
          <cell r="V686">
            <v>78</v>
          </cell>
          <cell r="Y686">
            <v>0.31771297390713243</v>
          </cell>
        </row>
        <row r="687">
          <cell r="V687">
            <v>56</v>
          </cell>
          <cell r="Y687">
            <v>-0.11622065717619444</v>
          </cell>
        </row>
        <row r="688">
          <cell r="V688">
            <v>34</v>
          </cell>
          <cell r="Y688">
            <v>-0.54488969462454784</v>
          </cell>
        </row>
        <row r="689">
          <cell r="V689">
            <v>17</v>
          </cell>
          <cell r="Y689">
            <v>-0.86203670902185281</v>
          </cell>
        </row>
        <row r="690">
          <cell r="V690">
            <v>8</v>
          </cell>
          <cell r="Y690">
            <v>-1.0340695049420043</v>
          </cell>
        </row>
        <row r="691">
          <cell r="V691">
            <v>3</v>
          </cell>
          <cell r="Y691">
            <v>-1.121617622747128</v>
          </cell>
        </row>
        <row r="692">
          <cell r="V692">
            <v>2</v>
          </cell>
          <cell r="Y692">
            <v>-1.1423603673530378</v>
          </cell>
        </row>
        <row r="693">
          <cell r="V693">
            <v>2</v>
          </cell>
          <cell r="Y693">
            <v>-1.1423603673530378</v>
          </cell>
        </row>
        <row r="694">
          <cell r="V694">
            <v>3</v>
          </cell>
          <cell r="Y694">
            <v>-1.1253008403426412</v>
          </cell>
        </row>
        <row r="695">
          <cell r="V695">
            <v>22</v>
          </cell>
          <cell r="Y695">
            <v>-0.78520672571523575</v>
          </cell>
        </row>
        <row r="696">
          <cell r="V696">
            <v>52</v>
          </cell>
          <cell r="Y696">
            <v>-0.22479015479775596</v>
          </cell>
        </row>
        <row r="697">
          <cell r="V697">
            <v>135</v>
          </cell>
          <cell r="Y697">
            <v>1.2699271504366545</v>
          </cell>
        </row>
        <row r="698">
          <cell r="V698">
            <v>116</v>
          </cell>
          <cell r="Y698">
            <v>1.0702559524484767</v>
          </cell>
        </row>
        <row r="699">
          <cell r="V699">
            <v>47</v>
          </cell>
          <cell r="Y699">
            <v>-0.2859770909198342</v>
          </cell>
        </row>
        <row r="700">
          <cell r="V700">
            <v>51</v>
          </cell>
          <cell r="Y700">
            <v>-0.18716124633578365</v>
          </cell>
        </row>
        <row r="701">
          <cell r="V701">
            <v>55</v>
          </cell>
          <cell r="Y701">
            <v>-0.11016931974539855</v>
          </cell>
        </row>
        <row r="702">
          <cell r="V702">
            <v>52</v>
          </cell>
          <cell r="Y702">
            <v>-0.15874991192594132</v>
          </cell>
        </row>
        <row r="703">
          <cell r="V703">
            <v>54</v>
          </cell>
          <cell r="Y703">
            <v>-0.11711059076503867</v>
          </cell>
        </row>
        <row r="704">
          <cell r="V704">
            <v>52</v>
          </cell>
          <cell r="Y704">
            <v>-0.13009869897142262</v>
          </cell>
        </row>
        <row r="705">
          <cell r="V705">
            <v>64</v>
          </cell>
          <cell r="Y705">
            <v>0.10408832070371767</v>
          </cell>
        </row>
        <row r="706">
          <cell r="V706">
            <v>176</v>
          </cell>
          <cell r="Y706">
            <v>2.1327249326258646</v>
          </cell>
        </row>
        <row r="707">
          <cell r="V707">
            <v>168</v>
          </cell>
          <cell r="Y707">
            <v>1.9551862235003128</v>
          </cell>
        </row>
        <row r="708">
          <cell r="V708">
            <v>108</v>
          </cell>
          <cell r="Y708">
            <v>0.92230551884629097</v>
          </cell>
        </row>
        <row r="709">
          <cell r="V709">
            <v>74</v>
          </cell>
          <cell r="Y709">
            <v>0.29009149368130743</v>
          </cell>
        </row>
        <row r="710">
          <cell r="V710">
            <v>64</v>
          </cell>
          <cell r="Y710">
            <v>0.10144833503387111</v>
          </cell>
        </row>
        <row r="711">
          <cell r="V711">
            <v>36</v>
          </cell>
          <cell r="Y711">
            <v>-0.44324595540810657</v>
          </cell>
        </row>
        <row r="712">
          <cell r="V712">
            <v>16</v>
          </cell>
          <cell r="Y712">
            <v>-0.82049767950582375</v>
          </cell>
        </row>
        <row r="713">
          <cell r="V713">
            <v>2</v>
          </cell>
          <cell r="Y713">
            <v>-1.0727272687088292</v>
          </cell>
        </row>
        <row r="714">
          <cell r="V714">
            <v>3</v>
          </cell>
          <cell r="Y714">
            <v>-1.0446028775793583</v>
          </cell>
        </row>
        <row r="715">
          <cell r="V715">
            <v>4</v>
          </cell>
          <cell r="Y715">
            <v>-1.0268078134178105</v>
          </cell>
        </row>
        <row r="716">
          <cell r="V716">
            <v>1</v>
          </cell>
          <cell r="Y716">
            <v>-1.0835871973392039</v>
          </cell>
        </row>
        <row r="717">
          <cell r="V717">
            <v>1</v>
          </cell>
          <cell r="Y717">
            <v>-1.0817897610834133</v>
          </cell>
        </row>
        <row r="718">
          <cell r="V718">
            <v>3</v>
          </cell>
          <cell r="Y718">
            <v>-1.0428063462695967</v>
          </cell>
        </row>
        <row r="719">
          <cell r="V719">
            <v>18</v>
          </cell>
          <cell r="Y719">
            <v>-0.74539070918482853</v>
          </cell>
        </row>
        <row r="720">
          <cell r="V720">
            <v>49</v>
          </cell>
          <cell r="Y720">
            <v>-0.14012598634965318</v>
          </cell>
        </row>
        <row r="721">
          <cell r="V721">
            <v>155</v>
          </cell>
          <cell r="Y721">
            <v>1.851253463784799</v>
          </cell>
        </row>
        <row r="722">
          <cell r="V722">
            <v>123</v>
          </cell>
          <cell r="Y722">
            <v>1.2326723296050468</v>
          </cell>
        </row>
        <row r="723">
          <cell r="V723">
            <v>61</v>
          </cell>
          <cell r="Y723">
            <v>5.7924339573608832E-2</v>
          </cell>
        </row>
        <row r="724">
          <cell r="V724">
            <v>52</v>
          </cell>
          <cell r="Y724">
            <v>-0.11194593102554275</v>
          </cell>
        </row>
        <row r="725">
          <cell r="V725">
            <v>64</v>
          </cell>
          <cell r="Y725">
            <v>0.10644615156332614</v>
          </cell>
        </row>
        <row r="726">
          <cell r="V726">
            <v>75</v>
          </cell>
          <cell r="Y726">
            <v>0.29458813556821278</v>
          </cell>
        </row>
        <row r="727">
          <cell r="V727">
            <v>63</v>
          </cell>
          <cell r="Y727">
            <v>6.2520496661188377E-2</v>
          </cell>
        </row>
        <row r="728">
          <cell r="V728">
            <v>76</v>
          </cell>
          <cell r="Y728">
            <v>0.28719044208724653</v>
          </cell>
        </row>
        <row r="729">
          <cell r="V729">
            <v>103</v>
          </cell>
          <cell r="Y729">
            <v>0.75266401980575204</v>
          </cell>
        </row>
        <row r="730">
          <cell r="V730">
            <v>190</v>
          </cell>
          <cell r="Y730">
            <v>2.2936689364233294</v>
          </cell>
        </row>
        <row r="731">
          <cell r="V731">
            <v>182</v>
          </cell>
          <cell r="Y731">
            <v>2.0929264754806955</v>
          </cell>
        </row>
        <row r="732">
          <cell r="V732">
            <v>91</v>
          </cell>
          <cell r="Y732">
            <v>0.50300712613234544</v>
          </cell>
        </row>
        <row r="733">
          <cell r="V733">
            <v>75</v>
          </cell>
          <cell r="Y733">
            <v>0.21734109950938013</v>
          </cell>
        </row>
        <row r="734">
          <cell r="V734">
            <v>63</v>
          </cell>
          <cell r="Y734">
            <v>4.4507156997321629E-3</v>
          </cell>
        </row>
        <row r="735">
          <cell r="V735">
            <v>40</v>
          </cell>
          <cell r="Y735">
            <v>-0.4085418766996457</v>
          </cell>
        </row>
        <row r="736">
          <cell r="V736">
            <v>32</v>
          </cell>
          <cell r="Y736">
            <v>-0.56799542435897532</v>
          </cell>
        </row>
        <row r="737">
          <cell r="V737">
            <v>12</v>
          </cell>
          <cell r="Y737">
            <v>-0.94272820050653794</v>
          </cell>
        </row>
        <row r="738">
          <cell r="V738">
            <v>5</v>
          </cell>
          <cell r="Y738">
            <v>-1.0729875479870834</v>
          </cell>
        </row>
        <row r="739">
          <cell r="V739">
            <v>2</v>
          </cell>
          <cell r="Y739">
            <v>-1.123989961583334</v>
          </cell>
        </row>
        <row r="740">
          <cell r="V740">
            <v>1</v>
          </cell>
          <cell r="Y740">
            <v>-1.1421188319314524</v>
          </cell>
        </row>
        <row r="741">
          <cell r="V741">
            <v>2</v>
          </cell>
          <cell r="Y741">
            <v>-1.1257515097719788</v>
          </cell>
        </row>
        <row r="742">
          <cell r="V742">
            <v>39</v>
          </cell>
          <cell r="Y742">
            <v>-0.49285175273759146</v>
          </cell>
        </row>
        <row r="743">
          <cell r="V743">
            <v>87</v>
          </cell>
          <cell r="Y743">
            <v>0.35036104871866208</v>
          </cell>
        </row>
        <row r="744">
          <cell r="V744">
            <v>188</v>
          </cell>
          <cell r="Y744">
            <v>1.9562201058708042</v>
          </cell>
        </row>
        <row r="745">
          <cell r="V745">
            <v>133</v>
          </cell>
          <cell r="Y745">
            <v>1.0474728607594501</v>
          </cell>
        </row>
        <row r="746">
          <cell r="V746">
            <v>52</v>
          </cell>
          <cell r="Y746">
            <v>-0.32652796073632412</v>
          </cell>
        </row>
        <row r="747">
          <cell r="V747">
            <v>64</v>
          </cell>
          <cell r="Y747">
            <v>-0.11506449298389955</v>
          </cell>
        </row>
        <row r="748">
          <cell r="V748">
            <v>69</v>
          </cell>
          <cell r="Y748">
            <v>-3.8696020327614135E-2</v>
          </cell>
        </row>
        <row r="749">
          <cell r="V749">
            <v>51</v>
          </cell>
          <cell r="Y749">
            <v>-0.3496532182710409</v>
          </cell>
        </row>
        <row r="750">
          <cell r="V750">
            <v>47</v>
          </cell>
          <cell r="Y750">
            <v>-0.3987431178811976</v>
          </cell>
        </row>
        <row r="751">
          <cell r="V751">
            <v>60</v>
          </cell>
          <cell r="Y751">
            <v>-0.1656576526747455</v>
          </cell>
        </row>
        <row r="752">
          <cell r="V752">
            <v>78</v>
          </cell>
          <cell r="Y752">
            <v>0.15231406536886516</v>
          </cell>
        </row>
        <row r="753">
          <cell r="V753">
            <v>175</v>
          </cell>
          <cell r="Y753">
            <v>1.7092698485397568</v>
          </cell>
        </row>
        <row r="754">
          <cell r="V754">
            <v>147</v>
          </cell>
          <cell r="Y754">
            <v>1.3419194239827863</v>
          </cell>
        </row>
        <row r="755">
          <cell r="V755">
            <v>96</v>
          </cell>
          <cell r="Y755">
            <v>0.55580643134407559</v>
          </cell>
        </row>
        <row r="756">
          <cell r="V756">
            <v>109</v>
          </cell>
          <cell r="Y756">
            <v>0.783597857552355</v>
          </cell>
        </row>
        <row r="757">
          <cell r="V757">
            <v>54</v>
          </cell>
          <cell r="Y757">
            <v>-0.24538600688923654</v>
          </cell>
        </row>
        <row r="758">
          <cell r="V758">
            <v>41</v>
          </cell>
          <cell r="Y758">
            <v>-0.47258769945610191</v>
          </cell>
        </row>
        <row r="759">
          <cell r="V759">
            <v>38</v>
          </cell>
          <cell r="Y759">
            <v>-0.5272814209105654</v>
          </cell>
        </row>
        <row r="760">
          <cell r="V760">
            <v>13</v>
          </cell>
          <cell r="Y760">
            <v>-0.97227136071947617</v>
          </cell>
        </row>
        <row r="761">
          <cell r="V761">
            <v>7</v>
          </cell>
          <cell r="Y761">
            <v>-1.0757933362652672</v>
          </cell>
        </row>
        <row r="762">
          <cell r="V762">
            <v>1</v>
          </cell>
          <cell r="Y762">
            <v>-1.1797774208219107</v>
          </cell>
        </row>
        <row r="763">
          <cell r="V763">
            <v>1</v>
          </cell>
          <cell r="Y763">
            <v>-1.1778978320619455</v>
          </cell>
        </row>
        <row r="764">
          <cell r="V764">
            <v>7</v>
          </cell>
          <cell r="Y764">
            <v>-1.0774475148854132</v>
          </cell>
        </row>
        <row r="765">
          <cell r="V765">
            <v>28</v>
          </cell>
          <cell r="Y765">
            <v>-0.72157492568062398</v>
          </cell>
        </row>
        <row r="766">
          <cell r="V766">
            <v>87</v>
          </cell>
          <cell r="Y766">
            <v>0.36069824365929881</v>
          </cell>
        </row>
        <row r="767">
          <cell r="V767">
            <v>220</v>
          </cell>
          <cell r="Y767">
            <v>2.4009629889860298</v>
          </cell>
        </row>
        <row r="768">
          <cell r="V768">
            <v>127</v>
          </cell>
          <cell r="Y768">
            <v>0.97901720517843505</v>
          </cell>
        </row>
        <row r="769">
          <cell r="V769">
            <v>51</v>
          </cell>
          <cell r="Y769">
            <v>-0.29833528918513069</v>
          </cell>
        </row>
        <row r="770">
          <cell r="V770">
            <v>64</v>
          </cell>
          <cell r="Y770">
            <v>-7.4146160896700883E-2</v>
          </cell>
        </row>
        <row r="771">
          <cell r="V771">
            <v>86</v>
          </cell>
          <cell r="Y771">
            <v>0.30422041846822589</v>
          </cell>
        </row>
        <row r="772">
          <cell r="V772">
            <v>82</v>
          </cell>
          <cell r="Y772">
            <v>0.22249587824367789</v>
          </cell>
        </row>
        <row r="773">
          <cell r="V773">
            <v>91</v>
          </cell>
          <cell r="Y773">
            <v>0.35378761275979598</v>
          </cell>
        </row>
        <row r="774">
          <cell r="V774">
            <v>90</v>
          </cell>
          <cell r="Y774">
            <v>0.30444627372439576</v>
          </cell>
        </row>
        <row r="775">
          <cell r="V775">
            <v>99</v>
          </cell>
          <cell r="Y775">
            <v>0.43550507514076203</v>
          </cell>
        </row>
        <row r="776">
          <cell r="V776">
            <v>205</v>
          </cell>
          <cell r="Y776">
            <v>2.0202893173048593</v>
          </cell>
        </row>
        <row r="777">
          <cell r="V777">
            <v>155</v>
          </cell>
          <cell r="Y777">
            <v>1.2504032137431034</v>
          </cell>
        </row>
        <row r="778">
          <cell r="V778">
            <v>103</v>
          </cell>
          <cell r="Y778">
            <v>0.4343587510411997</v>
          </cell>
        </row>
        <row r="779">
          <cell r="V779">
            <v>71</v>
          </cell>
          <cell r="Y779">
            <v>-8.8887900028497197E-2</v>
          </cell>
        </row>
        <row r="780">
          <cell r="V780">
            <v>43</v>
          </cell>
          <cell r="Y780">
            <v>-0.51687491557027443</v>
          </cell>
        </row>
        <row r="781">
          <cell r="V781">
            <v>46</v>
          </cell>
          <cell r="Y781">
            <v>-0.45931651089360198</v>
          </cell>
        </row>
        <row r="782">
          <cell r="V782">
            <v>31</v>
          </cell>
          <cell r="Y782">
            <v>-0.70266188202470525</v>
          </cell>
        </row>
        <row r="783">
          <cell r="V783">
            <v>39</v>
          </cell>
          <cell r="Y783">
            <v>-0.568961531598981</v>
          </cell>
        </row>
        <row r="784">
          <cell r="V784">
            <v>18</v>
          </cell>
          <cell r="Y784">
            <v>-0.92934648544791942</v>
          </cell>
        </row>
        <row r="785">
          <cell r="V785">
            <v>17</v>
          </cell>
          <cell r="Y785">
            <v>-0.96061108799928718</v>
          </cell>
        </row>
        <row r="786">
          <cell r="V786">
            <v>11</v>
          </cell>
          <cell r="Y786">
            <v>-1.0791063765796727</v>
          </cell>
        </row>
        <row r="787">
          <cell r="V787">
            <v>8</v>
          </cell>
          <cell r="Y787">
            <v>-1.1427877020761834</v>
          </cell>
        </row>
        <row r="788">
          <cell r="V788">
            <v>9</v>
          </cell>
          <cell r="Y788">
            <v>-1.1288872796642746</v>
          </cell>
        </row>
        <row r="789">
          <cell r="V789">
            <v>4</v>
          </cell>
          <cell r="Y789">
            <v>-1.1770802796023714</v>
          </cell>
        </row>
        <row r="790">
          <cell r="V790">
            <v>4</v>
          </cell>
          <cell r="Y790">
            <v>-1.0891161282402195</v>
          </cell>
        </row>
        <row r="791">
          <cell r="V791">
            <v>10</v>
          </cell>
          <cell r="Y791">
            <v>-0.97459879552155526</v>
          </cell>
        </row>
        <row r="792">
          <cell r="V792">
            <v>20</v>
          </cell>
          <cell r="Y792">
            <v>-0.71646160144356863</v>
          </cell>
        </row>
        <row r="793">
          <cell r="V793">
            <v>34</v>
          </cell>
          <cell r="Y793">
            <v>-0.42642446481328378</v>
          </cell>
        </row>
        <row r="794">
          <cell r="V794">
            <v>47</v>
          </cell>
          <cell r="Y794">
            <v>-0.15868942570814595</v>
          </cell>
        </row>
        <row r="795">
          <cell r="V795">
            <v>52</v>
          </cell>
          <cell r="Y795">
            <v>-3.3643281827482857E-2</v>
          </cell>
        </row>
        <row r="796">
          <cell r="V796">
            <v>72</v>
          </cell>
          <cell r="Y796">
            <v>0.36990369869960787</v>
          </cell>
        </row>
        <row r="797">
          <cell r="V797">
            <v>55</v>
          </cell>
          <cell r="Y797">
            <v>6.4244948879216945E-2</v>
          </cell>
        </row>
        <row r="798">
          <cell r="V798">
            <v>60</v>
          </cell>
          <cell r="Y798">
            <v>0.19180339301278326</v>
          </cell>
        </row>
        <row r="799">
          <cell r="V799">
            <v>71</v>
          </cell>
          <cell r="Y799">
            <v>0.44643000995404836</v>
          </cell>
        </row>
        <row r="800">
          <cell r="V800">
            <v>78</v>
          </cell>
          <cell r="Y800">
            <v>0.94074463303070421</v>
          </cell>
        </row>
        <row r="801">
          <cell r="V801">
            <v>83</v>
          </cell>
          <cell r="Y801">
            <v>1.4625597058829833</v>
          </cell>
        </row>
        <row r="802">
          <cell r="V802">
            <v>84</v>
          </cell>
          <cell r="Y802">
            <v>1.6131626861867909</v>
          </cell>
        </row>
        <row r="803">
          <cell r="V803">
            <v>69</v>
          </cell>
          <cell r="Y803">
            <v>1.0663911505149524</v>
          </cell>
        </row>
        <row r="804">
          <cell r="V804">
            <v>56</v>
          </cell>
          <cell r="Y804">
            <v>0.56092256899503334</v>
          </cell>
        </row>
        <row r="805">
          <cell r="V805">
            <v>45</v>
          </cell>
          <cell r="Y805">
            <v>0.15789957590718479</v>
          </cell>
        </row>
        <row r="806">
          <cell r="V806">
            <v>59</v>
          </cell>
          <cell r="Y806">
            <v>0.62624984958926389</v>
          </cell>
        </row>
        <row r="807">
          <cell r="V807">
            <v>39</v>
          </cell>
          <cell r="Y807">
            <v>-0.10513683606243117</v>
          </cell>
        </row>
        <row r="808">
          <cell r="V808">
            <v>44</v>
          </cell>
          <cell r="Y808">
            <v>3.8768035090139194E-2</v>
          </cell>
        </row>
        <row r="809">
          <cell r="V809">
            <v>20</v>
          </cell>
          <cell r="Y809">
            <v>-0.86293107977421357</v>
          </cell>
        </row>
        <row r="810">
          <cell r="V810">
            <v>13</v>
          </cell>
          <cell r="Y810">
            <v>-1.1320192962466804</v>
          </cell>
        </row>
        <row r="811">
          <cell r="V811">
            <v>2</v>
          </cell>
          <cell r="Y811">
            <v>-1.5144012922664645</v>
          </cell>
        </row>
        <row r="812">
          <cell r="V812">
            <v>1</v>
          </cell>
          <cell r="Y812">
            <v>-1.5121175898532069</v>
          </cell>
        </row>
        <row r="813">
          <cell r="V813">
            <v>1</v>
          </cell>
          <cell r="Y813">
            <v>-1.4972725131504152</v>
          </cell>
        </row>
        <row r="814">
          <cell r="V814">
            <v>8</v>
          </cell>
          <cell r="Y814">
            <v>-1.2609817604470741</v>
          </cell>
        </row>
        <row r="815">
          <cell r="V815">
            <v>23</v>
          </cell>
          <cell r="Y815">
            <v>-0.74941326055334545</v>
          </cell>
        </row>
        <row r="816">
          <cell r="V816">
            <v>45</v>
          </cell>
          <cell r="Y816">
            <v>2.9925943914938344E-2</v>
          </cell>
        </row>
        <row r="817">
          <cell r="V817">
            <v>89</v>
          </cell>
          <cell r="Y817">
            <v>1.5246363509656213</v>
          </cell>
        </row>
        <row r="818">
          <cell r="V818">
            <v>117</v>
          </cell>
          <cell r="Y818">
            <v>2.1542003746174654</v>
          </cell>
        </row>
        <row r="819">
          <cell r="V819">
            <v>174</v>
          </cell>
          <cell r="Y819">
            <v>2.9582234094416178</v>
          </cell>
        </row>
        <row r="820">
          <cell r="V820">
            <v>182</v>
          </cell>
          <cell r="Y820">
            <v>2.5611062496580081</v>
          </cell>
        </row>
        <row r="821">
          <cell r="V821">
            <v>161</v>
          </cell>
          <cell r="Y821">
            <v>1.8647141534417013</v>
          </cell>
        </row>
        <row r="822">
          <cell r="V822">
            <v>182</v>
          </cell>
          <cell r="Y822">
            <v>1.9692799722307182</v>
          </cell>
        </row>
        <row r="823">
          <cell r="V823">
            <v>157</v>
          </cell>
          <cell r="Y823">
            <v>1.4054833864096623</v>
          </cell>
        </row>
        <row r="824">
          <cell r="V824">
            <v>121</v>
          </cell>
          <cell r="Y824">
            <v>0.76900363157988638</v>
          </cell>
        </row>
        <row r="825">
          <cell r="V825">
            <v>78</v>
          </cell>
          <cell r="Y825">
            <v>6.9502809436251298E-2</v>
          </cell>
        </row>
        <row r="826">
          <cell r="V826">
            <v>21</v>
          </cell>
          <cell r="Y826">
            <v>-0.80800806061417163</v>
          </cell>
        </row>
        <row r="827">
          <cell r="V827">
            <v>26</v>
          </cell>
          <cell r="Y827">
            <v>-0.69093965865809803</v>
          </cell>
        </row>
        <row r="828">
          <cell r="V828">
            <v>27</v>
          </cell>
          <cell r="Y828">
            <v>-0.65007863693080403</v>
          </cell>
        </row>
        <row r="829">
          <cell r="V829">
            <v>62</v>
          </cell>
          <cell r="Y829">
            <v>-0.1083171928097178</v>
          </cell>
        </row>
        <row r="830">
          <cell r="V830">
            <v>30</v>
          </cell>
          <cell r="Y830">
            <v>-0.59197139913944885</v>
          </cell>
        </row>
        <row r="831">
          <cell r="V831">
            <v>15</v>
          </cell>
          <cell r="Y831">
            <v>-0.80395005383703133</v>
          </cell>
        </row>
        <row r="832">
          <cell r="V832">
            <v>5</v>
          </cell>
          <cell r="Y832">
            <v>-0.91889268680291736</v>
          </cell>
        </row>
        <row r="833">
          <cell r="V833">
            <v>3</v>
          </cell>
          <cell r="Y833">
            <v>-0.93014378592839519</v>
          </cell>
        </row>
        <row r="834">
          <cell r="V834">
            <v>1</v>
          </cell>
          <cell r="Y834">
            <v>-0.94644251194965645</v>
          </cell>
        </row>
        <row r="835">
          <cell r="V835">
            <v>2</v>
          </cell>
          <cell r="Y835">
            <v>-0.93136977121522257</v>
          </cell>
        </row>
        <row r="836">
          <cell r="V836">
            <v>10</v>
          </cell>
          <cell r="Y836">
            <v>-0.82071799315226601</v>
          </cell>
        </row>
        <row r="837">
          <cell r="V837">
            <v>30</v>
          </cell>
          <cell r="Y837">
            <v>-0.54380388215346021</v>
          </cell>
        </row>
        <row r="838">
          <cell r="V838">
            <v>95</v>
          </cell>
          <cell r="Y838">
            <v>0.40541170989132619</v>
          </cell>
        </row>
        <row r="839">
          <cell r="V839">
            <v>230</v>
          </cell>
          <cell r="Y839">
            <v>2.1399101584635489</v>
          </cell>
        </row>
        <row r="840">
          <cell r="V840">
            <v>118</v>
          </cell>
          <cell r="Y840">
            <v>0.52352753779241945</v>
          </cell>
        </row>
        <row r="841">
          <cell r="V841">
            <v>55</v>
          </cell>
          <cell r="Y841">
            <v>-0.33927519402969558</v>
          </cell>
        </row>
        <row r="842">
          <cell r="V842">
            <v>47</v>
          </cell>
          <cell r="Y842">
            <v>-0.41142749735641404</v>
          </cell>
        </row>
        <row r="843">
          <cell r="V843">
            <v>66</v>
          </cell>
          <cell r="Y843">
            <v>-8.5526026216485071E-2</v>
          </cell>
        </row>
        <row r="844">
          <cell r="V844">
            <v>64</v>
          </cell>
          <cell r="Y844">
            <v>-4.5541063049165671E-2</v>
          </cell>
        </row>
        <row r="845">
          <cell r="V845">
            <v>60</v>
          </cell>
          <cell r="Y845">
            <v>-4.4521859279243153E-2</v>
          </cell>
        </row>
        <row r="846">
          <cell r="V846">
            <v>50</v>
          </cell>
          <cell r="Y846">
            <v>-0.13036824806628505</v>
          </cell>
        </row>
        <row r="847">
          <cell r="V847">
            <v>114</v>
          </cell>
          <cell r="Y847">
            <v>1.1148878622685374</v>
          </cell>
        </row>
        <row r="848">
          <cell r="V848">
            <v>216</v>
          </cell>
          <cell r="Y848">
            <v>2.5822585180050246</v>
          </cell>
        </row>
        <row r="849">
          <cell r="V849">
            <v>175</v>
          </cell>
          <cell r="Y849">
            <v>1.71604134746887</v>
          </cell>
        </row>
        <row r="850">
          <cell r="V850">
            <v>128</v>
          </cell>
          <cell r="Y850">
            <v>0.91578427334355794</v>
          </cell>
        </row>
        <row r="851">
          <cell r="V851">
            <v>88</v>
          </cell>
          <cell r="Y851">
            <v>0.26923949780508277</v>
          </cell>
        </row>
        <row r="852">
          <cell r="V852">
            <v>78</v>
          </cell>
          <cell r="Y852">
            <v>8.3976658750712377E-2</v>
          </cell>
        </row>
        <row r="853">
          <cell r="V853">
            <v>37</v>
          </cell>
          <cell r="Y853">
            <v>-0.53238371341024238</v>
          </cell>
        </row>
        <row r="854">
          <cell r="V854">
            <v>25</v>
          </cell>
          <cell r="Y854">
            <v>-0.71251140332532337</v>
          </cell>
        </row>
        <row r="855">
          <cell r="V855">
            <v>10</v>
          </cell>
          <cell r="Y855">
            <v>-0.9371516302735845</v>
          </cell>
        </row>
        <row r="856">
          <cell r="V856">
            <v>4</v>
          </cell>
          <cell r="Y856">
            <v>-1.0278037647738485</v>
          </cell>
        </row>
        <row r="857">
          <cell r="V857">
            <v>2</v>
          </cell>
          <cell r="Y857">
            <v>-1.0570685369786865</v>
          </cell>
        </row>
        <row r="858">
          <cell r="V858">
            <v>1</v>
          </cell>
          <cell r="Y858">
            <v>-1.0723791253235802</v>
          </cell>
        </row>
        <row r="859">
          <cell r="V859">
            <v>3</v>
          </cell>
          <cell r="Y859">
            <v>-1.0431250631307256</v>
          </cell>
        </row>
        <row r="860">
          <cell r="V860">
            <v>2</v>
          </cell>
          <cell r="Y860">
            <v>-1.0478001323857291</v>
          </cell>
        </row>
        <row r="861">
          <cell r="V861">
            <v>39</v>
          </cell>
          <cell r="Y861">
            <v>-0.4912380505640771</v>
          </cell>
        </row>
        <row r="862">
          <cell r="V862">
            <v>100</v>
          </cell>
          <cell r="Y862">
            <v>0.43777088309573958</v>
          </cell>
        </row>
        <row r="863">
          <cell r="V863">
            <v>243</v>
          </cell>
          <cell r="Y863">
            <v>2.5582504028564883</v>
          </cell>
        </row>
        <row r="864">
          <cell r="V864">
            <v>135</v>
          </cell>
          <cell r="Y864">
            <v>0.92484986161340987</v>
          </cell>
        </row>
        <row r="865">
          <cell r="V865">
            <v>48</v>
          </cell>
          <cell r="Y865">
            <v>-0.35943570966047333</v>
          </cell>
        </row>
        <row r="866">
          <cell r="V866">
            <v>50</v>
          </cell>
          <cell r="Y866">
            <v>-0.33191814383926127</v>
          </cell>
        </row>
        <row r="867">
          <cell r="V867">
            <v>65</v>
          </cell>
          <cell r="Y867">
            <v>-0.10919265817782021</v>
          </cell>
        </row>
        <row r="868">
          <cell r="V868">
            <v>50</v>
          </cell>
          <cell r="Y868">
            <v>-0.32199531190274278</v>
          </cell>
        </row>
        <row r="869">
          <cell r="V869">
            <v>64</v>
          </cell>
          <cell r="Y869">
            <v>-0.1176370518927245</v>
          </cell>
        </row>
        <row r="870">
          <cell r="V870">
            <v>51</v>
          </cell>
          <cell r="Y870">
            <v>-0.31047735973923457</v>
          </cell>
        </row>
        <row r="871">
          <cell r="V871">
            <v>83</v>
          </cell>
          <cell r="Y871">
            <v>0.18319887254632955</v>
          </cell>
        </row>
        <row r="872">
          <cell r="V872">
            <v>176</v>
          </cell>
          <cell r="Y872">
            <v>1.6779975122365784</v>
          </cell>
        </row>
        <row r="873">
          <cell r="V873">
            <v>152</v>
          </cell>
          <cell r="Y873">
            <v>1.3483963533406165</v>
          </cell>
        </row>
        <row r="874">
          <cell r="V874">
            <v>101</v>
          </cell>
          <cell r="Y874">
            <v>0.55494998787608629</v>
          </cell>
        </row>
        <row r="875">
          <cell r="V875">
            <v>56</v>
          </cell>
          <cell r="Y875">
            <v>-0.15723975418148026</v>
          </cell>
        </row>
        <row r="876">
          <cell r="V876">
            <v>54</v>
          </cell>
          <cell r="Y876">
            <v>-0.17361866406473447</v>
          </cell>
        </row>
        <row r="877">
          <cell r="V877">
            <v>29</v>
          </cell>
          <cell r="Y877">
            <v>-0.5750087625485536</v>
          </cell>
        </row>
        <row r="878">
          <cell r="V878">
            <v>12</v>
          </cell>
          <cell r="Y878">
            <v>-0.83746454385135249</v>
          </cell>
        </row>
        <row r="879">
          <cell r="V879">
            <v>17</v>
          </cell>
          <cell r="Y879">
            <v>-0.76434649995592308</v>
          </cell>
        </row>
        <row r="880">
          <cell r="V880">
            <v>7</v>
          </cell>
          <cell r="Y880">
            <v>-0.93074060809873005</v>
          </cell>
        </row>
        <row r="881">
          <cell r="V881">
            <v>3</v>
          </cell>
          <cell r="Y881">
            <v>-0.99725294997382918</v>
          </cell>
        </row>
        <row r="882">
          <cell r="V882">
            <v>2</v>
          </cell>
          <cell r="Y882">
            <v>-1.0149596640653293</v>
          </cell>
        </row>
        <row r="883">
          <cell r="V883">
            <v>7</v>
          </cell>
          <cell r="Y883">
            <v>-0.93873285617727309</v>
          </cell>
        </row>
        <row r="884">
          <cell r="V884">
            <v>43</v>
          </cell>
          <cell r="Y884">
            <v>-0.38603111064495466</v>
          </cell>
        </row>
        <row r="885">
          <cell r="V885">
            <v>99</v>
          </cell>
          <cell r="Y885">
            <v>0.50645915638181294</v>
          </cell>
        </row>
        <row r="886">
          <cell r="V886">
            <v>199</v>
          </cell>
          <cell r="Y886">
            <v>1.9308028509311459</v>
          </cell>
        </row>
        <row r="887">
          <cell r="V887">
            <v>123</v>
          </cell>
          <cell r="Y887">
            <v>0.99248286501244143</v>
          </cell>
        </row>
        <row r="888">
          <cell r="V888">
            <v>59</v>
          </cell>
          <cell r="Y888">
            <v>-0.10376562606432632</v>
          </cell>
        </row>
        <row r="889">
          <cell r="V889">
            <v>41</v>
          </cell>
          <cell r="Y889">
            <v>-0.431968626184909</v>
          </cell>
        </row>
        <row r="890">
          <cell r="V890">
            <v>61</v>
          </cell>
          <cell r="Y890">
            <v>-6.9651156136820908E-2</v>
          </cell>
        </row>
        <row r="891">
          <cell r="V891">
            <v>69</v>
          </cell>
          <cell r="Y891">
            <v>7.5832512996403048E-2</v>
          </cell>
        </row>
        <row r="892">
          <cell r="V892">
            <v>58</v>
          </cell>
          <cell r="Y892">
            <v>-0.13482077466845963</v>
          </cell>
        </row>
        <row r="893">
          <cell r="V893">
            <v>64</v>
          </cell>
          <cell r="Y893">
            <v>-2.3244961149734417E-2</v>
          </cell>
        </row>
        <row r="894">
          <cell r="V894">
            <v>79</v>
          </cell>
          <cell r="Y894">
            <v>0.23408141084585821</v>
          </cell>
        </row>
        <row r="895">
          <cell r="V895">
            <v>166</v>
          </cell>
          <cell r="Y895">
            <v>1.6742192025512397</v>
          </cell>
        </row>
        <row r="896">
          <cell r="V896">
            <v>170</v>
          </cell>
          <cell r="Y896">
            <v>1.7627039537519671</v>
          </cell>
        </row>
        <row r="897">
          <cell r="V897">
            <v>88</v>
          </cell>
          <cell r="Y897">
            <v>0.3870920992655737</v>
          </cell>
        </row>
        <row r="898">
          <cell r="V898">
            <v>84</v>
          </cell>
          <cell r="Y898">
            <v>0.32867307641465721</v>
          </cell>
        </row>
        <row r="899">
          <cell r="V899">
            <v>83</v>
          </cell>
          <cell r="Y899">
            <v>0.28901242881096739</v>
          </cell>
        </row>
        <row r="900">
          <cell r="V900">
            <v>46</v>
          </cell>
          <cell r="Y900">
            <v>-0.38840882156200635</v>
          </cell>
        </row>
        <row r="901">
          <cell r="V901">
            <v>37</v>
          </cell>
          <cell r="Y901">
            <v>-0.56298024647749545</v>
          </cell>
        </row>
        <row r="902">
          <cell r="V902">
            <v>16</v>
          </cell>
          <cell r="Y902">
            <v>-0.95835586760953018</v>
          </cell>
        </row>
        <row r="903">
          <cell r="V903">
            <v>7</v>
          </cell>
          <cell r="Y903">
            <v>-1.1087685160280423</v>
          </cell>
        </row>
        <row r="904">
          <cell r="V904">
            <v>3</v>
          </cell>
          <cell r="Y904">
            <v>-1.1751550784082678</v>
          </cell>
        </row>
        <row r="905">
          <cell r="V905">
            <v>1</v>
          </cell>
          <cell r="Y905">
            <v>-1.2080714202885474</v>
          </cell>
        </row>
        <row r="906">
          <cell r="V906">
            <v>6</v>
          </cell>
          <cell r="Y906">
            <v>-1.123578766064365</v>
          </cell>
        </row>
        <row r="907">
          <cell r="V907">
            <v>26</v>
          </cell>
          <cell r="Y907">
            <v>-0.78123408694857965</v>
          </cell>
        </row>
        <row r="908">
          <cell r="V908">
            <v>99</v>
          </cell>
          <cell r="Y908">
            <v>0.53754801793239626</v>
          </cell>
        </row>
        <row r="909">
          <cell r="V909">
            <v>178</v>
          </cell>
          <cell r="Y909">
            <v>1.81020376645293</v>
          </cell>
        </row>
        <row r="910">
          <cell r="V910">
            <v>122</v>
          </cell>
          <cell r="Y910">
            <v>0.9883310832519786</v>
          </cell>
        </row>
        <row r="911">
          <cell r="V911">
            <v>35</v>
          </cell>
          <cell r="Y911">
            <v>-0.61229534167619593</v>
          </cell>
        </row>
        <row r="912">
          <cell r="V912">
            <v>45</v>
          </cell>
          <cell r="Y912">
            <v>-0.40579524855792942</v>
          </cell>
        </row>
        <row r="913">
          <cell r="V913">
            <v>69</v>
          </cell>
          <cell r="Y913">
            <v>3.5614594061300187E-2</v>
          </cell>
        </row>
        <row r="914">
          <cell r="V914">
            <v>62</v>
          </cell>
          <cell r="Y914">
            <v>-0.1011872670996074</v>
          </cell>
        </row>
        <row r="915">
          <cell r="V915">
            <v>48</v>
          </cell>
          <cell r="Y915">
            <v>-0.35516827259539807</v>
          </cell>
        </row>
        <row r="916">
          <cell r="V916">
            <v>50</v>
          </cell>
          <cell r="Y916">
            <v>-0.30947390528336222</v>
          </cell>
        </row>
        <row r="917">
          <cell r="V917">
            <v>80</v>
          </cell>
          <cell r="Y917">
            <v>0.25751542151561668</v>
          </cell>
        </row>
        <row r="918">
          <cell r="V918">
            <v>165</v>
          </cell>
          <cell r="Y918">
            <v>1.706933163863146</v>
          </cell>
        </row>
        <row r="919">
          <cell r="V919">
            <v>160</v>
          </cell>
          <cell r="Y919">
            <v>1.6342627013249198</v>
          </cell>
        </row>
        <row r="920">
          <cell r="V920">
            <v>112</v>
          </cell>
          <cell r="Y920">
            <v>0.85981319209983165</v>
          </cell>
        </row>
        <row r="921">
          <cell r="V921">
            <v>97</v>
          </cell>
          <cell r="Y921">
            <v>0.56015802593803232</v>
          </cell>
        </row>
        <row r="922">
          <cell r="V922">
            <v>72</v>
          </cell>
          <cell r="Y922">
            <v>8.7775555047119716E-2</v>
          </cell>
        </row>
        <row r="923">
          <cell r="V923">
            <v>51</v>
          </cell>
          <cell r="Y923">
            <v>-0.29234841022177988</v>
          </cell>
        </row>
        <row r="924">
          <cell r="V924">
            <v>34</v>
          </cell>
          <cell r="Y924">
            <v>-0.60821403045410771</v>
          </cell>
        </row>
        <row r="925">
          <cell r="V925">
            <v>14</v>
          </cell>
          <cell r="Y925">
            <v>-0.96044253246926392</v>
          </cell>
        </row>
        <row r="926">
          <cell r="V926">
            <v>7</v>
          </cell>
          <cell r="Y926">
            <v>-1.0780258200617567</v>
          </cell>
        </row>
        <row r="927">
          <cell r="V927">
            <v>3</v>
          </cell>
          <cell r="Y927">
            <v>-1.145985126929725</v>
          </cell>
        </row>
        <row r="928">
          <cell r="V928">
            <v>4</v>
          </cell>
          <cell r="Y928">
            <v>-1.1290650004181644</v>
          </cell>
        </row>
        <row r="929">
          <cell r="V929">
            <v>24</v>
          </cell>
          <cell r="Y929">
            <v>-0.78631040536704966</v>
          </cell>
        </row>
        <row r="930">
          <cell r="V930">
            <v>74</v>
          </cell>
          <cell r="Y930">
            <v>0.1189803318736808</v>
          </cell>
        </row>
        <row r="931">
          <cell r="V931">
            <v>216</v>
          </cell>
          <cell r="Y931">
            <v>2.4068721915236981</v>
          </cell>
        </row>
        <row r="932">
          <cell r="V932">
            <v>140</v>
          </cell>
          <cell r="Y932">
            <v>1.0487743773407956</v>
          </cell>
        </row>
        <row r="933">
          <cell r="V933">
            <v>44</v>
          </cell>
          <cell r="Y933">
            <v>-0.50128041182760308</v>
          </cell>
        </row>
        <row r="934">
          <cell r="V934">
            <v>64</v>
          </cell>
          <cell r="Y934">
            <v>-0.10180173127160493</v>
          </cell>
        </row>
        <row r="935">
          <cell r="V935">
            <v>71</v>
          </cell>
          <cell r="Y935">
            <v>-1.5333214756930169E-3</v>
          </cell>
        </row>
        <row r="936">
          <cell r="V936">
            <v>110</v>
          </cell>
          <cell r="Y936">
            <v>0.66302441358921205</v>
          </cell>
        </row>
        <row r="937">
          <cell r="V937">
            <v>84</v>
          </cell>
          <cell r="Y937">
            <v>0.17539215524030602</v>
          </cell>
        </row>
        <row r="938">
          <cell r="V938">
            <v>74</v>
          </cell>
          <cell r="Y938">
            <v>-1.6796220998979774E-2</v>
          </cell>
        </row>
        <row r="939">
          <cell r="V939">
            <v>125</v>
          </cell>
          <cell r="Y939">
            <v>0.84942295213227514</v>
          </cell>
        </row>
        <row r="940">
          <cell r="V940">
            <v>211</v>
          </cell>
          <cell r="Y940">
            <v>2.0653598849264672</v>
          </cell>
        </row>
        <row r="941">
          <cell r="V941">
            <v>174</v>
          </cell>
          <cell r="Y941">
            <v>1.3378772111453541</v>
          </cell>
        </row>
        <row r="942">
          <cell r="V942">
            <v>101</v>
          </cell>
          <cell r="Y942">
            <v>0.24177037306108348</v>
          </cell>
        </row>
        <row r="943">
          <cell r="V943">
            <v>63</v>
          </cell>
          <cell r="Y943">
            <v>-0.31846116683405212</v>
          </cell>
        </row>
        <row r="944">
          <cell r="V944">
            <v>47</v>
          </cell>
          <cell r="Y944">
            <v>-0.5402499278018007</v>
          </cell>
        </row>
        <row r="945">
          <cell r="V945">
            <v>43</v>
          </cell>
          <cell r="Y945">
            <v>-0.56645071884174203</v>
          </cell>
        </row>
        <row r="946">
          <cell r="V946">
            <v>53</v>
          </cell>
          <cell r="Y946">
            <v>-0.38585067361586822</v>
          </cell>
        </row>
        <row r="947">
          <cell r="V947">
            <v>30</v>
          </cell>
          <cell r="Y947">
            <v>-0.74579652873896429</v>
          </cell>
        </row>
        <row r="948">
          <cell r="V948">
            <v>24</v>
          </cell>
          <cell r="Y948">
            <v>-0.83298105090263985</v>
          </cell>
        </row>
        <row r="949">
          <cell r="V949">
            <v>15</v>
          </cell>
          <cell r="Y949">
            <v>-0.98134734696291026</v>
          </cell>
        </row>
        <row r="950">
          <cell r="V950">
            <v>10</v>
          </cell>
          <cell r="Y950">
            <v>-1.0675931313733988</v>
          </cell>
        </row>
        <row r="951">
          <cell r="V951">
            <v>4</v>
          </cell>
          <cell r="Y951">
            <v>-1.1675478409589226</v>
          </cell>
        </row>
        <row r="952">
          <cell r="V952">
            <v>1</v>
          </cell>
          <cell r="Y952">
            <v>-1.211604504643804</v>
          </cell>
        </row>
        <row r="953">
          <cell r="V953">
            <v>2</v>
          </cell>
          <cell r="Y953">
            <v>-1.1620785634370148</v>
          </cell>
        </row>
        <row r="954">
          <cell r="V954">
            <v>11</v>
          </cell>
          <cell r="Y954">
            <v>-0.95452321336182921</v>
          </cell>
        </row>
        <row r="955">
          <cell r="V955">
            <v>30</v>
          </cell>
          <cell r="Y955">
            <v>-0.604202339734359</v>
          </cell>
        </row>
        <row r="956">
          <cell r="V956">
            <v>43</v>
          </cell>
          <cell r="Y956">
            <v>-0.31227225189658775</v>
          </cell>
        </row>
        <row r="957">
          <cell r="V957">
            <v>84</v>
          </cell>
          <cell r="Y957">
            <v>0.42015694885276234</v>
          </cell>
        </row>
        <row r="958">
          <cell r="V958">
            <v>114</v>
          </cell>
          <cell r="Y958">
            <v>0.921318915095519</v>
          </cell>
        </row>
        <row r="959">
          <cell r="V959">
            <v>120</v>
          </cell>
          <cell r="Y959">
            <v>0.97240311312213512</v>
          </cell>
        </row>
        <row r="960">
          <cell r="V960">
            <v>135</v>
          </cell>
          <cell r="Y960">
            <v>1.1984268289977014</v>
          </cell>
        </row>
        <row r="961">
          <cell r="V961">
            <v>120</v>
          </cell>
          <cell r="Y961">
            <v>0.89463040326366117</v>
          </cell>
        </row>
        <row r="962">
          <cell r="V962">
            <v>174</v>
          </cell>
          <cell r="Y962">
            <v>1.6428906414205782</v>
          </cell>
        </row>
        <row r="963">
          <cell r="V963">
            <v>145</v>
          </cell>
          <cell r="Y963">
            <v>1.1451224273490852</v>
          </cell>
        </row>
        <row r="964">
          <cell r="V964">
            <v>137</v>
          </cell>
          <cell r="Y964">
            <v>1.1690033023396396</v>
          </cell>
        </row>
        <row r="965">
          <cell r="V965">
            <v>64</v>
          </cell>
          <cell r="Y965">
            <v>-2.6799998144683902E-2</v>
          </cell>
        </row>
        <row r="966">
          <cell r="V966">
            <v>41</v>
          </cell>
          <cell r="Y966">
            <v>-0.41728235662462143</v>
          </cell>
        </row>
        <row r="967">
          <cell r="V967">
            <v>40</v>
          </cell>
          <cell r="Y967">
            <v>-0.41642784648142622</v>
          </cell>
        </row>
        <row r="968">
          <cell r="V968">
            <v>51</v>
          </cell>
          <cell r="Y968">
            <v>-0.211151886151834</v>
          </cell>
        </row>
        <row r="969">
          <cell r="V969">
            <v>45</v>
          </cell>
          <cell r="Y969">
            <v>-0.32679924243522351</v>
          </cell>
        </row>
        <row r="970">
          <cell r="V970">
            <v>32</v>
          </cell>
          <cell r="Y970">
            <v>-0.55356051820178431</v>
          </cell>
        </row>
        <row r="971">
          <cell r="V971">
            <v>39</v>
          </cell>
          <cell r="Y971">
            <v>-0.43016044040585527</v>
          </cell>
        </row>
        <row r="972">
          <cell r="V972">
            <v>24</v>
          </cell>
          <cell r="Y972">
            <v>-0.71430311663724588</v>
          </cell>
        </row>
        <row r="973">
          <cell r="V973">
            <v>20</v>
          </cell>
          <cell r="Y973">
            <v>-0.79677991077954835</v>
          </cell>
        </row>
        <row r="974">
          <cell r="V974">
            <v>12</v>
          </cell>
          <cell r="Y974">
            <v>-0.95195870409933259</v>
          </cell>
        </row>
        <row r="975">
          <cell r="V975">
            <v>2</v>
          </cell>
          <cell r="Y975">
            <v>-1.1386497217835789</v>
          </cell>
        </row>
        <row r="976">
          <cell r="V976">
            <v>5</v>
          </cell>
          <cell r="Y976">
            <v>-1.0888478048825752</v>
          </cell>
        </row>
        <row r="977">
          <cell r="V977">
            <v>3</v>
          </cell>
          <cell r="Y977">
            <v>-1.1288568950927134</v>
          </cell>
        </row>
        <row r="978">
          <cell r="V978">
            <v>12</v>
          </cell>
          <cell r="Y978">
            <v>-0.95858773566162314</v>
          </cell>
        </row>
        <row r="979">
          <cell r="V979">
            <v>47</v>
          </cell>
          <cell r="Y979">
            <v>-0.30532620498273305</v>
          </cell>
        </row>
        <row r="980">
          <cell r="V980">
            <v>105</v>
          </cell>
          <cell r="Y980">
            <v>0.75316148502708657</v>
          </cell>
        </row>
        <row r="981">
          <cell r="V981">
            <v>112</v>
          </cell>
          <cell r="Y981">
            <v>0.85232384592357946</v>
          </cell>
        </row>
        <row r="982">
          <cell r="V982">
            <v>152</v>
          </cell>
          <cell r="Y982">
            <v>1.5170124239741627</v>
          </cell>
        </row>
        <row r="983">
          <cell r="V983">
            <v>154</v>
          </cell>
          <cell r="Y983">
            <v>1.4795443694035659</v>
          </cell>
        </row>
        <row r="984">
          <cell r="V984">
            <v>161</v>
          </cell>
          <cell r="Y984">
            <v>1.5421233585583238</v>
          </cell>
        </row>
        <row r="985">
          <cell r="V985">
            <v>162</v>
          </cell>
          <cell r="Y985">
            <v>1.4757197944066105</v>
          </cell>
        </row>
        <row r="986">
          <cell r="V986">
            <v>134</v>
          </cell>
          <cell r="Y986">
            <v>1.0847913738423125</v>
          </cell>
        </row>
        <row r="987">
          <cell r="V987">
            <v>125</v>
          </cell>
          <cell r="Y987">
            <v>0.96066840968601441</v>
          </cell>
        </row>
        <row r="988">
          <cell r="V988">
            <v>95</v>
          </cell>
          <cell r="Y988">
            <v>0.48031100878716382</v>
          </cell>
        </row>
        <row r="989">
          <cell r="V989">
            <v>61</v>
          </cell>
          <cell r="Y989">
            <v>-0.12695731338183425</v>
          </cell>
        </row>
        <row r="990">
          <cell r="V990">
            <v>47</v>
          </cell>
          <cell r="Y990">
            <v>-0.38314364810187113</v>
          </cell>
        </row>
        <row r="991">
          <cell r="V991">
            <v>51</v>
          </cell>
          <cell r="Y991">
            <v>-0.32067875177782912</v>
          </cell>
        </row>
        <row r="992">
          <cell r="V992">
            <v>36</v>
          </cell>
          <cell r="Y992">
            <v>-0.57673094011847259</v>
          </cell>
        </row>
        <row r="993">
          <cell r="V993">
            <v>30</v>
          </cell>
          <cell r="Y993">
            <v>-0.66885876244189402</v>
          </cell>
        </row>
        <row r="994">
          <cell r="V994">
            <v>11</v>
          </cell>
          <cell r="Y994">
            <v>-0.97892746010749132</v>
          </cell>
        </row>
        <row r="995">
          <cell r="V995">
            <v>7</v>
          </cell>
          <cell r="Y995">
            <v>-1.0073541616202275</v>
          </cell>
        </row>
        <row r="996">
          <cell r="V996">
            <v>2</v>
          </cell>
          <cell r="Y996">
            <v>-1.0622648633194627</v>
          </cell>
        </row>
        <row r="997">
          <cell r="V997">
            <v>2</v>
          </cell>
          <cell r="Y997">
            <v>-1.0371052376684136</v>
          </cell>
        </row>
        <row r="998">
          <cell r="V998">
            <v>2</v>
          </cell>
          <cell r="Y998">
            <v>-1.0230194697794861</v>
          </cell>
        </row>
        <row r="999">
          <cell r="V999">
            <v>3</v>
          </cell>
          <cell r="Y999">
            <v>-1.0077561278166522</v>
          </cell>
        </row>
        <row r="1000">
          <cell r="V1000">
            <v>26</v>
          </cell>
          <cell r="Y1000">
            <v>-0.64594000142794905</v>
          </cell>
        </row>
        <row r="1001">
          <cell r="V1001">
            <v>98</v>
          </cell>
          <cell r="Y1001">
            <v>0.51523731014841134</v>
          </cell>
        </row>
      </sheetData>
      <sheetData sheetId="7"/>
      <sheetData sheetId="8"/>
      <sheetData sheetId="9"/>
      <sheetData sheetId="10"/>
      <sheetData sheetId="11">
        <row r="4">
          <cell r="B4" t="str">
            <v>Value</v>
          </cell>
        </row>
        <row r="5">
          <cell r="A5" t="str">
            <v>Total Rentals</v>
          </cell>
          <cell r="B5">
            <v>58304</v>
          </cell>
        </row>
        <row r="6">
          <cell r="A6" t="str">
            <v>Avg Rentals/Hour</v>
          </cell>
          <cell r="B6">
            <v>58.304000000000002</v>
          </cell>
        </row>
        <row r="7">
          <cell r="A7" t="str">
            <v>Max Hourly Rentals</v>
          </cell>
          <cell r="B7">
            <v>249</v>
          </cell>
        </row>
        <row r="8">
          <cell r="A8" t="str">
            <v>Anomaly Hours (|z|&gt;=3)</v>
          </cell>
          <cell r="B8">
            <v>3</v>
          </cell>
        </row>
        <row r="14">
          <cell r="A14" t="str">
            <v>Hour</v>
          </cell>
          <cell r="B14" t="str">
            <v>Avg_Rentals</v>
          </cell>
          <cell r="I14" t="str">
            <v>Avg_Rentals</v>
          </cell>
        </row>
        <row r="15">
          <cell r="A15">
            <v>0</v>
          </cell>
          <cell r="B15">
            <v>16.348837209302324</v>
          </cell>
          <cell r="H15" t="str">
            <v>Cold</v>
          </cell>
          <cell r="I15">
            <v>47.684705882352937</v>
          </cell>
        </row>
        <row r="16">
          <cell r="A16">
            <v>1</v>
          </cell>
          <cell r="B16">
            <v>10.697674418604651</v>
          </cell>
          <cell r="H16" t="str">
            <v>Mild</v>
          </cell>
          <cell r="I16">
            <v>66.5590405904059</v>
          </cell>
        </row>
        <row r="17">
          <cell r="A17">
            <v>2</v>
          </cell>
          <cell r="B17">
            <v>7.1707317073170733</v>
          </cell>
          <cell r="H17" t="str">
            <v>Warm</v>
          </cell>
          <cell r="I17">
            <v>59.484848484848477</v>
          </cell>
        </row>
        <row r="18">
          <cell r="A18">
            <v>3</v>
          </cell>
          <cell r="B18">
            <v>4.870967741935484</v>
          </cell>
        </row>
        <row r="19">
          <cell r="A19">
            <v>4</v>
          </cell>
          <cell r="B19">
            <v>2.15625</v>
          </cell>
        </row>
        <row r="20">
          <cell r="A20">
            <v>5</v>
          </cell>
          <cell r="B20">
            <v>4.2051282051282053</v>
          </cell>
        </row>
        <row r="21">
          <cell r="A21">
            <v>6</v>
          </cell>
          <cell r="B21">
            <v>19.571428571428573</v>
          </cell>
        </row>
        <row r="22">
          <cell r="A22">
            <v>7</v>
          </cell>
          <cell r="B22">
            <v>54.395348837209305</v>
          </cell>
        </row>
        <row r="23">
          <cell r="A23">
            <v>8</v>
          </cell>
          <cell r="B23">
            <v>128.28571428571428</v>
          </cell>
        </row>
        <row r="24">
          <cell r="A24">
            <v>9</v>
          </cell>
          <cell r="B24">
            <v>87.428571428571431</v>
          </cell>
        </row>
        <row r="25">
          <cell r="A25">
            <v>10</v>
          </cell>
          <cell r="B25">
            <v>53.642857142857146</v>
          </cell>
        </row>
        <row r="26">
          <cell r="A26">
            <v>11</v>
          </cell>
          <cell r="B26">
            <v>59.38095238095238</v>
          </cell>
        </row>
        <row r="27">
          <cell r="A27">
            <v>12</v>
          </cell>
          <cell r="B27">
            <v>76.348837209302332</v>
          </cell>
        </row>
        <row r="28">
          <cell r="A28">
            <v>13</v>
          </cell>
          <cell r="B28">
            <v>78.511627906976742</v>
          </cell>
        </row>
        <row r="29">
          <cell r="A29">
            <v>14</v>
          </cell>
          <cell r="B29">
            <v>74.418604651162795</v>
          </cell>
        </row>
        <row r="30">
          <cell r="A30">
            <v>15</v>
          </cell>
          <cell r="B30">
            <v>77.95348837209302</v>
          </cell>
        </row>
        <row r="31">
          <cell r="A31">
            <v>16</v>
          </cell>
          <cell r="B31">
            <v>89.272727272727266</v>
          </cell>
        </row>
        <row r="32">
          <cell r="A32">
            <v>17</v>
          </cell>
          <cell r="B32">
            <v>140.20454545454547</v>
          </cell>
        </row>
        <row r="33">
          <cell r="A33">
            <v>18</v>
          </cell>
          <cell r="B33">
            <v>122.86046511627907</v>
          </cell>
        </row>
        <row r="34">
          <cell r="A34">
            <v>19</v>
          </cell>
          <cell r="B34">
            <v>85.139534883720927</v>
          </cell>
        </row>
        <row r="35">
          <cell r="A35">
            <v>20</v>
          </cell>
          <cell r="B35">
            <v>61.767441860465119</v>
          </cell>
        </row>
        <row r="36">
          <cell r="A36">
            <v>21</v>
          </cell>
          <cell r="B36">
            <v>46.418604651162788</v>
          </cell>
        </row>
        <row r="37">
          <cell r="A37">
            <v>22</v>
          </cell>
          <cell r="B37">
            <v>35.069767441860463</v>
          </cell>
        </row>
        <row r="38">
          <cell r="A38">
            <v>23</v>
          </cell>
          <cell r="B38">
            <v>25.186046511627907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mika%20Rani\AppData\Roaming\Microsoft\Excel\Bike%20Sharing%20Data%20Project%20Original_Last%20Date%20of%20Submission20012026%20(1)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8.636759490742" createdVersion="8" refreshedVersion="8" minRefreshableVersion="3" recordCount="1000" xr:uid="{E78D96C7-2961-49FF-871D-94554985D2DE}">
  <cacheSource type="worksheet">
    <worksheetSource name="Table14" r:id="rId2"/>
  </cacheSource>
  <cacheFields count="26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1-02-15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 count="2">
        <n v="1"/>
        <n v="2"/>
      </sharedItems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Day _x000a_Name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eekend_Weekday" numFmtId="0">
      <sharedItems count="2">
        <s v="Weekend"/>
        <s v="Weekday"/>
      </sharedItems>
    </cacheField>
    <cacheField name="Std Hr _x000a_Classification" numFmtId="0">
      <sharedItems/>
    </cacheField>
    <cacheField name="weathersit" numFmtId="0">
      <sharedItems containsSemiMixedTypes="0" containsString="0" containsNumber="1" containsInteger="1" minValue="1" maxValue="4"/>
    </cacheField>
    <cacheField name="weather_label" numFmtId="0">
      <sharedItems count="4">
        <s v="Clear / Partly Cloudy"/>
        <s v="Mist / Cloudy"/>
        <s v="Light Snow / Rain"/>
        <s v="Heavy Precipitation"/>
      </sharedItems>
    </cacheField>
    <cacheField name="temp" numFmtId="0">
      <sharedItems containsSemiMixedTypes="0" containsString="0" containsNumber="1" minValue="0.02" maxValue="0.46"/>
    </cacheField>
    <cacheField name="temp_band" numFmtId="0">
      <sharedItems/>
    </cacheField>
    <cacheField name="atemp" numFmtId="0">
      <sharedItems containsString="0" containsBlank="1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Wind _x000a_Category" numFmtId="0">
      <sharedItems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  <cacheField name="rolling_mean_24h" numFmtId="2">
      <sharedItems containsSemiMixedTypes="0" containsString="0" containsNumber="1" minValue="12.888888888888889" maxValue="88.75"/>
    </cacheField>
    <cacheField name="rolling_std_24h" numFmtId="0">
      <sharedItems containsString="0" containsBlank="1" containsNumber="1" minValue="12.220201853215571" maxValue="71.6326680393435"/>
    </cacheField>
    <cacheField name="zscore_24h" numFmtId="2">
      <sharedItems containsSemiMixedTypes="0" containsString="0" containsNumber="1" minValue="-1.5144012922664645" maxValue="3.3163434876333335"/>
    </cacheField>
    <cacheField name="Anomaly Hours_x000a_ (|z|&gt;=3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x v="0"/>
    <x v="0"/>
    <b v="0"/>
    <x v="0"/>
    <x v="0"/>
    <x v="0"/>
    <s v="Night"/>
    <n v="1"/>
    <x v="0"/>
    <n v="0.24"/>
    <s v="Mild"/>
    <n v="0.28789999999999999"/>
    <n v="0.81"/>
    <n v="0"/>
    <s v="Calm"/>
    <n v="3"/>
    <n v="13"/>
    <n v="16"/>
    <n v="16"/>
    <m/>
    <n v="0"/>
    <b v="0"/>
  </r>
  <r>
    <n v="2"/>
    <d v="2011-01-01T00:00:00"/>
    <n v="1"/>
    <n v="0"/>
    <x v="0"/>
    <x v="1"/>
    <b v="0"/>
    <x v="0"/>
    <x v="0"/>
    <x v="0"/>
    <s v="Night"/>
    <n v="1"/>
    <x v="0"/>
    <n v="0.22"/>
    <s v="Mild"/>
    <n v="0.2727"/>
    <n v="0.8"/>
    <n v="0"/>
    <s v="Calm"/>
    <n v="8"/>
    <n v="32"/>
    <n v="40"/>
    <n v="28"/>
    <n v="16.970562748477139"/>
    <n v="0.70710678118654757"/>
    <b v="0"/>
  </r>
  <r>
    <n v="3"/>
    <d v="2011-01-01T00:00:00"/>
    <n v="1"/>
    <n v="0"/>
    <x v="0"/>
    <x v="2"/>
    <b v="0"/>
    <x v="0"/>
    <x v="0"/>
    <x v="0"/>
    <s v="Night"/>
    <n v="1"/>
    <x v="0"/>
    <n v="0.22"/>
    <s v="Mild"/>
    <n v="0.2727"/>
    <n v="0.8"/>
    <n v="0"/>
    <s v="Calm"/>
    <n v="5"/>
    <n v="27"/>
    <n v="32"/>
    <n v="29.333333333333332"/>
    <n v="12.220201853215571"/>
    <n v="0.21821789023599253"/>
    <b v="0"/>
  </r>
  <r>
    <n v="4"/>
    <d v="2011-01-01T00:00:00"/>
    <n v="1"/>
    <n v="0"/>
    <x v="0"/>
    <x v="3"/>
    <b v="0"/>
    <x v="0"/>
    <x v="0"/>
    <x v="0"/>
    <s v="Night"/>
    <n v="1"/>
    <x v="0"/>
    <n v="0.24"/>
    <s v="Mild"/>
    <n v="0.28789999999999999"/>
    <n v="0.75"/>
    <n v="0"/>
    <s v="Calm"/>
    <n v="3"/>
    <n v="10"/>
    <n v="13"/>
    <n v="25.25"/>
    <n v="12.893796958227627"/>
    <n v="-0.9500692495536146"/>
    <b v="0"/>
  </r>
  <r>
    <n v="5"/>
    <d v="2011-01-01T00:00:00"/>
    <n v="1"/>
    <n v="0"/>
    <x v="0"/>
    <x v="4"/>
    <b v="0"/>
    <x v="0"/>
    <x v="0"/>
    <x v="0"/>
    <s v="Night"/>
    <n v="1"/>
    <x v="0"/>
    <n v="0.24"/>
    <s v="Mild"/>
    <n v="0.28789999999999999"/>
    <n v="0.75"/>
    <n v="0"/>
    <s v="Calm"/>
    <n v="0"/>
    <n v="1"/>
    <n v="1"/>
    <n v="20.399999999999999"/>
    <n v="15.565988564816561"/>
    <n v="-1.2463069672201459"/>
    <b v="0"/>
  </r>
  <r>
    <n v="6"/>
    <d v="2011-01-01T00:00:00"/>
    <n v="1"/>
    <n v="0"/>
    <x v="0"/>
    <x v="5"/>
    <b v="0"/>
    <x v="0"/>
    <x v="0"/>
    <x v="0"/>
    <s v="Night"/>
    <n v="2"/>
    <x v="1"/>
    <n v="0.24"/>
    <s v="Mild"/>
    <n v="0.2576"/>
    <n v="0.75"/>
    <n v="8.9599999999999999E-2"/>
    <s v="Calm"/>
    <n v="0"/>
    <n v="1"/>
    <n v="1"/>
    <n v="17.166666666666668"/>
    <n v="16.017698544630768"/>
    <n v="-1.0093002201047063"/>
    <b v="0"/>
  </r>
  <r>
    <n v="7"/>
    <d v="2011-01-01T00:00:00"/>
    <n v="1"/>
    <n v="0"/>
    <x v="0"/>
    <x v="6"/>
    <b v="0"/>
    <x v="0"/>
    <x v="0"/>
    <x v="0"/>
    <s v="Morning"/>
    <n v="1"/>
    <x v="0"/>
    <n v="0.22"/>
    <s v="Mild"/>
    <n v="0.2727"/>
    <n v="0.8"/>
    <n v="0"/>
    <s v="Calm"/>
    <n v="2"/>
    <n v="0"/>
    <n v="2"/>
    <n v="15"/>
    <n v="15.705625319186328"/>
    <n v="-0.82772890195711735"/>
    <b v="0"/>
  </r>
  <r>
    <n v="8"/>
    <d v="2011-01-01T00:00:00"/>
    <n v="1"/>
    <n v="0"/>
    <x v="0"/>
    <x v="7"/>
    <b v="0"/>
    <x v="0"/>
    <x v="0"/>
    <x v="0"/>
    <s v="Morning"/>
    <n v="1"/>
    <x v="0"/>
    <n v="0.2"/>
    <s v="Mild"/>
    <n v="0.2576"/>
    <n v="0.86"/>
    <n v="0"/>
    <s v="Calm"/>
    <n v="1"/>
    <n v="2"/>
    <n v="3"/>
    <n v="13.5"/>
    <n v="15.146899729930592"/>
    <n v="-0.69321116447689812"/>
    <b v="0"/>
  </r>
  <r>
    <n v="9"/>
    <d v="2011-01-01T00:00:00"/>
    <n v="1"/>
    <n v="0"/>
    <x v="0"/>
    <x v="8"/>
    <b v="0"/>
    <x v="0"/>
    <x v="0"/>
    <x v="0"/>
    <s v="Morning"/>
    <n v="1"/>
    <x v="0"/>
    <n v="0.24"/>
    <s v="Mild"/>
    <m/>
    <n v="0.75"/>
    <n v="0"/>
    <s v="Calm"/>
    <n v="1"/>
    <n v="7"/>
    <n v="8"/>
    <n v="12.888888888888889"/>
    <n v="14.286745994491227"/>
    <n v="-0.34219750885008926"/>
    <b v="0"/>
  </r>
  <r>
    <n v="10"/>
    <d v="2011-01-01T00:00:00"/>
    <n v="1"/>
    <n v="0"/>
    <x v="0"/>
    <x v="9"/>
    <b v="0"/>
    <x v="0"/>
    <x v="0"/>
    <x v="0"/>
    <s v="Morning"/>
    <n v="1"/>
    <x v="0"/>
    <n v="0.32"/>
    <s v="Mild"/>
    <n v="0.34849999999999998"/>
    <n v="0.76"/>
    <n v="0"/>
    <s v="Calm"/>
    <n v="8"/>
    <n v="6"/>
    <n v="14"/>
    <n v="13"/>
    <n v="13.474255287605157"/>
    <n v="7.4215604399294019E-2"/>
    <b v="0"/>
  </r>
  <r>
    <n v="11"/>
    <d v="2011-01-01T00:00:00"/>
    <n v="1"/>
    <n v="0"/>
    <x v="0"/>
    <x v="10"/>
    <b v="0"/>
    <x v="0"/>
    <x v="0"/>
    <x v="0"/>
    <s v="Morning"/>
    <n v="1"/>
    <x v="0"/>
    <n v="0.38"/>
    <s v="Mild"/>
    <n v="0.39389999999999997"/>
    <n v="0.76"/>
    <n v="0.25369999999999998"/>
    <s v="Light Breeze"/>
    <n v="12"/>
    <n v="24"/>
    <n v="36"/>
    <n v="15.090909090909092"/>
    <n v="14.542727016997503"/>
    <n v="1.4377696070793609"/>
    <b v="0"/>
  </r>
  <r>
    <n v="12"/>
    <d v="2011-01-01T00:00:00"/>
    <n v="1"/>
    <n v="0"/>
    <x v="0"/>
    <x v="11"/>
    <b v="0"/>
    <x v="0"/>
    <x v="0"/>
    <x v="0"/>
    <s v="Morning"/>
    <n v="1"/>
    <x v="0"/>
    <n v="0.36"/>
    <s v="Mild"/>
    <n v="0.33329999999999999"/>
    <n v="0.81"/>
    <n v="0.28360000000000002"/>
    <s v="Light Breeze"/>
    <n v="26"/>
    <n v="30"/>
    <n v="56"/>
    <n v="18.5"/>
    <n v="18.2133816938885"/>
    <n v="2.0589257190268584"/>
    <b v="0"/>
  </r>
  <r>
    <n v="13"/>
    <d v="2011-01-01T00:00:00"/>
    <n v="1"/>
    <n v="0"/>
    <x v="0"/>
    <x v="12"/>
    <b v="0"/>
    <x v="0"/>
    <x v="0"/>
    <x v="0"/>
    <s v="Midday"/>
    <n v="1"/>
    <x v="0"/>
    <n v="0.42"/>
    <s v="Mild"/>
    <n v="0.42420000000000002"/>
    <n v="0.77"/>
    <n v="0.28360000000000002"/>
    <s v="Light Breeze"/>
    <n v="29"/>
    <n v="55"/>
    <n v="84"/>
    <n v="23.53846153846154"/>
    <n v="25.181393212103337"/>
    <n v="2.4010402423833268"/>
    <b v="0"/>
  </r>
  <r>
    <n v="14"/>
    <d v="2011-01-01T00:00:00"/>
    <n v="1"/>
    <n v="0"/>
    <x v="0"/>
    <x v="13"/>
    <b v="0"/>
    <x v="0"/>
    <x v="0"/>
    <x v="0"/>
    <s v="Midday"/>
    <n v="2"/>
    <x v="1"/>
    <n v="0.46"/>
    <s v="Mild"/>
    <n v="0.45450000000000002"/>
    <n v="0.72"/>
    <n v="0.29849999999999999"/>
    <s v="Light Breeze"/>
    <n v="47"/>
    <n v="47"/>
    <n v="94"/>
    <n v="28.571428571428573"/>
    <n v="30.658702581095046"/>
    <n v="2.1340945937130553"/>
    <b v="0"/>
  </r>
  <r>
    <n v="15"/>
    <d v="2011-01-01T00:00:00"/>
    <n v="1"/>
    <n v="0"/>
    <x v="0"/>
    <x v="14"/>
    <b v="0"/>
    <x v="0"/>
    <x v="0"/>
    <x v="0"/>
    <s v="Midday"/>
    <n v="2"/>
    <x v="1"/>
    <n v="0.46"/>
    <s v="Mild"/>
    <n v="0.45450000000000002"/>
    <n v="0.72"/>
    <n v="0.28360000000000002"/>
    <s v="Light Breeze"/>
    <n v="35"/>
    <n v="71"/>
    <n v="106"/>
    <n v="33.733333333333334"/>
    <n v="35.672051217938645"/>
    <n v="2.0258623824336022"/>
    <b v="0"/>
  </r>
  <r>
    <n v="16"/>
    <d v="2011-01-01T00:00:00"/>
    <n v="1"/>
    <n v="0"/>
    <x v="0"/>
    <x v="15"/>
    <b v="0"/>
    <x v="0"/>
    <x v="0"/>
    <x v="0"/>
    <s v="Midday"/>
    <n v="2"/>
    <x v="1"/>
    <n v="0.44"/>
    <s v="Mild"/>
    <n v="0.43940000000000001"/>
    <n v="0.77"/>
    <n v="0.29849999999999999"/>
    <s v="Light Breeze"/>
    <n v="40"/>
    <n v="70"/>
    <n v="110"/>
    <n v="38.5"/>
    <n v="39.385276436759966"/>
    <n v="1.8153992168826314"/>
    <b v="0"/>
  </r>
  <r>
    <n v="17"/>
    <d v="2011-01-01T00:00:00"/>
    <n v="1"/>
    <n v="0"/>
    <x v="0"/>
    <x v="16"/>
    <b v="0"/>
    <x v="0"/>
    <x v="0"/>
    <x v="0"/>
    <s v="Midday"/>
    <n v="2"/>
    <x v="1"/>
    <n v="0.42"/>
    <s v="Mild"/>
    <n v="0.42420000000000002"/>
    <n v="0.82"/>
    <n v="0.29849999999999999"/>
    <s v="Light Breeze"/>
    <n v="41"/>
    <n v="52"/>
    <n v="93"/>
    <n v="41.705882352941174"/>
    <n v="40.360507779700868"/>
    <n v="1.2708987192885854"/>
    <b v="0"/>
  </r>
  <r>
    <n v="18"/>
    <d v="2011-01-01T00:00:00"/>
    <n v="1"/>
    <n v="0"/>
    <x v="0"/>
    <x v="17"/>
    <b v="0"/>
    <x v="0"/>
    <x v="0"/>
    <x v="0"/>
    <s v="Evening"/>
    <n v="2"/>
    <x v="1"/>
    <n v="0.44"/>
    <s v="Mild"/>
    <m/>
    <n v="0.82"/>
    <n v="0.28360000000000002"/>
    <s v="Light Breeze"/>
    <n v="15"/>
    <n v="52"/>
    <n v="67"/>
    <n v="43.111111111111114"/>
    <n v="39.606726833424602"/>
    <n v="0.60315231272099867"/>
    <b v="0"/>
  </r>
  <r>
    <n v="19"/>
    <d v="2011-01-01T00:00:00"/>
    <n v="1"/>
    <n v="0"/>
    <x v="0"/>
    <x v="18"/>
    <b v="0"/>
    <x v="0"/>
    <x v="0"/>
    <x v="0"/>
    <s v="Evening"/>
    <n v="3"/>
    <x v="2"/>
    <n v="0.42"/>
    <s v="Mild"/>
    <n v="0.42420000000000002"/>
    <n v="0.88"/>
    <n v="0.25369999999999998"/>
    <s v="Light Breeze"/>
    <n v="9"/>
    <n v="26"/>
    <n v="35"/>
    <n v="42.684210526315788"/>
    <n v="38.535773613010761"/>
    <n v="-0.19940460008622696"/>
    <b v="0"/>
  </r>
  <r>
    <n v="20"/>
    <d v="2011-01-01T00:00:00"/>
    <n v="1"/>
    <n v="0"/>
    <x v="0"/>
    <x v="19"/>
    <b v="0"/>
    <x v="0"/>
    <x v="0"/>
    <x v="0"/>
    <s v="Evening"/>
    <n v="3"/>
    <x v="2"/>
    <n v="0.42"/>
    <s v="Mild"/>
    <n v="0.42420000000000002"/>
    <n v="0.88"/>
    <n v="0.25369999999999998"/>
    <s v="Light Breeze"/>
    <n v="6"/>
    <n v="31"/>
    <n v="37"/>
    <n v="42.4"/>
    <n v="37.529497170822005"/>
    <n v="-0.14388681989052407"/>
    <b v="0"/>
  </r>
  <r>
    <n v="21"/>
    <d v="2011-01-01T00:00:00"/>
    <n v="1"/>
    <n v="0"/>
    <x v="0"/>
    <x v="20"/>
    <b v="0"/>
    <x v="0"/>
    <x v="0"/>
    <x v="0"/>
    <s v="Evening"/>
    <n v="2"/>
    <x v="1"/>
    <n v="0.4"/>
    <s v="Mild"/>
    <n v="0.40910000000000002"/>
    <n v="0.87"/>
    <n v="0.25369999999999998"/>
    <s v="Light Breeze"/>
    <n v="11"/>
    <n v="25"/>
    <n v="36"/>
    <n v="42.095238095238095"/>
    <n v="36.605880349890185"/>
    <n v="-0.1665098076313955"/>
    <b v="0"/>
  </r>
  <r>
    <n v="22"/>
    <d v="2011-01-01T00:00:00"/>
    <n v="1"/>
    <n v="0"/>
    <x v="0"/>
    <x v="21"/>
    <b v="0"/>
    <x v="0"/>
    <x v="0"/>
    <x v="0"/>
    <s v="Night"/>
    <n v="2"/>
    <x v="1"/>
    <n v="0.4"/>
    <s v="Mild"/>
    <n v="0.40910000000000002"/>
    <n v="0.87"/>
    <n v="0.19400000000000001"/>
    <s v="Light Breeze"/>
    <n v="3"/>
    <n v="31"/>
    <n v="34"/>
    <n v="41.727272727272727"/>
    <n v="35.765348777275655"/>
    <n v="-0.21605472870943815"/>
    <b v="0"/>
  </r>
  <r>
    <n v="23"/>
    <d v="2011-01-01T00:00:00"/>
    <n v="1"/>
    <n v="0"/>
    <x v="0"/>
    <x v="22"/>
    <b v="0"/>
    <x v="0"/>
    <x v="0"/>
    <x v="0"/>
    <s v="Night"/>
    <n v="2"/>
    <x v="1"/>
    <n v="0.4"/>
    <s v="Mild"/>
    <n v="0.40910000000000002"/>
    <n v="0.94"/>
    <n v="0.22389999999999999"/>
    <s v="Light Breeze"/>
    <n v="11"/>
    <n v="17"/>
    <n v="28"/>
    <n v="41.130434782608695"/>
    <n v="35.060083944081022"/>
    <n v="-0.37451236008308036"/>
    <b v="0"/>
  </r>
  <r>
    <n v="24"/>
    <d v="2011-01-01T00:00:00"/>
    <n v="1"/>
    <n v="0"/>
    <x v="0"/>
    <x v="23"/>
    <b v="0"/>
    <x v="0"/>
    <x v="0"/>
    <x v="0"/>
    <s v="Night"/>
    <n v="2"/>
    <x v="1"/>
    <n v="0.46"/>
    <s v="Mild"/>
    <m/>
    <n v="0.88"/>
    <n v="0.29849999999999999"/>
    <s v="Light Breeze"/>
    <n v="15"/>
    <n v="24"/>
    <n v="39"/>
    <n v="41.041666666666664"/>
    <n v="34.292196053109919"/>
    <n v="-5.9537355481831498E-2"/>
    <b v="0"/>
  </r>
  <r>
    <n v="25"/>
    <d v="2011-01-02T00:00:00"/>
    <n v="1"/>
    <n v="0"/>
    <x v="0"/>
    <x v="0"/>
    <b v="0"/>
    <x v="1"/>
    <x v="1"/>
    <x v="0"/>
    <s v="Night"/>
    <n v="2"/>
    <x v="1"/>
    <n v="0.46"/>
    <s v="Mild"/>
    <n v="0.45450000000000002"/>
    <n v="0.88"/>
    <n v="0.29849999999999999"/>
    <s v="Light Breeze"/>
    <n v="4"/>
    <n v="13"/>
    <n v="17"/>
    <n v="41.083333333333336"/>
    <n v="34.261039689123713"/>
    <n v="-0.70293644185522697"/>
    <b v="0"/>
  </r>
  <r>
    <n v="26"/>
    <d v="2011-01-02T00:00:00"/>
    <n v="1"/>
    <n v="0"/>
    <x v="0"/>
    <x v="1"/>
    <b v="0"/>
    <x v="1"/>
    <x v="1"/>
    <x v="0"/>
    <s v="Night"/>
    <n v="2"/>
    <x v="1"/>
    <n v="0.44"/>
    <s v="Mild"/>
    <n v="0.43940000000000001"/>
    <n v="0.94"/>
    <n v="0.25369999999999998"/>
    <s v="Light Breeze"/>
    <n v="1"/>
    <n v="16"/>
    <n v="17"/>
    <n v="40.125"/>
    <n v="34.612529146438341"/>
    <n v="-0.66811066888995552"/>
    <b v="0"/>
  </r>
  <r>
    <n v="27"/>
    <d v="2011-01-02T00:00:00"/>
    <n v="1"/>
    <n v="0"/>
    <x v="0"/>
    <x v="2"/>
    <b v="0"/>
    <x v="1"/>
    <x v="1"/>
    <x v="0"/>
    <s v="Night"/>
    <n v="2"/>
    <x v="1"/>
    <n v="0.42"/>
    <s v="Mild"/>
    <n v="0.42420000000000002"/>
    <n v="1"/>
    <n v="0.28360000000000002"/>
    <s v="Light Breeze"/>
    <n v="1"/>
    <n v="8"/>
    <n v="9"/>
    <n v="39.166666666666664"/>
    <n v="35.161325921809464"/>
    <n v="-0.857950201700307"/>
    <b v="0"/>
  </r>
  <r>
    <n v="28"/>
    <d v="2011-01-02T00:00:00"/>
    <n v="1"/>
    <n v="0"/>
    <x v="0"/>
    <x v="3"/>
    <b v="0"/>
    <x v="1"/>
    <x v="1"/>
    <x v="0"/>
    <s v="Night"/>
    <n v="2"/>
    <x v="1"/>
    <n v="0.46"/>
    <s v="Mild"/>
    <n v="0.45450000000000002"/>
    <n v="0.94"/>
    <n v="0.19400000000000001"/>
    <s v="Light Breeze"/>
    <n v="2"/>
    <n v="4"/>
    <n v="6"/>
    <n v="38.875"/>
    <n v="35.415929233584436"/>
    <n v="-0.92825462190118369"/>
    <b v="0"/>
  </r>
  <r>
    <n v="29"/>
    <d v="2011-01-02T00:00:00"/>
    <n v="1"/>
    <n v="0"/>
    <x v="0"/>
    <x v="4"/>
    <b v="0"/>
    <x v="1"/>
    <x v="1"/>
    <x v="0"/>
    <s v="Night"/>
    <n v="2"/>
    <x v="1"/>
    <n v="0.46"/>
    <s v="Mild"/>
    <m/>
    <n v="0.94"/>
    <n v="0.19400000000000001"/>
    <s v="Light Breeze"/>
    <n v="2"/>
    <n v="1"/>
    <n v="3"/>
    <n v="38.958333333333336"/>
    <n v="35.325171671531741"/>
    <n v="-1.017923809902157"/>
    <b v="0"/>
  </r>
  <r>
    <n v="30"/>
    <d v="2011-01-02T00:00:00"/>
    <n v="1"/>
    <n v="0"/>
    <x v="0"/>
    <x v="6"/>
    <b v="0"/>
    <x v="1"/>
    <x v="1"/>
    <x v="0"/>
    <s v="Morning"/>
    <n v="3"/>
    <x v="2"/>
    <n v="0.42"/>
    <s v="Mild"/>
    <n v="0.42420000000000002"/>
    <n v="0.77"/>
    <n v="0.29849999999999999"/>
    <s v="Light Breeze"/>
    <n v="0"/>
    <n v="2"/>
    <n v="2"/>
    <n v="39"/>
    <n v="35.279012112758686"/>
    <n v="-1.0487822017731308"/>
    <b v="0"/>
  </r>
  <r>
    <n v="31"/>
    <d v="2011-01-02T00:00:00"/>
    <n v="1"/>
    <n v="0"/>
    <x v="0"/>
    <x v="7"/>
    <b v="0"/>
    <x v="1"/>
    <x v="1"/>
    <x v="0"/>
    <s v="Morning"/>
    <n v="2"/>
    <x v="1"/>
    <n v="0.4"/>
    <s v="Mild"/>
    <n v="0.40910000000000002"/>
    <n v="0.76"/>
    <n v="0.19400000000000001"/>
    <s v="Light Breeze"/>
    <n v="0"/>
    <n v="1"/>
    <n v="1"/>
    <n v="38.958333333333336"/>
    <n v="35.325171671531741"/>
    <n v="-1.0745406614378505"/>
    <b v="0"/>
  </r>
  <r>
    <n v="32"/>
    <d v="2011-01-02T00:00:00"/>
    <n v="1"/>
    <n v="0"/>
    <x v="0"/>
    <x v="8"/>
    <b v="0"/>
    <x v="1"/>
    <x v="1"/>
    <x v="0"/>
    <s v="Morning"/>
    <n v="3"/>
    <x v="2"/>
    <n v="0.4"/>
    <s v="Mild"/>
    <n v="0.40910000000000002"/>
    <n v="0.71"/>
    <n v="0.22389999999999999"/>
    <s v="Light Breeze"/>
    <n v="0"/>
    <n v="8"/>
    <n v="8"/>
    <n v="39.166666666666664"/>
    <n v="35.118020478364677"/>
    <n v="-0.88748358370220948"/>
    <b v="0"/>
  </r>
  <r>
    <n v="33"/>
    <d v="2011-01-02T00:00:00"/>
    <n v="1"/>
    <n v="0"/>
    <x v="0"/>
    <x v="9"/>
    <b v="0"/>
    <x v="1"/>
    <x v="1"/>
    <x v="0"/>
    <s v="Morning"/>
    <n v="2"/>
    <x v="1"/>
    <n v="0.38"/>
    <s v="Mild"/>
    <m/>
    <n v="0.76"/>
    <n v="0.22389999999999999"/>
    <s v="Light Breeze"/>
    <n v="1"/>
    <n v="19"/>
    <n v="20"/>
    <n v="39.666666666666664"/>
    <n v="34.738359535078885"/>
    <n v="-0.56613688527252459"/>
    <b v="0"/>
  </r>
  <r>
    <n v="34"/>
    <d v="2011-01-02T00:00:00"/>
    <n v="1"/>
    <n v="0"/>
    <x v="0"/>
    <x v="10"/>
    <b v="0"/>
    <x v="1"/>
    <x v="1"/>
    <x v="0"/>
    <s v="Morning"/>
    <n v="2"/>
    <x v="1"/>
    <n v="0.36"/>
    <s v="Mild"/>
    <n v="0.34849999999999998"/>
    <n v="0.81"/>
    <n v="0.22389999999999999"/>
    <s v="Light Breeze"/>
    <n v="7"/>
    <n v="46"/>
    <n v="53"/>
    <n v="41.291666666666664"/>
    <n v="34.396004781479142"/>
    <n v="0.34039806098753073"/>
    <b v="0"/>
  </r>
  <r>
    <n v="35"/>
    <d v="2011-01-02T00:00:00"/>
    <n v="1"/>
    <n v="0"/>
    <x v="0"/>
    <x v="11"/>
    <b v="0"/>
    <x v="1"/>
    <x v="1"/>
    <x v="0"/>
    <s v="Morning"/>
    <n v="2"/>
    <x v="1"/>
    <n v="0.36"/>
    <s v="Mild"/>
    <n v="0.33329999999999999"/>
    <n v="0.71"/>
    <n v="0.25369999999999998"/>
    <s v="Light Breeze"/>
    <n v="16"/>
    <n v="54"/>
    <n v="70"/>
    <n v="42.708333333333336"/>
    <n v="34.865554406290045"/>
    <n v="0.78276875648198541"/>
    <b v="0"/>
  </r>
  <r>
    <n v="36"/>
    <d v="2011-01-02T00:00:00"/>
    <n v="1"/>
    <n v="0"/>
    <x v="0"/>
    <x v="12"/>
    <b v="0"/>
    <x v="1"/>
    <x v="1"/>
    <x v="0"/>
    <s v="Midday"/>
    <n v="2"/>
    <x v="1"/>
    <n v="0.36"/>
    <s v="Mild"/>
    <n v="0.33329999999999999"/>
    <n v="0.66"/>
    <n v="0.29849999999999999"/>
    <s v="Light Breeze"/>
    <n v="20"/>
    <n v="73"/>
    <n v="93"/>
    <n v="44.25"/>
    <n v="36.26862340202976"/>
    <n v="1.3441370371193002"/>
    <b v="0"/>
  </r>
  <r>
    <n v="37"/>
    <d v="2011-01-02T00:00:00"/>
    <n v="1"/>
    <n v="0"/>
    <x v="0"/>
    <x v="13"/>
    <b v="0"/>
    <x v="1"/>
    <x v="1"/>
    <x v="0"/>
    <s v="Midday"/>
    <n v="2"/>
    <x v="1"/>
    <n v="0.36"/>
    <s v="Mild"/>
    <n v="0.34849999999999998"/>
    <n v="0.66"/>
    <n v="0.1343"/>
    <s v="Light Breeze"/>
    <n v="11"/>
    <n v="64"/>
    <n v="75"/>
    <n v="43.875"/>
    <n v="35.884249300021409"/>
    <n v="0.8673721927347503"/>
    <b v="0"/>
  </r>
  <r>
    <n v="38"/>
    <d v="2011-01-02T00:00:00"/>
    <n v="1"/>
    <n v="0"/>
    <x v="0"/>
    <x v="14"/>
    <b v="0"/>
    <x v="1"/>
    <x v="1"/>
    <x v="0"/>
    <s v="Midday"/>
    <n v="3"/>
    <x v="2"/>
    <n v="0.36"/>
    <s v="Mild"/>
    <m/>
    <n v="0.76"/>
    <n v="0.19400000000000001"/>
    <s v="Light Breeze"/>
    <n v="4"/>
    <n v="55"/>
    <n v="59"/>
    <n v="42.416666666666664"/>
    <n v="34.440770413372967"/>
    <n v="0.48150297261916686"/>
    <b v="0"/>
  </r>
  <r>
    <n v="39"/>
    <d v="2011-01-02T00:00:00"/>
    <n v="1"/>
    <n v="0"/>
    <x v="0"/>
    <x v="15"/>
    <b v="0"/>
    <x v="1"/>
    <x v="1"/>
    <x v="0"/>
    <s v="Midday"/>
    <n v="3"/>
    <x v="2"/>
    <n v="0.34"/>
    <s v="Mild"/>
    <n v="0.33329999999999999"/>
    <n v="0.81"/>
    <n v="0.16420000000000001"/>
    <s v="Light Breeze"/>
    <n v="19"/>
    <n v="55"/>
    <n v="74"/>
    <n v="41.083333333333336"/>
    <n v="32.433097248049705"/>
    <n v="1.0149097514467582"/>
    <b v="0"/>
  </r>
  <r>
    <n v="40"/>
    <d v="2011-01-02T00:00:00"/>
    <n v="1"/>
    <n v="0"/>
    <x v="0"/>
    <x v="16"/>
    <b v="0"/>
    <x v="1"/>
    <x v="1"/>
    <x v="0"/>
    <s v="Midday"/>
    <n v="3"/>
    <x v="2"/>
    <n v="0.34"/>
    <s v="Mild"/>
    <n v="0.33329999999999999"/>
    <n v="0.71"/>
    <n v="0.16420000000000001"/>
    <s v="Light Breeze"/>
    <n v="9"/>
    <n v="67"/>
    <n v="76"/>
    <n v="39.666666666666664"/>
    <n v="29.938584478557271"/>
    <n v="1.2135955645917775"/>
    <b v="0"/>
  </r>
  <r>
    <n v="41"/>
    <d v="2011-01-02T00:00:00"/>
    <n v="1"/>
    <n v="0"/>
    <x v="0"/>
    <x v="17"/>
    <b v="0"/>
    <x v="1"/>
    <x v="1"/>
    <x v="0"/>
    <s v="Evening"/>
    <n v="1"/>
    <x v="0"/>
    <n v="0.34"/>
    <s v="Mild"/>
    <n v="0.33329999999999999"/>
    <n v="0.56999999999999995"/>
    <n v="0.19400000000000001"/>
    <s v="Light Breeze"/>
    <n v="7"/>
    <n v="58"/>
    <n v="65"/>
    <n v="38.5"/>
    <n v="28.268895181499555"/>
    <n v="0.93742609429401402"/>
    <b v="0"/>
  </r>
  <r>
    <n v="42"/>
    <d v="2011-01-02T00:00:00"/>
    <n v="1"/>
    <n v="0"/>
    <x v="0"/>
    <x v="18"/>
    <b v="0"/>
    <x v="1"/>
    <x v="1"/>
    <x v="0"/>
    <s v="Evening"/>
    <n v="2"/>
    <x v="1"/>
    <n v="0.36"/>
    <s v="Mild"/>
    <n v="0.33329999999999999"/>
    <n v="0.46"/>
    <n v="0.32840000000000003"/>
    <s v="Gale"/>
    <n v="10"/>
    <n v="43"/>
    <n v="53"/>
    <n v="37.916666666666664"/>
    <n v="27.795709188206772"/>
    <n v="0.54264970291648207"/>
    <b v="0"/>
  </r>
  <r>
    <n v="43"/>
    <d v="2011-01-02T00:00:00"/>
    <n v="1"/>
    <n v="0"/>
    <x v="0"/>
    <x v="19"/>
    <b v="0"/>
    <x v="1"/>
    <x v="1"/>
    <x v="0"/>
    <s v="Evening"/>
    <n v="1"/>
    <x v="0"/>
    <n v="0.32"/>
    <s v="Mild"/>
    <n v="0.28789999999999999"/>
    <n v="0.42"/>
    <n v="0.44779999999999998"/>
    <s v="Gale"/>
    <n v="1"/>
    <n v="29"/>
    <n v="30"/>
    <n v="37.708333333333336"/>
    <n v="27.837227446066862"/>
    <n v="-0.27690736616165595"/>
    <b v="0"/>
  </r>
  <r>
    <n v="44"/>
    <d v="2011-01-02T00:00:00"/>
    <n v="1"/>
    <n v="0"/>
    <x v="0"/>
    <x v="20"/>
    <b v="0"/>
    <x v="1"/>
    <x v="1"/>
    <x v="0"/>
    <s v="Evening"/>
    <n v="1"/>
    <x v="0"/>
    <n v="0.3"/>
    <s v="Mild"/>
    <m/>
    <n v="0.39"/>
    <n v="0.35820000000000002"/>
    <s v="Gale"/>
    <n v="5"/>
    <n v="17"/>
    <n v="22"/>
    <n v="37.083333333333336"/>
    <n v="28.021601398341538"/>
    <n v="-0.53827520843352106"/>
    <b v="0"/>
  </r>
  <r>
    <n v="45"/>
    <d v="2011-01-02T00:00:00"/>
    <n v="1"/>
    <n v="0"/>
    <x v="0"/>
    <x v="21"/>
    <b v="0"/>
    <x v="1"/>
    <x v="1"/>
    <x v="0"/>
    <s v="Night"/>
    <n v="1"/>
    <x v="0"/>
    <n v="0.26"/>
    <s v="Mild"/>
    <n v="0.2273"/>
    <n v="0.44"/>
    <n v="0.32840000000000003"/>
    <s v="Gale"/>
    <n v="11"/>
    <n v="20"/>
    <n v="31"/>
    <n v="36.875"/>
    <n v="28.048579751690752"/>
    <n v="-0.20945802076291789"/>
    <b v="0"/>
  </r>
  <r>
    <n v="46"/>
    <d v="2011-01-02T00:00:00"/>
    <n v="1"/>
    <n v="0"/>
    <x v="0"/>
    <x v="22"/>
    <b v="0"/>
    <x v="1"/>
    <x v="1"/>
    <x v="0"/>
    <s v="Night"/>
    <n v="1"/>
    <x v="0"/>
    <n v="0.24"/>
    <s v="Mild"/>
    <n v="0.21210000000000001"/>
    <n v="0.44"/>
    <n v="0.29849999999999999"/>
    <s v="Light Breeze"/>
    <n v="0"/>
    <n v="9"/>
    <n v="9"/>
    <n v="35.833333333333336"/>
    <n v="28.618429250285963"/>
    <n v="-0.93762425249335479"/>
    <b v="0"/>
  </r>
  <r>
    <n v="47"/>
    <d v="2011-01-02T00:00:00"/>
    <n v="1"/>
    <n v="0"/>
    <x v="0"/>
    <x v="23"/>
    <b v="0"/>
    <x v="1"/>
    <x v="1"/>
    <x v="0"/>
    <s v="Night"/>
    <n v="1"/>
    <x v="0"/>
    <n v="0.22"/>
    <s v="Mild"/>
    <n v="0.2273"/>
    <n v="0.47"/>
    <n v="0.16420000000000001"/>
    <s v="Light Breeze"/>
    <n v="0"/>
    <n v="8"/>
    <n v="8"/>
    <n v="35"/>
    <n v="29.142826695879844"/>
    <n v="-0.92647155616573074"/>
    <b v="0"/>
  </r>
  <r>
    <n v="48"/>
    <d v="2011-01-03T00:00:00"/>
    <n v="1"/>
    <n v="0"/>
    <x v="0"/>
    <x v="0"/>
    <b v="0"/>
    <x v="2"/>
    <x v="2"/>
    <x v="1"/>
    <s v="Night"/>
    <n v="1"/>
    <x v="0"/>
    <n v="0.22"/>
    <s v="Mild"/>
    <n v="0.19700000000000001"/>
    <n v="0.44"/>
    <n v="0.35820000000000002"/>
    <s v="Gale"/>
    <n v="0"/>
    <n v="5"/>
    <n v="5"/>
    <n v="33.583333333333336"/>
    <n v="29.759787088220772"/>
    <n v="-0.96046834100660994"/>
    <b v="0"/>
  </r>
  <r>
    <n v="49"/>
    <d v="2011-01-03T00:00:00"/>
    <n v="1"/>
    <n v="0"/>
    <x v="0"/>
    <x v="1"/>
    <b v="0"/>
    <x v="2"/>
    <x v="2"/>
    <x v="1"/>
    <s v="Night"/>
    <n v="1"/>
    <x v="0"/>
    <n v="0.2"/>
    <s v="Mild"/>
    <m/>
    <n v="0.44"/>
    <n v="0.41789999999999999"/>
    <s v="Gale"/>
    <n v="0"/>
    <n v="2"/>
    <n v="2"/>
    <n v="32.958333333333336"/>
    <n v="30.276234282335057"/>
    <n v="-1.0225291905405902"/>
    <b v="0"/>
  </r>
  <r>
    <n v="50"/>
    <d v="2011-01-03T00:00:00"/>
    <n v="1"/>
    <n v="0"/>
    <x v="0"/>
    <x v="4"/>
    <b v="0"/>
    <x v="2"/>
    <x v="2"/>
    <x v="1"/>
    <s v="Night"/>
    <n v="1"/>
    <x v="0"/>
    <n v="0.16"/>
    <s v="Cold"/>
    <n v="0.13639999999999999"/>
    <n v="0.47"/>
    <n v="0.3881"/>
    <s v="Gale"/>
    <n v="0"/>
    <n v="1"/>
    <n v="1"/>
    <n v="32.291666666666664"/>
    <n v="30.814281226993302"/>
    <n v="-1.0154923438309889"/>
    <b v="0"/>
  </r>
  <r>
    <n v="51"/>
    <d v="2011-01-03T00:00:00"/>
    <n v="1"/>
    <n v="0"/>
    <x v="0"/>
    <x v="5"/>
    <b v="0"/>
    <x v="2"/>
    <x v="2"/>
    <x v="1"/>
    <s v="Night"/>
    <n v="1"/>
    <x v="0"/>
    <n v="0.16"/>
    <s v="Cold"/>
    <n v="0.13639999999999999"/>
    <n v="0.47"/>
    <n v="0.28360000000000002"/>
    <s v="Light Breeze"/>
    <n v="0"/>
    <n v="3"/>
    <n v="3"/>
    <n v="32.041666666666664"/>
    <n v="31.035014120333106"/>
    <n v="-0.93577101508839122"/>
    <b v="0"/>
  </r>
  <r>
    <n v="52"/>
    <d v="2011-01-03T00:00:00"/>
    <n v="1"/>
    <n v="0"/>
    <x v="0"/>
    <x v="6"/>
    <b v="0"/>
    <x v="2"/>
    <x v="2"/>
    <x v="1"/>
    <s v="Morning"/>
    <n v="1"/>
    <x v="0"/>
    <n v="0.14000000000000001"/>
    <s v="Cold"/>
    <n v="0.1061"/>
    <n v="0.5"/>
    <n v="0.3881"/>
    <s v="Gale"/>
    <n v="0"/>
    <n v="30"/>
    <n v="30"/>
    <n v="33.041666666666664"/>
    <n v="30.542172079967049"/>
    <n v="-9.9589075023964233E-2"/>
    <b v="0"/>
  </r>
  <r>
    <n v="53"/>
    <d v="2011-01-03T00:00:00"/>
    <n v="1"/>
    <n v="0"/>
    <x v="0"/>
    <x v="7"/>
    <b v="0"/>
    <x v="2"/>
    <x v="2"/>
    <x v="1"/>
    <s v="Morning"/>
    <n v="1"/>
    <x v="0"/>
    <n v="0.14000000000000001"/>
    <s v="Cold"/>
    <n v="0.13639999999999999"/>
    <n v="0.5"/>
    <n v="0.19400000000000001"/>
    <s v="Light Breeze"/>
    <n v="1"/>
    <n v="63"/>
    <n v="64"/>
    <n v="35.583333333333336"/>
    <n v="30.471535779373234"/>
    <n v="0.93256430763501097"/>
    <b v="0"/>
  </r>
  <r>
    <n v="54"/>
    <d v="2011-01-03T00:00:00"/>
    <n v="1"/>
    <n v="0"/>
    <x v="0"/>
    <x v="8"/>
    <b v="0"/>
    <x v="2"/>
    <x v="2"/>
    <x v="1"/>
    <s v="Morning"/>
    <n v="1"/>
    <x v="0"/>
    <n v="0.14000000000000001"/>
    <s v="Cold"/>
    <n v="0.1212"/>
    <n v="0.5"/>
    <n v="0.28360000000000002"/>
    <s v="Light Breeze"/>
    <n v="1"/>
    <n v="153"/>
    <n v="154"/>
    <n v="41.916666666666664"/>
    <n v="38.043358177864313"/>
    <n v="2.9461997757745135"/>
    <b v="0"/>
  </r>
  <r>
    <n v="55"/>
    <d v="2011-01-03T00:00:00"/>
    <n v="1"/>
    <n v="0"/>
    <x v="0"/>
    <x v="9"/>
    <b v="0"/>
    <x v="2"/>
    <x v="2"/>
    <x v="1"/>
    <s v="Morning"/>
    <n v="1"/>
    <x v="0"/>
    <n v="0.16"/>
    <s v="Cold"/>
    <n v="0.13639999999999999"/>
    <n v="0.43"/>
    <n v="0.3881"/>
    <s v="Gale"/>
    <n v="7"/>
    <n v="81"/>
    <n v="88"/>
    <n v="45.541666666666664"/>
    <n v="38.119924228523935"/>
    <n v="1.1138094892004824"/>
    <b v="0"/>
  </r>
  <r>
    <n v="56"/>
    <d v="2011-01-03T00:00:00"/>
    <n v="1"/>
    <n v="0"/>
    <x v="0"/>
    <x v="10"/>
    <b v="0"/>
    <x v="2"/>
    <x v="2"/>
    <x v="1"/>
    <s v="Morning"/>
    <n v="1"/>
    <x v="0"/>
    <n v="0.18"/>
    <s v="Cold"/>
    <n v="0.16669999999999999"/>
    <n v="0.43"/>
    <n v="0.25369999999999998"/>
    <s v="Light Breeze"/>
    <n v="11"/>
    <n v="33"/>
    <n v="44"/>
    <n v="47.041666666666664"/>
    <n v="37.277431296402"/>
    <n v="-8.1595393268426325E-2"/>
    <b v="0"/>
  </r>
  <r>
    <n v="57"/>
    <d v="2011-01-03T00:00:00"/>
    <n v="1"/>
    <n v="0"/>
    <x v="0"/>
    <x v="11"/>
    <b v="0"/>
    <x v="2"/>
    <x v="2"/>
    <x v="1"/>
    <s v="Morning"/>
    <n v="1"/>
    <x v="0"/>
    <n v="0.2"/>
    <s v="Mild"/>
    <n v="0.18179999999999999"/>
    <n v="0.4"/>
    <n v="0.32840000000000003"/>
    <s v="Gale"/>
    <n v="10"/>
    <n v="41"/>
    <n v="51"/>
    <n v="48.333333333333336"/>
    <n v="36.834136655939233"/>
    <n v="7.2396611099521557E-2"/>
    <b v="0"/>
  </r>
  <r>
    <n v="58"/>
    <d v="2011-01-03T00:00:00"/>
    <n v="1"/>
    <n v="0"/>
    <x v="0"/>
    <x v="12"/>
    <b v="0"/>
    <x v="2"/>
    <x v="2"/>
    <x v="1"/>
    <s v="Midday"/>
    <n v="1"/>
    <x v="0"/>
    <n v="0.22"/>
    <s v="Mild"/>
    <n v="0.21210000000000001"/>
    <n v="0.35"/>
    <n v="0.29849999999999999"/>
    <s v="Light Breeze"/>
    <n v="13"/>
    <n v="48"/>
    <n v="61"/>
    <n v="48.666666666666664"/>
    <n v="36.914315199752345"/>
    <n v="0.33410706027173109"/>
    <b v="0"/>
  </r>
  <r>
    <n v="59"/>
    <d v="2011-01-03T00:00:00"/>
    <n v="1"/>
    <n v="0"/>
    <x v="0"/>
    <x v="13"/>
    <b v="0"/>
    <x v="2"/>
    <x v="2"/>
    <x v="1"/>
    <s v="Midday"/>
    <n v="1"/>
    <x v="0"/>
    <n v="0.24"/>
    <s v="Mild"/>
    <m/>
    <n v="0.35"/>
    <n v="0.28360000000000002"/>
    <s v="Light Breeze"/>
    <n v="8"/>
    <n v="53"/>
    <n v="61"/>
    <n v="48.291666666666664"/>
    <n v="36.733445448157376"/>
    <n v="0.34596083156067819"/>
    <b v="0"/>
  </r>
  <r>
    <n v="60"/>
    <d v="2011-01-03T00:00:00"/>
    <n v="1"/>
    <n v="0"/>
    <x v="0"/>
    <x v="14"/>
    <b v="0"/>
    <x v="2"/>
    <x v="2"/>
    <x v="1"/>
    <s v="Midday"/>
    <n v="1"/>
    <x v="0"/>
    <n v="0.26"/>
    <s v="Mild"/>
    <n v="0.2424"/>
    <n v="0.3"/>
    <n v="0.28360000000000002"/>
    <s v="Light Breeze"/>
    <n v="11"/>
    <n v="66"/>
    <n v="77"/>
    <n v="47.625"/>
    <n v="36.025127100521047"/>
    <n v="0.81540309123781374"/>
    <b v="0"/>
  </r>
  <r>
    <n v="61"/>
    <d v="2011-01-03T00:00:00"/>
    <n v="1"/>
    <n v="0"/>
    <x v="0"/>
    <x v="15"/>
    <b v="0"/>
    <x v="2"/>
    <x v="2"/>
    <x v="1"/>
    <s v="Midday"/>
    <n v="1"/>
    <x v="0"/>
    <n v="0.26"/>
    <s v="Mild"/>
    <n v="0.2424"/>
    <n v="0.3"/>
    <n v="0.25369999999999998"/>
    <s v="Light Breeze"/>
    <n v="14"/>
    <n v="58"/>
    <n v="72"/>
    <n v="47.5"/>
    <n v="35.931093474327632"/>
    <n v="0.68186068474384109"/>
    <b v="0"/>
  </r>
  <r>
    <n v="62"/>
    <d v="2011-01-03T00:00:00"/>
    <n v="1"/>
    <n v="0"/>
    <x v="0"/>
    <x v="16"/>
    <b v="0"/>
    <x v="2"/>
    <x v="2"/>
    <x v="1"/>
    <s v="Midday"/>
    <n v="1"/>
    <x v="0"/>
    <n v="0.26"/>
    <s v="Mild"/>
    <n v="0.2424"/>
    <n v="0.3"/>
    <n v="0.25369999999999998"/>
    <s v="Light Breeze"/>
    <n v="9"/>
    <n v="67"/>
    <n v="76"/>
    <n v="48.208333333333336"/>
    <n v="36.332975998774671"/>
    <n v="0.76491577974796054"/>
    <b v="0"/>
  </r>
  <r>
    <n v="63"/>
    <d v="2011-01-03T00:00:00"/>
    <n v="1"/>
    <n v="0"/>
    <x v="0"/>
    <x v="17"/>
    <b v="0"/>
    <x v="2"/>
    <x v="2"/>
    <x v="1"/>
    <s v="Evening"/>
    <n v="1"/>
    <x v="0"/>
    <n v="0.24"/>
    <s v="Mild"/>
    <n v="0.2273"/>
    <n v="0.3"/>
    <n v="0.22389999999999999"/>
    <s v="Light Breeze"/>
    <n v="11"/>
    <n v="146"/>
    <n v="157"/>
    <n v="51.666666666666664"/>
    <n v="42.347082099228992"/>
    <n v="2.4873811396618311"/>
    <b v="0"/>
  </r>
  <r>
    <n v="64"/>
    <d v="2011-01-03T00:00:00"/>
    <n v="1"/>
    <n v="0"/>
    <x v="0"/>
    <x v="18"/>
    <b v="0"/>
    <x v="2"/>
    <x v="2"/>
    <x v="1"/>
    <s v="Evening"/>
    <n v="1"/>
    <x v="0"/>
    <n v="0.24"/>
    <s v="Mild"/>
    <n v="0.2576"/>
    <n v="0.32"/>
    <n v="0.1045"/>
    <s v="Calm"/>
    <n v="9"/>
    <n v="148"/>
    <n v="157"/>
    <n v="55.041666666666664"/>
    <n v="47.30794506916007"/>
    <n v="2.1552052870670919"/>
    <b v="0"/>
  </r>
  <r>
    <n v="65"/>
    <d v="2011-01-03T00:00:00"/>
    <n v="1"/>
    <n v="0"/>
    <x v="0"/>
    <x v="19"/>
    <b v="0"/>
    <x v="2"/>
    <x v="2"/>
    <x v="1"/>
    <s v="Evening"/>
    <n v="1"/>
    <x v="0"/>
    <n v="0.2"/>
    <s v="Mild"/>
    <n v="0.2576"/>
    <n v="0.47"/>
    <n v="0"/>
    <s v="Calm"/>
    <n v="8"/>
    <n v="102"/>
    <n v="110"/>
    <n v="56.916666666666664"/>
    <n v="48.594074309230486"/>
    <n v="1.0923828488950167"/>
    <b v="0"/>
  </r>
  <r>
    <n v="66"/>
    <d v="2011-01-03T00:00:00"/>
    <n v="1"/>
    <n v="0"/>
    <x v="0"/>
    <x v="20"/>
    <b v="0"/>
    <x v="2"/>
    <x v="2"/>
    <x v="1"/>
    <s v="Evening"/>
    <n v="1"/>
    <x v="0"/>
    <n v="0.2"/>
    <s v="Mild"/>
    <m/>
    <n v="0.47"/>
    <n v="0.1045"/>
    <s v="Calm"/>
    <n v="3"/>
    <n v="49"/>
    <n v="52"/>
    <n v="56.875"/>
    <n v="48.598007205520538"/>
    <n v="-0.10031275519968687"/>
    <b v="0"/>
  </r>
  <r>
    <n v="67"/>
    <d v="2011-01-03T00:00:00"/>
    <n v="1"/>
    <n v="0"/>
    <x v="0"/>
    <x v="21"/>
    <b v="0"/>
    <x v="2"/>
    <x v="2"/>
    <x v="1"/>
    <s v="Night"/>
    <n v="1"/>
    <x v="0"/>
    <n v="0.18"/>
    <s v="Cold"/>
    <n v="0.19700000000000001"/>
    <n v="0.64"/>
    <n v="0.1343"/>
    <s v="Light Breeze"/>
    <n v="3"/>
    <n v="49"/>
    <n v="52"/>
    <n v="57.791666666666664"/>
    <n v="48.275458853709836"/>
    <n v="-0.11997124013294781"/>
    <b v="0"/>
  </r>
  <r>
    <n v="68"/>
    <d v="2011-01-03T00:00:00"/>
    <n v="1"/>
    <n v="0"/>
    <x v="0"/>
    <x v="22"/>
    <b v="0"/>
    <x v="2"/>
    <x v="2"/>
    <x v="1"/>
    <s v="Night"/>
    <n v="1"/>
    <x v="0"/>
    <n v="0.14000000000000001"/>
    <s v="Cold"/>
    <n v="0.1515"/>
    <n v="0.69"/>
    <n v="0.1343"/>
    <s v="Light Breeze"/>
    <n v="0"/>
    <n v="20"/>
    <n v="20"/>
    <n v="57.708333333333336"/>
    <n v="48.341609736168877"/>
    <n v="-0.78003884312359184"/>
    <b v="0"/>
  </r>
  <r>
    <n v="69"/>
    <d v="2011-01-03T00:00:00"/>
    <n v="1"/>
    <n v="0"/>
    <x v="0"/>
    <x v="23"/>
    <b v="0"/>
    <x v="2"/>
    <x v="2"/>
    <x v="1"/>
    <s v="Night"/>
    <n v="1"/>
    <x v="0"/>
    <n v="0.18"/>
    <s v="Cold"/>
    <n v="0.21210000000000001"/>
    <n v="0.55000000000000004"/>
    <n v="0.1045"/>
    <s v="Calm"/>
    <n v="1"/>
    <n v="11"/>
    <n v="12"/>
    <n v="56.916666666666664"/>
    <n v="48.949767212367085"/>
    <n v="-0.91760736004723098"/>
    <b v="0"/>
  </r>
  <r>
    <n v="70"/>
    <d v="2011-01-04T00:00:00"/>
    <n v="1"/>
    <n v="0"/>
    <x v="0"/>
    <x v="0"/>
    <b v="0"/>
    <x v="3"/>
    <x v="3"/>
    <x v="1"/>
    <s v="Night"/>
    <n v="1"/>
    <x v="0"/>
    <n v="0.16"/>
    <s v="Cold"/>
    <m/>
    <n v="0.55000000000000004"/>
    <n v="0.1045"/>
    <s v="Calm"/>
    <n v="0"/>
    <n v="5"/>
    <n v="5"/>
    <n v="56.75"/>
    <n v="49.126500419613251"/>
    <n v="-1.0534029405306335"/>
    <b v="0"/>
  </r>
  <r>
    <n v="71"/>
    <d v="2011-01-04T00:00:00"/>
    <n v="1"/>
    <n v="0"/>
    <x v="0"/>
    <x v="1"/>
    <b v="0"/>
    <x v="3"/>
    <x v="3"/>
    <x v="1"/>
    <s v="Night"/>
    <n v="1"/>
    <x v="0"/>
    <n v="0.16"/>
    <s v="Cold"/>
    <n v="0.18179999999999999"/>
    <n v="0.59"/>
    <n v="0.1045"/>
    <s v="Calm"/>
    <n v="0"/>
    <n v="2"/>
    <n v="2"/>
    <n v="56.5"/>
    <n v="49.399876782102972"/>
    <n v="-1.1032416182006499"/>
    <b v="0"/>
  </r>
  <r>
    <n v="72"/>
    <d v="2011-01-04T00:00:00"/>
    <n v="1"/>
    <n v="0"/>
    <x v="0"/>
    <x v="2"/>
    <b v="0"/>
    <x v="3"/>
    <x v="3"/>
    <x v="1"/>
    <s v="Night"/>
    <n v="1"/>
    <x v="0"/>
    <n v="0.14000000000000001"/>
    <s v="Cold"/>
    <n v="0.1515"/>
    <n v="0.63"/>
    <n v="0.1343"/>
    <s v="Light Breeze"/>
    <n v="0"/>
    <n v="1"/>
    <n v="1"/>
    <n v="56.333333333333336"/>
    <n v="49.587574413676293"/>
    <n v="-1.115870941210473"/>
    <b v="0"/>
  </r>
  <r>
    <n v="73"/>
    <d v="2011-01-04T00:00:00"/>
    <n v="1"/>
    <n v="0"/>
    <x v="0"/>
    <x v="4"/>
    <b v="0"/>
    <x v="3"/>
    <x v="3"/>
    <x v="1"/>
    <s v="Night"/>
    <n v="1"/>
    <x v="0"/>
    <n v="0.14000000000000001"/>
    <s v="Cold"/>
    <n v="0.18179999999999999"/>
    <n v="0.63"/>
    <n v="8.9599999999999999E-2"/>
    <s v="Calm"/>
    <n v="0"/>
    <n v="2"/>
    <n v="2"/>
    <n v="56.333333333333336"/>
    <n v="49.587574413676293"/>
    <n v="-1.0957045988994405"/>
    <b v="0"/>
  </r>
  <r>
    <n v="74"/>
    <d v="2011-01-04T00:00:00"/>
    <n v="1"/>
    <n v="0"/>
    <x v="0"/>
    <x v="5"/>
    <b v="0"/>
    <x v="3"/>
    <x v="3"/>
    <x v="1"/>
    <s v="Night"/>
    <n v="1"/>
    <x v="0"/>
    <n v="0.12"/>
    <s v="Cold"/>
    <n v="0.1515"/>
    <n v="0.68"/>
    <n v="0.1045"/>
    <s v="Calm"/>
    <n v="0"/>
    <n v="4"/>
    <n v="4"/>
    <n v="56.458333333333336"/>
    <n v="49.445603986837781"/>
    <n v="-1.0609301758614886"/>
    <b v="0"/>
  </r>
  <r>
    <n v="75"/>
    <d v="2011-01-04T00:00:00"/>
    <n v="1"/>
    <n v="0"/>
    <x v="0"/>
    <x v="6"/>
    <b v="0"/>
    <x v="3"/>
    <x v="3"/>
    <x v="1"/>
    <s v="Morning"/>
    <n v="1"/>
    <x v="0"/>
    <n v="0.12"/>
    <s v="Cold"/>
    <n v="0.1515"/>
    <n v="0.74"/>
    <n v="0.1045"/>
    <s v="Calm"/>
    <n v="0"/>
    <n v="36"/>
    <n v="36"/>
    <n v="57.833333333333336"/>
    <n v="48.34087897122005"/>
    <n v="-0.45165362728162028"/>
    <b v="0"/>
  </r>
  <r>
    <n v="76"/>
    <d v="2011-01-04T00:00:00"/>
    <n v="1"/>
    <n v="0"/>
    <x v="0"/>
    <x v="7"/>
    <b v="0"/>
    <x v="3"/>
    <x v="3"/>
    <x v="1"/>
    <s v="Morning"/>
    <n v="1"/>
    <x v="0"/>
    <n v="0.12"/>
    <s v="Cold"/>
    <n v="0.1515"/>
    <n v="0.74"/>
    <n v="0.1343"/>
    <s v="Light Breeze"/>
    <n v="2"/>
    <n v="92"/>
    <n v="94"/>
    <n v="60.5"/>
    <n v="48.503697752358775"/>
    <n v="0.69066899128058468"/>
    <b v="0"/>
  </r>
  <r>
    <n v="77"/>
    <d v="2011-01-04T00:00:00"/>
    <n v="1"/>
    <n v="0"/>
    <x v="0"/>
    <x v="8"/>
    <b v="0"/>
    <x v="3"/>
    <x v="3"/>
    <x v="1"/>
    <s v="Morning"/>
    <n v="1"/>
    <x v="0"/>
    <n v="0.14000000000000001"/>
    <s v="Cold"/>
    <n v="0.1515"/>
    <n v="0.69"/>
    <n v="0.16420000000000001"/>
    <s v="Light Breeze"/>
    <n v="2"/>
    <n v="177"/>
    <n v="179"/>
    <n v="65.291666666666671"/>
    <n v="54.209319884304399"/>
    <n v="2.0975790431611023"/>
    <b v="0"/>
  </r>
  <r>
    <n v="78"/>
    <d v="2011-01-04T00:00:00"/>
    <n v="1"/>
    <n v="0"/>
    <x v="0"/>
    <x v="9"/>
    <b v="0"/>
    <x v="3"/>
    <x v="3"/>
    <x v="1"/>
    <s v="Morning"/>
    <n v="1"/>
    <x v="0"/>
    <n v="0.16"/>
    <s v="Cold"/>
    <n v="0.1515"/>
    <n v="0.64"/>
    <n v="0.22389999999999999"/>
    <s v="Light Breeze"/>
    <n v="2"/>
    <n v="98"/>
    <n v="100"/>
    <n v="63.041666666666664"/>
    <n v="51.416017777128275"/>
    <n v="0.71880971983352926"/>
    <b v="0"/>
  </r>
  <r>
    <n v="79"/>
    <d v="2011-01-04T00:00:00"/>
    <n v="1"/>
    <n v="0"/>
    <x v="0"/>
    <x v="10"/>
    <b v="0"/>
    <x v="3"/>
    <x v="3"/>
    <x v="1"/>
    <s v="Morning"/>
    <n v="2"/>
    <x v="1"/>
    <n v="0.16"/>
    <s v="Cold"/>
    <n v="0.13639999999999999"/>
    <n v="0.69"/>
    <n v="0.32840000000000003"/>
    <s v="Gale"/>
    <n v="5"/>
    <n v="37"/>
    <n v="42"/>
    <n v="61.125"/>
    <n v="51.302438708031261"/>
    <n v="-0.37278929582359271"/>
    <b v="0"/>
  </r>
  <r>
    <n v="80"/>
    <d v="2011-01-04T00:00:00"/>
    <n v="1"/>
    <n v="0"/>
    <x v="0"/>
    <x v="11"/>
    <b v="0"/>
    <x v="3"/>
    <x v="3"/>
    <x v="1"/>
    <s v="Morning"/>
    <n v="1"/>
    <x v="0"/>
    <n v="0.22"/>
    <s v="Mild"/>
    <n v="0.21210000000000001"/>
    <n v="0.51"/>
    <n v="0.29849999999999999"/>
    <s v="Light Breeze"/>
    <n v="7"/>
    <n v="50"/>
    <n v="57"/>
    <n v="61.666666666666664"/>
    <n v="51.182254624096004"/>
    <n v="-9.1177434463187018E-2"/>
    <b v="0"/>
  </r>
  <r>
    <n v="81"/>
    <d v="2011-01-04T00:00:00"/>
    <n v="1"/>
    <n v="0"/>
    <x v="0"/>
    <x v="12"/>
    <b v="0"/>
    <x v="3"/>
    <x v="3"/>
    <x v="1"/>
    <s v="Midday"/>
    <n v="1"/>
    <x v="0"/>
    <n v="0.22"/>
    <s v="Mild"/>
    <n v="0.2273"/>
    <n v="0.51"/>
    <n v="0.16420000000000001"/>
    <s v="Light Breeze"/>
    <n v="12"/>
    <n v="66"/>
    <n v="78"/>
    <n v="62.791666666666664"/>
    <n v="51.234311844162868"/>
    <n v="0.29683883292102853"/>
    <b v="0"/>
  </r>
  <r>
    <n v="82"/>
    <d v="2011-01-04T00:00:00"/>
    <n v="1"/>
    <n v="0"/>
    <x v="0"/>
    <x v="13"/>
    <b v="0"/>
    <x v="3"/>
    <x v="3"/>
    <x v="1"/>
    <s v="Midday"/>
    <n v="1"/>
    <x v="0"/>
    <n v="0.24"/>
    <s v="Mild"/>
    <n v="0.2273"/>
    <n v="0.56000000000000005"/>
    <n v="0.19400000000000001"/>
    <s v="Light Breeze"/>
    <n v="18"/>
    <n v="79"/>
    <n v="97"/>
    <n v="64.291666666666671"/>
    <n v="51.704410010102173"/>
    <n v="0.63260238975636063"/>
    <b v="0"/>
  </r>
  <r>
    <n v="83"/>
    <d v="2011-01-04T00:00:00"/>
    <n v="1"/>
    <n v="0"/>
    <x v="0"/>
    <x v="14"/>
    <b v="0"/>
    <x v="3"/>
    <x v="3"/>
    <x v="1"/>
    <s v="Midday"/>
    <n v="1"/>
    <x v="0"/>
    <n v="0.26"/>
    <s v="Mild"/>
    <n v="0.2576"/>
    <n v="0.52"/>
    <n v="0.22389999999999999"/>
    <s v="Light Breeze"/>
    <n v="9"/>
    <n v="54"/>
    <n v="63"/>
    <n v="64.375"/>
    <n v="51.700485659143517"/>
    <n v="-2.6595494848254363E-2"/>
    <b v="0"/>
  </r>
  <r>
    <n v="84"/>
    <d v="2011-01-04T00:00:00"/>
    <n v="1"/>
    <n v="0"/>
    <x v="0"/>
    <x v="15"/>
    <b v="0"/>
    <x v="3"/>
    <x v="3"/>
    <x v="1"/>
    <s v="Midday"/>
    <n v="1"/>
    <x v="0"/>
    <n v="0.28000000000000003"/>
    <s v="Mild"/>
    <n v="0.2727"/>
    <n v="0.52"/>
    <n v="0.25369999999999998"/>
    <s v="Light Breeze"/>
    <n v="17"/>
    <n v="48"/>
    <n v="65"/>
    <n v="63.875"/>
    <n v="51.631059492788118"/>
    <n v="2.1789210042399792E-2"/>
    <b v="0"/>
  </r>
  <r>
    <n v="85"/>
    <d v="2011-01-04T00:00:00"/>
    <n v="1"/>
    <n v="0"/>
    <x v="0"/>
    <x v="16"/>
    <b v="0"/>
    <x v="3"/>
    <x v="3"/>
    <x v="1"/>
    <s v="Midday"/>
    <n v="1"/>
    <x v="0"/>
    <n v="0.3"/>
    <s v="Mild"/>
    <n v="0.28789999999999999"/>
    <n v="0.49"/>
    <n v="0.25369999999999998"/>
    <s v="Light Breeze"/>
    <n v="15"/>
    <n v="68"/>
    <n v="83"/>
    <n v="64.333333333333329"/>
    <n v="51.754996958215806"/>
    <n v="0.36067370812014793"/>
    <b v="0"/>
  </r>
  <r>
    <n v="86"/>
    <d v="2011-01-04T00:00:00"/>
    <n v="1"/>
    <n v="0"/>
    <x v="0"/>
    <x v="17"/>
    <b v="0"/>
    <x v="3"/>
    <x v="3"/>
    <x v="1"/>
    <s v="Evening"/>
    <n v="1"/>
    <x v="0"/>
    <n v="0.28000000000000003"/>
    <s v="Mild"/>
    <n v="0.2727"/>
    <n v="0.48"/>
    <n v="0.22389999999999999"/>
    <s v="Light Breeze"/>
    <n v="10"/>
    <n v="202"/>
    <n v="212"/>
    <n v="70"/>
    <n v="59.893383535281657"/>
    <n v="2.3708795799848481"/>
    <b v="0"/>
  </r>
  <r>
    <n v="87"/>
    <d v="2011-01-04T00:00:00"/>
    <n v="1"/>
    <n v="0"/>
    <x v="0"/>
    <x v="18"/>
    <b v="0"/>
    <x v="3"/>
    <x v="3"/>
    <x v="1"/>
    <s v="Evening"/>
    <n v="1"/>
    <x v="0"/>
    <n v="0.26"/>
    <s v="Mild"/>
    <n v="0.2576"/>
    <n v="0.48"/>
    <n v="0.19400000000000001"/>
    <s v="Light Breeze"/>
    <n v="3"/>
    <n v="179"/>
    <n v="182"/>
    <n v="71.041666666666671"/>
    <n v="61.663518329346267"/>
    <n v="1.7994161919321943"/>
    <b v="0"/>
  </r>
  <r>
    <n v="88"/>
    <d v="2011-01-04T00:00:00"/>
    <n v="1"/>
    <n v="0"/>
    <x v="0"/>
    <x v="19"/>
    <b v="0"/>
    <x v="3"/>
    <x v="3"/>
    <x v="1"/>
    <s v="Evening"/>
    <n v="1"/>
    <x v="0"/>
    <n v="0.24"/>
    <s v="Mild"/>
    <n v="0.2576"/>
    <n v="0.48"/>
    <n v="0.1045"/>
    <s v="Calm"/>
    <n v="2"/>
    <n v="110"/>
    <n v="112"/>
    <n v="69.166666666666671"/>
    <n v="59.585281715382102"/>
    <n v="0.71885761215215982"/>
    <b v="0"/>
  </r>
  <r>
    <n v="89"/>
    <d v="2011-01-04T00:00:00"/>
    <n v="1"/>
    <n v="0"/>
    <x v="0"/>
    <x v="20"/>
    <b v="0"/>
    <x v="3"/>
    <x v="3"/>
    <x v="1"/>
    <s v="Evening"/>
    <n v="1"/>
    <x v="0"/>
    <n v="0.24"/>
    <s v="Mild"/>
    <n v="0.2576"/>
    <n v="0.48"/>
    <n v="0.1045"/>
    <s v="Calm"/>
    <n v="1"/>
    <n v="53"/>
    <n v="54"/>
    <n v="66.833333333333329"/>
    <n v="59.010438771949246"/>
    <n v="-0.21747564668903435"/>
    <b v="0"/>
  </r>
  <r>
    <n v="90"/>
    <d v="2011-01-04T00:00:00"/>
    <n v="1"/>
    <n v="0"/>
    <x v="0"/>
    <x v="21"/>
    <b v="0"/>
    <x v="3"/>
    <x v="3"/>
    <x v="1"/>
    <s v="Night"/>
    <n v="1"/>
    <x v="0"/>
    <n v="0.22"/>
    <s v="Mild"/>
    <n v="0.2727"/>
    <n v="0.64"/>
    <n v="0"/>
    <s v="Calm"/>
    <n v="0"/>
    <n v="48"/>
    <n v="48"/>
    <n v="66.666666666666671"/>
    <n v="59.059783025460675"/>
    <n v="-0.31606392218913959"/>
    <b v="0"/>
  </r>
  <r>
    <n v="91"/>
    <d v="2011-01-04T00:00:00"/>
    <n v="1"/>
    <n v="0"/>
    <x v="0"/>
    <x v="22"/>
    <b v="0"/>
    <x v="3"/>
    <x v="3"/>
    <x v="1"/>
    <s v="Night"/>
    <n v="1"/>
    <x v="0"/>
    <n v="0.22"/>
    <s v="Mild"/>
    <n v="0.2576"/>
    <n v="0.64"/>
    <n v="8.9599999999999999E-2"/>
    <s v="Calm"/>
    <n v="1"/>
    <n v="34"/>
    <n v="35"/>
    <n v="65.958333333333329"/>
    <n v="59.344593663630803"/>
    <n v="-0.52167065982130179"/>
    <b v="0"/>
  </r>
  <r>
    <n v="92"/>
    <d v="2011-01-04T00:00:00"/>
    <n v="1"/>
    <n v="0"/>
    <x v="0"/>
    <x v="23"/>
    <b v="0"/>
    <x v="3"/>
    <x v="3"/>
    <x v="1"/>
    <s v="Night"/>
    <n v="1"/>
    <x v="0"/>
    <n v="0.2"/>
    <s v="Mild"/>
    <n v="0.2273"/>
    <n v="0.69"/>
    <n v="8.9599999999999999E-2"/>
    <s v="Calm"/>
    <n v="2"/>
    <n v="9"/>
    <n v="11"/>
    <n v="65.583333333333329"/>
    <n v="59.675147158643831"/>
    <n v="-0.91467446553966369"/>
    <b v="0"/>
  </r>
  <r>
    <n v="93"/>
    <d v="2011-01-05T00:00:00"/>
    <n v="1"/>
    <n v="0"/>
    <x v="0"/>
    <x v="0"/>
    <b v="0"/>
    <x v="4"/>
    <x v="4"/>
    <x v="1"/>
    <s v="Night"/>
    <n v="1"/>
    <x v="0"/>
    <n v="0.2"/>
    <s v="Mild"/>
    <n v="0.2576"/>
    <n v="0.64"/>
    <n v="0"/>
    <s v="Calm"/>
    <n v="0"/>
    <n v="6"/>
    <n v="6"/>
    <n v="65.333333333333329"/>
    <n v="59.921446161995519"/>
    <n v="-0.99018526977682997"/>
    <b v="0"/>
  </r>
  <r>
    <n v="94"/>
    <d v="2011-01-05T00:00:00"/>
    <n v="1"/>
    <n v="0"/>
    <x v="0"/>
    <x v="1"/>
    <b v="0"/>
    <x v="4"/>
    <x v="4"/>
    <x v="1"/>
    <s v="Night"/>
    <n v="1"/>
    <x v="0"/>
    <n v="0.16"/>
    <s v="Cold"/>
    <n v="0.19700000000000001"/>
    <n v="0.74"/>
    <n v="8.9599999999999999E-2"/>
    <s v="Calm"/>
    <n v="0"/>
    <n v="6"/>
    <n v="6"/>
    <n v="65.375"/>
    <n v="59.878000968636222"/>
    <n v="-0.99159956978357222"/>
    <b v="0"/>
  </r>
  <r>
    <n v="95"/>
    <d v="2011-01-05T00:00:00"/>
    <n v="1"/>
    <n v="0"/>
    <x v="0"/>
    <x v="2"/>
    <b v="0"/>
    <x v="4"/>
    <x v="4"/>
    <x v="1"/>
    <s v="Night"/>
    <n v="1"/>
    <x v="0"/>
    <n v="0.16"/>
    <s v="Cold"/>
    <n v="0.19700000000000001"/>
    <n v="0.74"/>
    <n v="8.9599999999999999E-2"/>
    <s v="Calm"/>
    <n v="0"/>
    <n v="2"/>
    <n v="2"/>
    <n v="65.375"/>
    <n v="59.878000968636222"/>
    <n v="-1.0584020671163603"/>
    <b v="0"/>
  </r>
  <r>
    <n v="96"/>
    <d v="2011-01-05T00:00:00"/>
    <n v="1"/>
    <n v="0"/>
    <x v="0"/>
    <x v="4"/>
    <b v="0"/>
    <x v="4"/>
    <x v="4"/>
    <x v="1"/>
    <s v="Night"/>
    <n v="1"/>
    <x v="0"/>
    <n v="0.24"/>
    <s v="Mild"/>
    <n v="0.2273"/>
    <n v="0.48"/>
    <n v="0.22389999999999999"/>
    <s v="Light Breeze"/>
    <n v="0"/>
    <n v="2"/>
    <n v="2"/>
    <n v="65.416666666666671"/>
    <n v="59.831587314559108"/>
    <n v="-1.059919509292965"/>
    <b v="0"/>
  </r>
  <r>
    <n v="97"/>
    <d v="2011-01-05T00:00:00"/>
    <n v="1"/>
    <n v="0"/>
    <x v="0"/>
    <x v="5"/>
    <b v="0"/>
    <x v="4"/>
    <x v="4"/>
    <x v="1"/>
    <s v="Night"/>
    <n v="1"/>
    <x v="0"/>
    <n v="0.22"/>
    <s v="Mild"/>
    <n v="0.2273"/>
    <n v="0.47"/>
    <n v="0.16420000000000001"/>
    <s v="Light Breeze"/>
    <n v="0"/>
    <n v="3"/>
    <n v="3"/>
    <n v="65.458333333333329"/>
    <n v="59.785834563822505"/>
    <n v="-1.0447012037049994"/>
    <b v="0"/>
  </r>
  <r>
    <n v="98"/>
    <d v="2011-01-05T00:00:00"/>
    <n v="1"/>
    <n v="0"/>
    <x v="0"/>
    <x v="6"/>
    <b v="0"/>
    <x v="4"/>
    <x v="4"/>
    <x v="1"/>
    <s v="Morning"/>
    <n v="1"/>
    <x v="0"/>
    <n v="0.2"/>
    <s v="Mild"/>
    <n v="0.19700000000000001"/>
    <n v="0.47"/>
    <n v="0.22389999999999999"/>
    <s v="Light Breeze"/>
    <n v="0"/>
    <n v="33"/>
    <n v="33"/>
    <n v="66.666666666666671"/>
    <n v="58.774193291796436"/>
    <n v="-0.57281376027607311"/>
    <b v="0"/>
  </r>
  <r>
    <n v="99"/>
    <d v="2011-01-05T00:00:00"/>
    <n v="1"/>
    <n v="0"/>
    <x v="0"/>
    <x v="7"/>
    <b v="0"/>
    <x v="4"/>
    <x v="4"/>
    <x v="1"/>
    <s v="Morning"/>
    <n v="1"/>
    <x v="0"/>
    <n v="0.18"/>
    <s v="Cold"/>
    <n v="0.18179999999999999"/>
    <n v="0.43"/>
    <n v="0.19400000000000001"/>
    <s v="Light Breeze"/>
    <n v="1"/>
    <n v="87"/>
    <n v="88"/>
    <n v="68.833333333333329"/>
    <n v="58.552590011898268"/>
    <n v="0.32734105635244964"/>
    <b v="0"/>
  </r>
  <r>
    <n v="100"/>
    <d v="2011-01-05T00:00:00"/>
    <n v="1"/>
    <n v="0"/>
    <x v="0"/>
    <x v="8"/>
    <b v="0"/>
    <x v="4"/>
    <x v="4"/>
    <x v="1"/>
    <s v="Morning"/>
    <n v="1"/>
    <x v="0"/>
    <n v="0.2"/>
    <s v="Mild"/>
    <n v="0.18179999999999999"/>
    <n v="0.4"/>
    <n v="0.29849999999999999"/>
    <s v="Light Breeze"/>
    <n v="3"/>
    <n v="192"/>
    <n v="195"/>
    <n v="73.041666666666671"/>
    <n v="63.83162577653308"/>
    <n v="1.9106255222183268"/>
    <b v="0"/>
  </r>
  <r>
    <n v="101"/>
    <d v="2011-01-05T00:00:00"/>
    <n v="1"/>
    <n v="0"/>
    <x v="0"/>
    <x v="9"/>
    <b v="0"/>
    <x v="4"/>
    <x v="4"/>
    <x v="1"/>
    <s v="Morning"/>
    <n v="1"/>
    <x v="0"/>
    <n v="0.22"/>
    <s v="Mild"/>
    <n v="0.19700000000000001"/>
    <n v="0.37"/>
    <n v="0.32840000000000003"/>
    <s v="Gale"/>
    <n v="6"/>
    <n v="109"/>
    <n v="115"/>
    <n v="70.375"/>
    <n v="60.460416443502432"/>
    <n v="0.73808621615598824"/>
    <b v="0"/>
  </r>
  <r>
    <n v="102"/>
    <d v="2011-01-05T00:00:00"/>
    <n v="1"/>
    <n v="0"/>
    <x v="0"/>
    <x v="10"/>
    <b v="0"/>
    <x v="4"/>
    <x v="4"/>
    <x v="1"/>
    <s v="Morning"/>
    <n v="1"/>
    <x v="0"/>
    <n v="0.22"/>
    <s v="Mild"/>
    <n v="0.19700000000000001"/>
    <n v="0.37"/>
    <n v="0.32840000000000003"/>
    <s v="Gale"/>
    <n v="4"/>
    <n v="53"/>
    <n v="57"/>
    <n v="68.583333333333329"/>
    <n v="60.180826548477803"/>
    <n v="-0.19247547761748571"/>
    <b v="0"/>
  </r>
  <r>
    <n v="103"/>
    <d v="2011-01-05T00:00:00"/>
    <n v="1"/>
    <n v="0"/>
    <x v="0"/>
    <x v="11"/>
    <b v="0"/>
    <x v="4"/>
    <x v="4"/>
    <x v="1"/>
    <s v="Morning"/>
    <n v="1"/>
    <x v="0"/>
    <n v="0.26"/>
    <s v="Mild"/>
    <n v="0.2273"/>
    <n v="0.33"/>
    <n v="0.32840000000000003"/>
    <s v="Gale"/>
    <n v="12"/>
    <n v="34"/>
    <n v="46"/>
    <n v="68.75"/>
    <n v="60.109501527737223"/>
    <n v="-0.37847593844214678"/>
    <b v="0"/>
  </r>
  <r>
    <n v="104"/>
    <d v="2011-01-05T00:00:00"/>
    <n v="1"/>
    <n v="0"/>
    <x v="0"/>
    <x v="12"/>
    <b v="0"/>
    <x v="4"/>
    <x v="4"/>
    <x v="1"/>
    <s v="Midday"/>
    <n v="1"/>
    <x v="0"/>
    <n v="0.26"/>
    <s v="Mild"/>
    <n v="0.2273"/>
    <n v="0.33"/>
    <n v="0.32840000000000003"/>
    <s v="Gale"/>
    <n v="5"/>
    <n v="74"/>
    <n v="79"/>
    <n v="69.666666666666671"/>
    <n v="60.09027025825516"/>
    <n v="0.15532187312888848"/>
    <b v="0"/>
  </r>
  <r>
    <n v="105"/>
    <d v="2011-01-05T00:00:00"/>
    <n v="1"/>
    <n v="0"/>
    <x v="0"/>
    <x v="13"/>
    <b v="0"/>
    <x v="4"/>
    <x v="4"/>
    <x v="1"/>
    <s v="Midday"/>
    <n v="1"/>
    <x v="0"/>
    <n v="0.28000000000000003"/>
    <s v="Mild"/>
    <n v="0.2576"/>
    <n v="0.3"/>
    <n v="0.29849999999999999"/>
    <s v="Light Breeze"/>
    <n v="6"/>
    <n v="65"/>
    <n v="71"/>
    <n v="69.375"/>
    <n v="60.065046263269416"/>
    <n v="2.7054003968922428E-2"/>
    <b v="0"/>
  </r>
  <r>
    <n v="106"/>
    <d v="2011-01-05T00:00:00"/>
    <n v="1"/>
    <n v="0"/>
    <x v="0"/>
    <x v="14"/>
    <b v="0"/>
    <x v="4"/>
    <x v="4"/>
    <x v="1"/>
    <s v="Midday"/>
    <n v="1"/>
    <x v="0"/>
    <n v="0.3"/>
    <s v="Mild"/>
    <n v="0.28789999999999999"/>
    <n v="0.28000000000000003"/>
    <n v="0.19400000000000001"/>
    <s v="Light Breeze"/>
    <n v="10"/>
    <n v="52"/>
    <n v="62"/>
    <n v="67.916666666666671"/>
    <n v="59.789425171336447"/>
    <n v="-9.8958413627685635E-2"/>
    <b v="0"/>
  </r>
  <r>
    <n v="107"/>
    <d v="2011-01-05T00:00:00"/>
    <n v="1"/>
    <n v="0"/>
    <x v="0"/>
    <x v="15"/>
    <b v="0"/>
    <x v="4"/>
    <x v="4"/>
    <x v="1"/>
    <s v="Midday"/>
    <n v="1"/>
    <x v="0"/>
    <n v="0.3"/>
    <s v="Mild"/>
    <n v="0.28789999999999999"/>
    <n v="0.28000000000000003"/>
    <n v="0.19400000000000001"/>
    <s v="Light Breeze"/>
    <n v="7"/>
    <n v="55"/>
    <n v="62"/>
    <n v="67.875"/>
    <n v="59.793348837620655"/>
    <n v="-9.8255075425773442E-2"/>
    <b v="0"/>
  </r>
  <r>
    <n v="108"/>
    <d v="2011-01-05T00:00:00"/>
    <n v="1"/>
    <n v="0"/>
    <x v="0"/>
    <x v="16"/>
    <b v="0"/>
    <x v="4"/>
    <x v="4"/>
    <x v="1"/>
    <s v="Midday"/>
    <n v="1"/>
    <x v="0"/>
    <n v="0.3"/>
    <s v="Mild"/>
    <n v="0.31819999999999998"/>
    <n v="0.28000000000000003"/>
    <n v="8.9599999999999999E-2"/>
    <s v="Calm"/>
    <n v="4"/>
    <n v="85"/>
    <n v="89"/>
    <n v="68.875"/>
    <n v="59.943678275673001"/>
    <n v="0.335731816580354"/>
    <b v="0"/>
  </r>
  <r>
    <n v="109"/>
    <d v="2011-01-05T00:00:00"/>
    <n v="1"/>
    <n v="0"/>
    <x v="0"/>
    <x v="17"/>
    <b v="0"/>
    <x v="4"/>
    <x v="4"/>
    <x v="1"/>
    <s v="Evening"/>
    <n v="1"/>
    <x v="0"/>
    <n v="0.24"/>
    <s v="Mild"/>
    <n v="0.2273"/>
    <n v="0.38"/>
    <n v="0.19400000000000001"/>
    <s v="Light Breeze"/>
    <n v="4"/>
    <n v="186"/>
    <n v="190"/>
    <n v="73.333333333333329"/>
    <n v="64.820599695833849"/>
    <n v="1.7998393599275058"/>
    <b v="0"/>
  </r>
  <r>
    <n v="110"/>
    <d v="2011-01-05T00:00:00"/>
    <n v="1"/>
    <n v="0"/>
    <x v="0"/>
    <x v="18"/>
    <b v="0"/>
    <x v="4"/>
    <x v="4"/>
    <x v="1"/>
    <s v="Evening"/>
    <n v="1"/>
    <x v="0"/>
    <n v="0.24"/>
    <s v="Mild"/>
    <n v="0.2424"/>
    <n v="0.38"/>
    <n v="0.1343"/>
    <s v="Light Breeze"/>
    <n v="3"/>
    <n v="166"/>
    <n v="169"/>
    <n v="71.541666666666671"/>
    <n v="61.320951215477848"/>
    <n v="1.5893154199593391"/>
    <b v="0"/>
  </r>
  <r>
    <n v="111"/>
    <d v="2011-01-05T00:00:00"/>
    <n v="1"/>
    <n v="0"/>
    <x v="0"/>
    <x v="19"/>
    <b v="0"/>
    <x v="4"/>
    <x v="4"/>
    <x v="1"/>
    <s v="Evening"/>
    <n v="1"/>
    <x v="0"/>
    <n v="0.24"/>
    <s v="Mild"/>
    <n v="0.2576"/>
    <n v="0.38"/>
    <n v="0.1045"/>
    <s v="Calm"/>
    <n v="5"/>
    <n v="127"/>
    <n v="132"/>
    <n v="69.458333333333329"/>
    <n v="58.173637512616274"/>
    <n v="1.0750860585794226"/>
    <b v="0"/>
  </r>
  <r>
    <n v="112"/>
    <d v="2011-01-05T00:00:00"/>
    <n v="1"/>
    <n v="0"/>
    <x v="0"/>
    <x v="20"/>
    <b v="0"/>
    <x v="4"/>
    <x v="4"/>
    <x v="1"/>
    <s v="Evening"/>
    <n v="1"/>
    <x v="0"/>
    <n v="0.22"/>
    <s v="Mild"/>
    <n v="0.2273"/>
    <n v="0.47"/>
    <n v="0.16420000000000001"/>
    <s v="Light Breeze"/>
    <n v="7"/>
    <n v="82"/>
    <n v="89"/>
    <n v="68.5"/>
    <n v="57.629249819710552"/>
    <n v="0.35572213874261677"/>
    <b v="0"/>
  </r>
  <r>
    <n v="113"/>
    <d v="2011-01-05T00:00:00"/>
    <n v="1"/>
    <n v="0"/>
    <x v="0"/>
    <x v="21"/>
    <b v="0"/>
    <x v="4"/>
    <x v="4"/>
    <x v="1"/>
    <s v="Night"/>
    <n v="1"/>
    <x v="0"/>
    <n v="0.2"/>
    <s v="Mild"/>
    <n v="0.19700000000000001"/>
    <n v="0.51"/>
    <n v="0.19400000000000001"/>
    <s v="Light Breeze"/>
    <n v="3"/>
    <n v="40"/>
    <n v="43"/>
    <n v="68.041666666666671"/>
    <n v="57.793093589689995"/>
    <n v="-0.43329860215570781"/>
    <b v="0"/>
  </r>
  <r>
    <n v="114"/>
    <d v="2011-01-05T00:00:00"/>
    <n v="1"/>
    <n v="0"/>
    <x v="0"/>
    <x v="22"/>
    <b v="0"/>
    <x v="4"/>
    <x v="4"/>
    <x v="1"/>
    <s v="Night"/>
    <n v="1"/>
    <x v="0"/>
    <n v="0.18"/>
    <s v="Cold"/>
    <n v="0.19700000000000001"/>
    <n v="0.55000000000000004"/>
    <n v="0.1343"/>
    <s v="Light Breeze"/>
    <n v="1"/>
    <n v="41"/>
    <n v="42"/>
    <n v="67.791666666666671"/>
    <n v="57.896443659397569"/>
    <n v="-0.44547929089389326"/>
    <b v="0"/>
  </r>
  <r>
    <n v="115"/>
    <d v="2011-01-05T00:00:00"/>
    <n v="1"/>
    <n v="0"/>
    <x v="0"/>
    <x v="23"/>
    <b v="0"/>
    <x v="4"/>
    <x v="4"/>
    <x v="1"/>
    <s v="Night"/>
    <n v="1"/>
    <x v="0"/>
    <n v="0.2"/>
    <s v="Mild"/>
    <n v="0.2576"/>
    <n v="0.47"/>
    <n v="0"/>
    <s v="Calm"/>
    <n v="1"/>
    <n v="18"/>
    <n v="19"/>
    <n v="67.125"/>
    <n v="58.380545076919766"/>
    <n v="-0.82433283102431665"/>
    <b v="0"/>
  </r>
  <r>
    <n v="116"/>
    <d v="2011-01-06T00:00:00"/>
    <n v="1"/>
    <n v="0"/>
    <x v="0"/>
    <x v="0"/>
    <b v="0"/>
    <x v="5"/>
    <x v="5"/>
    <x v="1"/>
    <s v="Night"/>
    <n v="1"/>
    <x v="0"/>
    <n v="0.18"/>
    <s v="Cold"/>
    <n v="0.2424"/>
    <n v="0.55000000000000004"/>
    <n v="0"/>
    <s v="Calm"/>
    <n v="0"/>
    <n v="11"/>
    <n v="11"/>
    <n v="67.125"/>
    <n v="58.380545076919766"/>
    <n v="-0.96136478215563159"/>
    <b v="0"/>
  </r>
  <r>
    <n v="117"/>
    <d v="2011-01-06T00:00:00"/>
    <n v="1"/>
    <n v="0"/>
    <x v="0"/>
    <x v="1"/>
    <b v="0"/>
    <x v="5"/>
    <x v="5"/>
    <x v="1"/>
    <s v="Night"/>
    <n v="1"/>
    <x v="0"/>
    <n v="0.16"/>
    <s v="Cold"/>
    <n v="0.2273"/>
    <n v="0.64"/>
    <n v="0"/>
    <s v="Calm"/>
    <n v="0"/>
    <n v="4"/>
    <n v="4"/>
    <n v="67.041666666666671"/>
    <n v="58.472943699864608"/>
    <n v="-1.0781339655183573"/>
    <b v="0"/>
  </r>
  <r>
    <n v="118"/>
    <d v="2011-01-06T00:00:00"/>
    <n v="1"/>
    <n v="0"/>
    <x v="0"/>
    <x v="2"/>
    <b v="0"/>
    <x v="5"/>
    <x v="5"/>
    <x v="1"/>
    <s v="Night"/>
    <n v="1"/>
    <x v="0"/>
    <n v="0.16"/>
    <s v="Cold"/>
    <n v="0.2273"/>
    <n v="0.64"/>
    <n v="0"/>
    <s v="Calm"/>
    <n v="0"/>
    <n v="2"/>
    <n v="2"/>
    <n v="66.875"/>
    <n v="58.659898530871786"/>
    <n v="-1.1059514527775274"/>
    <b v="0"/>
  </r>
  <r>
    <n v="119"/>
    <d v="2011-01-06T00:00:00"/>
    <n v="1"/>
    <n v="0"/>
    <x v="0"/>
    <x v="4"/>
    <b v="0"/>
    <x v="5"/>
    <x v="5"/>
    <x v="1"/>
    <s v="Night"/>
    <n v="2"/>
    <x v="1"/>
    <n v="0.16"/>
    <s v="Cold"/>
    <n v="0.19700000000000001"/>
    <n v="0.64"/>
    <n v="8.9599999999999999E-2"/>
    <s v="Calm"/>
    <n v="0"/>
    <n v="1"/>
    <n v="1"/>
    <n v="66.833333333333329"/>
    <n v="58.708318547431304"/>
    <n v="-1.1213629509784993"/>
    <b v="0"/>
  </r>
  <r>
    <n v="120"/>
    <d v="2011-01-06T00:00:00"/>
    <n v="1"/>
    <n v="0"/>
    <x v="0"/>
    <x v="5"/>
    <b v="0"/>
    <x v="5"/>
    <x v="5"/>
    <x v="1"/>
    <s v="Night"/>
    <n v="2"/>
    <x v="1"/>
    <n v="0.14000000000000001"/>
    <s v="Cold"/>
    <n v="0.18179999999999999"/>
    <n v="0.69"/>
    <n v="8.9599999999999999E-2"/>
    <s v="Calm"/>
    <n v="0"/>
    <n v="4"/>
    <n v="4"/>
    <n v="66.916666666666671"/>
    <n v="58.613632979149934"/>
    <n v="-1.0734135297337295"/>
    <b v="0"/>
  </r>
  <r>
    <n v="121"/>
    <d v="2011-01-06T00:00:00"/>
    <n v="1"/>
    <n v="0"/>
    <x v="0"/>
    <x v="6"/>
    <b v="0"/>
    <x v="5"/>
    <x v="5"/>
    <x v="1"/>
    <s v="Morning"/>
    <n v="2"/>
    <x v="1"/>
    <n v="0.14000000000000001"/>
    <s v="Cold"/>
    <n v="0.16669999999999999"/>
    <n v="0.63"/>
    <n v="0.1045"/>
    <s v="Calm"/>
    <n v="0"/>
    <n v="36"/>
    <n v="36"/>
    <n v="68.291666666666671"/>
    <n v="57.424036148082031"/>
    <n v="-0.56233711234429162"/>
    <b v="0"/>
  </r>
  <r>
    <n v="122"/>
    <d v="2011-01-06T00:00:00"/>
    <n v="1"/>
    <n v="0"/>
    <x v="0"/>
    <x v="7"/>
    <b v="0"/>
    <x v="5"/>
    <x v="5"/>
    <x v="1"/>
    <s v="Morning"/>
    <n v="2"/>
    <x v="1"/>
    <n v="0.16"/>
    <s v="Cold"/>
    <n v="0.2273"/>
    <n v="0.59"/>
    <n v="0"/>
    <s v="Calm"/>
    <n v="0"/>
    <n v="95"/>
    <n v="95"/>
    <n v="70.875"/>
    <n v="57.161337267954721"/>
    <n v="0.42205100778012661"/>
    <b v="0"/>
  </r>
  <r>
    <n v="123"/>
    <d v="2011-01-06T00:00:00"/>
    <n v="1"/>
    <n v="0"/>
    <x v="0"/>
    <x v="8"/>
    <b v="0"/>
    <x v="5"/>
    <x v="5"/>
    <x v="1"/>
    <s v="Morning"/>
    <n v="1"/>
    <x v="0"/>
    <n v="0.16"/>
    <s v="Cold"/>
    <n v="0.2273"/>
    <n v="0.59"/>
    <n v="0"/>
    <s v="Calm"/>
    <n v="3"/>
    <n v="216"/>
    <n v="219"/>
    <n v="76.333333333333329"/>
    <n v="64.633862888458538"/>
    <n v="2.2073052776200726"/>
    <b v="0"/>
  </r>
  <r>
    <n v="124"/>
    <d v="2011-01-06T00:00:00"/>
    <n v="1"/>
    <n v="0"/>
    <x v="0"/>
    <x v="9"/>
    <b v="0"/>
    <x v="5"/>
    <x v="5"/>
    <x v="1"/>
    <s v="Morning"/>
    <n v="2"/>
    <x v="1"/>
    <n v="0.18"/>
    <s v="Cold"/>
    <n v="0.2424"/>
    <n v="0.51"/>
    <n v="0"/>
    <s v="Calm"/>
    <n v="6"/>
    <n v="116"/>
    <n v="122"/>
    <n v="73.291666666666671"/>
    <n v="60.384621686584111"/>
    <n v="0.80663473534943164"/>
    <b v="0"/>
  </r>
  <r>
    <n v="125"/>
    <d v="2011-01-06T00:00:00"/>
    <n v="1"/>
    <n v="0"/>
    <x v="0"/>
    <x v="10"/>
    <b v="0"/>
    <x v="5"/>
    <x v="5"/>
    <x v="1"/>
    <s v="Morning"/>
    <n v="1"/>
    <x v="0"/>
    <n v="0.2"/>
    <s v="Mild"/>
    <n v="0.2576"/>
    <n v="0.47"/>
    <n v="0"/>
    <s v="Calm"/>
    <n v="3"/>
    <n v="42"/>
    <n v="45"/>
    <n v="70.375"/>
    <n v="59.971596537897405"/>
    <n v="-0.42311696644535657"/>
    <b v="0"/>
  </r>
  <r>
    <n v="126"/>
    <d v="2011-01-06T00:00:00"/>
    <n v="1"/>
    <n v="0"/>
    <x v="0"/>
    <x v="11"/>
    <b v="0"/>
    <x v="5"/>
    <x v="5"/>
    <x v="1"/>
    <s v="Morning"/>
    <n v="1"/>
    <x v="0"/>
    <n v="0.22"/>
    <s v="Mild"/>
    <n v="0.2576"/>
    <n v="0.44"/>
    <n v="8.9599999999999999E-2"/>
    <s v="Calm"/>
    <n v="2"/>
    <n v="57"/>
    <n v="59"/>
    <n v="70.458333333333329"/>
    <n v="59.953590142830414"/>
    <n v="-0.19112005312835431"/>
    <b v="0"/>
  </r>
  <r>
    <n v="127"/>
    <d v="2011-01-06T00:00:00"/>
    <n v="1"/>
    <n v="0"/>
    <x v="0"/>
    <x v="12"/>
    <b v="0"/>
    <x v="5"/>
    <x v="5"/>
    <x v="1"/>
    <s v="Midday"/>
    <n v="1"/>
    <x v="0"/>
    <n v="0.26"/>
    <s v="Mild"/>
    <n v="0.28789999999999999"/>
    <n v="0.35"/>
    <n v="0"/>
    <s v="Calm"/>
    <n v="6"/>
    <n v="78"/>
    <n v="84"/>
    <n v="72.041666666666671"/>
    <n v="59.781107359277385"/>
    <n v="0.2000353265700677"/>
    <b v="0"/>
  </r>
  <r>
    <n v="128"/>
    <d v="2011-01-06T00:00:00"/>
    <n v="1"/>
    <n v="0"/>
    <x v="0"/>
    <x v="13"/>
    <b v="0"/>
    <x v="5"/>
    <x v="5"/>
    <x v="1"/>
    <s v="Midday"/>
    <n v="1"/>
    <x v="0"/>
    <n v="0.26"/>
    <s v="Mild"/>
    <n v="0.2727"/>
    <n v="0.35"/>
    <n v="0.1045"/>
    <s v="Calm"/>
    <n v="12"/>
    <n v="55"/>
    <n v="67"/>
    <n v="71.541666666666671"/>
    <n v="59.770560709568649"/>
    <n v="-7.5985010224934993E-2"/>
    <b v="0"/>
  </r>
  <r>
    <n v="129"/>
    <d v="2011-01-06T00:00:00"/>
    <n v="1"/>
    <n v="0"/>
    <x v="0"/>
    <x v="14"/>
    <b v="0"/>
    <x v="5"/>
    <x v="5"/>
    <x v="1"/>
    <s v="Midday"/>
    <n v="1"/>
    <x v="0"/>
    <n v="0.28000000000000003"/>
    <s v="Mild"/>
    <n v="0.2727"/>
    <n v="0.36"/>
    <n v="0.16420000000000001"/>
    <s v="Light Breeze"/>
    <n v="11"/>
    <n v="59"/>
    <n v="70"/>
    <n v="71.5"/>
    <n v="59.771303278849238"/>
    <n v="-2.5095654899845429E-2"/>
    <b v="0"/>
  </r>
  <r>
    <n v="130"/>
    <d v="2011-01-06T00:00:00"/>
    <n v="1"/>
    <n v="0"/>
    <x v="0"/>
    <x v="15"/>
    <b v="0"/>
    <x v="5"/>
    <x v="5"/>
    <x v="1"/>
    <s v="Midday"/>
    <n v="1"/>
    <x v="0"/>
    <n v="0.28000000000000003"/>
    <s v="Mild"/>
    <n v="0.2727"/>
    <n v="0.36"/>
    <n v="0"/>
    <s v="Calm"/>
    <n v="8"/>
    <n v="54"/>
    <n v="62"/>
    <n v="71.5"/>
    <n v="59.771303278849238"/>
    <n v="-0.15893914769902104"/>
    <b v="0"/>
  </r>
  <r>
    <n v="131"/>
    <d v="2011-01-06T00:00:00"/>
    <n v="1"/>
    <n v="0"/>
    <x v="0"/>
    <x v="16"/>
    <b v="0"/>
    <x v="5"/>
    <x v="5"/>
    <x v="1"/>
    <s v="Midday"/>
    <n v="1"/>
    <x v="0"/>
    <n v="0.26"/>
    <s v="Mild"/>
    <n v="0.2576"/>
    <n v="0.38"/>
    <n v="0.16420000000000001"/>
    <s v="Light Breeze"/>
    <n v="12"/>
    <n v="74"/>
    <n v="86"/>
    <n v="72.5"/>
    <n v="59.806208780490778"/>
    <n v="0.22572907186860169"/>
    <b v="0"/>
  </r>
  <r>
    <n v="132"/>
    <d v="2011-01-06T00:00:00"/>
    <n v="1"/>
    <n v="0"/>
    <x v="0"/>
    <x v="17"/>
    <b v="0"/>
    <x v="5"/>
    <x v="5"/>
    <x v="1"/>
    <s v="Evening"/>
    <n v="1"/>
    <x v="0"/>
    <n v="0.22"/>
    <s v="Mild"/>
    <n v="0.2273"/>
    <n v="0.51"/>
    <n v="0.16420000000000001"/>
    <s v="Light Breeze"/>
    <n v="9"/>
    <n v="163"/>
    <n v="172"/>
    <n v="75.958333333333329"/>
    <n v="63.110310028426085"/>
    <n v="1.5218062884401562"/>
    <b v="0"/>
  </r>
  <r>
    <n v="133"/>
    <d v="2011-01-06T00:00:00"/>
    <n v="1"/>
    <n v="0"/>
    <x v="0"/>
    <x v="18"/>
    <b v="0"/>
    <x v="5"/>
    <x v="5"/>
    <x v="1"/>
    <s v="Evening"/>
    <n v="1"/>
    <x v="0"/>
    <n v="0.22"/>
    <s v="Mild"/>
    <n v="0.2273"/>
    <n v="0.51"/>
    <n v="0.1343"/>
    <s v="Light Breeze"/>
    <n v="5"/>
    <n v="158"/>
    <n v="163"/>
    <n v="74.833333333333329"/>
    <n v="61.200786203153129"/>
    <n v="1.4406133015023952"/>
    <b v="0"/>
  </r>
  <r>
    <n v="134"/>
    <d v="2011-01-06T00:00:00"/>
    <n v="1"/>
    <n v="0"/>
    <x v="0"/>
    <x v="19"/>
    <b v="0"/>
    <x v="5"/>
    <x v="5"/>
    <x v="1"/>
    <s v="Evening"/>
    <n v="1"/>
    <x v="0"/>
    <n v="0.22"/>
    <s v="Mild"/>
    <n v="0.2576"/>
    <n v="0.55000000000000004"/>
    <n v="8.9599999999999999E-2"/>
    <s v="Calm"/>
    <n v="3"/>
    <n v="109"/>
    <n v="112"/>
    <n v="72.458333333333329"/>
    <n v="58.430917342185168"/>
    <n v="0.67672507065226084"/>
    <b v="0"/>
  </r>
  <r>
    <n v="135"/>
    <d v="2011-01-06T00:00:00"/>
    <n v="1"/>
    <n v="0"/>
    <x v="0"/>
    <x v="20"/>
    <b v="0"/>
    <x v="5"/>
    <x v="5"/>
    <x v="1"/>
    <s v="Evening"/>
    <n v="1"/>
    <x v="0"/>
    <n v="0.2"/>
    <s v="Mild"/>
    <n v="0.21210000000000001"/>
    <n v="0.51"/>
    <n v="0.16420000000000001"/>
    <s v="Light Breeze"/>
    <n v="3"/>
    <n v="66"/>
    <n v="69"/>
    <n v="69.833333333333329"/>
    <n v="57.038253118767408"/>
    <n v="-1.4610078110178577E-2"/>
    <b v="0"/>
  </r>
  <r>
    <n v="136"/>
    <d v="2011-01-06T00:00:00"/>
    <n v="1"/>
    <n v="0"/>
    <x v="0"/>
    <x v="21"/>
    <b v="0"/>
    <x v="5"/>
    <x v="5"/>
    <x v="1"/>
    <s v="Night"/>
    <n v="2"/>
    <x v="1"/>
    <n v="0.22"/>
    <s v="Mild"/>
    <n v="0.21210000000000001"/>
    <n v="0.55000000000000004"/>
    <n v="0.22389999999999999"/>
    <s v="Light Breeze"/>
    <n v="0"/>
    <n v="48"/>
    <n v="48"/>
    <n v="68.125"/>
    <n v="57.053226483468165"/>
    <n v="-0.35274078681302018"/>
    <b v="0"/>
  </r>
  <r>
    <n v="137"/>
    <d v="2011-01-06T00:00:00"/>
    <n v="1"/>
    <n v="0"/>
    <x v="0"/>
    <x v="22"/>
    <b v="0"/>
    <x v="5"/>
    <x v="5"/>
    <x v="1"/>
    <s v="Night"/>
    <n v="2"/>
    <x v="1"/>
    <n v="0.22"/>
    <s v="Mild"/>
    <n v="0.21210000000000001"/>
    <n v="0.51"/>
    <n v="0.28360000000000002"/>
    <s v="Light Breeze"/>
    <n v="1"/>
    <n v="51"/>
    <n v="52"/>
    <n v="68.5"/>
    <n v="56.910303185764633"/>
    <n v="-0.2899299261531128"/>
    <b v="0"/>
  </r>
  <r>
    <n v="138"/>
    <d v="2011-01-06T00:00:00"/>
    <n v="1"/>
    <n v="0"/>
    <x v="0"/>
    <x v="23"/>
    <b v="0"/>
    <x v="5"/>
    <x v="5"/>
    <x v="1"/>
    <s v="Night"/>
    <n v="2"/>
    <x v="1"/>
    <n v="0.2"/>
    <s v="Mild"/>
    <n v="0.19700000000000001"/>
    <n v="0.59"/>
    <n v="0.19400000000000001"/>
    <s v="Light Breeze"/>
    <n v="4"/>
    <n v="19"/>
    <n v="23"/>
    <n v="67.708333333333329"/>
    <n v="57.424793287028649"/>
    <n v="-0.77855453671144925"/>
    <b v="0"/>
  </r>
  <r>
    <n v="139"/>
    <d v="2011-01-07T00:00:00"/>
    <n v="1"/>
    <n v="0"/>
    <x v="0"/>
    <x v="0"/>
    <b v="0"/>
    <x v="6"/>
    <x v="6"/>
    <x v="1"/>
    <s v="Night"/>
    <n v="2"/>
    <x v="1"/>
    <n v="0.2"/>
    <s v="Mild"/>
    <n v="0.19700000000000001"/>
    <n v="0.64"/>
    <n v="0.19400000000000001"/>
    <s v="Light Breeze"/>
    <n v="4"/>
    <n v="13"/>
    <n v="17"/>
    <n v="67.625"/>
    <n v="57.499952741001373"/>
    <n v="-0.88043550623478928"/>
    <b v="0"/>
  </r>
  <r>
    <n v="140"/>
    <d v="2011-01-07T00:00:00"/>
    <n v="1"/>
    <n v="0"/>
    <x v="0"/>
    <x v="1"/>
    <b v="0"/>
    <x v="6"/>
    <x v="6"/>
    <x v="1"/>
    <s v="Night"/>
    <n v="2"/>
    <x v="1"/>
    <n v="0.2"/>
    <s v="Mild"/>
    <n v="0.19700000000000001"/>
    <n v="0.69"/>
    <n v="0.22389999999999999"/>
    <s v="Light Breeze"/>
    <n v="2"/>
    <n v="5"/>
    <n v="7"/>
    <n v="67.458333333333329"/>
    <n v="57.676744742209323"/>
    <n v="-1.0482272119128173"/>
    <b v="0"/>
  </r>
  <r>
    <n v="141"/>
    <d v="2011-01-07T00:00:00"/>
    <n v="1"/>
    <n v="0"/>
    <x v="0"/>
    <x v="2"/>
    <b v="0"/>
    <x v="6"/>
    <x v="6"/>
    <x v="1"/>
    <s v="Night"/>
    <n v="2"/>
    <x v="1"/>
    <n v="0.2"/>
    <s v="Mild"/>
    <n v="0.19700000000000001"/>
    <n v="0.69"/>
    <n v="0.22389999999999999"/>
    <s v="Light Breeze"/>
    <n v="0"/>
    <n v="1"/>
    <n v="1"/>
    <n v="67.333333333333329"/>
    <n v="57.823319101241999"/>
    <n v="-1.1471727040986919"/>
    <b v="0"/>
  </r>
  <r>
    <n v="142"/>
    <d v="2011-01-07T00:00:00"/>
    <n v="1"/>
    <n v="0"/>
    <x v="0"/>
    <x v="4"/>
    <b v="0"/>
    <x v="6"/>
    <x v="6"/>
    <x v="1"/>
    <s v="Night"/>
    <n v="2"/>
    <x v="1"/>
    <n v="0.2"/>
    <s v="Mild"/>
    <n v="0.21210000000000001"/>
    <n v="0.69"/>
    <n v="0.1343"/>
    <s v="Light Breeze"/>
    <n v="0"/>
    <n v="1"/>
    <n v="1"/>
    <n v="67.291666666666671"/>
    <n v="57.872783395746694"/>
    <n v="-1.1454722371542045"/>
    <b v="0"/>
  </r>
  <r>
    <n v="143"/>
    <d v="2011-01-07T00:00:00"/>
    <n v="1"/>
    <n v="0"/>
    <x v="0"/>
    <x v="5"/>
    <b v="0"/>
    <x v="6"/>
    <x v="6"/>
    <x v="1"/>
    <s v="Night"/>
    <n v="3"/>
    <x v="2"/>
    <n v="0.22"/>
    <s v="Mild"/>
    <n v="0.2727"/>
    <n v="0.55000000000000004"/>
    <n v="0"/>
    <s v="Calm"/>
    <n v="0"/>
    <n v="5"/>
    <n v="5"/>
    <n v="67.458333333333329"/>
    <n v="57.679006177492241"/>
    <n v="-1.0828607750475787"/>
    <b v="0"/>
  </r>
  <r>
    <n v="144"/>
    <d v="2011-01-07T00:00:00"/>
    <n v="1"/>
    <n v="0"/>
    <x v="0"/>
    <x v="6"/>
    <b v="0"/>
    <x v="6"/>
    <x v="6"/>
    <x v="1"/>
    <s v="Morning"/>
    <n v="2"/>
    <x v="1"/>
    <n v="0.2"/>
    <s v="Mild"/>
    <n v="0.2576"/>
    <n v="0.69"/>
    <n v="0"/>
    <s v="Calm"/>
    <n v="8"/>
    <n v="26"/>
    <n v="34"/>
    <n v="68.708333333333329"/>
    <n v="56.558149504402266"/>
    <n v="-0.6136751933623954"/>
    <b v="0"/>
  </r>
  <r>
    <n v="145"/>
    <d v="2011-01-07T00:00:00"/>
    <n v="1"/>
    <n v="0"/>
    <x v="0"/>
    <x v="7"/>
    <b v="0"/>
    <x v="6"/>
    <x v="6"/>
    <x v="1"/>
    <s v="Morning"/>
    <n v="1"/>
    <x v="0"/>
    <n v="0.2"/>
    <s v="Mild"/>
    <n v="0.21210000000000001"/>
    <n v="0.69"/>
    <n v="0.1343"/>
    <s v="Light Breeze"/>
    <n v="8"/>
    <n v="76"/>
    <n v="84"/>
    <n v="70.708333333333329"/>
    <n v="56.198776999431971"/>
    <n v="0.23651167118460634"/>
    <b v="0"/>
  </r>
  <r>
    <n v="146"/>
    <d v="2011-01-07T00:00:00"/>
    <n v="1"/>
    <n v="0"/>
    <x v="0"/>
    <x v="8"/>
    <b v="0"/>
    <x v="6"/>
    <x v="6"/>
    <x v="1"/>
    <s v="Morning"/>
    <n v="1"/>
    <x v="0"/>
    <n v="0.2"/>
    <s v="Mild"/>
    <n v="0.19700000000000001"/>
    <n v="0.51"/>
    <n v="0.25369999999999998"/>
    <s v="Light Breeze"/>
    <n v="20"/>
    <n v="190"/>
    <n v="210"/>
    <n v="75.5"/>
    <n v="62.86700938938656"/>
    <n v="2.1394369050853368"/>
    <b v="0"/>
  </r>
  <r>
    <n v="147"/>
    <d v="2011-01-07T00:00:00"/>
    <n v="1"/>
    <n v="0"/>
    <x v="0"/>
    <x v="9"/>
    <b v="0"/>
    <x v="6"/>
    <x v="6"/>
    <x v="1"/>
    <s v="Morning"/>
    <n v="1"/>
    <x v="0"/>
    <n v="0.2"/>
    <s v="Mild"/>
    <n v="0.18179999999999999"/>
    <n v="0.47"/>
    <n v="0.29849999999999999"/>
    <s v="Light Breeze"/>
    <n v="9"/>
    <n v="125"/>
    <n v="134"/>
    <n v="71.958333333333329"/>
    <n v="56.503542918288232"/>
    <n v="1.0980137432512385"/>
    <b v="0"/>
  </r>
  <r>
    <n v="148"/>
    <d v="2011-01-07T00:00:00"/>
    <n v="1"/>
    <n v="0"/>
    <x v="0"/>
    <x v="10"/>
    <b v="0"/>
    <x v="6"/>
    <x v="6"/>
    <x v="1"/>
    <s v="Morning"/>
    <n v="1"/>
    <x v="0"/>
    <n v="0.22"/>
    <s v="Mild"/>
    <n v="0.19700000000000001"/>
    <n v="0.37"/>
    <n v="0.32840000000000003"/>
    <s v="Gale"/>
    <n v="16"/>
    <n v="47"/>
    <n v="63"/>
    <n v="69.5"/>
    <n v="55.506364695763772"/>
    <n v="-0.11710368775954225"/>
    <b v="0"/>
  </r>
  <r>
    <n v="149"/>
    <d v="2011-01-07T00:00:00"/>
    <n v="1"/>
    <n v="0"/>
    <x v="0"/>
    <x v="11"/>
    <b v="0"/>
    <x v="6"/>
    <x v="6"/>
    <x v="1"/>
    <s v="Morning"/>
    <n v="2"/>
    <x v="1"/>
    <n v="0.2"/>
    <s v="Mild"/>
    <n v="0.19700000000000001"/>
    <n v="0.4"/>
    <n v="0.22389999999999999"/>
    <s v="Light Breeze"/>
    <n v="19"/>
    <n v="48"/>
    <n v="67"/>
    <n v="70.416666666666671"/>
    <n v="55.2653021631874"/>
    <n v="-6.1822998028273457E-2"/>
    <b v="0"/>
  </r>
  <r>
    <n v="150"/>
    <d v="2011-01-07T00:00:00"/>
    <n v="1"/>
    <n v="0"/>
    <x v="0"/>
    <x v="12"/>
    <b v="0"/>
    <x v="6"/>
    <x v="6"/>
    <x v="1"/>
    <s v="Midday"/>
    <n v="2"/>
    <x v="1"/>
    <n v="0.2"/>
    <s v="Mild"/>
    <n v="0.19700000000000001"/>
    <n v="0.37"/>
    <n v="0.25369999999999998"/>
    <s v="Light Breeze"/>
    <n v="9"/>
    <n v="50"/>
    <n v="59"/>
    <n v="70.416666666666671"/>
    <n v="55.2653021631874"/>
    <n v="-0.20657928609447451"/>
    <b v="0"/>
  </r>
  <r>
    <n v="151"/>
    <d v="2011-01-07T00:00:00"/>
    <n v="1"/>
    <n v="0"/>
    <x v="0"/>
    <x v="13"/>
    <b v="0"/>
    <x v="6"/>
    <x v="6"/>
    <x v="1"/>
    <s v="Midday"/>
    <n v="2"/>
    <x v="1"/>
    <n v="0.2"/>
    <s v="Mild"/>
    <n v="0.18179999999999999"/>
    <n v="0.37"/>
    <n v="0.28360000000000002"/>
    <s v="Light Breeze"/>
    <n v="9"/>
    <n v="64"/>
    <n v="73"/>
    <n v="69.958333333333329"/>
    <n v="55.193319670335867"/>
    <n v="5.5109326361129203E-2"/>
    <b v="0"/>
  </r>
  <r>
    <n v="152"/>
    <d v="2011-01-07T00:00:00"/>
    <n v="1"/>
    <n v="0"/>
    <x v="0"/>
    <x v="14"/>
    <b v="0"/>
    <x v="6"/>
    <x v="6"/>
    <x v="1"/>
    <s v="Midday"/>
    <n v="2"/>
    <x v="1"/>
    <n v="0.2"/>
    <s v="Mild"/>
    <n v="0.19700000000000001"/>
    <n v="0.4"/>
    <n v="0.25369999999999998"/>
    <s v="Light Breeze"/>
    <n v="7"/>
    <n v="43"/>
    <n v="50"/>
    <n v="69.25"/>
    <n v="55.341823165706678"/>
    <n v="-0.34783819720504849"/>
    <b v="0"/>
  </r>
  <r>
    <n v="153"/>
    <d v="2011-01-07T00:00:00"/>
    <n v="1"/>
    <n v="0"/>
    <x v="0"/>
    <x v="15"/>
    <b v="0"/>
    <x v="6"/>
    <x v="6"/>
    <x v="1"/>
    <s v="Midday"/>
    <n v="2"/>
    <x v="1"/>
    <n v="0.2"/>
    <s v="Mild"/>
    <n v="0.21210000000000001"/>
    <n v="0.37"/>
    <n v="0.16420000000000001"/>
    <s v="Light Breeze"/>
    <n v="9"/>
    <n v="63"/>
    <n v="72"/>
    <n v="69.333333333333329"/>
    <n v="55.344507340418374"/>
    <n v="4.818304100647746E-2"/>
    <b v="0"/>
  </r>
  <r>
    <n v="154"/>
    <d v="2011-01-07T00:00:00"/>
    <n v="1"/>
    <n v="0"/>
    <x v="0"/>
    <x v="16"/>
    <b v="0"/>
    <x v="6"/>
    <x v="6"/>
    <x v="1"/>
    <s v="Midday"/>
    <n v="2"/>
    <x v="1"/>
    <n v="0.2"/>
    <s v="Mild"/>
    <n v="0.21210000000000001"/>
    <n v="0.37"/>
    <n v="0.16420000000000001"/>
    <s v="Light Breeze"/>
    <n v="5"/>
    <n v="82"/>
    <n v="87"/>
    <n v="70.375"/>
    <n v="55.435675610880601"/>
    <n v="0.29989712972375032"/>
    <b v="0"/>
  </r>
  <r>
    <n v="155"/>
    <d v="2011-01-07T00:00:00"/>
    <n v="1"/>
    <n v="0"/>
    <x v="0"/>
    <x v="17"/>
    <b v="0"/>
    <x v="6"/>
    <x v="6"/>
    <x v="1"/>
    <s v="Evening"/>
    <n v="2"/>
    <x v="1"/>
    <n v="0.2"/>
    <s v="Mild"/>
    <n v="0.2576"/>
    <n v="0.37"/>
    <n v="0"/>
    <s v="Calm"/>
    <n v="9"/>
    <n v="178"/>
    <n v="187"/>
    <n v="74.583333333333329"/>
    <n v="60.294146133526219"/>
    <n v="1.8644706638304647"/>
    <b v="0"/>
  </r>
  <r>
    <n v="156"/>
    <d v="2011-01-07T00:00:00"/>
    <n v="1"/>
    <n v="0"/>
    <x v="0"/>
    <x v="18"/>
    <b v="0"/>
    <x v="6"/>
    <x v="6"/>
    <x v="1"/>
    <s v="Evening"/>
    <n v="1"/>
    <x v="0"/>
    <n v="0.2"/>
    <s v="Mild"/>
    <n v="0.2273"/>
    <n v="0.4"/>
    <n v="8.9599999999999999E-2"/>
    <s v="Calm"/>
    <n v="7"/>
    <n v="116"/>
    <n v="123"/>
    <n v="72.541666666666671"/>
    <n v="57.622443669916962"/>
    <n v="0.87567152865605025"/>
    <b v="0"/>
  </r>
  <r>
    <n v="157"/>
    <d v="2011-01-07T00:00:00"/>
    <n v="1"/>
    <n v="0"/>
    <x v="0"/>
    <x v="19"/>
    <b v="0"/>
    <x v="6"/>
    <x v="6"/>
    <x v="1"/>
    <s v="Evening"/>
    <n v="1"/>
    <x v="0"/>
    <n v="0.16"/>
    <s v="Cold"/>
    <n v="0.19700000000000001"/>
    <n v="0.55000000000000004"/>
    <n v="8.9599999999999999E-2"/>
    <s v="Calm"/>
    <n v="3"/>
    <n v="92"/>
    <n v="95"/>
    <n v="69.708333333333329"/>
    <n v="54.572233078630802"/>
    <n v="0.46345302803029864"/>
    <b v="0"/>
  </r>
  <r>
    <n v="158"/>
    <d v="2011-01-07T00:00:00"/>
    <n v="1"/>
    <n v="0"/>
    <x v="0"/>
    <x v="20"/>
    <b v="0"/>
    <x v="6"/>
    <x v="6"/>
    <x v="1"/>
    <s v="Evening"/>
    <n v="1"/>
    <x v="0"/>
    <n v="0.18"/>
    <s v="Cold"/>
    <n v="0.21210000000000001"/>
    <n v="0.47"/>
    <n v="0.1045"/>
    <s v="Calm"/>
    <n v="1"/>
    <n v="50"/>
    <n v="51"/>
    <n v="67.166666666666671"/>
    <n v="53.933668331665928"/>
    <n v="-0.29975091935615256"/>
    <b v="0"/>
  </r>
  <r>
    <n v="159"/>
    <d v="2011-01-07T00:00:00"/>
    <n v="1"/>
    <n v="0"/>
    <x v="0"/>
    <x v="21"/>
    <b v="0"/>
    <x v="6"/>
    <x v="6"/>
    <x v="1"/>
    <s v="Night"/>
    <n v="1"/>
    <x v="0"/>
    <n v="0.18"/>
    <s v="Cold"/>
    <n v="0.19700000000000001"/>
    <n v="0.47"/>
    <n v="0.1343"/>
    <s v="Light Breeze"/>
    <n v="0"/>
    <n v="39"/>
    <n v="39"/>
    <n v="65.916666666666671"/>
    <n v="54.236131600755712"/>
    <n v="-0.49628662428962061"/>
    <b v="0"/>
  </r>
  <r>
    <n v="160"/>
    <d v="2011-01-07T00:00:00"/>
    <n v="1"/>
    <n v="0"/>
    <x v="0"/>
    <x v="22"/>
    <b v="0"/>
    <x v="6"/>
    <x v="6"/>
    <x v="1"/>
    <s v="Night"/>
    <n v="2"/>
    <x v="1"/>
    <n v="0.18"/>
    <s v="Cold"/>
    <n v="0.19700000000000001"/>
    <n v="0.43"/>
    <n v="0.16420000000000001"/>
    <s v="Light Breeze"/>
    <n v="2"/>
    <n v="34"/>
    <n v="36"/>
    <n v="65.416666666666671"/>
    <n v="54.46332365168697"/>
    <n v="-0.54011883033061103"/>
    <b v="0"/>
  </r>
  <r>
    <n v="161"/>
    <d v="2011-01-07T00:00:00"/>
    <n v="1"/>
    <n v="0"/>
    <x v="0"/>
    <x v="23"/>
    <b v="0"/>
    <x v="6"/>
    <x v="6"/>
    <x v="1"/>
    <s v="Night"/>
    <n v="2"/>
    <x v="1"/>
    <n v="0.18"/>
    <s v="Cold"/>
    <n v="0.19700000000000001"/>
    <n v="0.51"/>
    <n v="0.16420000000000001"/>
    <s v="Light Breeze"/>
    <n v="1"/>
    <n v="14"/>
    <n v="15"/>
    <n v="63.875"/>
    <n v="55.375644073200078"/>
    <n v="-0.88260824443672392"/>
    <b v="0"/>
  </r>
  <r>
    <n v="162"/>
    <d v="2011-01-08T00:00:00"/>
    <n v="1"/>
    <n v="0"/>
    <x v="0"/>
    <x v="0"/>
    <b v="0"/>
    <x v="0"/>
    <x v="0"/>
    <x v="0"/>
    <s v="Night"/>
    <n v="2"/>
    <x v="1"/>
    <n v="0.18"/>
    <s v="Cold"/>
    <n v="0.19700000000000001"/>
    <n v="0.51"/>
    <n v="0.16420000000000001"/>
    <s v="Light Breeze"/>
    <n v="1"/>
    <n v="24"/>
    <n v="25"/>
    <n v="63.958333333333336"/>
    <n v="55.312927309411421"/>
    <n v="-0.70432600891662855"/>
    <b v="0"/>
  </r>
  <r>
    <n v="163"/>
    <d v="2011-01-08T00:00:00"/>
    <n v="1"/>
    <n v="0"/>
    <x v="0"/>
    <x v="1"/>
    <b v="0"/>
    <x v="0"/>
    <x v="0"/>
    <x v="0"/>
    <s v="Night"/>
    <n v="2"/>
    <x v="1"/>
    <n v="0.18"/>
    <s v="Cold"/>
    <n v="0.21210000000000001"/>
    <n v="0.55000000000000004"/>
    <n v="8.9599999999999999E-2"/>
    <s v="Calm"/>
    <n v="1"/>
    <n v="15"/>
    <n v="16"/>
    <n v="63.916666666666664"/>
    <n v="55.350202597065817"/>
    <n v="-0.86569993276242829"/>
    <b v="0"/>
  </r>
  <r>
    <n v="164"/>
    <d v="2011-01-08T00:00:00"/>
    <n v="1"/>
    <n v="0"/>
    <x v="0"/>
    <x v="2"/>
    <b v="0"/>
    <x v="0"/>
    <x v="0"/>
    <x v="0"/>
    <s v="Night"/>
    <n v="2"/>
    <x v="1"/>
    <n v="0.18"/>
    <s v="Cold"/>
    <n v="0.2424"/>
    <n v="0.55000000000000004"/>
    <n v="0"/>
    <s v="Calm"/>
    <n v="3"/>
    <n v="13"/>
    <n v="16"/>
    <n v="64.291666666666671"/>
    <n v="54.977053843174993"/>
    <n v="-0.87839677266848915"/>
    <b v="0"/>
  </r>
  <r>
    <n v="165"/>
    <d v="2011-01-08T00:00:00"/>
    <n v="1"/>
    <n v="0"/>
    <x v="0"/>
    <x v="3"/>
    <b v="0"/>
    <x v="0"/>
    <x v="0"/>
    <x v="0"/>
    <s v="Night"/>
    <n v="3"/>
    <x v="2"/>
    <n v="0.18"/>
    <s v="Cold"/>
    <n v="0.19700000000000001"/>
    <n v="0.55000000000000004"/>
    <n v="0.16420000000000001"/>
    <s v="Light Breeze"/>
    <n v="0"/>
    <n v="7"/>
    <n v="7"/>
    <n v="64.541666666666671"/>
    <n v="54.689621594457272"/>
    <n v="-1.0521496581811869"/>
    <b v="0"/>
  </r>
  <r>
    <n v="166"/>
    <d v="2011-01-08T00:00:00"/>
    <n v="1"/>
    <n v="0"/>
    <x v="0"/>
    <x v="4"/>
    <b v="0"/>
    <x v="0"/>
    <x v="0"/>
    <x v="0"/>
    <s v="Night"/>
    <n v="3"/>
    <x v="2"/>
    <n v="0.18"/>
    <s v="Cold"/>
    <n v="0.19700000000000001"/>
    <n v="0.55000000000000004"/>
    <n v="0.16420000000000001"/>
    <s v="Light Breeze"/>
    <n v="0"/>
    <n v="1"/>
    <n v="1"/>
    <n v="64.541666666666671"/>
    <n v="54.689621594457272"/>
    <n v="-1.161859687709131"/>
    <b v="0"/>
  </r>
  <r>
    <n v="167"/>
    <d v="2011-01-08T00:00:00"/>
    <n v="1"/>
    <n v="0"/>
    <x v="0"/>
    <x v="5"/>
    <b v="0"/>
    <x v="0"/>
    <x v="0"/>
    <x v="0"/>
    <s v="Night"/>
    <n v="2"/>
    <x v="1"/>
    <n v="0.16"/>
    <s v="Cold"/>
    <n v="0.16669999999999999"/>
    <n v="0.74"/>
    <n v="0.16420000000000001"/>
    <s v="Light Breeze"/>
    <n v="0"/>
    <n v="5"/>
    <n v="5"/>
    <n v="64.541666666666671"/>
    <n v="54.689621594457272"/>
    <n v="-1.0887196680238349"/>
    <b v="0"/>
  </r>
  <r>
    <n v="168"/>
    <d v="2011-01-08T00:00:00"/>
    <n v="1"/>
    <n v="0"/>
    <x v="0"/>
    <x v="6"/>
    <b v="0"/>
    <x v="0"/>
    <x v="0"/>
    <x v="0"/>
    <s v="Morning"/>
    <n v="2"/>
    <x v="1"/>
    <n v="0.16"/>
    <s v="Cold"/>
    <n v="0.16669999999999999"/>
    <n v="0.74"/>
    <n v="0.16420000000000001"/>
    <s v="Light Breeze"/>
    <n v="0"/>
    <n v="2"/>
    <n v="2"/>
    <n v="63.208333333333336"/>
    <n v="55.844488394630055"/>
    <n v="-1.0960496746035024"/>
    <b v="0"/>
  </r>
  <r>
    <n v="169"/>
    <d v="2011-01-08T00:00:00"/>
    <n v="1"/>
    <n v="0"/>
    <x v="0"/>
    <x v="7"/>
    <b v="0"/>
    <x v="0"/>
    <x v="0"/>
    <x v="0"/>
    <s v="Morning"/>
    <n v="2"/>
    <x v="1"/>
    <n v="0.16"/>
    <s v="Cold"/>
    <n v="0.18179999999999999"/>
    <n v="0.74"/>
    <n v="0.1045"/>
    <s v="Calm"/>
    <n v="1"/>
    <n v="8"/>
    <n v="9"/>
    <n v="60.083333333333336"/>
    <n v="56.721989192649218"/>
    <n v="-0.90059135902013443"/>
    <b v="0"/>
  </r>
  <r>
    <n v="170"/>
    <d v="2011-01-08T00:00:00"/>
    <n v="1"/>
    <n v="0"/>
    <x v="0"/>
    <x v="8"/>
    <b v="0"/>
    <x v="0"/>
    <x v="0"/>
    <x v="0"/>
    <s v="Morning"/>
    <n v="3"/>
    <x v="2"/>
    <n v="0.16"/>
    <s v="Cold"/>
    <n v="0.18179999999999999"/>
    <n v="0.93"/>
    <n v="0.1045"/>
    <s v="Calm"/>
    <n v="0"/>
    <n v="15"/>
    <n v="15"/>
    <n v="51.958333333333336"/>
    <n v="47.536237131053092"/>
    <n v="-0.77747704832931064"/>
    <b v="0"/>
  </r>
  <r>
    <n v="171"/>
    <d v="2011-01-08T00:00:00"/>
    <n v="1"/>
    <n v="0"/>
    <x v="0"/>
    <x v="9"/>
    <b v="0"/>
    <x v="0"/>
    <x v="0"/>
    <x v="0"/>
    <s v="Morning"/>
    <n v="3"/>
    <x v="2"/>
    <n v="0.16"/>
    <s v="Cold"/>
    <n v="0.18179999999999999"/>
    <n v="0.93"/>
    <n v="0.1045"/>
    <s v="Calm"/>
    <n v="0"/>
    <n v="20"/>
    <n v="20"/>
    <n v="47.208333333333336"/>
    <n v="44.585998159557427"/>
    <n v="-0.6102438984535995"/>
    <b v="0"/>
  </r>
  <r>
    <n v="172"/>
    <d v="2011-01-08T00:00:00"/>
    <n v="1"/>
    <n v="0"/>
    <x v="0"/>
    <x v="10"/>
    <b v="0"/>
    <x v="0"/>
    <x v="0"/>
    <x v="0"/>
    <s v="Morning"/>
    <n v="2"/>
    <x v="1"/>
    <n v="0.18"/>
    <s v="Cold"/>
    <n v="0.19700000000000001"/>
    <n v="0.8"/>
    <n v="0.16420000000000001"/>
    <s v="Light Breeze"/>
    <n v="5"/>
    <n v="56"/>
    <n v="61"/>
    <n v="47.125"/>
    <n v="44.557059168431778"/>
    <n v="0.3113984688161443"/>
    <b v="0"/>
  </r>
  <r>
    <n v="173"/>
    <d v="2011-01-08T00:00:00"/>
    <n v="1"/>
    <n v="0"/>
    <x v="0"/>
    <x v="11"/>
    <b v="0"/>
    <x v="0"/>
    <x v="0"/>
    <x v="0"/>
    <s v="Morning"/>
    <n v="2"/>
    <x v="1"/>
    <n v="0.2"/>
    <s v="Mild"/>
    <n v="0.18179999999999999"/>
    <n v="0.69"/>
    <n v="0.3881"/>
    <s v="Gale"/>
    <n v="2"/>
    <n v="60"/>
    <n v="62"/>
    <n v="46.916666666666664"/>
    <n v="44.471697562134629"/>
    <n v="0.33916702442625041"/>
    <b v="0"/>
  </r>
  <r>
    <n v="174"/>
    <d v="2011-01-08T00:00:00"/>
    <n v="1"/>
    <n v="0"/>
    <x v="0"/>
    <x v="12"/>
    <b v="0"/>
    <x v="0"/>
    <x v="0"/>
    <x v="0"/>
    <s v="Midday"/>
    <n v="2"/>
    <x v="1"/>
    <n v="0.2"/>
    <s v="Mild"/>
    <n v="0.18179999999999999"/>
    <n v="0.59"/>
    <n v="0.35820000000000002"/>
    <s v="Gale"/>
    <n v="8"/>
    <n v="90"/>
    <n v="98"/>
    <n v="48.541666666666664"/>
    <n v="45.629871191222271"/>
    <n v="1.0839025410803163"/>
    <b v="0"/>
  </r>
  <r>
    <n v="175"/>
    <d v="2011-01-08T00:00:00"/>
    <n v="1"/>
    <n v="0"/>
    <x v="0"/>
    <x v="13"/>
    <b v="0"/>
    <x v="0"/>
    <x v="0"/>
    <x v="0"/>
    <s v="Midday"/>
    <n v="1"/>
    <x v="0"/>
    <n v="0.2"/>
    <s v="Mild"/>
    <n v="0.18179999999999999"/>
    <n v="0.44"/>
    <n v="0.32840000000000003"/>
    <s v="Gale"/>
    <n v="7"/>
    <n v="95"/>
    <n v="102"/>
    <n v="49.75"/>
    <n v="46.677664335590819"/>
    <n v="1.1193790594222253"/>
    <b v="0"/>
  </r>
  <r>
    <n v="176"/>
    <d v="2011-01-08T00:00:00"/>
    <n v="1"/>
    <n v="0"/>
    <x v="0"/>
    <x v="14"/>
    <b v="0"/>
    <x v="0"/>
    <x v="0"/>
    <x v="0"/>
    <s v="Midday"/>
    <n v="1"/>
    <x v="0"/>
    <n v="0.2"/>
    <s v="Mild"/>
    <n v="0.16669999999999999"/>
    <n v="0.32"/>
    <n v="0.49249999999999999"/>
    <s v="Gale"/>
    <n v="12"/>
    <n v="83"/>
    <n v="95"/>
    <n v="51.625"/>
    <n v="47.583165181560297"/>
    <n v="0.91156189031344492"/>
    <b v="0"/>
  </r>
  <r>
    <n v="177"/>
    <d v="2011-01-08T00:00:00"/>
    <n v="1"/>
    <n v="0"/>
    <x v="0"/>
    <x v="15"/>
    <b v="0"/>
    <x v="0"/>
    <x v="0"/>
    <x v="0"/>
    <s v="Midday"/>
    <n v="1"/>
    <x v="0"/>
    <n v="0.2"/>
    <s v="Mild"/>
    <n v="0.16669999999999999"/>
    <n v="0.32"/>
    <n v="0.44779999999999998"/>
    <s v="Gale"/>
    <n v="5"/>
    <n v="69"/>
    <n v="74"/>
    <n v="51.708333333333336"/>
    <n v="47.622135122474177"/>
    <n v="0.46809464987945537"/>
    <b v="0"/>
  </r>
  <r>
    <n v="178"/>
    <d v="2011-01-08T00:00:00"/>
    <n v="1"/>
    <n v="0"/>
    <x v="0"/>
    <x v="16"/>
    <b v="0"/>
    <x v="0"/>
    <x v="0"/>
    <x v="0"/>
    <s v="Midday"/>
    <n v="1"/>
    <x v="0"/>
    <n v="0.18"/>
    <s v="Cold"/>
    <n v="0.13639999999999999"/>
    <n v="0.28999999999999998"/>
    <n v="0.44779999999999998"/>
    <s v="Gale"/>
    <n v="8"/>
    <n v="68"/>
    <n v="76"/>
    <n v="51.25"/>
    <n v="47.319680619305153"/>
    <n v="0.523038187833894"/>
    <b v="0"/>
  </r>
  <r>
    <n v="179"/>
    <d v="2011-01-08T00:00:00"/>
    <n v="1"/>
    <n v="0"/>
    <x v="0"/>
    <x v="17"/>
    <b v="0"/>
    <x v="0"/>
    <x v="0"/>
    <x v="0"/>
    <s v="Evening"/>
    <n v="1"/>
    <x v="0"/>
    <n v="0.16"/>
    <s v="Cold"/>
    <n v="0.1212"/>
    <n v="0.37"/>
    <n v="0.55220000000000002"/>
    <s v="Gale"/>
    <n v="5"/>
    <n v="64"/>
    <n v="69"/>
    <n v="46.333333333333336"/>
    <n v="37.767787823771855"/>
    <n v="0.60015870594358134"/>
    <b v="0"/>
  </r>
  <r>
    <n v="180"/>
    <d v="2011-01-08T00:00:00"/>
    <n v="1"/>
    <n v="0"/>
    <x v="0"/>
    <x v="18"/>
    <b v="0"/>
    <x v="0"/>
    <x v="0"/>
    <x v="0"/>
    <s v="Evening"/>
    <n v="1"/>
    <x v="0"/>
    <n v="0.14000000000000001"/>
    <s v="Cold"/>
    <n v="0.1212"/>
    <n v="0.39"/>
    <n v="0.29849999999999999"/>
    <s v="Light Breeze"/>
    <n v="3"/>
    <n v="52"/>
    <n v="55"/>
    <n v="43.5"/>
    <n v="34.142922113298717"/>
    <n v="0.33681944274830344"/>
    <b v="0"/>
  </r>
  <r>
    <n v="181"/>
    <d v="2011-01-08T00:00:00"/>
    <n v="1"/>
    <n v="0"/>
    <x v="0"/>
    <x v="19"/>
    <b v="0"/>
    <x v="0"/>
    <x v="0"/>
    <x v="0"/>
    <s v="Evening"/>
    <n v="1"/>
    <x v="0"/>
    <n v="0.14000000000000001"/>
    <s v="Cold"/>
    <n v="0.1212"/>
    <n v="0.36"/>
    <n v="0.25369999999999998"/>
    <s v="Light Breeze"/>
    <n v="4"/>
    <n v="26"/>
    <n v="30"/>
    <n v="40.791666666666664"/>
    <n v="32.414407916537826"/>
    <n v="-0.33292808230381893"/>
    <b v="0"/>
  </r>
  <r>
    <n v="182"/>
    <d v="2011-01-08T00:00:00"/>
    <n v="1"/>
    <n v="0"/>
    <x v="0"/>
    <x v="20"/>
    <b v="0"/>
    <x v="0"/>
    <x v="0"/>
    <x v="0"/>
    <s v="Evening"/>
    <n v="1"/>
    <x v="0"/>
    <n v="0.12"/>
    <s v="Cold"/>
    <n v="0.1212"/>
    <n v="0.36"/>
    <n v="0.25369999999999998"/>
    <s v="Light Breeze"/>
    <n v="0"/>
    <n v="28"/>
    <n v="28"/>
    <n v="39.833333333333336"/>
    <n v="32.43946424618801"/>
    <n v="-0.36478202116805553"/>
    <b v="0"/>
  </r>
  <r>
    <n v="183"/>
    <d v="2011-01-08T00:00:00"/>
    <n v="1"/>
    <n v="0"/>
    <x v="0"/>
    <x v="21"/>
    <b v="0"/>
    <x v="0"/>
    <x v="0"/>
    <x v="0"/>
    <s v="Night"/>
    <n v="1"/>
    <x v="0"/>
    <n v="0.12"/>
    <s v="Cold"/>
    <n v="0.1061"/>
    <n v="0.39"/>
    <n v="0.35820000000000002"/>
    <s v="Gale"/>
    <n v="2"/>
    <n v="35"/>
    <n v="37"/>
    <n v="39.75"/>
    <n v="32.444266593384548"/>
    <n v="-8.4760738606454764E-2"/>
    <b v="0"/>
  </r>
  <r>
    <n v="184"/>
    <d v="2011-01-08T00:00:00"/>
    <n v="1"/>
    <n v="0"/>
    <x v="0"/>
    <x v="22"/>
    <b v="0"/>
    <x v="0"/>
    <x v="0"/>
    <x v="0"/>
    <s v="Night"/>
    <n v="1"/>
    <x v="0"/>
    <n v="0.12"/>
    <s v="Cold"/>
    <n v="0.1061"/>
    <n v="0.36"/>
    <n v="0.3881"/>
    <s v="Gale"/>
    <n v="1"/>
    <n v="33"/>
    <n v="34"/>
    <n v="39.666666666666664"/>
    <n v="32.456883327921659"/>
    <n v="-0.17459059791461262"/>
    <b v="0"/>
  </r>
  <r>
    <n v="185"/>
    <d v="2011-01-08T00:00:00"/>
    <n v="1"/>
    <n v="0"/>
    <x v="0"/>
    <x v="23"/>
    <b v="0"/>
    <x v="0"/>
    <x v="0"/>
    <x v="0"/>
    <s v="Night"/>
    <n v="1"/>
    <x v="0"/>
    <n v="0.1"/>
    <s v="Cold"/>
    <n v="6.0600000000000001E-2"/>
    <n v="0.39"/>
    <n v="0.44779999999999998"/>
    <s v="Gale"/>
    <n v="0"/>
    <n v="22"/>
    <n v="22"/>
    <n v="39.958333333333336"/>
    <n v="32.256417179770018"/>
    <n v="-0.5567367644474821"/>
    <b v="0"/>
  </r>
  <r>
    <n v="186"/>
    <d v="2011-01-09T00:00:00"/>
    <n v="1"/>
    <n v="0"/>
    <x v="0"/>
    <x v="0"/>
    <b v="0"/>
    <x v="1"/>
    <x v="1"/>
    <x v="0"/>
    <s v="Night"/>
    <n v="1"/>
    <x v="0"/>
    <n v="0.1"/>
    <s v="Cold"/>
    <n v="7.5800000000000006E-2"/>
    <n v="0.42"/>
    <n v="0.3881"/>
    <s v="Gale"/>
    <n v="1"/>
    <n v="24"/>
    <n v="25"/>
    <n v="39.958333333333336"/>
    <n v="32.256417179770018"/>
    <n v="-0.46373201493421362"/>
    <b v="0"/>
  </r>
  <r>
    <n v="187"/>
    <d v="2011-01-09T00:00:00"/>
    <n v="1"/>
    <n v="0"/>
    <x v="0"/>
    <x v="1"/>
    <b v="0"/>
    <x v="1"/>
    <x v="1"/>
    <x v="0"/>
    <s v="Night"/>
    <n v="1"/>
    <x v="0"/>
    <n v="0.1"/>
    <s v="Cold"/>
    <n v="6.0600000000000001E-2"/>
    <n v="0.42"/>
    <n v="0.4627"/>
    <s v="Gale"/>
    <n v="0"/>
    <n v="12"/>
    <n v="12"/>
    <n v="39.791666666666664"/>
    <n v="32.395623921686742"/>
    <n v="-0.85788335899473045"/>
    <b v="0"/>
  </r>
  <r>
    <n v="188"/>
    <d v="2011-01-09T00:00:00"/>
    <n v="1"/>
    <n v="0"/>
    <x v="0"/>
    <x v="2"/>
    <b v="0"/>
    <x v="1"/>
    <x v="1"/>
    <x v="0"/>
    <s v="Night"/>
    <n v="1"/>
    <x v="0"/>
    <n v="0.1"/>
    <s v="Cold"/>
    <n v="6.0600000000000001E-2"/>
    <n v="0.46"/>
    <n v="0.4627"/>
    <s v="Gale"/>
    <n v="0"/>
    <n v="11"/>
    <n v="11"/>
    <n v="39.583333333333336"/>
    <n v="32.570881456303567"/>
    <n v="-0.87757322047547759"/>
    <b v="0"/>
  </r>
  <r>
    <n v="189"/>
    <d v="2011-01-09T00:00:00"/>
    <n v="1"/>
    <n v="0"/>
    <x v="0"/>
    <x v="3"/>
    <b v="0"/>
    <x v="1"/>
    <x v="1"/>
    <x v="0"/>
    <s v="Night"/>
    <n v="1"/>
    <x v="0"/>
    <n v="0.1"/>
    <s v="Cold"/>
    <n v="7.5800000000000006E-2"/>
    <n v="0.46"/>
    <n v="0.41789999999999999"/>
    <s v="Gale"/>
    <n v="0"/>
    <n v="4"/>
    <n v="4"/>
    <n v="39.458333333333336"/>
    <n v="32.706839022451859"/>
    <n v="-1.0841259624322819"/>
    <b v="0"/>
  </r>
  <r>
    <n v="190"/>
    <d v="2011-01-09T00:00:00"/>
    <n v="1"/>
    <n v="0"/>
    <x v="0"/>
    <x v="4"/>
    <b v="0"/>
    <x v="1"/>
    <x v="1"/>
    <x v="0"/>
    <s v="Night"/>
    <n v="1"/>
    <x v="0"/>
    <n v="0.08"/>
    <s v="Cold"/>
    <n v="9.0899999999999995E-2"/>
    <n v="0.53"/>
    <n v="0.19400000000000001"/>
    <s v="Light Breeze"/>
    <n v="0"/>
    <n v="1"/>
    <n v="1"/>
    <n v="39.458333333333336"/>
    <n v="32.706839022451859"/>
    <n v="-1.1758498981492318"/>
    <b v="0"/>
  </r>
  <r>
    <n v="191"/>
    <d v="2011-01-09T00:00:00"/>
    <n v="1"/>
    <n v="0"/>
    <x v="0"/>
    <x v="5"/>
    <b v="0"/>
    <x v="1"/>
    <x v="1"/>
    <x v="0"/>
    <s v="Night"/>
    <n v="1"/>
    <x v="0"/>
    <n v="0.08"/>
    <s v="Cold"/>
    <n v="9.0899999999999995E-2"/>
    <n v="0.53"/>
    <n v="0.19400000000000001"/>
    <s v="Light Breeze"/>
    <n v="0"/>
    <n v="1"/>
    <n v="1"/>
    <n v="39.291666666666664"/>
    <n v="32.89968833824453"/>
    <n v="-1.1638914713412096"/>
    <b v="0"/>
  </r>
  <r>
    <n v="192"/>
    <d v="2011-01-09T00:00:00"/>
    <n v="1"/>
    <n v="0"/>
    <x v="0"/>
    <x v="6"/>
    <b v="0"/>
    <x v="1"/>
    <x v="1"/>
    <x v="0"/>
    <s v="Morning"/>
    <n v="1"/>
    <x v="0"/>
    <n v="0.1"/>
    <s v="Cold"/>
    <n v="9.0899999999999995E-2"/>
    <n v="0.49"/>
    <n v="0.28360000000000002"/>
    <s v="Light Breeze"/>
    <n v="0"/>
    <n v="1"/>
    <n v="1"/>
    <n v="39.25"/>
    <n v="32.949566204177536"/>
    <n v="-1.160865055490486"/>
    <b v="0"/>
  </r>
  <r>
    <n v="193"/>
    <d v="2011-01-09T00:00:00"/>
    <n v="1"/>
    <n v="0"/>
    <x v="0"/>
    <x v="7"/>
    <b v="0"/>
    <x v="1"/>
    <x v="1"/>
    <x v="0"/>
    <s v="Morning"/>
    <n v="1"/>
    <x v="0"/>
    <n v="0.08"/>
    <s v="Cold"/>
    <n v="9.0899999999999995E-2"/>
    <n v="0.53"/>
    <n v="0.19400000000000001"/>
    <s v="Light Breeze"/>
    <n v="1"/>
    <n v="5"/>
    <n v="6"/>
    <n v="39.125"/>
    <n v="33.074767079925209"/>
    <n v="-1.0015187686720031"/>
    <b v="0"/>
  </r>
  <r>
    <n v="194"/>
    <d v="2011-01-09T00:00:00"/>
    <n v="1"/>
    <n v="0"/>
    <x v="0"/>
    <x v="8"/>
    <b v="0"/>
    <x v="1"/>
    <x v="1"/>
    <x v="0"/>
    <s v="Morning"/>
    <n v="1"/>
    <x v="0"/>
    <n v="0.1"/>
    <s v="Cold"/>
    <n v="9.0899999999999995E-2"/>
    <n v="0.49"/>
    <n v="0.28360000000000002"/>
    <s v="Light Breeze"/>
    <n v="0"/>
    <n v="10"/>
    <n v="10"/>
    <n v="38.916666666666664"/>
    <n v="33.248624249625031"/>
    <n v="-0.86971017054917021"/>
    <b v="0"/>
  </r>
  <r>
    <n v="195"/>
    <d v="2011-01-09T00:00:00"/>
    <n v="1"/>
    <n v="0"/>
    <x v="0"/>
    <x v="9"/>
    <b v="0"/>
    <x v="1"/>
    <x v="1"/>
    <x v="0"/>
    <s v="Morning"/>
    <n v="1"/>
    <x v="0"/>
    <n v="0.12"/>
    <s v="Cold"/>
    <n v="7.5800000000000006E-2"/>
    <n v="0.46"/>
    <n v="0.52239999999999998"/>
    <s v="Gale"/>
    <n v="0"/>
    <n v="19"/>
    <n v="19"/>
    <n v="38.875"/>
    <n v="33.273977951180591"/>
    <n v="-0.59731361333353339"/>
    <b v="0"/>
  </r>
  <r>
    <n v="196"/>
    <d v="2011-01-09T00:00:00"/>
    <n v="1"/>
    <n v="0"/>
    <x v="0"/>
    <x v="10"/>
    <b v="0"/>
    <x v="1"/>
    <x v="1"/>
    <x v="0"/>
    <s v="Morning"/>
    <n v="1"/>
    <x v="0"/>
    <n v="0.14000000000000001"/>
    <s v="Cold"/>
    <n v="0.1061"/>
    <n v="0.43"/>
    <n v="0.3881"/>
    <s v="Gale"/>
    <n v="0"/>
    <n v="49"/>
    <n v="49"/>
    <n v="38.375"/>
    <n v="33.016218017421572"/>
    <n v="0.32181154105517285"/>
    <b v="0"/>
  </r>
  <r>
    <n v="197"/>
    <d v="2011-01-09T00:00:00"/>
    <n v="1"/>
    <n v="0"/>
    <x v="0"/>
    <x v="11"/>
    <b v="0"/>
    <x v="1"/>
    <x v="1"/>
    <x v="0"/>
    <s v="Morning"/>
    <n v="1"/>
    <x v="0"/>
    <n v="0.16"/>
    <s v="Cold"/>
    <n v="0.1212"/>
    <n v="0.4"/>
    <n v="0.52239999999999998"/>
    <s v="Gale"/>
    <n v="2"/>
    <n v="47"/>
    <n v="49"/>
    <n v="37.833333333333336"/>
    <n v="32.717056669288716"/>
    <n v="0.34131024619793321"/>
    <b v="0"/>
  </r>
  <r>
    <n v="198"/>
    <d v="2011-01-09T00:00:00"/>
    <n v="1"/>
    <n v="0"/>
    <x v="0"/>
    <x v="12"/>
    <b v="0"/>
    <x v="1"/>
    <x v="1"/>
    <x v="0"/>
    <s v="Midday"/>
    <n v="1"/>
    <x v="0"/>
    <n v="0.18"/>
    <s v="Cold"/>
    <n v="0.13639999999999999"/>
    <n v="0.37"/>
    <n v="0.44779999999999998"/>
    <s v="Gale"/>
    <n v="4"/>
    <n v="79"/>
    <n v="83"/>
    <n v="37.208333333333336"/>
    <n v="31.643364805783282"/>
    <n v="1.4471174904350745"/>
    <b v="0"/>
  </r>
  <r>
    <n v="199"/>
    <d v="2011-01-09T00:00:00"/>
    <n v="1"/>
    <n v="0"/>
    <x v="0"/>
    <x v="13"/>
    <b v="0"/>
    <x v="1"/>
    <x v="1"/>
    <x v="0"/>
    <s v="Midday"/>
    <n v="1"/>
    <x v="0"/>
    <n v="0.2"/>
    <s v="Mild"/>
    <n v="0.16669999999999999"/>
    <n v="0.34"/>
    <n v="0.44779999999999998"/>
    <s v="Gale"/>
    <n v="6"/>
    <n v="69"/>
    <n v="75"/>
    <n v="36.083333333333336"/>
    <n v="29.657342615522598"/>
    <n v="1.3122101724076167"/>
    <b v="0"/>
  </r>
  <r>
    <n v="200"/>
    <d v="2011-01-09T00:00:00"/>
    <n v="1"/>
    <n v="0"/>
    <x v="0"/>
    <x v="14"/>
    <b v="0"/>
    <x v="1"/>
    <x v="1"/>
    <x v="0"/>
    <s v="Midday"/>
    <n v="1"/>
    <x v="0"/>
    <n v="0.22"/>
    <s v="Mild"/>
    <n v="0.18179999999999999"/>
    <n v="0.32"/>
    <n v="0.4627"/>
    <s v="Gale"/>
    <n v="8"/>
    <n v="64"/>
    <n v="72"/>
    <n v="35.125"/>
    <n v="27.995826552324296"/>
    <n v="1.3171606107460516"/>
    <b v="0"/>
  </r>
  <r>
    <n v="201"/>
    <d v="2011-01-09T00:00:00"/>
    <n v="1"/>
    <n v="0"/>
    <x v="0"/>
    <x v="15"/>
    <b v="0"/>
    <x v="1"/>
    <x v="1"/>
    <x v="0"/>
    <s v="Midday"/>
    <n v="1"/>
    <x v="0"/>
    <n v="0.22"/>
    <s v="Mild"/>
    <n v="0.19700000000000001"/>
    <n v="0.35"/>
    <n v="0.35820000000000002"/>
    <s v="Gale"/>
    <n v="5"/>
    <n v="77"/>
    <n v="82"/>
    <n v="35.458333333333336"/>
    <n v="28.521508537862477"/>
    <n v="1.6318094326912027"/>
    <b v="0"/>
  </r>
  <r>
    <n v="202"/>
    <d v="2011-01-09T00:00:00"/>
    <n v="1"/>
    <n v="0"/>
    <x v="0"/>
    <x v="16"/>
    <b v="0"/>
    <x v="1"/>
    <x v="1"/>
    <x v="0"/>
    <s v="Midday"/>
    <n v="1"/>
    <x v="0"/>
    <n v="0.2"/>
    <s v="Mild"/>
    <n v="0.16669999999999999"/>
    <n v="0.34"/>
    <n v="0.44779999999999998"/>
    <s v="Gale"/>
    <n v="13"/>
    <n v="79"/>
    <n v="92"/>
    <n v="36.125"/>
    <n v="29.674044433536157"/>
    <n v="1.8829586956085029"/>
    <b v="0"/>
  </r>
  <r>
    <n v="203"/>
    <d v="2011-01-09T00:00:00"/>
    <n v="1"/>
    <n v="0"/>
    <x v="0"/>
    <x v="17"/>
    <b v="0"/>
    <x v="1"/>
    <x v="1"/>
    <x v="0"/>
    <s v="Evening"/>
    <n v="1"/>
    <x v="0"/>
    <n v="0.18"/>
    <s v="Cold"/>
    <n v="0.1515"/>
    <n v="0.37"/>
    <n v="0.3881"/>
    <s v="Gale"/>
    <n v="3"/>
    <n v="59"/>
    <n v="62"/>
    <n v="35.833333333333336"/>
    <n v="29.369707355452615"/>
    <n v="0.89094066719764942"/>
    <b v="0"/>
  </r>
  <r>
    <n v="204"/>
    <d v="2011-01-09T00:00:00"/>
    <n v="1"/>
    <n v="0"/>
    <x v="0"/>
    <x v="18"/>
    <b v="0"/>
    <x v="1"/>
    <x v="1"/>
    <x v="0"/>
    <s v="Evening"/>
    <n v="1"/>
    <x v="0"/>
    <n v="0.16"/>
    <s v="Cold"/>
    <n v="0.13639999999999999"/>
    <n v="0.4"/>
    <n v="0.32840000000000003"/>
    <s v="Gale"/>
    <n v="4"/>
    <n v="44"/>
    <n v="48"/>
    <n v="35.541666666666664"/>
    <n v="29.205388375177062"/>
    <n v="0.42657653352496483"/>
    <b v="0"/>
  </r>
  <r>
    <n v="205"/>
    <d v="2011-01-09T00:00:00"/>
    <n v="1"/>
    <n v="0"/>
    <x v="0"/>
    <x v="19"/>
    <b v="0"/>
    <x v="1"/>
    <x v="1"/>
    <x v="0"/>
    <s v="Evening"/>
    <n v="1"/>
    <x v="0"/>
    <n v="0.16"/>
    <s v="Cold"/>
    <n v="0.13639999999999999"/>
    <n v="0.43"/>
    <n v="0.32840000000000003"/>
    <s v="Gale"/>
    <n v="1"/>
    <n v="40"/>
    <n v="41"/>
    <n v="36"/>
    <n v="29.200952932634117"/>
    <n v="0.17122728876468099"/>
    <b v="0"/>
  </r>
  <r>
    <n v="206"/>
    <d v="2011-01-09T00:00:00"/>
    <n v="1"/>
    <n v="0"/>
    <x v="0"/>
    <x v="20"/>
    <b v="0"/>
    <x v="1"/>
    <x v="1"/>
    <x v="0"/>
    <s v="Evening"/>
    <n v="1"/>
    <x v="0"/>
    <n v="0.14000000000000001"/>
    <s v="Cold"/>
    <n v="0.1212"/>
    <n v="0.46"/>
    <n v="0.25369999999999998"/>
    <s v="Light Breeze"/>
    <n v="0"/>
    <n v="38"/>
    <n v="38"/>
    <n v="36.416666666666664"/>
    <n v="29.153143863080174"/>
    <n v="5.4310894933650176E-2"/>
    <b v="0"/>
  </r>
  <r>
    <n v="207"/>
    <d v="2011-01-09T00:00:00"/>
    <n v="1"/>
    <n v="0"/>
    <x v="0"/>
    <x v="21"/>
    <b v="0"/>
    <x v="1"/>
    <x v="1"/>
    <x v="0"/>
    <s v="Night"/>
    <n v="1"/>
    <x v="0"/>
    <n v="0.14000000000000001"/>
    <s v="Cold"/>
    <n v="0.1061"/>
    <n v="0.46"/>
    <n v="0.41789999999999999"/>
    <s v="Gale"/>
    <n v="1"/>
    <n v="19"/>
    <n v="20"/>
    <n v="35.708333333333336"/>
    <n v="29.344252332058762"/>
    <n v="-0.5353120998135602"/>
    <b v="0"/>
  </r>
  <r>
    <n v="208"/>
    <d v="2011-01-09T00:00:00"/>
    <n v="1"/>
    <n v="0"/>
    <x v="0"/>
    <x v="22"/>
    <b v="0"/>
    <x v="1"/>
    <x v="1"/>
    <x v="0"/>
    <s v="Night"/>
    <n v="1"/>
    <x v="0"/>
    <n v="0.14000000000000001"/>
    <s v="Cold"/>
    <n v="0.1212"/>
    <n v="0.46"/>
    <n v="0.29849999999999999"/>
    <s v="Light Breeze"/>
    <n v="5"/>
    <n v="10"/>
    <n v="15"/>
    <n v="34.916666666666664"/>
    <n v="29.647078698622547"/>
    <n v="-0.67179187767974002"/>
    <b v="0"/>
  </r>
  <r>
    <n v="209"/>
    <d v="2011-01-09T00:00:00"/>
    <n v="1"/>
    <n v="0"/>
    <x v="0"/>
    <x v="23"/>
    <b v="0"/>
    <x v="1"/>
    <x v="1"/>
    <x v="0"/>
    <s v="Night"/>
    <n v="1"/>
    <x v="0"/>
    <n v="0.12"/>
    <s v="Cold"/>
    <n v="0.13639999999999999"/>
    <n v="0.5"/>
    <n v="0.19400000000000001"/>
    <s v="Light Breeze"/>
    <n v="0"/>
    <n v="6"/>
    <n v="6"/>
    <n v="34.25"/>
    <n v="30.126183902408535"/>
    <n v="-0.93772248392009128"/>
    <b v="0"/>
  </r>
  <r>
    <n v="210"/>
    <d v="2011-01-10T00:00:00"/>
    <n v="1"/>
    <n v="0"/>
    <x v="0"/>
    <x v="0"/>
    <b v="0"/>
    <x v="2"/>
    <x v="2"/>
    <x v="1"/>
    <s v="Night"/>
    <n v="1"/>
    <x v="0"/>
    <n v="0.12"/>
    <s v="Cold"/>
    <n v="0.1212"/>
    <n v="0.5"/>
    <n v="0.28360000000000002"/>
    <s v="Light Breeze"/>
    <n v="2"/>
    <n v="3"/>
    <n v="5"/>
    <n v="33.416666666666664"/>
    <n v="30.664973173152212"/>
    <n v="-0.92668160856393689"/>
    <b v="0"/>
  </r>
  <r>
    <n v="211"/>
    <d v="2011-01-10T00:00:00"/>
    <n v="1"/>
    <n v="0"/>
    <x v="0"/>
    <x v="1"/>
    <b v="0"/>
    <x v="2"/>
    <x v="2"/>
    <x v="1"/>
    <s v="Night"/>
    <n v="1"/>
    <x v="0"/>
    <n v="0.12"/>
    <s v="Cold"/>
    <n v="0.1212"/>
    <n v="0.5"/>
    <n v="0.28360000000000002"/>
    <s v="Light Breeze"/>
    <n v="1"/>
    <n v="0"/>
    <n v="1"/>
    <n v="32.958333333333336"/>
    <n v="31.078412984307747"/>
    <n v="-1.0283129112631937"/>
    <b v="0"/>
  </r>
  <r>
    <n v="212"/>
    <d v="2011-01-10T00:00:00"/>
    <n v="1"/>
    <n v="0"/>
    <x v="0"/>
    <x v="2"/>
    <b v="0"/>
    <x v="2"/>
    <x v="2"/>
    <x v="1"/>
    <s v="Night"/>
    <n v="1"/>
    <x v="0"/>
    <n v="0.12"/>
    <s v="Cold"/>
    <n v="0.1212"/>
    <n v="0.5"/>
    <n v="0.22389999999999999"/>
    <s v="Light Breeze"/>
    <n v="0"/>
    <n v="3"/>
    <n v="3"/>
    <n v="32.625"/>
    <n v="31.365742181697147"/>
    <n v="-0.94450180162760755"/>
    <b v="0"/>
  </r>
  <r>
    <n v="213"/>
    <d v="2011-01-10T00:00:00"/>
    <n v="1"/>
    <n v="0"/>
    <x v="0"/>
    <x v="3"/>
    <b v="0"/>
    <x v="2"/>
    <x v="2"/>
    <x v="1"/>
    <s v="Night"/>
    <n v="1"/>
    <x v="0"/>
    <n v="0.12"/>
    <s v="Cold"/>
    <n v="0.1212"/>
    <n v="0.5"/>
    <n v="0.22389999999999999"/>
    <s v="Light Breeze"/>
    <n v="0"/>
    <n v="1"/>
    <n v="1"/>
    <n v="32.5"/>
    <n v="31.490509267286285"/>
    <n v="-1.0003013839069148"/>
    <b v="0"/>
  </r>
  <r>
    <n v="214"/>
    <d v="2011-01-10T00:00:00"/>
    <n v="1"/>
    <n v="0"/>
    <x v="0"/>
    <x v="4"/>
    <b v="0"/>
    <x v="2"/>
    <x v="2"/>
    <x v="1"/>
    <s v="Night"/>
    <n v="1"/>
    <x v="0"/>
    <n v="0.1"/>
    <s v="Cold"/>
    <n v="0.1212"/>
    <n v="0.54"/>
    <n v="0.1343"/>
    <s v="Light Breeze"/>
    <n v="1"/>
    <n v="2"/>
    <n v="3"/>
    <n v="32.583333333333336"/>
    <n v="31.406059601773428"/>
    <n v="-0.94196259283870276"/>
    <b v="0"/>
  </r>
  <r>
    <n v="215"/>
    <d v="2011-01-10T00:00:00"/>
    <n v="1"/>
    <n v="0"/>
    <x v="0"/>
    <x v="5"/>
    <b v="0"/>
    <x v="2"/>
    <x v="2"/>
    <x v="1"/>
    <s v="Night"/>
    <n v="1"/>
    <x v="0"/>
    <n v="0.1"/>
    <s v="Cold"/>
    <n v="0.1061"/>
    <n v="0.54"/>
    <n v="0.25369999999999998"/>
    <s v="Light Breeze"/>
    <n v="0"/>
    <n v="3"/>
    <n v="3"/>
    <n v="32.666666666666664"/>
    <n v="31.321150884883256"/>
    <n v="-0.94717677443279691"/>
    <b v="0"/>
  </r>
  <r>
    <n v="216"/>
    <d v="2011-01-10T00:00:00"/>
    <n v="1"/>
    <n v="0"/>
    <x v="0"/>
    <x v="6"/>
    <b v="0"/>
    <x v="2"/>
    <x v="2"/>
    <x v="1"/>
    <s v="Morning"/>
    <n v="1"/>
    <x v="0"/>
    <n v="0.12"/>
    <s v="Cold"/>
    <n v="0.1212"/>
    <n v="0.5"/>
    <n v="0.28360000000000002"/>
    <s v="Light Breeze"/>
    <n v="0"/>
    <n v="31"/>
    <n v="31"/>
    <n v="33.916666666666664"/>
    <n v="30.592577483785984"/>
    <n v="-9.5339030136067898E-2"/>
    <b v="0"/>
  </r>
  <r>
    <n v="217"/>
    <d v="2011-01-10T00:00:00"/>
    <n v="1"/>
    <n v="0"/>
    <x v="0"/>
    <x v="7"/>
    <b v="0"/>
    <x v="2"/>
    <x v="2"/>
    <x v="1"/>
    <s v="Morning"/>
    <n v="1"/>
    <x v="0"/>
    <n v="0.12"/>
    <s v="Cold"/>
    <n v="0.1212"/>
    <n v="0.5"/>
    <n v="0.22389999999999999"/>
    <s v="Light Breeze"/>
    <n v="2"/>
    <n v="75"/>
    <n v="77"/>
    <n v="36.875"/>
    <n v="31.20244207276648"/>
    <n v="1.2859570384403065"/>
    <b v="0"/>
  </r>
  <r>
    <n v="218"/>
    <d v="2011-01-10T00:00:00"/>
    <n v="1"/>
    <n v="0"/>
    <x v="0"/>
    <x v="8"/>
    <b v="0"/>
    <x v="2"/>
    <x v="2"/>
    <x v="1"/>
    <s v="Morning"/>
    <n v="2"/>
    <x v="1"/>
    <n v="0.12"/>
    <s v="Cold"/>
    <n v="0.1212"/>
    <n v="0.5"/>
    <n v="0.28360000000000002"/>
    <s v="Light Breeze"/>
    <n v="4"/>
    <n v="184"/>
    <n v="188"/>
    <n v="44.291666666666664"/>
    <n v="43.333368171669385"/>
    <n v="3.3163434876333335"/>
    <b v="1"/>
  </r>
  <r>
    <n v="219"/>
    <d v="2011-01-10T00:00:00"/>
    <n v="1"/>
    <n v="0"/>
    <x v="0"/>
    <x v="9"/>
    <b v="0"/>
    <x v="2"/>
    <x v="2"/>
    <x v="1"/>
    <s v="Morning"/>
    <n v="2"/>
    <x v="1"/>
    <n v="0.14000000000000001"/>
    <s v="Cold"/>
    <n v="0.1212"/>
    <n v="0.5"/>
    <n v="0.25369999999999998"/>
    <s v="Light Breeze"/>
    <n v="2"/>
    <n v="92"/>
    <n v="94"/>
    <n v="47.416666666666664"/>
    <n v="44.127204136762806"/>
    <n v="1.0556602042802958"/>
    <b v="0"/>
  </r>
  <r>
    <n v="220"/>
    <d v="2011-01-10T00:00:00"/>
    <n v="1"/>
    <n v="0"/>
    <x v="0"/>
    <x v="10"/>
    <b v="0"/>
    <x v="2"/>
    <x v="2"/>
    <x v="1"/>
    <s v="Morning"/>
    <n v="2"/>
    <x v="1"/>
    <n v="0.14000000000000001"/>
    <s v="Cold"/>
    <n v="0.1212"/>
    <n v="0.5"/>
    <n v="0.29849999999999999"/>
    <s v="Light Breeze"/>
    <n v="0"/>
    <n v="31"/>
    <n v="31"/>
    <n v="46.666666666666664"/>
    <n v="44.251913902767768"/>
    <n v="-0.35403365154081573"/>
    <b v="0"/>
  </r>
  <r>
    <n v="221"/>
    <d v="2011-01-10T00:00:00"/>
    <n v="1"/>
    <n v="0"/>
    <x v="0"/>
    <x v="11"/>
    <b v="0"/>
    <x v="2"/>
    <x v="2"/>
    <x v="1"/>
    <s v="Morning"/>
    <n v="2"/>
    <x v="1"/>
    <n v="0.16"/>
    <s v="Cold"/>
    <n v="0.13639999999999999"/>
    <n v="0.47"/>
    <n v="0.28360000000000002"/>
    <s v="Light Breeze"/>
    <n v="2"/>
    <n v="28"/>
    <n v="30"/>
    <n v="45.875"/>
    <n v="44.378130630535459"/>
    <n v="-0.35772124184692039"/>
    <b v="0"/>
  </r>
  <r>
    <n v="222"/>
    <d v="2011-01-10T00:00:00"/>
    <n v="1"/>
    <n v="0"/>
    <x v="0"/>
    <x v="12"/>
    <b v="0"/>
    <x v="2"/>
    <x v="2"/>
    <x v="1"/>
    <s v="Midday"/>
    <n v="2"/>
    <x v="1"/>
    <n v="0.2"/>
    <s v="Mild"/>
    <n v="0.18179999999999999"/>
    <n v="0.4"/>
    <n v="0.28360000000000002"/>
    <s v="Light Breeze"/>
    <n v="5"/>
    <n v="47"/>
    <n v="52"/>
    <n v="44.583333333333336"/>
    <n v="43.69649937890923"/>
    <n v="0.16973136915050979"/>
    <b v="0"/>
  </r>
  <r>
    <n v="223"/>
    <d v="2011-01-10T00:00:00"/>
    <n v="1"/>
    <n v="0"/>
    <x v="0"/>
    <x v="13"/>
    <b v="0"/>
    <x v="2"/>
    <x v="2"/>
    <x v="1"/>
    <s v="Midday"/>
    <n v="2"/>
    <x v="1"/>
    <n v="0.2"/>
    <s v="Mild"/>
    <n v="0.18179999999999999"/>
    <n v="0.4"/>
    <n v="0.28360000000000002"/>
    <s v="Light Breeze"/>
    <n v="4"/>
    <n v="50"/>
    <n v="54"/>
    <n v="43.708333333333336"/>
    <n v="43.269106527754246"/>
    <n v="0.23785253481176569"/>
    <b v="0"/>
  </r>
  <r>
    <n v="224"/>
    <d v="2011-01-10T00:00:00"/>
    <n v="1"/>
    <n v="0"/>
    <x v="0"/>
    <x v="14"/>
    <b v="0"/>
    <x v="2"/>
    <x v="2"/>
    <x v="1"/>
    <s v="Midday"/>
    <n v="2"/>
    <x v="1"/>
    <n v="0.2"/>
    <s v="Mild"/>
    <n v="0.19700000000000001"/>
    <n v="0.4"/>
    <n v="0.22389999999999999"/>
    <s v="Light Breeze"/>
    <n v="0"/>
    <n v="47"/>
    <n v="47"/>
    <n v="42.666666666666664"/>
    <n v="42.857363698533838"/>
    <n v="0.10111059009169947"/>
    <b v="0"/>
  </r>
  <r>
    <n v="225"/>
    <d v="2011-01-10T00:00:00"/>
    <n v="1"/>
    <n v="0"/>
    <x v="0"/>
    <x v="15"/>
    <b v="0"/>
    <x v="2"/>
    <x v="2"/>
    <x v="1"/>
    <s v="Midday"/>
    <n v="2"/>
    <x v="1"/>
    <n v="0.2"/>
    <s v="Mild"/>
    <n v="0.19700000000000001"/>
    <n v="0.4"/>
    <n v="0.22389999999999999"/>
    <s v="Light Breeze"/>
    <n v="2"/>
    <n v="43"/>
    <n v="45"/>
    <n v="41.125"/>
    <n v="42.038608031396464"/>
    <n v="9.2177171925054285E-2"/>
    <b v="0"/>
  </r>
  <r>
    <n v="226"/>
    <d v="2011-01-10T00:00:00"/>
    <n v="1"/>
    <n v="0"/>
    <x v="0"/>
    <x v="16"/>
    <b v="0"/>
    <x v="2"/>
    <x v="2"/>
    <x v="1"/>
    <s v="Midday"/>
    <n v="1"/>
    <x v="0"/>
    <n v="0.2"/>
    <s v="Mild"/>
    <n v="0.21210000000000001"/>
    <n v="0.4"/>
    <n v="0.1343"/>
    <s v="Light Breeze"/>
    <n v="4"/>
    <n v="70"/>
    <n v="74"/>
    <n v="40.375"/>
    <n v="41.244564859321557"/>
    <n v="0.81525893447268405"/>
    <b v="0"/>
  </r>
  <r>
    <n v="227"/>
    <d v="2011-01-10T00:00:00"/>
    <n v="1"/>
    <n v="0"/>
    <x v="0"/>
    <x v="17"/>
    <b v="0"/>
    <x v="2"/>
    <x v="2"/>
    <x v="1"/>
    <s v="Evening"/>
    <n v="1"/>
    <x v="0"/>
    <n v="0.2"/>
    <s v="Mild"/>
    <n v="0.2273"/>
    <n v="0.4"/>
    <n v="0.1045"/>
    <s v="Calm"/>
    <n v="4"/>
    <n v="174"/>
    <n v="178"/>
    <n v="45.208333333333336"/>
    <n v="49.798707130648062"/>
    <n v="2.6665685580608476"/>
    <b v="0"/>
  </r>
  <r>
    <n v="228"/>
    <d v="2011-01-10T00:00:00"/>
    <n v="1"/>
    <n v="0"/>
    <x v="0"/>
    <x v="18"/>
    <b v="0"/>
    <x v="2"/>
    <x v="2"/>
    <x v="1"/>
    <s v="Evening"/>
    <n v="1"/>
    <x v="0"/>
    <n v="0.2"/>
    <s v="Mild"/>
    <n v="0.19700000000000001"/>
    <n v="0.4"/>
    <n v="0.22389999999999999"/>
    <s v="Light Breeze"/>
    <n v="1"/>
    <n v="154"/>
    <n v="155"/>
    <n v="49.666666666666664"/>
    <n v="54.61618383072809"/>
    <n v="1.9286102752948262"/>
    <b v="0"/>
  </r>
  <r>
    <n v="229"/>
    <d v="2011-01-10T00:00:00"/>
    <n v="1"/>
    <n v="0"/>
    <x v="0"/>
    <x v="19"/>
    <b v="0"/>
    <x v="2"/>
    <x v="2"/>
    <x v="1"/>
    <s v="Evening"/>
    <n v="1"/>
    <x v="0"/>
    <n v="0.16"/>
    <s v="Cold"/>
    <n v="0.16669999999999999"/>
    <n v="0.47"/>
    <n v="0.16420000000000001"/>
    <s v="Light Breeze"/>
    <n v="3"/>
    <n v="92"/>
    <n v="95"/>
    <n v="51.916666666666664"/>
    <n v="55.350988103718358"/>
    <n v="0.77836611069349804"/>
    <b v="0"/>
  </r>
  <r>
    <n v="230"/>
    <d v="2011-01-10T00:00:00"/>
    <n v="1"/>
    <n v="0"/>
    <x v="0"/>
    <x v="20"/>
    <b v="0"/>
    <x v="2"/>
    <x v="2"/>
    <x v="1"/>
    <s v="Evening"/>
    <n v="1"/>
    <x v="0"/>
    <n v="0.16"/>
    <s v="Cold"/>
    <n v="0.16669999999999999"/>
    <n v="0.5"/>
    <n v="0.16420000000000001"/>
    <s v="Light Breeze"/>
    <n v="1"/>
    <n v="73"/>
    <n v="74"/>
    <n v="53.416666666666664"/>
    <n v="55.445168109283124"/>
    <n v="0.37123763954982203"/>
    <b v="0"/>
  </r>
  <r>
    <n v="231"/>
    <d v="2011-01-10T00:00:00"/>
    <n v="1"/>
    <n v="0"/>
    <x v="0"/>
    <x v="21"/>
    <b v="0"/>
    <x v="2"/>
    <x v="2"/>
    <x v="1"/>
    <s v="Night"/>
    <n v="1"/>
    <x v="0"/>
    <n v="0.14000000000000001"/>
    <s v="Cold"/>
    <n v="0.13639999999999999"/>
    <n v="0.59"/>
    <n v="0.19400000000000001"/>
    <s v="Light Breeze"/>
    <n v="1"/>
    <n v="37"/>
    <n v="38"/>
    <n v="54.166666666666664"/>
    <n v="55.094122362014076"/>
    <n v="-0.29343723020830165"/>
    <b v="0"/>
  </r>
  <r>
    <n v="232"/>
    <d v="2011-01-10T00:00:00"/>
    <n v="1"/>
    <n v="0"/>
    <x v="0"/>
    <x v="22"/>
    <b v="0"/>
    <x v="2"/>
    <x v="2"/>
    <x v="1"/>
    <s v="Night"/>
    <n v="1"/>
    <x v="0"/>
    <n v="0.14000000000000001"/>
    <s v="Cold"/>
    <n v="0.1515"/>
    <n v="0.59"/>
    <n v="0.16420000000000001"/>
    <s v="Light Breeze"/>
    <n v="2"/>
    <n v="22"/>
    <n v="24"/>
    <n v="54.541666666666664"/>
    <n v="54.846013026723611"/>
    <n v="-0.55686211232501615"/>
    <b v="0"/>
  </r>
  <r>
    <n v="233"/>
    <d v="2011-01-10T00:00:00"/>
    <n v="1"/>
    <n v="0"/>
    <x v="0"/>
    <x v="23"/>
    <b v="0"/>
    <x v="2"/>
    <x v="2"/>
    <x v="1"/>
    <s v="Night"/>
    <n v="1"/>
    <x v="0"/>
    <n v="0.14000000000000001"/>
    <s v="Cold"/>
    <n v="0.1515"/>
    <n v="0.59"/>
    <n v="0.16420000000000001"/>
    <s v="Light Breeze"/>
    <n v="0"/>
    <n v="18"/>
    <n v="18"/>
    <n v="55.041666666666664"/>
    <n v="54.437422523614146"/>
    <n v="-0.68044490259616053"/>
    <b v="0"/>
  </r>
  <r>
    <n v="234"/>
    <d v="2011-01-11T00:00:00"/>
    <n v="1"/>
    <n v="0"/>
    <x v="0"/>
    <x v="0"/>
    <b v="0"/>
    <x v="3"/>
    <x v="3"/>
    <x v="1"/>
    <s v="Night"/>
    <n v="1"/>
    <x v="0"/>
    <n v="0.14000000000000001"/>
    <s v="Cold"/>
    <n v="0.16669999999999999"/>
    <n v="0.59"/>
    <n v="0.1045"/>
    <s v="Calm"/>
    <n v="2"/>
    <n v="10"/>
    <n v="12"/>
    <n v="55.333333333333336"/>
    <n v="54.175774039266138"/>
    <n v="-0.79986551372437631"/>
    <b v="0"/>
  </r>
  <r>
    <n v="235"/>
    <d v="2011-01-11T00:00:00"/>
    <n v="1"/>
    <n v="0"/>
    <x v="0"/>
    <x v="1"/>
    <b v="0"/>
    <x v="3"/>
    <x v="3"/>
    <x v="1"/>
    <s v="Night"/>
    <n v="1"/>
    <x v="0"/>
    <n v="0.14000000000000001"/>
    <s v="Cold"/>
    <n v="0.1515"/>
    <n v="0.59"/>
    <n v="0.16420000000000001"/>
    <s v="Light Breeze"/>
    <n v="0"/>
    <n v="3"/>
    <n v="3"/>
    <n v="55.416666666666664"/>
    <n v="54.090034979263706"/>
    <n v="-0.96906327915597479"/>
    <b v="0"/>
  </r>
  <r>
    <n v="236"/>
    <d v="2011-01-11T00:00:00"/>
    <n v="1"/>
    <n v="0"/>
    <x v="0"/>
    <x v="2"/>
    <b v="0"/>
    <x v="3"/>
    <x v="3"/>
    <x v="1"/>
    <s v="Night"/>
    <n v="2"/>
    <x v="1"/>
    <n v="0.16"/>
    <s v="Cold"/>
    <n v="0.1515"/>
    <n v="0.55000000000000004"/>
    <n v="0.19400000000000001"/>
    <s v="Light Breeze"/>
    <n v="0"/>
    <n v="3"/>
    <n v="3"/>
    <n v="55.416666666666664"/>
    <n v="54.090034979263706"/>
    <n v="-0.96906327915597479"/>
    <b v="0"/>
  </r>
  <r>
    <n v="237"/>
    <d v="2011-01-11T00:00:00"/>
    <n v="1"/>
    <n v="0"/>
    <x v="0"/>
    <x v="5"/>
    <b v="0"/>
    <x v="3"/>
    <x v="3"/>
    <x v="1"/>
    <s v="Night"/>
    <n v="2"/>
    <x v="1"/>
    <n v="0.16"/>
    <s v="Cold"/>
    <n v="0.18179999999999999"/>
    <n v="0.55000000000000004"/>
    <n v="0.1343"/>
    <s v="Light Breeze"/>
    <n v="0"/>
    <n v="6"/>
    <n v="6"/>
    <n v="55.625"/>
    <n v="53.880554288488739"/>
    <n v="-0.92101873589303607"/>
    <b v="0"/>
  </r>
  <r>
    <n v="238"/>
    <d v="2011-01-11T00:00:00"/>
    <n v="1"/>
    <n v="0"/>
    <x v="0"/>
    <x v="6"/>
    <b v="0"/>
    <x v="3"/>
    <x v="3"/>
    <x v="1"/>
    <s v="Morning"/>
    <n v="2"/>
    <x v="1"/>
    <n v="0.16"/>
    <s v="Cold"/>
    <n v="0.18179999999999999"/>
    <n v="0.55000000000000004"/>
    <n v="0.1343"/>
    <s v="Light Breeze"/>
    <n v="0"/>
    <n v="27"/>
    <n v="27"/>
    <n v="56.625"/>
    <n v="53.078131499500444"/>
    <n v="-0.55813946653865953"/>
    <b v="0"/>
  </r>
  <r>
    <n v="239"/>
    <d v="2011-01-11T00:00:00"/>
    <n v="1"/>
    <n v="0"/>
    <x v="0"/>
    <x v="7"/>
    <b v="0"/>
    <x v="3"/>
    <x v="3"/>
    <x v="1"/>
    <s v="Morning"/>
    <n v="2"/>
    <x v="1"/>
    <n v="0.16"/>
    <s v="Cold"/>
    <n v="0.2273"/>
    <n v="0.55000000000000004"/>
    <n v="0"/>
    <s v="Calm"/>
    <n v="2"/>
    <n v="97"/>
    <n v="99"/>
    <n v="60.625"/>
    <n v="52.475097613679743"/>
    <n v="0.73129925898405601"/>
    <b v="0"/>
  </r>
  <r>
    <n v="240"/>
    <d v="2011-01-11T00:00:00"/>
    <n v="1"/>
    <n v="0"/>
    <x v="0"/>
    <x v="8"/>
    <b v="0"/>
    <x v="3"/>
    <x v="3"/>
    <x v="1"/>
    <s v="Morning"/>
    <n v="2"/>
    <x v="1"/>
    <n v="0.18"/>
    <s v="Cold"/>
    <n v="0.21210000000000001"/>
    <n v="0.51"/>
    <n v="8.9599999999999999E-2"/>
    <s v="Calm"/>
    <n v="3"/>
    <n v="214"/>
    <n v="217"/>
    <n v="68.375"/>
    <n v="60.958868884290936"/>
    <n v="2.4381193864031911"/>
    <b v="0"/>
  </r>
  <r>
    <n v="241"/>
    <d v="2011-01-11T00:00:00"/>
    <n v="1"/>
    <n v="0"/>
    <x v="0"/>
    <x v="9"/>
    <b v="0"/>
    <x v="3"/>
    <x v="3"/>
    <x v="1"/>
    <s v="Morning"/>
    <n v="2"/>
    <x v="1"/>
    <n v="0.18"/>
    <s v="Cold"/>
    <n v="0.19700000000000001"/>
    <n v="0.51"/>
    <n v="0.16420000000000001"/>
    <s v="Light Breeze"/>
    <n v="3"/>
    <n v="127"/>
    <n v="130"/>
    <n v="70.583333333333329"/>
    <n v="62.231626704745878"/>
    <n v="0.95476640757866393"/>
    <b v="0"/>
  </r>
  <r>
    <n v="242"/>
    <d v="2011-01-11T00:00:00"/>
    <n v="1"/>
    <n v="0"/>
    <x v="0"/>
    <x v="10"/>
    <b v="0"/>
    <x v="3"/>
    <x v="3"/>
    <x v="1"/>
    <s v="Morning"/>
    <n v="2"/>
    <x v="1"/>
    <n v="0.2"/>
    <s v="Mild"/>
    <n v="0.21210000000000001"/>
    <n v="0.51"/>
    <n v="0.16420000000000001"/>
    <s v="Light Breeze"/>
    <n v="3"/>
    <n v="51"/>
    <n v="54"/>
    <n v="65"/>
    <n v="57.033171126070592"/>
    <n v="-0.1928702153994688"/>
    <b v="0"/>
  </r>
  <r>
    <n v="243"/>
    <d v="2011-01-11T00:00:00"/>
    <n v="1"/>
    <n v="0"/>
    <x v="0"/>
    <x v="11"/>
    <b v="0"/>
    <x v="3"/>
    <x v="3"/>
    <x v="1"/>
    <s v="Morning"/>
    <n v="2"/>
    <x v="1"/>
    <n v="0.2"/>
    <s v="Mild"/>
    <n v="0.21210000000000001"/>
    <n v="0.47"/>
    <n v="0.1343"/>
    <s v="Light Breeze"/>
    <n v="4"/>
    <n v="31"/>
    <n v="35"/>
    <n v="62.541666666666664"/>
    <n v="57.000365495904205"/>
    <n v="-0.48318403622597272"/>
    <b v="0"/>
  </r>
  <r>
    <n v="244"/>
    <d v="2011-01-11T00:00:00"/>
    <n v="1"/>
    <n v="0"/>
    <x v="0"/>
    <x v="12"/>
    <b v="0"/>
    <x v="3"/>
    <x v="3"/>
    <x v="1"/>
    <s v="Midday"/>
    <n v="2"/>
    <x v="1"/>
    <n v="0.2"/>
    <s v="Mild"/>
    <n v="0.2273"/>
    <n v="0.51"/>
    <n v="0.1045"/>
    <s v="Calm"/>
    <n v="2"/>
    <n v="55"/>
    <n v="57"/>
    <n v="63.625"/>
    <n v="56.620638808922273"/>
    <n v="-0.11700680422129101"/>
    <b v="0"/>
  </r>
  <r>
    <n v="245"/>
    <d v="2011-01-11T00:00:00"/>
    <n v="1"/>
    <n v="0"/>
    <x v="0"/>
    <x v="13"/>
    <b v="0"/>
    <x v="3"/>
    <x v="3"/>
    <x v="1"/>
    <s v="Midday"/>
    <n v="2"/>
    <x v="1"/>
    <n v="0.2"/>
    <s v="Mild"/>
    <n v="0.2273"/>
    <n v="0.59"/>
    <n v="8.9599999999999999E-2"/>
    <s v="Calm"/>
    <n v="6"/>
    <n v="46"/>
    <n v="52"/>
    <n v="64.541666666666671"/>
    <n v="56.229327924496658"/>
    <n v="-0.22304493277080084"/>
    <b v="0"/>
  </r>
  <r>
    <n v="246"/>
    <d v="2011-01-11T00:00:00"/>
    <n v="1"/>
    <n v="0"/>
    <x v="0"/>
    <x v="14"/>
    <b v="0"/>
    <x v="3"/>
    <x v="3"/>
    <x v="1"/>
    <s v="Midday"/>
    <n v="2"/>
    <x v="1"/>
    <n v="0.2"/>
    <s v="Mild"/>
    <n v="0.2273"/>
    <n v="0.59"/>
    <n v="8.9599999999999999E-2"/>
    <s v="Calm"/>
    <n v="3"/>
    <n v="60"/>
    <n v="63"/>
    <n v="65"/>
    <n v="56.167451506149469"/>
    <n v="-3.5607811043038527E-2"/>
    <b v="0"/>
  </r>
  <r>
    <n v="247"/>
    <d v="2011-01-11T00:00:00"/>
    <n v="1"/>
    <n v="0"/>
    <x v="0"/>
    <x v="15"/>
    <b v="0"/>
    <x v="3"/>
    <x v="3"/>
    <x v="1"/>
    <s v="Midday"/>
    <n v="2"/>
    <x v="1"/>
    <n v="0.16"/>
    <s v="Cold"/>
    <n v="0.19700000000000001"/>
    <n v="0.8"/>
    <n v="8.9599999999999999E-2"/>
    <s v="Calm"/>
    <n v="2"/>
    <n v="45"/>
    <n v="47"/>
    <n v="64.708333333333329"/>
    <n v="56.245176926881754"/>
    <n v="-0.31484181046054865"/>
    <b v="0"/>
  </r>
  <r>
    <n v="248"/>
    <d v="2011-01-11T00:00:00"/>
    <n v="1"/>
    <n v="0"/>
    <x v="0"/>
    <x v="16"/>
    <b v="0"/>
    <x v="3"/>
    <x v="3"/>
    <x v="1"/>
    <s v="Midday"/>
    <n v="2"/>
    <x v="1"/>
    <n v="0.16"/>
    <s v="Cold"/>
    <n v="0.1515"/>
    <n v="0.86"/>
    <n v="0.22389999999999999"/>
    <s v="Light Breeze"/>
    <n v="4"/>
    <n v="72"/>
    <n v="76"/>
    <n v="65.916666666666671"/>
    <n v="56.159645628346418"/>
    <n v="0.17954766666554242"/>
    <b v="0"/>
  </r>
  <r>
    <n v="249"/>
    <d v="2011-01-11T00:00:00"/>
    <n v="1"/>
    <n v="0"/>
    <x v="0"/>
    <x v="17"/>
    <b v="0"/>
    <x v="3"/>
    <x v="3"/>
    <x v="1"/>
    <s v="Evening"/>
    <n v="2"/>
    <x v="1"/>
    <n v="0.16"/>
    <s v="Cold"/>
    <n v="0.1515"/>
    <n v="0.86"/>
    <n v="0.22389999999999999"/>
    <s v="Light Breeze"/>
    <n v="6"/>
    <n v="130"/>
    <n v="136"/>
    <n v="69.708333333333329"/>
    <n v="57.735889800145046"/>
    <n v="1.1481881875578219"/>
    <b v="0"/>
  </r>
  <r>
    <n v="250"/>
    <d v="2011-01-11T00:00:00"/>
    <n v="1"/>
    <n v="0"/>
    <x v="0"/>
    <x v="18"/>
    <b v="0"/>
    <x v="3"/>
    <x v="3"/>
    <x v="1"/>
    <s v="Evening"/>
    <n v="3"/>
    <x v="2"/>
    <n v="0.16"/>
    <s v="Cold"/>
    <n v="0.18179999999999999"/>
    <n v="0.93"/>
    <n v="0.1045"/>
    <s v="Calm"/>
    <n v="1"/>
    <n v="94"/>
    <n v="95"/>
    <n v="70.583333333333329"/>
    <n v="57.962444112858385"/>
    <n v="0.42124977716821432"/>
    <b v="0"/>
  </r>
  <r>
    <n v="251"/>
    <d v="2011-01-11T00:00:00"/>
    <n v="1"/>
    <n v="0"/>
    <x v="0"/>
    <x v="19"/>
    <b v="0"/>
    <x v="3"/>
    <x v="3"/>
    <x v="1"/>
    <s v="Evening"/>
    <n v="3"/>
    <x v="2"/>
    <n v="0.16"/>
    <s v="Cold"/>
    <n v="0.2273"/>
    <n v="0.93"/>
    <n v="0"/>
    <s v="Calm"/>
    <n v="0"/>
    <n v="51"/>
    <n v="51"/>
    <n v="65.291666666666671"/>
    <n v="53.342599964891967"/>
    <n v="-0.26792219869434358"/>
    <b v="0"/>
  </r>
  <r>
    <n v="252"/>
    <d v="2011-01-11T00:00:00"/>
    <n v="1"/>
    <n v="0"/>
    <x v="0"/>
    <x v="20"/>
    <b v="0"/>
    <x v="3"/>
    <x v="3"/>
    <x v="1"/>
    <s v="Evening"/>
    <n v="3"/>
    <x v="2"/>
    <n v="0.16"/>
    <s v="Cold"/>
    <n v="0.1515"/>
    <n v="0.93"/>
    <n v="0.19400000000000001"/>
    <s v="Light Breeze"/>
    <n v="0"/>
    <n v="32"/>
    <n v="32"/>
    <n v="60.166666666666664"/>
    <n v="50.162922966865779"/>
    <n v="-0.5615036963709561"/>
    <b v="0"/>
  </r>
  <r>
    <n v="253"/>
    <d v="2011-01-11T00:00:00"/>
    <n v="1"/>
    <n v="0"/>
    <x v="0"/>
    <x v="21"/>
    <b v="0"/>
    <x v="3"/>
    <x v="3"/>
    <x v="1"/>
    <s v="Night"/>
    <n v="3"/>
    <x v="2"/>
    <n v="0.16"/>
    <s v="Cold"/>
    <n v="0.19700000000000001"/>
    <n v="0.86"/>
    <n v="8.9599999999999999E-2"/>
    <s v="Calm"/>
    <n v="0"/>
    <n v="20"/>
    <n v="20"/>
    <n v="57.041666666666664"/>
    <n v="50.23464867535386"/>
    <n v="-0.73737286202700292"/>
    <b v="0"/>
  </r>
  <r>
    <n v="254"/>
    <d v="2011-01-11T00:00:00"/>
    <n v="1"/>
    <n v="0"/>
    <x v="0"/>
    <x v="22"/>
    <b v="0"/>
    <x v="3"/>
    <x v="3"/>
    <x v="1"/>
    <s v="Night"/>
    <n v="3"/>
    <x v="2"/>
    <n v="0.16"/>
    <s v="Cold"/>
    <n v="0.18179999999999999"/>
    <n v="0.93"/>
    <n v="0.1045"/>
    <s v="Calm"/>
    <n v="1"/>
    <n v="28"/>
    <n v="29"/>
    <n v="55.166666666666664"/>
    <n v="50.413651245313083"/>
    <n v="-0.51903930820918986"/>
    <b v="0"/>
  </r>
  <r>
    <n v="255"/>
    <d v="2011-01-11T00:00:00"/>
    <n v="1"/>
    <n v="0"/>
    <x v="0"/>
    <x v="23"/>
    <b v="0"/>
    <x v="3"/>
    <x v="3"/>
    <x v="1"/>
    <s v="Night"/>
    <n v="3"/>
    <x v="2"/>
    <n v="0.16"/>
    <s v="Cold"/>
    <n v="0.19700000000000001"/>
    <n v="0.93"/>
    <n v="8.9599999999999999E-2"/>
    <s v="Calm"/>
    <n v="1"/>
    <n v="18"/>
    <n v="19"/>
    <n v="54.375"/>
    <n v="50.842307357075214"/>
    <n v="-0.69577880782543233"/>
    <b v="0"/>
  </r>
  <r>
    <n v="256"/>
    <d v="2011-01-12T00:00:00"/>
    <n v="1"/>
    <n v="0"/>
    <x v="0"/>
    <x v="0"/>
    <b v="0"/>
    <x v="4"/>
    <x v="4"/>
    <x v="1"/>
    <s v="Night"/>
    <n v="2"/>
    <x v="1"/>
    <n v="0.16"/>
    <s v="Cold"/>
    <n v="0.19700000000000001"/>
    <n v="0.86"/>
    <n v="8.9599999999999999E-2"/>
    <s v="Calm"/>
    <n v="0"/>
    <n v="7"/>
    <n v="7"/>
    <n v="53.666666666666664"/>
    <n v="51.399261259000738"/>
    <n v="-0.90792485190620653"/>
    <b v="0"/>
  </r>
  <r>
    <n v="257"/>
    <d v="2011-01-12T00:00:00"/>
    <n v="1"/>
    <n v="0"/>
    <x v="0"/>
    <x v="1"/>
    <b v="0"/>
    <x v="4"/>
    <x v="4"/>
    <x v="1"/>
    <s v="Night"/>
    <n v="2"/>
    <x v="1"/>
    <n v="0.16"/>
    <s v="Cold"/>
    <n v="0.18179999999999999"/>
    <n v="0.86"/>
    <n v="0.1045"/>
    <s v="Calm"/>
    <n v="0"/>
    <n v="6"/>
    <n v="6"/>
    <n v="53.166666666666664"/>
    <n v="51.817964541994144"/>
    <n v="-0.91023773480029324"/>
    <b v="0"/>
  </r>
  <r>
    <n v="258"/>
    <d v="2011-01-12T00:00:00"/>
    <n v="1"/>
    <n v="0"/>
    <x v="0"/>
    <x v="2"/>
    <b v="0"/>
    <x v="4"/>
    <x v="4"/>
    <x v="1"/>
    <s v="Night"/>
    <n v="1"/>
    <x v="0"/>
    <n v="0.14000000000000001"/>
    <s v="Cold"/>
    <n v="0.1515"/>
    <n v="0.86"/>
    <n v="0.1343"/>
    <s v="Light Breeze"/>
    <n v="0"/>
    <n v="1"/>
    <n v="1"/>
    <n v="52.708333333333336"/>
    <n v="52.244807661012892"/>
    <n v="-0.9897315283241076"/>
    <b v="0"/>
  </r>
  <r>
    <n v="259"/>
    <d v="2011-01-12T00:00:00"/>
    <n v="1"/>
    <n v="0"/>
    <x v="0"/>
    <x v="5"/>
    <b v="0"/>
    <x v="4"/>
    <x v="4"/>
    <x v="1"/>
    <s v="Night"/>
    <n v="1"/>
    <x v="0"/>
    <n v="0.14000000000000001"/>
    <s v="Cold"/>
    <n v="0.1515"/>
    <n v="0.86"/>
    <n v="0.16420000000000001"/>
    <s v="Light Breeze"/>
    <n v="0"/>
    <n v="5"/>
    <n v="5"/>
    <n v="52.791666666666664"/>
    <n v="52.163604808972572"/>
    <n v="-0.91618795981764856"/>
    <b v="0"/>
  </r>
  <r>
    <n v="260"/>
    <d v="2011-01-12T00:00:00"/>
    <n v="1"/>
    <n v="0"/>
    <x v="0"/>
    <x v="6"/>
    <b v="0"/>
    <x v="4"/>
    <x v="4"/>
    <x v="1"/>
    <s v="Morning"/>
    <n v="1"/>
    <x v="0"/>
    <n v="0.12"/>
    <s v="Cold"/>
    <n v="0.1515"/>
    <n v="0.93"/>
    <n v="0.1343"/>
    <s v="Light Breeze"/>
    <n v="0"/>
    <n v="16"/>
    <n v="16"/>
    <n v="53.333333333333336"/>
    <n v="51.689429300866486"/>
    <n v="-0.72226244008284113"/>
    <b v="0"/>
  </r>
  <r>
    <n v="261"/>
    <d v="2011-01-12T00:00:00"/>
    <n v="1"/>
    <n v="0"/>
    <x v="0"/>
    <x v="7"/>
    <b v="0"/>
    <x v="4"/>
    <x v="4"/>
    <x v="1"/>
    <s v="Morning"/>
    <n v="1"/>
    <x v="0"/>
    <n v="0.14000000000000001"/>
    <s v="Cold"/>
    <n v="0.1515"/>
    <n v="0.69"/>
    <n v="0.1343"/>
    <s v="Light Breeze"/>
    <n v="0"/>
    <n v="54"/>
    <n v="54"/>
    <n v="55.333333333333336"/>
    <n v="50.697454413983856"/>
    <n v="-2.629980831869071E-2"/>
    <b v="0"/>
  </r>
  <r>
    <n v="262"/>
    <d v="2011-01-12T00:00:00"/>
    <n v="1"/>
    <n v="0"/>
    <x v="0"/>
    <x v="8"/>
    <b v="0"/>
    <x v="4"/>
    <x v="4"/>
    <x v="1"/>
    <s v="Morning"/>
    <n v="1"/>
    <x v="0"/>
    <n v="0.16"/>
    <s v="Cold"/>
    <n v="0.16669999999999999"/>
    <n v="0.59"/>
    <n v="0.16420000000000001"/>
    <s v="Light Breeze"/>
    <n v="3"/>
    <n v="125"/>
    <n v="128"/>
    <n v="59.541666666666664"/>
    <n v="52.406421085726627"/>
    <n v="1.3062966696647522"/>
    <b v="0"/>
  </r>
  <r>
    <n v="263"/>
    <d v="2011-01-12T00:00:00"/>
    <n v="1"/>
    <n v="0"/>
    <x v="0"/>
    <x v="9"/>
    <b v="0"/>
    <x v="4"/>
    <x v="4"/>
    <x v="1"/>
    <s v="Morning"/>
    <n v="1"/>
    <x v="0"/>
    <n v="0.16"/>
    <s v="Cold"/>
    <n v="0.13639999999999999"/>
    <n v="0.59"/>
    <n v="0.32840000000000003"/>
    <s v="Gale"/>
    <n v="3"/>
    <n v="78"/>
    <n v="81"/>
    <n v="58.791666666666664"/>
    <n v="51.943932287123538"/>
    <n v="0.42754432241624096"/>
    <b v="0"/>
  </r>
  <r>
    <n v="264"/>
    <d v="2011-01-12T00:00:00"/>
    <n v="1"/>
    <n v="0"/>
    <x v="0"/>
    <x v="10"/>
    <b v="0"/>
    <x v="4"/>
    <x v="4"/>
    <x v="1"/>
    <s v="Morning"/>
    <n v="1"/>
    <x v="0"/>
    <n v="0.18"/>
    <s v="Cold"/>
    <n v="0.18179999999999999"/>
    <n v="0.55000000000000004"/>
    <n v="0.22389999999999999"/>
    <s v="Light Breeze"/>
    <n v="0"/>
    <n v="39"/>
    <n v="39"/>
    <n v="51.375"/>
    <n v="39.617532899506479"/>
    <n v="-0.31236170186039419"/>
    <b v="0"/>
  </r>
  <r>
    <n v="265"/>
    <d v="2011-01-12T00:00:00"/>
    <n v="1"/>
    <n v="0"/>
    <x v="0"/>
    <x v="11"/>
    <b v="0"/>
    <x v="4"/>
    <x v="4"/>
    <x v="1"/>
    <s v="Morning"/>
    <n v="1"/>
    <x v="0"/>
    <n v="0.2"/>
    <s v="Mild"/>
    <n v="0.18179999999999999"/>
    <n v="0.51"/>
    <n v="0.3881"/>
    <s v="Gale"/>
    <n v="3"/>
    <n v="32"/>
    <n v="35"/>
    <n v="47.416666666666664"/>
    <n v="36.001107068323989"/>
    <n v="-0.34489680117619548"/>
    <b v="0"/>
  </r>
  <r>
    <n v="266"/>
    <d v="2011-01-12T00:00:00"/>
    <n v="1"/>
    <n v="0"/>
    <x v="0"/>
    <x v="12"/>
    <b v="0"/>
    <x v="4"/>
    <x v="4"/>
    <x v="1"/>
    <s v="Midday"/>
    <n v="1"/>
    <x v="0"/>
    <n v="0.2"/>
    <s v="Mild"/>
    <n v="0.1515"/>
    <n v="0.47"/>
    <n v="0.58209999999999995"/>
    <s v="Gale"/>
    <n v="3"/>
    <n v="52"/>
    <n v="55"/>
    <n v="47.458333333333336"/>
    <n v="36.009635385264737"/>
    <n v="0.20943468563285536"/>
    <b v="0"/>
  </r>
  <r>
    <n v="267"/>
    <d v="2011-01-12T00:00:00"/>
    <n v="1"/>
    <n v="0"/>
    <x v="0"/>
    <x v="13"/>
    <b v="0"/>
    <x v="4"/>
    <x v="4"/>
    <x v="1"/>
    <s v="Midday"/>
    <n v="1"/>
    <x v="0"/>
    <n v="0.22"/>
    <s v="Mild"/>
    <n v="0.19700000000000001"/>
    <n v="0.44"/>
    <n v="0.35820000000000002"/>
    <s v="Gale"/>
    <n v="0"/>
    <n v="49"/>
    <n v="49"/>
    <n v="48.041666666666664"/>
    <n v="35.912307647653478"/>
    <n v="2.6685373235711671E-2"/>
    <b v="0"/>
  </r>
  <r>
    <n v="268"/>
    <d v="2011-01-12T00:00:00"/>
    <n v="1"/>
    <n v="0"/>
    <x v="0"/>
    <x v="14"/>
    <b v="0"/>
    <x v="4"/>
    <x v="4"/>
    <x v="1"/>
    <s v="Midday"/>
    <n v="1"/>
    <x v="0"/>
    <n v="0.2"/>
    <s v="Mild"/>
    <n v="0.18179999999999999"/>
    <n v="0.47"/>
    <n v="0.32840000000000003"/>
    <s v="Gale"/>
    <n v="0"/>
    <n v="44"/>
    <n v="44"/>
    <n v="47.5"/>
    <n v="35.869328062457122"/>
    <n v="-9.7576402711131327E-2"/>
    <b v="0"/>
  </r>
  <r>
    <n v="269"/>
    <d v="2011-01-12T00:00:00"/>
    <n v="1"/>
    <n v="0"/>
    <x v="0"/>
    <x v="15"/>
    <b v="0"/>
    <x v="4"/>
    <x v="4"/>
    <x v="1"/>
    <s v="Midday"/>
    <n v="1"/>
    <x v="0"/>
    <n v="0.2"/>
    <s v="Mild"/>
    <n v="0.16669999999999999"/>
    <n v="0.47"/>
    <n v="0.41789999999999999"/>
    <s v="Gale"/>
    <n v="1"/>
    <n v="48"/>
    <n v="49"/>
    <n v="47.375"/>
    <n v="35.858189895875888"/>
    <n v="4.5317401818625931E-2"/>
    <b v="0"/>
  </r>
  <r>
    <n v="270"/>
    <d v="2011-01-12T00:00:00"/>
    <n v="1"/>
    <n v="0"/>
    <x v="0"/>
    <x v="16"/>
    <b v="0"/>
    <x v="4"/>
    <x v="4"/>
    <x v="1"/>
    <s v="Midday"/>
    <n v="1"/>
    <x v="0"/>
    <n v="0.22"/>
    <s v="Mild"/>
    <n v="0.19700000000000001"/>
    <n v="0.44"/>
    <n v="0.32840000000000003"/>
    <s v="Gale"/>
    <n v="5"/>
    <n v="63"/>
    <n v="68"/>
    <n v="47.583333333333336"/>
    <n v="35.967275786973801"/>
    <n v="0.56764562285979214"/>
    <b v="0"/>
  </r>
  <r>
    <n v="271"/>
    <d v="2011-01-12T00:00:00"/>
    <n v="1"/>
    <n v="0"/>
    <x v="0"/>
    <x v="17"/>
    <b v="0"/>
    <x v="4"/>
    <x v="4"/>
    <x v="1"/>
    <s v="Evening"/>
    <n v="1"/>
    <x v="0"/>
    <n v="0.2"/>
    <s v="Mild"/>
    <n v="0.18179999999999999"/>
    <n v="0.47"/>
    <n v="0.35820000000000002"/>
    <s v="Gale"/>
    <n v="0"/>
    <n v="139"/>
    <n v="139"/>
    <n v="51.416666666666664"/>
    <n v="40.517217667754927"/>
    <n v="2.16163247070727"/>
    <b v="0"/>
  </r>
  <r>
    <n v="272"/>
    <d v="2011-01-12T00:00:00"/>
    <n v="1"/>
    <n v="0"/>
    <x v="0"/>
    <x v="18"/>
    <b v="0"/>
    <x v="4"/>
    <x v="4"/>
    <x v="1"/>
    <s v="Evening"/>
    <n v="1"/>
    <x v="0"/>
    <n v="0.2"/>
    <s v="Mild"/>
    <n v="0.1515"/>
    <n v="0.47"/>
    <n v="0.52239999999999998"/>
    <s v="Gale"/>
    <n v="2"/>
    <n v="135"/>
    <n v="137"/>
    <n v="53.958333333333336"/>
    <n v="43.898577937417699"/>
    <n v="1.8916709963828846"/>
    <b v="0"/>
  </r>
  <r>
    <n v="273"/>
    <d v="2011-01-12T00:00:00"/>
    <n v="1"/>
    <n v="0"/>
    <x v="0"/>
    <x v="19"/>
    <b v="0"/>
    <x v="4"/>
    <x v="4"/>
    <x v="1"/>
    <s v="Evening"/>
    <n v="1"/>
    <x v="0"/>
    <n v="0.18"/>
    <s v="Cold"/>
    <n v="0.1515"/>
    <n v="0.47"/>
    <n v="0.41789999999999999"/>
    <s v="Gale"/>
    <n v="1"/>
    <n v="82"/>
    <n v="83"/>
    <n v="51.75"/>
    <n v="40.816929565199224"/>
    <n v="0.76561368855740564"/>
    <b v="0"/>
  </r>
  <r>
    <n v="274"/>
    <d v="2011-01-12T00:00:00"/>
    <n v="1"/>
    <n v="0"/>
    <x v="0"/>
    <x v="20"/>
    <b v="0"/>
    <x v="4"/>
    <x v="4"/>
    <x v="1"/>
    <s v="Evening"/>
    <n v="1"/>
    <x v="0"/>
    <n v="0.16"/>
    <s v="Cold"/>
    <n v="0.13639999999999999"/>
    <n v="0.5"/>
    <n v="0.32840000000000003"/>
    <s v="Gale"/>
    <n v="2"/>
    <n v="54"/>
    <n v="56"/>
    <n v="50.125"/>
    <n v="39.783449147691513"/>
    <n v="0.14767447584018503"/>
    <b v="0"/>
  </r>
  <r>
    <n v="275"/>
    <d v="2011-01-12T00:00:00"/>
    <n v="1"/>
    <n v="0"/>
    <x v="0"/>
    <x v="21"/>
    <b v="0"/>
    <x v="4"/>
    <x v="4"/>
    <x v="1"/>
    <s v="Night"/>
    <n v="1"/>
    <x v="0"/>
    <n v="0.16"/>
    <s v="Cold"/>
    <n v="0.13639999999999999"/>
    <n v="0.55000000000000004"/>
    <n v="0.32840000000000003"/>
    <s v="Gale"/>
    <n v="0"/>
    <n v="57"/>
    <n v="57"/>
    <n v="50.375"/>
    <n v="39.808031197562222"/>
    <n v="0.1664237039787515"/>
    <b v="0"/>
  </r>
  <r>
    <n v="276"/>
    <d v="2011-01-12T00:00:00"/>
    <n v="1"/>
    <n v="0"/>
    <x v="0"/>
    <x v="22"/>
    <b v="0"/>
    <x v="4"/>
    <x v="4"/>
    <x v="1"/>
    <s v="Night"/>
    <n v="1"/>
    <x v="0"/>
    <n v="0.16"/>
    <s v="Cold"/>
    <n v="0.1212"/>
    <n v="0.55000000000000004"/>
    <n v="0.44779999999999998"/>
    <s v="Gale"/>
    <n v="1"/>
    <n v="32"/>
    <n v="33"/>
    <n v="50.416666666666664"/>
    <n v="39.78848059936189"/>
    <n v="-0.43773138366449671"/>
    <b v="0"/>
  </r>
  <r>
    <n v="277"/>
    <d v="2011-01-12T00:00:00"/>
    <n v="1"/>
    <n v="0"/>
    <x v="0"/>
    <x v="23"/>
    <b v="0"/>
    <x v="4"/>
    <x v="4"/>
    <x v="1"/>
    <s v="Night"/>
    <n v="1"/>
    <x v="0"/>
    <n v="0.14000000000000001"/>
    <s v="Cold"/>
    <n v="0.1061"/>
    <n v="0.59"/>
    <n v="0.41789999999999999"/>
    <s v="Gale"/>
    <n v="1"/>
    <n v="19"/>
    <n v="20"/>
    <n v="50.416666666666664"/>
    <n v="39.78848059936189"/>
    <n v="-0.76445911501215946"/>
    <b v="0"/>
  </r>
  <r>
    <n v="278"/>
    <d v="2011-01-13T00:00:00"/>
    <n v="1"/>
    <n v="0"/>
    <x v="0"/>
    <x v="0"/>
    <b v="0"/>
    <x v="5"/>
    <x v="5"/>
    <x v="1"/>
    <s v="Night"/>
    <n v="1"/>
    <x v="0"/>
    <n v="0.14000000000000001"/>
    <s v="Cold"/>
    <n v="0.1212"/>
    <n v="0.59"/>
    <n v="0.28360000000000002"/>
    <s v="Light Breeze"/>
    <n v="1"/>
    <n v="6"/>
    <n v="7"/>
    <n v="49.5"/>
    <n v="40.549486674497096"/>
    <n v="-1.0481020472875591"/>
    <b v="0"/>
  </r>
  <r>
    <n v="279"/>
    <d v="2011-01-13T00:00:00"/>
    <n v="1"/>
    <n v="0"/>
    <x v="0"/>
    <x v="1"/>
    <b v="0"/>
    <x v="5"/>
    <x v="5"/>
    <x v="1"/>
    <s v="Night"/>
    <n v="1"/>
    <x v="0"/>
    <n v="0.14000000000000001"/>
    <s v="Cold"/>
    <n v="0.1212"/>
    <n v="0.5"/>
    <n v="0.28360000000000002"/>
    <s v="Light Breeze"/>
    <n v="0"/>
    <n v="2"/>
    <n v="2"/>
    <n v="48.791666666666664"/>
    <n v="41.247902889160599"/>
    <n v="-1.1344011062187331"/>
    <b v="0"/>
  </r>
  <r>
    <n v="280"/>
    <d v="2011-01-13T00:00:00"/>
    <n v="1"/>
    <n v="0"/>
    <x v="0"/>
    <x v="2"/>
    <b v="0"/>
    <x v="5"/>
    <x v="5"/>
    <x v="1"/>
    <s v="Night"/>
    <n v="1"/>
    <x v="0"/>
    <n v="0.14000000000000001"/>
    <s v="Cold"/>
    <n v="0.1212"/>
    <n v="0.5"/>
    <n v="0.35820000000000002"/>
    <s v="Gale"/>
    <n v="0"/>
    <n v="2"/>
    <n v="2"/>
    <n v="48.583333333333336"/>
    <n v="41.480133187772701"/>
    <n v="-1.1230275737654798"/>
    <b v="0"/>
  </r>
  <r>
    <n v="281"/>
    <d v="2011-01-13T00:00:00"/>
    <n v="1"/>
    <n v="0"/>
    <x v="0"/>
    <x v="3"/>
    <b v="0"/>
    <x v="5"/>
    <x v="5"/>
    <x v="1"/>
    <s v="Night"/>
    <n v="1"/>
    <x v="0"/>
    <n v="0.14000000000000001"/>
    <s v="Cold"/>
    <n v="0.1212"/>
    <n v="0.5"/>
    <n v="0.32840000000000003"/>
    <s v="Gale"/>
    <n v="0"/>
    <n v="3"/>
    <n v="3"/>
    <n v="48.458333333333336"/>
    <n v="41.618327031820201"/>
    <n v="-1.0922671951368246"/>
    <b v="0"/>
  </r>
  <r>
    <n v="282"/>
    <d v="2011-01-13T00:00:00"/>
    <n v="1"/>
    <n v="0"/>
    <x v="0"/>
    <x v="4"/>
    <b v="0"/>
    <x v="5"/>
    <x v="5"/>
    <x v="1"/>
    <s v="Night"/>
    <n v="1"/>
    <x v="0"/>
    <n v="0.14000000000000001"/>
    <s v="Cold"/>
    <n v="0.1212"/>
    <n v="0.5"/>
    <n v="0.25369999999999998"/>
    <s v="Light Breeze"/>
    <n v="0"/>
    <n v="4"/>
    <n v="4"/>
    <n v="48.583333333333336"/>
    <n v="41.473843686653012"/>
    <n v="-1.0749747158757077"/>
    <b v="0"/>
  </r>
  <r>
    <n v="283"/>
    <d v="2011-01-13T00:00:00"/>
    <n v="1"/>
    <n v="0"/>
    <x v="0"/>
    <x v="5"/>
    <b v="0"/>
    <x v="5"/>
    <x v="5"/>
    <x v="1"/>
    <s v="Night"/>
    <n v="1"/>
    <x v="0"/>
    <n v="0.14000000000000001"/>
    <s v="Cold"/>
    <n v="0.1212"/>
    <n v="0.5"/>
    <n v="0.29849999999999999"/>
    <s v="Light Breeze"/>
    <n v="0"/>
    <n v="3"/>
    <n v="3"/>
    <n v="48.5"/>
    <n v="41.567127480215923"/>
    <n v="-1.0946149700061893"/>
    <b v="0"/>
  </r>
  <r>
    <n v="284"/>
    <d v="2011-01-13T00:00:00"/>
    <n v="1"/>
    <n v="0"/>
    <x v="0"/>
    <x v="6"/>
    <b v="0"/>
    <x v="5"/>
    <x v="5"/>
    <x v="1"/>
    <s v="Morning"/>
    <n v="1"/>
    <x v="0"/>
    <n v="0.12"/>
    <s v="Cold"/>
    <n v="0.1515"/>
    <n v="0.54"/>
    <n v="0.1343"/>
    <s v="Light Breeze"/>
    <n v="0"/>
    <n v="28"/>
    <n v="28"/>
    <n v="49"/>
    <n v="41.230001739974021"/>
    <n v="-0.50933783928608756"/>
    <b v="0"/>
  </r>
  <r>
    <n v="285"/>
    <d v="2011-01-13T00:00:00"/>
    <n v="1"/>
    <n v="0"/>
    <x v="0"/>
    <x v="7"/>
    <b v="0"/>
    <x v="5"/>
    <x v="5"/>
    <x v="1"/>
    <s v="Morning"/>
    <n v="1"/>
    <x v="0"/>
    <n v="0.12"/>
    <s v="Cold"/>
    <n v="0.1515"/>
    <n v="0.54"/>
    <n v="0.1343"/>
    <s v="Light Breeze"/>
    <n v="0"/>
    <n v="72"/>
    <n v="72"/>
    <n v="49.75"/>
    <n v="41.487819060957911"/>
    <n v="0.53630199185231098"/>
    <b v="0"/>
  </r>
  <r>
    <n v="286"/>
    <d v="2011-01-13T00:00:00"/>
    <n v="1"/>
    <n v="0"/>
    <x v="0"/>
    <x v="8"/>
    <b v="0"/>
    <x v="5"/>
    <x v="5"/>
    <x v="1"/>
    <s v="Morning"/>
    <n v="1"/>
    <x v="0"/>
    <n v="0.14000000000000001"/>
    <s v="Cold"/>
    <n v="0.13639999999999999"/>
    <n v="0.5"/>
    <n v="0.19400000000000001"/>
    <s v="Light Breeze"/>
    <n v="5"/>
    <n v="197"/>
    <n v="202"/>
    <n v="52.833333333333336"/>
    <n v="49.527038435907755"/>
    <n v="3.0118228623684242"/>
    <b v="1"/>
  </r>
  <r>
    <n v="287"/>
    <d v="2011-01-13T00:00:00"/>
    <n v="1"/>
    <n v="0"/>
    <x v="0"/>
    <x v="9"/>
    <b v="0"/>
    <x v="5"/>
    <x v="5"/>
    <x v="1"/>
    <s v="Morning"/>
    <n v="1"/>
    <x v="0"/>
    <n v="0.14000000000000001"/>
    <s v="Cold"/>
    <n v="0.1212"/>
    <n v="0.5"/>
    <n v="0.32840000000000003"/>
    <s v="Gale"/>
    <n v="2"/>
    <n v="137"/>
    <n v="139"/>
    <n v="55.25"/>
    <n v="52.298682334386243"/>
    <n v="1.6013787778537318"/>
    <b v="0"/>
  </r>
  <r>
    <n v="288"/>
    <d v="2011-01-13T00:00:00"/>
    <n v="1"/>
    <n v="0"/>
    <x v="0"/>
    <x v="10"/>
    <b v="0"/>
    <x v="5"/>
    <x v="5"/>
    <x v="1"/>
    <s v="Morning"/>
    <n v="2"/>
    <x v="1"/>
    <n v="0.16"/>
    <s v="Cold"/>
    <n v="0.13639999999999999"/>
    <n v="0.5"/>
    <n v="0.35820000000000002"/>
    <s v="Gale"/>
    <n v="2"/>
    <n v="36"/>
    <n v="38"/>
    <n v="55.208333333333336"/>
    <n v="52.312588198807092"/>
    <n v="-0.32895205390976517"/>
    <b v="0"/>
  </r>
  <r>
    <n v="289"/>
    <d v="2011-01-13T00:00:00"/>
    <n v="1"/>
    <n v="0"/>
    <x v="0"/>
    <x v="11"/>
    <b v="0"/>
    <x v="5"/>
    <x v="5"/>
    <x v="1"/>
    <s v="Morning"/>
    <n v="2"/>
    <x v="1"/>
    <n v="0.2"/>
    <s v="Mild"/>
    <n v="0.16669999999999999"/>
    <n v="0.44"/>
    <n v="0.44779999999999998"/>
    <s v="Gale"/>
    <n v="4"/>
    <n v="33"/>
    <n v="37"/>
    <n v="55.291666666666664"/>
    <n v="52.280580122747438"/>
    <n v="-0.34987497506187587"/>
    <b v="0"/>
  </r>
  <r>
    <n v="290"/>
    <d v="2011-01-13T00:00:00"/>
    <n v="1"/>
    <n v="0"/>
    <x v="0"/>
    <x v="12"/>
    <b v="0"/>
    <x v="5"/>
    <x v="5"/>
    <x v="1"/>
    <s v="Midday"/>
    <n v="1"/>
    <x v="0"/>
    <n v="0.2"/>
    <s v="Mild"/>
    <n v="0.16669999999999999"/>
    <n v="0.44"/>
    <n v="0.41789999999999999"/>
    <s v="Gale"/>
    <n v="3"/>
    <n v="49"/>
    <n v="52"/>
    <n v="55.166666666666664"/>
    <n v="52.284894041468"/>
    <n v="-6.0565613160755941E-2"/>
    <b v="0"/>
  </r>
  <r>
    <n v="291"/>
    <d v="2011-01-13T00:00:00"/>
    <n v="1"/>
    <n v="0"/>
    <x v="0"/>
    <x v="13"/>
    <b v="0"/>
    <x v="5"/>
    <x v="5"/>
    <x v="1"/>
    <s v="Midday"/>
    <n v="1"/>
    <x v="0"/>
    <n v="0.22"/>
    <s v="Mild"/>
    <n v="0.19700000000000001"/>
    <n v="0.41"/>
    <n v="0.44779999999999998"/>
    <s v="Gale"/>
    <n v="2"/>
    <n v="81"/>
    <n v="83"/>
    <n v="56.583333333333336"/>
    <n v="52.570380705642904"/>
    <n v="0.50250095799346384"/>
    <b v="0"/>
  </r>
  <r>
    <n v="292"/>
    <d v="2011-01-13T00:00:00"/>
    <n v="1"/>
    <n v="0"/>
    <x v="0"/>
    <x v="14"/>
    <b v="0"/>
    <x v="5"/>
    <x v="5"/>
    <x v="1"/>
    <s v="Midday"/>
    <n v="1"/>
    <x v="0"/>
    <n v="0.22"/>
    <s v="Mild"/>
    <n v="0.19700000000000001"/>
    <n v="0.41"/>
    <n v="0.3881"/>
    <s v="Gale"/>
    <n v="3"/>
    <n v="39"/>
    <n v="42"/>
    <n v="56.5"/>
    <n v="52.592775169218825"/>
    <n v="-0.27570326824066266"/>
    <b v="0"/>
  </r>
  <r>
    <n v="293"/>
    <d v="2011-01-13T00:00:00"/>
    <n v="1"/>
    <n v="0"/>
    <x v="0"/>
    <x v="15"/>
    <b v="0"/>
    <x v="5"/>
    <x v="5"/>
    <x v="1"/>
    <s v="Midday"/>
    <n v="1"/>
    <x v="0"/>
    <n v="0.24"/>
    <s v="Mild"/>
    <n v="0.21210000000000001"/>
    <n v="0.38"/>
    <n v="0.29849999999999999"/>
    <s v="Light Breeze"/>
    <n v="5"/>
    <n v="55"/>
    <n v="60"/>
    <n v="56.958333333333336"/>
    <n v="52.572499975017244"/>
    <n v="5.7856610739684851E-2"/>
    <b v="0"/>
  </r>
  <r>
    <n v="294"/>
    <d v="2011-01-13T00:00:00"/>
    <n v="1"/>
    <n v="0"/>
    <x v="0"/>
    <x v="16"/>
    <b v="0"/>
    <x v="5"/>
    <x v="5"/>
    <x v="1"/>
    <s v="Midday"/>
    <n v="1"/>
    <x v="0"/>
    <n v="0.24"/>
    <s v="Mild"/>
    <n v="0.21210000000000001"/>
    <n v="0.38"/>
    <n v="0.35820000000000002"/>
    <s v="Gale"/>
    <n v="2"/>
    <n v="76"/>
    <n v="78"/>
    <n v="57.375"/>
    <n v="52.703281392767352"/>
    <n v="0.39134185680572137"/>
    <b v="0"/>
  </r>
  <r>
    <n v="295"/>
    <d v="2011-01-13T00:00:00"/>
    <n v="1"/>
    <n v="0"/>
    <x v="0"/>
    <x v="17"/>
    <b v="0"/>
    <x v="5"/>
    <x v="5"/>
    <x v="1"/>
    <s v="Evening"/>
    <n v="1"/>
    <x v="0"/>
    <n v="0.2"/>
    <s v="Mild"/>
    <n v="0.18179999999999999"/>
    <n v="0.4"/>
    <n v="0.28360000000000002"/>
    <s v="Light Breeze"/>
    <n v="4"/>
    <n v="158"/>
    <n v="162"/>
    <n v="58.333333333333336"/>
    <n v="54.432779978905025"/>
    <n v="1.9044896605839683"/>
    <b v="0"/>
  </r>
  <r>
    <n v="296"/>
    <d v="2011-01-13T00:00:00"/>
    <n v="1"/>
    <n v="0"/>
    <x v="0"/>
    <x v="18"/>
    <b v="0"/>
    <x v="5"/>
    <x v="5"/>
    <x v="1"/>
    <s v="Evening"/>
    <n v="1"/>
    <x v="0"/>
    <n v="0.2"/>
    <s v="Mild"/>
    <n v="0.18179999999999999"/>
    <n v="0.4"/>
    <n v="0.32840000000000003"/>
    <s v="Gale"/>
    <n v="3"/>
    <n v="141"/>
    <n v="144"/>
    <n v="58.625"/>
    <n v="54.889464024251183"/>
    <n v="1.5553986820180963"/>
    <b v="0"/>
  </r>
  <r>
    <n v="297"/>
    <d v="2011-01-13T00:00:00"/>
    <n v="1"/>
    <n v="0"/>
    <x v="0"/>
    <x v="19"/>
    <b v="0"/>
    <x v="5"/>
    <x v="5"/>
    <x v="1"/>
    <s v="Evening"/>
    <n v="1"/>
    <x v="0"/>
    <n v="0.16"/>
    <s v="Cold"/>
    <n v="0.1515"/>
    <n v="0.47"/>
    <n v="0.25369999999999998"/>
    <s v="Light Breeze"/>
    <n v="1"/>
    <n v="98"/>
    <n v="99"/>
    <n v="59.291666666666664"/>
    <n v="55.29405909331031"/>
    <n v="0.71813019308863513"/>
    <b v="0"/>
  </r>
  <r>
    <n v="298"/>
    <d v="2011-01-13T00:00:00"/>
    <n v="1"/>
    <n v="0"/>
    <x v="0"/>
    <x v="20"/>
    <b v="0"/>
    <x v="5"/>
    <x v="5"/>
    <x v="1"/>
    <s v="Evening"/>
    <n v="1"/>
    <x v="0"/>
    <n v="0.16"/>
    <s v="Cold"/>
    <n v="0.1515"/>
    <n v="0.47"/>
    <n v="0.22389999999999999"/>
    <s v="Light Breeze"/>
    <n v="0"/>
    <n v="64"/>
    <n v="64"/>
    <n v="59.625"/>
    <n v="55.29746633082474"/>
    <n v="7.9117548963743789E-2"/>
    <b v="0"/>
  </r>
  <r>
    <n v="299"/>
    <d v="2011-01-13T00:00:00"/>
    <n v="1"/>
    <n v="0"/>
    <x v="0"/>
    <x v="21"/>
    <b v="0"/>
    <x v="5"/>
    <x v="5"/>
    <x v="1"/>
    <s v="Night"/>
    <n v="1"/>
    <x v="0"/>
    <n v="0.14000000000000001"/>
    <s v="Cold"/>
    <n v="0.1212"/>
    <n v="0.46"/>
    <n v="0.29849999999999999"/>
    <s v="Light Breeze"/>
    <n v="0"/>
    <n v="40"/>
    <n v="40"/>
    <n v="58.916666666666664"/>
    <n v="55.441247136567654"/>
    <n v="-0.34120204078507654"/>
    <b v="0"/>
  </r>
  <r>
    <n v="300"/>
    <d v="2011-01-13T00:00:00"/>
    <n v="1"/>
    <n v="0"/>
    <x v="0"/>
    <x v="22"/>
    <b v="0"/>
    <x v="5"/>
    <x v="5"/>
    <x v="1"/>
    <s v="Night"/>
    <n v="1"/>
    <x v="0"/>
    <n v="0.14000000000000001"/>
    <s v="Cold"/>
    <n v="0.1212"/>
    <n v="0.46"/>
    <n v="0.32840000000000003"/>
    <s v="Gale"/>
    <n v="0"/>
    <n v="30"/>
    <n v="30"/>
    <n v="58.791666666666664"/>
    <n v="55.50556506894771"/>
    <n v="-0.51871675625502289"/>
    <b v="0"/>
  </r>
  <r>
    <n v="301"/>
    <d v="2011-01-13T00:00:00"/>
    <n v="1"/>
    <n v="0"/>
    <x v="0"/>
    <x v="23"/>
    <b v="0"/>
    <x v="5"/>
    <x v="5"/>
    <x v="1"/>
    <s v="Night"/>
    <n v="1"/>
    <x v="0"/>
    <n v="0.12"/>
    <s v="Cold"/>
    <n v="0.13639999999999999"/>
    <n v="0.5"/>
    <n v="0.19400000000000001"/>
    <s v="Light Breeze"/>
    <n v="1"/>
    <n v="14"/>
    <n v="15"/>
    <n v="58.583333333333336"/>
    <n v="55.666644970923478"/>
    <n v="-0.78293443688043973"/>
    <b v="0"/>
  </r>
  <r>
    <n v="302"/>
    <d v="2011-01-14T00:00:00"/>
    <n v="1"/>
    <n v="0"/>
    <x v="0"/>
    <x v="0"/>
    <b v="0"/>
    <x v="6"/>
    <x v="6"/>
    <x v="1"/>
    <s v="Night"/>
    <n v="1"/>
    <x v="0"/>
    <n v="0.12"/>
    <s v="Cold"/>
    <n v="0.13639999999999999"/>
    <n v="0.5"/>
    <n v="0.19400000000000001"/>
    <s v="Light Breeze"/>
    <n v="0"/>
    <n v="14"/>
    <n v="14"/>
    <n v="58.875"/>
    <n v="55.402332787174849"/>
    <n v="-0.80998394367950088"/>
    <b v="0"/>
  </r>
  <r>
    <n v="303"/>
    <d v="2011-01-14T00:00:00"/>
    <n v="1"/>
    <n v="0"/>
    <x v="0"/>
    <x v="1"/>
    <b v="0"/>
    <x v="6"/>
    <x v="6"/>
    <x v="1"/>
    <s v="Night"/>
    <n v="1"/>
    <x v="0"/>
    <n v="0.1"/>
    <s v="Cold"/>
    <n v="0.1212"/>
    <n v="0.54"/>
    <n v="0.16420000000000001"/>
    <s v="Light Breeze"/>
    <n v="0"/>
    <n v="5"/>
    <n v="5"/>
    <n v="59"/>
    <n v="55.271661108918472"/>
    <n v="-0.97699252956388383"/>
    <b v="0"/>
  </r>
  <r>
    <n v="304"/>
    <d v="2011-01-14T00:00:00"/>
    <n v="1"/>
    <n v="0"/>
    <x v="0"/>
    <x v="2"/>
    <b v="0"/>
    <x v="6"/>
    <x v="6"/>
    <x v="1"/>
    <s v="Night"/>
    <n v="1"/>
    <x v="0"/>
    <n v="0.1"/>
    <s v="Cold"/>
    <n v="0.1212"/>
    <n v="0.54"/>
    <n v="0.1343"/>
    <s v="Light Breeze"/>
    <n v="0"/>
    <n v="1"/>
    <n v="1"/>
    <n v="58.958333333333336"/>
    <n v="55.316857377701126"/>
    <n v="-1.047751735742982"/>
    <b v="0"/>
  </r>
  <r>
    <n v="305"/>
    <d v="2011-01-14T00:00:00"/>
    <n v="1"/>
    <n v="0"/>
    <x v="0"/>
    <x v="3"/>
    <b v="0"/>
    <x v="6"/>
    <x v="6"/>
    <x v="1"/>
    <s v="Night"/>
    <n v="1"/>
    <x v="0"/>
    <n v="0.1"/>
    <s v="Cold"/>
    <n v="0.13639999999999999"/>
    <n v="0.54"/>
    <n v="0.1045"/>
    <s v="Calm"/>
    <n v="0"/>
    <n v="1"/>
    <n v="1"/>
    <n v="58.875"/>
    <n v="55.406256513768959"/>
    <n v="-1.0445571248008343"/>
    <b v="0"/>
  </r>
  <r>
    <n v="306"/>
    <d v="2011-01-14T00:00:00"/>
    <n v="1"/>
    <n v="0"/>
    <x v="0"/>
    <x v="5"/>
    <b v="0"/>
    <x v="6"/>
    <x v="6"/>
    <x v="1"/>
    <s v="Night"/>
    <n v="1"/>
    <x v="0"/>
    <n v="0.1"/>
    <s v="Cold"/>
    <n v="0.13639999999999999"/>
    <n v="0.54"/>
    <n v="8.9599999999999999E-2"/>
    <s v="Calm"/>
    <n v="0"/>
    <n v="8"/>
    <n v="8"/>
    <n v="59.041666666666664"/>
    <n v="55.239777072454707"/>
    <n v="-0.92400203932246805"/>
    <b v="0"/>
  </r>
  <r>
    <n v="307"/>
    <d v="2011-01-14T00:00:00"/>
    <n v="1"/>
    <n v="0"/>
    <x v="0"/>
    <x v="6"/>
    <b v="0"/>
    <x v="6"/>
    <x v="6"/>
    <x v="1"/>
    <s v="Morning"/>
    <n v="1"/>
    <x v="0"/>
    <n v="0.1"/>
    <s v="Cold"/>
    <n v="0.18179999999999999"/>
    <n v="0.54"/>
    <n v="0"/>
    <s v="Calm"/>
    <n v="0"/>
    <n v="17"/>
    <n v="17"/>
    <n v="59.625"/>
    <n v="54.693463960513597"/>
    <n v="-0.77934357989783709"/>
    <b v="0"/>
  </r>
  <r>
    <n v="308"/>
    <d v="2011-01-14T00:00:00"/>
    <n v="1"/>
    <n v="0"/>
    <x v="0"/>
    <x v="7"/>
    <b v="0"/>
    <x v="6"/>
    <x v="6"/>
    <x v="1"/>
    <s v="Morning"/>
    <n v="1"/>
    <x v="0"/>
    <n v="0.1"/>
    <s v="Cold"/>
    <n v="0.1212"/>
    <n v="0.74"/>
    <n v="0.16420000000000001"/>
    <s v="Light Breeze"/>
    <n v="0"/>
    <n v="70"/>
    <n v="70"/>
    <n v="61.375"/>
    <n v="54.308148559861621"/>
    <n v="0.15881594620175682"/>
    <b v="0"/>
  </r>
  <r>
    <n v="309"/>
    <d v="2011-01-14T00:00:00"/>
    <n v="1"/>
    <n v="0"/>
    <x v="0"/>
    <x v="8"/>
    <b v="0"/>
    <x v="6"/>
    <x v="6"/>
    <x v="1"/>
    <s v="Morning"/>
    <n v="1"/>
    <x v="0"/>
    <n v="0.12"/>
    <s v="Cold"/>
    <n v="0.16669999999999999"/>
    <n v="0.68"/>
    <n v="0"/>
    <s v="Calm"/>
    <n v="2"/>
    <n v="156"/>
    <n v="158"/>
    <n v="64.958333333333329"/>
    <n v="57.766756775898344"/>
    <n v="1.6106437657148489"/>
    <b v="0"/>
  </r>
  <r>
    <n v="310"/>
    <d v="2011-01-14T00:00:00"/>
    <n v="1"/>
    <n v="0"/>
    <x v="0"/>
    <x v="9"/>
    <b v="0"/>
    <x v="6"/>
    <x v="6"/>
    <x v="1"/>
    <s v="Morning"/>
    <n v="1"/>
    <x v="0"/>
    <n v="0.14000000000000001"/>
    <s v="Cold"/>
    <n v="0.1515"/>
    <n v="0.69"/>
    <n v="0.1343"/>
    <s v="Light Breeze"/>
    <n v="0"/>
    <n v="117"/>
    <n v="117"/>
    <n v="61.416666666666664"/>
    <n v="51.235956011435924"/>
    <n v="1.0848501259726093"/>
    <b v="0"/>
  </r>
  <r>
    <n v="311"/>
    <d v="2011-01-14T00:00:00"/>
    <n v="1"/>
    <n v="0"/>
    <x v="0"/>
    <x v="10"/>
    <b v="0"/>
    <x v="6"/>
    <x v="6"/>
    <x v="1"/>
    <s v="Morning"/>
    <n v="1"/>
    <x v="0"/>
    <n v="0.18"/>
    <s v="Cold"/>
    <n v="0.18179999999999999"/>
    <n v="0.55000000000000004"/>
    <n v="0.19400000000000001"/>
    <s v="Light Breeze"/>
    <n v="4"/>
    <n v="40"/>
    <n v="44"/>
    <n v="57.458333333333336"/>
    <n v="48.582497444769288"/>
    <n v="-0.27702020359561297"/>
    <b v="0"/>
  </r>
  <r>
    <n v="312"/>
    <d v="2011-01-14T00:00:00"/>
    <n v="1"/>
    <n v="0"/>
    <x v="0"/>
    <x v="11"/>
    <b v="0"/>
    <x v="6"/>
    <x v="6"/>
    <x v="1"/>
    <s v="Morning"/>
    <n v="1"/>
    <x v="0"/>
    <n v="0.18"/>
    <s v="Cold"/>
    <n v="0.16669999999999999"/>
    <n v="0.51"/>
    <n v="0.28360000000000002"/>
    <s v="Light Breeze"/>
    <n v="6"/>
    <n v="47"/>
    <n v="53"/>
    <n v="58.083333333333336"/>
    <n v="48.417492946128526"/>
    <n v="-0.10498960239410331"/>
    <b v="0"/>
  </r>
  <r>
    <n v="313"/>
    <d v="2011-01-14T00:00:00"/>
    <n v="1"/>
    <n v="0"/>
    <x v="0"/>
    <x v="12"/>
    <b v="0"/>
    <x v="6"/>
    <x v="6"/>
    <x v="1"/>
    <s v="Midday"/>
    <n v="1"/>
    <x v="0"/>
    <n v="0.2"/>
    <s v="Mild"/>
    <n v="0.19700000000000001"/>
    <n v="0.44"/>
    <n v="0.25369999999999998"/>
    <s v="Light Breeze"/>
    <n v="2"/>
    <n v="59"/>
    <n v="61"/>
    <n v="59.083333333333336"/>
    <n v="48.210513616724782"/>
    <n v="3.9756196789443671E-2"/>
    <b v="0"/>
  </r>
  <r>
    <n v="314"/>
    <d v="2011-01-14T00:00:00"/>
    <n v="1"/>
    <n v="0"/>
    <x v="0"/>
    <x v="13"/>
    <b v="0"/>
    <x v="6"/>
    <x v="6"/>
    <x v="1"/>
    <s v="Midday"/>
    <n v="1"/>
    <x v="0"/>
    <n v="0.22"/>
    <s v="Mild"/>
    <n v="0.19700000000000001"/>
    <n v="0.37"/>
    <n v="0.3881"/>
    <s v="Gale"/>
    <n v="4"/>
    <n v="73"/>
    <n v="77"/>
    <n v="60.125"/>
    <n v="48.320769231567859"/>
    <n v="0.34922871196710165"/>
    <b v="0"/>
  </r>
  <r>
    <n v="315"/>
    <d v="2011-01-14T00:00:00"/>
    <n v="1"/>
    <n v="0"/>
    <x v="0"/>
    <x v="14"/>
    <b v="0"/>
    <x v="6"/>
    <x v="6"/>
    <x v="1"/>
    <s v="Midday"/>
    <n v="1"/>
    <x v="0"/>
    <n v="0.22"/>
    <s v="Mild"/>
    <n v="0.21210000000000001"/>
    <n v="0.41"/>
    <n v="0.28360000000000002"/>
    <s v="Light Breeze"/>
    <n v="5"/>
    <n v="59"/>
    <n v="64"/>
    <n v="59.333333333333336"/>
    <n v="48.084768144769413"/>
    <n v="9.7050830163445373E-2"/>
    <b v="0"/>
  </r>
  <r>
    <n v="316"/>
    <d v="2011-01-14T00:00:00"/>
    <n v="1"/>
    <n v="0"/>
    <x v="0"/>
    <x v="15"/>
    <b v="0"/>
    <x v="6"/>
    <x v="6"/>
    <x v="1"/>
    <s v="Midday"/>
    <n v="1"/>
    <x v="0"/>
    <n v="0.24"/>
    <s v="Mild"/>
    <n v="0.2424"/>
    <n v="0.38"/>
    <n v="0.16420000000000001"/>
    <s v="Light Breeze"/>
    <n v="9"/>
    <n v="59"/>
    <n v="68"/>
    <n v="60.416666666666664"/>
    <n v="47.970023852462248"/>
    <n v="0.15808483557683475"/>
    <b v="0"/>
  </r>
  <r>
    <n v="317"/>
    <d v="2011-01-14T00:00:00"/>
    <n v="1"/>
    <n v="0"/>
    <x v="0"/>
    <x v="16"/>
    <b v="0"/>
    <x v="6"/>
    <x v="6"/>
    <x v="1"/>
    <s v="Midday"/>
    <n v="1"/>
    <x v="0"/>
    <n v="0.22"/>
    <s v="Mild"/>
    <n v="0.2424"/>
    <n v="0.41"/>
    <n v="0.1045"/>
    <s v="Calm"/>
    <n v="3"/>
    <n v="87"/>
    <n v="90"/>
    <n v="61.666666666666664"/>
    <n v="48.348073714306942"/>
    <n v="0.58602817354746162"/>
    <b v="0"/>
  </r>
  <r>
    <n v="318"/>
    <d v="2011-01-14T00:00:00"/>
    <n v="1"/>
    <n v="0"/>
    <x v="0"/>
    <x v="17"/>
    <b v="0"/>
    <x v="6"/>
    <x v="6"/>
    <x v="1"/>
    <s v="Evening"/>
    <n v="1"/>
    <x v="0"/>
    <n v="0.22"/>
    <s v="Mild"/>
    <n v="0.2273"/>
    <n v="0.41"/>
    <n v="0.16420000000000001"/>
    <s v="Light Breeze"/>
    <n v="4"/>
    <n v="155"/>
    <n v="159"/>
    <n v="65.041666666666671"/>
    <n v="52.210676208462644"/>
    <n v="1.7996000082087418"/>
    <b v="0"/>
  </r>
  <r>
    <n v="319"/>
    <d v="2011-01-14T00:00:00"/>
    <n v="1"/>
    <n v="0"/>
    <x v="0"/>
    <x v="18"/>
    <b v="0"/>
    <x v="6"/>
    <x v="6"/>
    <x v="1"/>
    <s v="Evening"/>
    <n v="1"/>
    <x v="0"/>
    <n v="0.2"/>
    <s v="Mild"/>
    <n v="0.2576"/>
    <n v="0.47"/>
    <n v="0"/>
    <s v="Calm"/>
    <n v="5"/>
    <n v="134"/>
    <n v="139"/>
    <n v="64.083333333333329"/>
    <n v="50.53790369757067"/>
    <n v="1.4823857181529252"/>
    <b v="0"/>
  </r>
  <r>
    <n v="320"/>
    <d v="2011-01-14T00:00:00"/>
    <n v="1"/>
    <n v="0"/>
    <x v="0"/>
    <x v="19"/>
    <b v="0"/>
    <x v="6"/>
    <x v="6"/>
    <x v="1"/>
    <s v="Evening"/>
    <n v="1"/>
    <x v="0"/>
    <n v="0.16"/>
    <s v="Cold"/>
    <n v="0.19700000000000001"/>
    <n v="0.59"/>
    <n v="8.9599999999999999E-2"/>
    <s v="Calm"/>
    <n v="3"/>
    <n v="89"/>
    <n v="92"/>
    <n v="61.916666666666664"/>
    <n v="48.014415105997223"/>
    <n v="0.62654794954642257"/>
    <b v="0"/>
  </r>
  <r>
    <n v="321"/>
    <d v="2011-01-14T00:00:00"/>
    <n v="1"/>
    <n v="0"/>
    <x v="0"/>
    <x v="20"/>
    <b v="0"/>
    <x v="6"/>
    <x v="6"/>
    <x v="1"/>
    <s v="Evening"/>
    <n v="1"/>
    <x v="0"/>
    <n v="0.18"/>
    <s v="Cold"/>
    <n v="0.2424"/>
    <n v="0.59"/>
    <n v="0"/>
    <s v="Calm"/>
    <n v="0"/>
    <n v="68"/>
    <n v="68"/>
    <n v="60.625"/>
    <n v="47.386305580006329"/>
    <n v="0.15563568228690378"/>
    <b v="0"/>
  </r>
  <r>
    <n v="322"/>
    <d v="2011-01-14T00:00:00"/>
    <n v="1"/>
    <n v="0"/>
    <x v="0"/>
    <x v="21"/>
    <b v="0"/>
    <x v="6"/>
    <x v="6"/>
    <x v="1"/>
    <s v="Night"/>
    <n v="1"/>
    <x v="0"/>
    <n v="0.16"/>
    <s v="Cold"/>
    <n v="0.2273"/>
    <n v="0.69"/>
    <n v="0"/>
    <s v="Calm"/>
    <n v="4"/>
    <n v="48"/>
    <n v="52"/>
    <n v="60.125"/>
    <n v="47.412447916041039"/>
    <n v="-0.17136849829791367"/>
    <b v="0"/>
  </r>
  <r>
    <n v="323"/>
    <d v="2011-01-14T00:00:00"/>
    <n v="1"/>
    <n v="0"/>
    <x v="0"/>
    <x v="22"/>
    <b v="0"/>
    <x v="6"/>
    <x v="6"/>
    <x v="1"/>
    <s v="Night"/>
    <n v="2"/>
    <x v="1"/>
    <n v="0.16"/>
    <s v="Cold"/>
    <n v="0.2273"/>
    <n v="0.69"/>
    <n v="0"/>
    <s v="Calm"/>
    <n v="2"/>
    <n v="34"/>
    <n v="36"/>
    <n v="59.958333333333336"/>
    <n v="47.493229876035713"/>
    <n v="-0.50445786474973586"/>
    <b v="0"/>
  </r>
  <r>
    <n v="324"/>
    <d v="2011-01-14T00:00:00"/>
    <n v="1"/>
    <n v="0"/>
    <x v="0"/>
    <x v="23"/>
    <b v="0"/>
    <x v="6"/>
    <x v="6"/>
    <x v="1"/>
    <s v="Night"/>
    <n v="2"/>
    <x v="1"/>
    <n v="0.18"/>
    <s v="Cold"/>
    <n v="0.2424"/>
    <n v="0.55000000000000004"/>
    <n v="0"/>
    <s v="Calm"/>
    <n v="1"/>
    <n v="26"/>
    <n v="27"/>
    <n v="59.833333333333336"/>
    <n v="47.579376850157203"/>
    <n v="-0.69007489183257043"/>
    <b v="0"/>
  </r>
  <r>
    <n v="325"/>
    <d v="2011-01-15T00:00:00"/>
    <n v="1"/>
    <n v="0"/>
    <x v="0"/>
    <x v="0"/>
    <b v="0"/>
    <x v="0"/>
    <x v="0"/>
    <x v="0"/>
    <s v="Night"/>
    <n v="1"/>
    <x v="0"/>
    <n v="0.18"/>
    <s v="Cold"/>
    <n v="0.2424"/>
    <n v="0.55000000000000004"/>
    <n v="0"/>
    <s v="Calm"/>
    <n v="3"/>
    <n v="25"/>
    <n v="28"/>
    <n v="60.375"/>
    <n v="47.118548457010554"/>
    <n v="-0.68709671796315852"/>
    <b v="0"/>
  </r>
  <r>
    <n v="326"/>
    <d v="2011-01-15T00:00:00"/>
    <n v="1"/>
    <n v="0"/>
    <x v="0"/>
    <x v="1"/>
    <b v="0"/>
    <x v="0"/>
    <x v="0"/>
    <x v="0"/>
    <s v="Night"/>
    <n v="2"/>
    <x v="1"/>
    <n v="0.16"/>
    <s v="Cold"/>
    <n v="0.19700000000000001"/>
    <n v="0.59"/>
    <n v="8.9599999999999999E-2"/>
    <s v="Calm"/>
    <n v="2"/>
    <n v="18"/>
    <n v="20"/>
    <n v="60.625"/>
    <n v="46.877094156119988"/>
    <n v="-0.86662794977653812"/>
    <b v="0"/>
  </r>
  <r>
    <n v="327"/>
    <d v="2011-01-15T00:00:00"/>
    <n v="1"/>
    <n v="0"/>
    <x v="0"/>
    <x v="2"/>
    <b v="0"/>
    <x v="0"/>
    <x v="0"/>
    <x v="0"/>
    <s v="Night"/>
    <n v="2"/>
    <x v="1"/>
    <n v="0.16"/>
    <s v="Cold"/>
    <n v="0.19700000000000001"/>
    <n v="0.59"/>
    <n v="8.9599999999999999E-2"/>
    <s v="Calm"/>
    <n v="0"/>
    <n v="12"/>
    <n v="12"/>
    <n v="60.916666666666664"/>
    <n v="46.536490279523996"/>
    <n v="-1.0511464524472303"/>
    <b v="0"/>
  </r>
  <r>
    <n v="328"/>
    <d v="2011-01-15T00:00:00"/>
    <n v="1"/>
    <n v="0"/>
    <x v="0"/>
    <x v="3"/>
    <b v="0"/>
    <x v="0"/>
    <x v="0"/>
    <x v="0"/>
    <s v="Night"/>
    <n v="2"/>
    <x v="1"/>
    <n v="0.16"/>
    <s v="Cold"/>
    <n v="0.2273"/>
    <n v="0.59"/>
    <n v="0"/>
    <s v="Calm"/>
    <n v="1"/>
    <n v="7"/>
    <n v="8"/>
    <n v="61.208333333333336"/>
    <n v="46.165090487403404"/>
    <n v="-1.1525664256599204"/>
    <b v="0"/>
  </r>
  <r>
    <n v="329"/>
    <d v="2011-01-15T00:00:00"/>
    <n v="1"/>
    <n v="0"/>
    <x v="0"/>
    <x v="4"/>
    <b v="0"/>
    <x v="0"/>
    <x v="0"/>
    <x v="0"/>
    <s v="Night"/>
    <n v="2"/>
    <x v="1"/>
    <n v="0.16"/>
    <s v="Cold"/>
    <n v="0.2273"/>
    <n v="0.59"/>
    <n v="0"/>
    <s v="Calm"/>
    <n v="0"/>
    <n v="5"/>
    <n v="5"/>
    <n v="61.375"/>
    <n v="45.944969445972042"/>
    <n v="-1.2270113720783495"/>
    <b v="0"/>
  </r>
  <r>
    <n v="330"/>
    <d v="2011-01-15T00:00:00"/>
    <n v="1"/>
    <n v="0"/>
    <x v="0"/>
    <x v="5"/>
    <b v="0"/>
    <x v="0"/>
    <x v="0"/>
    <x v="0"/>
    <s v="Night"/>
    <n v="1"/>
    <x v="0"/>
    <n v="0.16"/>
    <s v="Cold"/>
    <n v="0.2273"/>
    <n v="0.59"/>
    <n v="0"/>
    <s v="Calm"/>
    <n v="0"/>
    <n v="1"/>
    <n v="1"/>
    <n v="61.083333333333336"/>
    <n v="46.319229424643424"/>
    <n v="-1.2971574458310597"/>
    <b v="0"/>
  </r>
  <r>
    <n v="331"/>
    <d v="2011-01-15T00:00:00"/>
    <n v="1"/>
    <n v="0"/>
    <x v="0"/>
    <x v="6"/>
    <b v="0"/>
    <x v="0"/>
    <x v="0"/>
    <x v="0"/>
    <s v="Morning"/>
    <n v="1"/>
    <x v="0"/>
    <n v="0.14000000000000001"/>
    <s v="Cold"/>
    <n v="0.16669999999999999"/>
    <n v="0.63"/>
    <n v="0.1045"/>
    <s v="Calm"/>
    <n v="1"/>
    <n v="2"/>
    <n v="3"/>
    <n v="60.5"/>
    <n v="46.981957684052361"/>
    <n v="-1.2238740749519235"/>
    <b v="0"/>
  </r>
  <r>
    <n v="332"/>
    <d v="2011-01-15T00:00:00"/>
    <n v="1"/>
    <n v="0"/>
    <x v="0"/>
    <x v="7"/>
    <b v="0"/>
    <x v="0"/>
    <x v="0"/>
    <x v="0"/>
    <s v="Morning"/>
    <n v="1"/>
    <x v="0"/>
    <n v="0.14000000000000001"/>
    <s v="Cold"/>
    <n v="0.21210000000000001"/>
    <n v="0.63"/>
    <n v="0"/>
    <s v="Calm"/>
    <n v="1"/>
    <n v="9"/>
    <n v="10"/>
    <n v="58"/>
    <n v="48.038933485609178"/>
    <n v="-0.99918954308965158"/>
    <b v="0"/>
  </r>
  <r>
    <n v="333"/>
    <d v="2011-01-15T00:00:00"/>
    <n v="1"/>
    <n v="0"/>
    <x v="0"/>
    <x v="8"/>
    <b v="0"/>
    <x v="0"/>
    <x v="0"/>
    <x v="0"/>
    <s v="Morning"/>
    <n v="1"/>
    <x v="0"/>
    <n v="0.14000000000000001"/>
    <s v="Cold"/>
    <n v="0.1515"/>
    <n v="0.63"/>
    <n v="0.1343"/>
    <s v="Light Breeze"/>
    <n v="1"/>
    <n v="22"/>
    <n v="23"/>
    <n v="52.375"/>
    <n v="43.51093066065723"/>
    <n v="-0.67511771304310442"/>
    <b v="0"/>
  </r>
  <r>
    <n v="334"/>
    <d v="2011-01-15T00:00:00"/>
    <n v="1"/>
    <n v="0"/>
    <x v="0"/>
    <x v="9"/>
    <b v="0"/>
    <x v="0"/>
    <x v="0"/>
    <x v="0"/>
    <s v="Morning"/>
    <n v="1"/>
    <x v="0"/>
    <n v="0.16"/>
    <s v="Cold"/>
    <n v="0.18179999999999999"/>
    <n v="0.64"/>
    <n v="0.1343"/>
    <s v="Light Breeze"/>
    <n v="2"/>
    <n v="31"/>
    <n v="33"/>
    <n v="48.875"/>
    <n v="41.414461347404391"/>
    <n v="-0.38332020949959666"/>
    <b v="0"/>
  </r>
  <r>
    <n v="335"/>
    <d v="2011-01-15T00:00:00"/>
    <n v="1"/>
    <n v="0"/>
    <x v="0"/>
    <x v="10"/>
    <b v="0"/>
    <x v="0"/>
    <x v="0"/>
    <x v="0"/>
    <s v="Morning"/>
    <n v="1"/>
    <x v="0"/>
    <n v="0.18"/>
    <s v="Cold"/>
    <n v="0.19700000000000001"/>
    <n v="0.59"/>
    <n v="0.16420000000000001"/>
    <s v="Light Breeze"/>
    <n v="2"/>
    <n v="57"/>
    <n v="59"/>
    <n v="49.5"/>
    <n v="41.450861427037658"/>
    <n v="0.22918703430861195"/>
    <b v="0"/>
  </r>
  <r>
    <n v="336"/>
    <d v="2011-01-15T00:00:00"/>
    <n v="1"/>
    <n v="0"/>
    <x v="0"/>
    <x v="11"/>
    <b v="0"/>
    <x v="0"/>
    <x v="0"/>
    <x v="0"/>
    <s v="Morning"/>
    <n v="1"/>
    <x v="0"/>
    <n v="0.2"/>
    <s v="Mild"/>
    <n v="0.19700000000000001"/>
    <n v="0.55000000000000004"/>
    <n v="0.22389999999999999"/>
    <s v="Light Breeze"/>
    <n v="18"/>
    <n v="54"/>
    <n v="72"/>
    <n v="50.291666666666664"/>
    <n v="41.701297202914411"/>
    <n v="0.52056733937322675"/>
    <b v="0"/>
  </r>
  <r>
    <n v="337"/>
    <d v="2011-01-15T00:00:00"/>
    <n v="1"/>
    <n v="0"/>
    <x v="0"/>
    <x v="12"/>
    <b v="0"/>
    <x v="0"/>
    <x v="0"/>
    <x v="0"/>
    <s v="Midday"/>
    <n v="1"/>
    <x v="0"/>
    <n v="0.24"/>
    <s v="Mild"/>
    <n v="0.2273"/>
    <n v="0.48"/>
    <n v="0.22389999999999999"/>
    <s v="Light Breeze"/>
    <n v="15"/>
    <n v="74"/>
    <n v="89"/>
    <n v="51.458333333333336"/>
    <n v="42.399732532653786"/>
    <n v="0.88542225208034686"/>
    <b v="0"/>
  </r>
  <r>
    <n v="338"/>
    <d v="2011-01-15T00:00:00"/>
    <n v="1"/>
    <n v="0"/>
    <x v="0"/>
    <x v="13"/>
    <b v="0"/>
    <x v="0"/>
    <x v="0"/>
    <x v="0"/>
    <s v="Midday"/>
    <n v="1"/>
    <x v="0"/>
    <n v="0.28000000000000003"/>
    <s v="Mild"/>
    <n v="0.2576"/>
    <n v="0.38"/>
    <n v="0.29849999999999999"/>
    <s v="Light Breeze"/>
    <n v="21"/>
    <n v="80"/>
    <n v="101"/>
    <n v="52.458333333333336"/>
    <n v="43.301751311773366"/>
    <n v="1.121009317086642"/>
    <b v="0"/>
  </r>
  <r>
    <n v="339"/>
    <d v="2011-01-15T00:00:00"/>
    <n v="1"/>
    <n v="0"/>
    <x v="0"/>
    <x v="14"/>
    <b v="0"/>
    <x v="0"/>
    <x v="0"/>
    <x v="0"/>
    <s v="Midday"/>
    <n v="1"/>
    <x v="0"/>
    <n v="0.3"/>
    <s v="Mild"/>
    <n v="0.28789999999999999"/>
    <n v="0.39"/>
    <n v="0.28360000000000002"/>
    <s v="Light Breeze"/>
    <n v="26"/>
    <n v="92"/>
    <n v="118"/>
    <n v="54.708333333333336"/>
    <n v="45.285067283162775"/>
    <n v="1.3976277493618485"/>
    <b v="0"/>
  </r>
  <r>
    <n v="340"/>
    <d v="2011-01-15T00:00:00"/>
    <n v="1"/>
    <n v="0"/>
    <x v="0"/>
    <x v="15"/>
    <b v="0"/>
    <x v="0"/>
    <x v="0"/>
    <x v="0"/>
    <s v="Midday"/>
    <n v="2"/>
    <x v="1"/>
    <n v="0.32"/>
    <s v="Mild"/>
    <n v="0.31819999999999998"/>
    <n v="0.36"/>
    <n v="0.19400000000000001"/>
    <s v="Light Breeze"/>
    <n v="21"/>
    <n v="108"/>
    <n v="129"/>
    <n v="57.25"/>
    <n v="47.71040356877787"/>
    <n v="1.503864872921634"/>
    <b v="0"/>
  </r>
  <r>
    <n v="341"/>
    <d v="2011-01-15T00:00:00"/>
    <n v="1"/>
    <n v="0"/>
    <x v="0"/>
    <x v="16"/>
    <b v="0"/>
    <x v="0"/>
    <x v="0"/>
    <x v="0"/>
    <s v="Midday"/>
    <n v="2"/>
    <x v="1"/>
    <n v="0.34"/>
    <s v="Mild"/>
    <n v="0.33329999999999999"/>
    <n v="0.34"/>
    <n v="0.19400000000000001"/>
    <s v="Light Breeze"/>
    <n v="33"/>
    <n v="95"/>
    <n v="128"/>
    <n v="58.833333333333336"/>
    <n v="49.44357052910587"/>
    <n v="1.3989011296413236"/>
    <b v="0"/>
  </r>
  <r>
    <n v="342"/>
    <d v="2011-01-15T00:00:00"/>
    <n v="1"/>
    <n v="0"/>
    <x v="0"/>
    <x v="17"/>
    <b v="0"/>
    <x v="0"/>
    <x v="0"/>
    <x v="0"/>
    <s v="Evening"/>
    <n v="2"/>
    <x v="1"/>
    <n v="0.32"/>
    <s v="Mild"/>
    <n v="0.30299999999999999"/>
    <n v="0.36"/>
    <n v="0.28360000000000002"/>
    <s v="Light Breeze"/>
    <n v="29"/>
    <n v="54"/>
    <n v="83"/>
    <n v="55.666666666666664"/>
    <n v="44.98179986217292"/>
    <n v="0.60765317121779028"/>
    <b v="0"/>
  </r>
  <r>
    <n v="343"/>
    <d v="2011-01-15T00:00:00"/>
    <n v="1"/>
    <n v="0"/>
    <x v="0"/>
    <x v="18"/>
    <b v="0"/>
    <x v="0"/>
    <x v="0"/>
    <x v="0"/>
    <s v="Evening"/>
    <n v="2"/>
    <x v="1"/>
    <n v="0.3"/>
    <s v="Mild"/>
    <n v="0.28789999999999999"/>
    <n v="0.45"/>
    <n v="0.25369999999999998"/>
    <s v="Light Breeze"/>
    <n v="15"/>
    <n v="69"/>
    <n v="84"/>
    <n v="53.375"/>
    <n v="41.843198501901895"/>
    <n v="0.7318991161396996"/>
    <b v="0"/>
  </r>
  <r>
    <n v="344"/>
    <d v="2011-01-15T00:00:00"/>
    <n v="1"/>
    <n v="0"/>
    <x v="0"/>
    <x v="19"/>
    <b v="0"/>
    <x v="0"/>
    <x v="0"/>
    <x v="0"/>
    <s v="Evening"/>
    <n v="2"/>
    <x v="1"/>
    <n v="0.32"/>
    <s v="Mild"/>
    <n v="0.30299999999999999"/>
    <n v="0.39"/>
    <n v="0.25369999999999998"/>
    <s v="Light Breeze"/>
    <n v="14"/>
    <n v="60"/>
    <n v="74"/>
    <n v="52.625"/>
    <n v="41.278284110781961"/>
    <n v="0.51782675710633075"/>
    <b v="0"/>
  </r>
  <r>
    <n v="345"/>
    <d v="2011-01-15T00:00:00"/>
    <n v="1"/>
    <n v="0"/>
    <x v="0"/>
    <x v="20"/>
    <b v="0"/>
    <x v="0"/>
    <x v="0"/>
    <x v="0"/>
    <s v="Evening"/>
    <n v="2"/>
    <x v="1"/>
    <n v="0.32"/>
    <s v="Mild"/>
    <n v="0.30299999999999999"/>
    <n v="0.39"/>
    <n v="0.25369999999999998"/>
    <s v="Light Breeze"/>
    <n v="6"/>
    <n v="35"/>
    <n v="41"/>
    <n v="51.5"/>
    <n v="41.208905749163961"/>
    <n v="-0.25479929178204452"/>
    <b v="0"/>
  </r>
  <r>
    <n v="346"/>
    <d v="2011-01-15T00:00:00"/>
    <n v="1"/>
    <n v="0"/>
    <x v="0"/>
    <x v="21"/>
    <b v="0"/>
    <x v="0"/>
    <x v="0"/>
    <x v="0"/>
    <s v="Night"/>
    <n v="2"/>
    <x v="1"/>
    <n v="0.32"/>
    <s v="Mild"/>
    <n v="0.30299999999999999"/>
    <n v="0.39"/>
    <n v="0.22389999999999999"/>
    <s v="Light Breeze"/>
    <n v="6"/>
    <n v="51"/>
    <n v="57"/>
    <n v="51.708333333333336"/>
    <n v="41.224179446224184"/>
    <n v="0.12836317757566282"/>
    <b v="0"/>
  </r>
  <r>
    <n v="347"/>
    <d v="2011-01-15T00:00:00"/>
    <n v="1"/>
    <n v="0"/>
    <x v="0"/>
    <x v="22"/>
    <b v="0"/>
    <x v="0"/>
    <x v="0"/>
    <x v="0"/>
    <s v="Night"/>
    <n v="2"/>
    <x v="1"/>
    <n v="0.3"/>
    <s v="Mild"/>
    <n v="0.31819999999999998"/>
    <n v="0.42"/>
    <n v="0.1045"/>
    <s v="Calm"/>
    <n v="0"/>
    <n v="26"/>
    <n v="26"/>
    <n v="51.291666666666664"/>
    <n v="41.439824540784613"/>
    <n v="-0.61032272570977919"/>
    <b v="0"/>
  </r>
  <r>
    <n v="348"/>
    <d v="2011-01-15T00:00:00"/>
    <n v="1"/>
    <n v="0"/>
    <x v="0"/>
    <x v="23"/>
    <b v="0"/>
    <x v="0"/>
    <x v="0"/>
    <x v="0"/>
    <s v="Night"/>
    <n v="1"/>
    <x v="0"/>
    <n v="0.3"/>
    <s v="Mild"/>
    <n v="0.28789999999999999"/>
    <n v="0.45"/>
    <n v="0.28360000000000002"/>
    <s v="Light Breeze"/>
    <n v="5"/>
    <n v="39"/>
    <n v="44"/>
    <n v="52"/>
    <n v="41.150836010314855"/>
    <n v="-0.19440674298803365"/>
    <b v="0"/>
  </r>
  <r>
    <n v="349"/>
    <d v="2011-01-16T00:00:00"/>
    <n v="1"/>
    <n v="0"/>
    <x v="0"/>
    <x v="0"/>
    <b v="0"/>
    <x v="1"/>
    <x v="1"/>
    <x v="0"/>
    <s v="Night"/>
    <n v="1"/>
    <x v="0"/>
    <n v="0.26"/>
    <s v="Mild"/>
    <n v="0.30299999999999999"/>
    <n v="0.56000000000000005"/>
    <n v="0"/>
    <s v="Calm"/>
    <n v="6"/>
    <n v="33"/>
    <n v="39"/>
    <n v="52.458333333333336"/>
    <n v="40.932584199820099"/>
    <n v="-0.32879266228669934"/>
    <b v="0"/>
  </r>
  <r>
    <n v="350"/>
    <d v="2011-01-16T00:00:00"/>
    <n v="1"/>
    <n v="0"/>
    <x v="0"/>
    <x v="1"/>
    <b v="0"/>
    <x v="1"/>
    <x v="1"/>
    <x v="0"/>
    <s v="Night"/>
    <n v="1"/>
    <x v="0"/>
    <n v="0.26"/>
    <s v="Mild"/>
    <n v="0.2727"/>
    <n v="0.56000000000000005"/>
    <n v="0.1343"/>
    <s v="Light Breeze"/>
    <n v="4"/>
    <n v="19"/>
    <n v="23"/>
    <n v="52.583333333333336"/>
    <n v="40.833614314324592"/>
    <n v="-0.7244848106173003"/>
    <b v="0"/>
  </r>
  <r>
    <n v="351"/>
    <d v="2011-01-16T00:00:00"/>
    <n v="1"/>
    <n v="0"/>
    <x v="0"/>
    <x v="2"/>
    <b v="0"/>
    <x v="1"/>
    <x v="1"/>
    <x v="0"/>
    <s v="Night"/>
    <n v="1"/>
    <x v="0"/>
    <n v="0.26"/>
    <s v="Mild"/>
    <n v="0.28789999999999999"/>
    <n v="0.56000000000000005"/>
    <n v="8.9599999999999999E-2"/>
    <s v="Calm"/>
    <n v="3"/>
    <n v="13"/>
    <n v="16"/>
    <n v="52.75"/>
    <n v="40.668597008117892"/>
    <n v="-0.90364563087003724"/>
    <b v="0"/>
  </r>
  <r>
    <n v="352"/>
    <d v="2011-01-16T00:00:00"/>
    <n v="1"/>
    <n v="0"/>
    <x v="0"/>
    <x v="3"/>
    <b v="0"/>
    <x v="1"/>
    <x v="1"/>
    <x v="0"/>
    <s v="Night"/>
    <n v="1"/>
    <x v="0"/>
    <n v="0.22"/>
    <s v="Mild"/>
    <n v="0.2727"/>
    <n v="0.69"/>
    <n v="0"/>
    <s v="Calm"/>
    <n v="9"/>
    <n v="6"/>
    <n v="15"/>
    <n v="53.041666666666664"/>
    <n v="40.357617853889487"/>
    <n v="-0.94261427432096012"/>
    <b v="0"/>
  </r>
  <r>
    <n v="353"/>
    <d v="2011-01-16T00:00:00"/>
    <n v="1"/>
    <n v="0"/>
    <x v="0"/>
    <x v="4"/>
    <b v="0"/>
    <x v="1"/>
    <x v="1"/>
    <x v="0"/>
    <s v="Night"/>
    <n v="1"/>
    <x v="0"/>
    <n v="0.26"/>
    <s v="Mild"/>
    <n v="0.2576"/>
    <n v="0.56000000000000005"/>
    <n v="0.16420000000000001"/>
    <s v="Light Breeze"/>
    <n v="0"/>
    <n v="1"/>
    <n v="1"/>
    <n v="52.875"/>
    <n v="40.572332080307909"/>
    <n v="-1.2785806814683429"/>
    <b v="0"/>
  </r>
  <r>
    <n v="354"/>
    <d v="2011-01-16T00:00:00"/>
    <n v="1"/>
    <n v="0"/>
    <x v="0"/>
    <x v="5"/>
    <b v="0"/>
    <x v="1"/>
    <x v="1"/>
    <x v="0"/>
    <s v="Night"/>
    <n v="2"/>
    <x v="1"/>
    <n v="0.26"/>
    <s v="Mild"/>
    <n v="0.2576"/>
    <n v="0.56000000000000005"/>
    <n v="0.16420000000000001"/>
    <s v="Light Breeze"/>
    <n v="1"/>
    <n v="1"/>
    <n v="2"/>
    <n v="52.916666666666664"/>
    <n v="40.517217667754927"/>
    <n v="-1.2566674020952824"/>
    <b v="0"/>
  </r>
  <r>
    <n v="355"/>
    <d v="2011-01-16T00:00:00"/>
    <n v="1"/>
    <n v="0"/>
    <x v="0"/>
    <x v="6"/>
    <b v="0"/>
    <x v="1"/>
    <x v="1"/>
    <x v="0"/>
    <s v="Morning"/>
    <n v="2"/>
    <x v="1"/>
    <n v="0.26"/>
    <s v="Mild"/>
    <n v="0.2576"/>
    <n v="0.56000000000000005"/>
    <n v="0.16420000000000001"/>
    <s v="Light Breeze"/>
    <n v="0"/>
    <n v="1"/>
    <n v="1"/>
    <n v="52.833333333333336"/>
    <n v="40.626256948224857"/>
    <n v="-1.2758579605153155"/>
    <b v="0"/>
  </r>
  <r>
    <n v="356"/>
    <d v="2011-01-16T00:00:00"/>
    <n v="1"/>
    <n v="0"/>
    <x v="0"/>
    <x v="7"/>
    <b v="0"/>
    <x v="1"/>
    <x v="1"/>
    <x v="0"/>
    <s v="Morning"/>
    <n v="2"/>
    <x v="1"/>
    <n v="0.24"/>
    <s v="Mild"/>
    <n v="0.21210000000000001"/>
    <n v="0.56000000000000005"/>
    <n v="0.29849999999999999"/>
    <s v="Light Breeze"/>
    <n v="0"/>
    <n v="3"/>
    <n v="3"/>
    <n v="52.541666666666664"/>
    <n v="40.970805264944097"/>
    <n v="-1.2091943603816853"/>
    <b v="0"/>
  </r>
  <r>
    <n v="357"/>
    <d v="2011-01-16T00:00:00"/>
    <n v="1"/>
    <n v="0"/>
    <x v="0"/>
    <x v="8"/>
    <b v="0"/>
    <x v="1"/>
    <x v="1"/>
    <x v="0"/>
    <s v="Morning"/>
    <n v="1"/>
    <x v="0"/>
    <n v="0.22"/>
    <s v="Mild"/>
    <n v="0.21210000000000001"/>
    <n v="0.55000000000000004"/>
    <n v="0.28360000000000002"/>
    <s v="Light Breeze"/>
    <n v="0"/>
    <n v="18"/>
    <n v="18"/>
    <n v="52.333333333333336"/>
    <n v="41.139916791641525"/>
    <n v="-0.83455038344435606"/>
    <b v="0"/>
  </r>
  <r>
    <n v="358"/>
    <d v="2011-01-16T00:00:00"/>
    <n v="1"/>
    <n v="0"/>
    <x v="0"/>
    <x v="9"/>
    <b v="0"/>
    <x v="1"/>
    <x v="1"/>
    <x v="0"/>
    <s v="Morning"/>
    <n v="1"/>
    <x v="0"/>
    <n v="0.22"/>
    <s v="Mild"/>
    <n v="0.21210000000000001"/>
    <n v="0.51"/>
    <n v="0.25369999999999998"/>
    <s v="Light Breeze"/>
    <n v="3"/>
    <n v="29"/>
    <n v="32"/>
    <n v="52.291666666666664"/>
    <n v="41.160850084882171"/>
    <n v="-0.4929846352740786"/>
    <b v="0"/>
  </r>
  <r>
    <n v="359"/>
    <d v="2011-01-16T00:00:00"/>
    <n v="1"/>
    <n v="0"/>
    <x v="0"/>
    <x v="10"/>
    <b v="0"/>
    <x v="1"/>
    <x v="1"/>
    <x v="0"/>
    <s v="Morning"/>
    <n v="1"/>
    <x v="0"/>
    <n v="0.22"/>
    <s v="Mild"/>
    <n v="0.21210000000000001"/>
    <n v="0.51"/>
    <n v="0.28360000000000002"/>
    <s v="Light Breeze"/>
    <n v="8"/>
    <n v="71"/>
    <n v="79"/>
    <n v="53.125"/>
    <n v="41.503601205720429"/>
    <n v="0.62343987625906683"/>
    <b v="0"/>
  </r>
  <r>
    <n v="360"/>
    <d v="2011-01-16T00:00:00"/>
    <n v="1"/>
    <n v="0"/>
    <x v="0"/>
    <x v="11"/>
    <b v="0"/>
    <x v="1"/>
    <x v="1"/>
    <x v="0"/>
    <s v="Morning"/>
    <n v="1"/>
    <x v="0"/>
    <n v="0.24"/>
    <s v="Mild"/>
    <n v="0.2273"/>
    <n v="0.44"/>
    <n v="0.25369999999999998"/>
    <s v="Light Breeze"/>
    <n v="23"/>
    <n v="70"/>
    <n v="93"/>
    <n v="54"/>
    <n v="42.135392538195561"/>
    <n v="0.92558767465253022"/>
    <b v="0"/>
  </r>
  <r>
    <n v="361"/>
    <d v="2011-01-16T00:00:00"/>
    <n v="1"/>
    <n v="0"/>
    <x v="0"/>
    <x v="12"/>
    <b v="0"/>
    <x v="1"/>
    <x v="1"/>
    <x v="0"/>
    <s v="Midday"/>
    <n v="1"/>
    <x v="0"/>
    <n v="0.24"/>
    <s v="Mild"/>
    <n v="0.21210000000000001"/>
    <n v="0.41"/>
    <n v="0.28360000000000002"/>
    <s v="Light Breeze"/>
    <n v="29"/>
    <n v="75"/>
    <n v="104"/>
    <n v="54.625"/>
    <n v="42.783390214671741"/>
    <n v="1.1540693655237213"/>
    <b v="0"/>
  </r>
  <r>
    <n v="362"/>
    <d v="2011-01-16T00:00:00"/>
    <n v="1"/>
    <n v="0"/>
    <x v="0"/>
    <x v="13"/>
    <b v="0"/>
    <x v="1"/>
    <x v="1"/>
    <x v="0"/>
    <s v="Midday"/>
    <n v="1"/>
    <x v="0"/>
    <n v="0.26"/>
    <s v="Mild"/>
    <n v="0.2273"/>
    <n v="0.35"/>
    <n v="0.29849999999999999"/>
    <s v="Light Breeze"/>
    <n v="23"/>
    <n v="95"/>
    <n v="118"/>
    <n v="55.333333333333336"/>
    <n v="43.715151752608875"/>
    <n v="1.4335227982578553"/>
    <b v="0"/>
  </r>
  <r>
    <n v="363"/>
    <d v="2011-01-16T00:00:00"/>
    <n v="1"/>
    <n v="0"/>
    <x v="0"/>
    <x v="14"/>
    <b v="0"/>
    <x v="1"/>
    <x v="1"/>
    <x v="0"/>
    <s v="Midday"/>
    <n v="1"/>
    <x v="0"/>
    <n v="0.28000000000000003"/>
    <s v="Mild"/>
    <n v="0.2727"/>
    <n v="0.36"/>
    <n v="0.25369999999999998"/>
    <s v="Light Breeze"/>
    <n v="22"/>
    <n v="69"/>
    <n v="91"/>
    <n v="54.208333333333336"/>
    <n v="42.358695187304981"/>
    <n v="0.86857412637425213"/>
    <b v="0"/>
  </r>
  <r>
    <n v="364"/>
    <d v="2011-01-16T00:00:00"/>
    <n v="1"/>
    <n v="0"/>
    <x v="0"/>
    <x v="15"/>
    <b v="0"/>
    <x v="1"/>
    <x v="1"/>
    <x v="0"/>
    <s v="Midday"/>
    <n v="1"/>
    <x v="0"/>
    <n v="0.26"/>
    <s v="Mild"/>
    <n v="0.2424"/>
    <n v="0.38"/>
    <n v="0.25369999999999998"/>
    <s v="Light Breeze"/>
    <n v="35"/>
    <n v="78"/>
    <n v="113"/>
    <n v="53.541666666666664"/>
    <n v="41.241577972031919"/>
    <n v="1.4417084955783011"/>
    <b v="0"/>
  </r>
  <r>
    <n v="365"/>
    <d v="2011-01-16T00:00:00"/>
    <n v="1"/>
    <n v="0"/>
    <x v="0"/>
    <x v="16"/>
    <b v="0"/>
    <x v="1"/>
    <x v="1"/>
    <x v="0"/>
    <s v="Midday"/>
    <n v="1"/>
    <x v="0"/>
    <n v="0.24"/>
    <s v="Mild"/>
    <n v="0.2273"/>
    <n v="0.38"/>
    <n v="0.22389999999999999"/>
    <s v="Light Breeze"/>
    <n v="22"/>
    <n v="77"/>
    <n v="99"/>
    <n v="52.333333333333336"/>
    <n v="39.346472872879367"/>
    <n v="1.1860444725868413"/>
    <b v="0"/>
  </r>
  <r>
    <n v="366"/>
    <d v="2011-01-16T00:00:00"/>
    <n v="1"/>
    <n v="0"/>
    <x v="0"/>
    <x v="17"/>
    <b v="0"/>
    <x v="1"/>
    <x v="1"/>
    <x v="0"/>
    <s v="Evening"/>
    <n v="1"/>
    <x v="0"/>
    <n v="0.22"/>
    <s v="Mild"/>
    <n v="0.21210000000000001"/>
    <n v="0.37"/>
    <n v="0.25369999999999998"/>
    <s v="Light Breeze"/>
    <n v="23"/>
    <n v="82"/>
    <n v="105"/>
    <n v="53.25"/>
    <n v="40.335818584349632"/>
    <n v="1.2829787969167208"/>
    <b v="0"/>
  </r>
  <r>
    <n v="367"/>
    <d v="2011-01-16T00:00:00"/>
    <n v="1"/>
    <n v="0"/>
    <x v="0"/>
    <x v="18"/>
    <b v="0"/>
    <x v="1"/>
    <x v="1"/>
    <x v="0"/>
    <s v="Evening"/>
    <n v="1"/>
    <x v="0"/>
    <n v="0.2"/>
    <s v="Mild"/>
    <n v="0.21210000000000001"/>
    <n v="0.4"/>
    <n v="0.16420000000000001"/>
    <s v="Light Breeze"/>
    <n v="11"/>
    <n v="56"/>
    <n v="67"/>
    <n v="52.541666666666664"/>
    <n v="39.919461491822524"/>
    <n v="0.36218758452678818"/>
    <b v="0"/>
  </r>
  <r>
    <n v="368"/>
    <d v="2011-01-16T00:00:00"/>
    <n v="1"/>
    <n v="0"/>
    <x v="0"/>
    <x v="19"/>
    <b v="0"/>
    <x v="1"/>
    <x v="1"/>
    <x v="0"/>
    <s v="Evening"/>
    <n v="1"/>
    <x v="0"/>
    <n v="0.18"/>
    <s v="Cold"/>
    <n v="0.19700000000000001"/>
    <n v="0.47"/>
    <n v="0.1343"/>
    <s v="Light Breeze"/>
    <n v="14"/>
    <n v="47"/>
    <n v="61"/>
    <n v="52"/>
    <n v="39.703247047149134"/>
    <n v="0.22668171168247658"/>
    <b v="0"/>
  </r>
  <r>
    <n v="369"/>
    <d v="2011-01-16T00:00:00"/>
    <n v="1"/>
    <n v="0"/>
    <x v="0"/>
    <x v="20"/>
    <b v="0"/>
    <x v="1"/>
    <x v="1"/>
    <x v="0"/>
    <s v="Evening"/>
    <n v="1"/>
    <x v="0"/>
    <n v="0.18"/>
    <s v="Cold"/>
    <n v="0.19700000000000001"/>
    <n v="0.47"/>
    <n v="0.16420000000000001"/>
    <s v="Light Breeze"/>
    <n v="7"/>
    <n v="50"/>
    <n v="57"/>
    <n v="52.666666666666664"/>
    <n v="39.644799721117728"/>
    <n v="0.10930395319982117"/>
    <b v="0"/>
  </r>
  <r>
    <n v="370"/>
    <d v="2011-01-16T00:00:00"/>
    <n v="1"/>
    <n v="0"/>
    <x v="0"/>
    <x v="21"/>
    <b v="0"/>
    <x v="1"/>
    <x v="1"/>
    <x v="0"/>
    <s v="Night"/>
    <n v="1"/>
    <x v="0"/>
    <n v="0.18"/>
    <s v="Cold"/>
    <n v="0.19700000000000001"/>
    <n v="0.51"/>
    <n v="0.16420000000000001"/>
    <s v="Light Breeze"/>
    <n v="6"/>
    <n v="22"/>
    <n v="28"/>
    <n v="51.458333333333336"/>
    <n v="39.947769341507907"/>
    <n v="-0.58722511219065365"/>
    <b v="0"/>
  </r>
  <r>
    <n v="371"/>
    <d v="2011-01-16T00:00:00"/>
    <n v="1"/>
    <n v="0"/>
    <x v="0"/>
    <x v="22"/>
    <b v="0"/>
    <x v="1"/>
    <x v="1"/>
    <x v="0"/>
    <s v="Night"/>
    <n v="2"/>
    <x v="1"/>
    <n v="0.2"/>
    <s v="Mild"/>
    <n v="0.21210000000000001"/>
    <n v="0.49"/>
    <n v="0.1343"/>
    <s v="Light Breeze"/>
    <n v="2"/>
    <n v="19"/>
    <n v="21"/>
    <n v="51.25"/>
    <n v="40.099062116322571"/>
    <n v="-0.75438173372355632"/>
    <b v="0"/>
  </r>
  <r>
    <n v="372"/>
    <d v="2011-01-16T00:00:00"/>
    <n v="1"/>
    <n v="0"/>
    <x v="0"/>
    <x v="23"/>
    <b v="0"/>
    <x v="1"/>
    <x v="1"/>
    <x v="0"/>
    <s v="Night"/>
    <n v="2"/>
    <x v="1"/>
    <n v="0.2"/>
    <s v="Mild"/>
    <n v="0.2273"/>
    <n v="0.4"/>
    <n v="0.1045"/>
    <s v="Calm"/>
    <n v="0"/>
    <n v="18"/>
    <n v="18"/>
    <n v="50.166666666666664"/>
    <n v="40.650864119021975"/>
    <n v="-0.79129109217667881"/>
    <b v="0"/>
  </r>
  <r>
    <n v="373"/>
    <d v="2011-01-17T00:00:00"/>
    <n v="1"/>
    <n v="0"/>
    <x v="0"/>
    <x v="0"/>
    <b v="1"/>
    <x v="2"/>
    <x v="2"/>
    <x v="1"/>
    <s v="Night"/>
    <n v="2"/>
    <x v="1"/>
    <n v="0.2"/>
    <s v="Mild"/>
    <n v="0.19700000000000001"/>
    <n v="0.47"/>
    <n v="0.22389999999999999"/>
    <s v="Light Breeze"/>
    <n v="1"/>
    <n v="16"/>
    <n v="17"/>
    <n v="49.25"/>
    <n v="41.158495345802365"/>
    <n v="-0.78355634065444724"/>
    <b v="0"/>
  </r>
  <r>
    <n v="374"/>
    <d v="2011-01-17T00:00:00"/>
    <n v="1"/>
    <n v="0"/>
    <x v="0"/>
    <x v="1"/>
    <b v="1"/>
    <x v="2"/>
    <x v="2"/>
    <x v="1"/>
    <s v="Night"/>
    <n v="2"/>
    <x v="1"/>
    <n v="0.2"/>
    <s v="Mild"/>
    <n v="0.19700000000000001"/>
    <n v="0.44"/>
    <n v="0.19400000000000001"/>
    <s v="Light Breeze"/>
    <n v="1"/>
    <n v="15"/>
    <n v="16"/>
    <n v="48.958333333333336"/>
    <n v="41.376825236678883"/>
    <n v="-0.7965408932369491"/>
    <b v="0"/>
  </r>
  <r>
    <n v="375"/>
    <d v="2011-01-17T00:00:00"/>
    <n v="1"/>
    <n v="0"/>
    <x v="0"/>
    <x v="2"/>
    <b v="1"/>
    <x v="2"/>
    <x v="2"/>
    <x v="1"/>
    <s v="Night"/>
    <n v="2"/>
    <x v="1"/>
    <n v="0.18"/>
    <s v="Cold"/>
    <n v="0.16669999999999999"/>
    <n v="0.43"/>
    <n v="0.25369999999999998"/>
    <s v="Light Breeze"/>
    <n v="0"/>
    <n v="8"/>
    <n v="8"/>
    <n v="48.625"/>
    <n v="41.684959752472082"/>
    <n v="-0.9745721296418135"/>
    <b v="0"/>
  </r>
  <r>
    <n v="376"/>
    <d v="2011-01-17T00:00:00"/>
    <n v="1"/>
    <n v="0"/>
    <x v="0"/>
    <x v="3"/>
    <b v="1"/>
    <x v="2"/>
    <x v="2"/>
    <x v="1"/>
    <s v="Night"/>
    <n v="2"/>
    <x v="1"/>
    <n v="0.18"/>
    <s v="Cold"/>
    <n v="0.18179999999999999"/>
    <n v="0.43"/>
    <n v="0.19400000000000001"/>
    <s v="Light Breeze"/>
    <n v="0"/>
    <n v="2"/>
    <n v="2"/>
    <n v="48.083333333333336"/>
    <n v="42.22189486270247"/>
    <n v="-1.0914558307529192"/>
    <b v="0"/>
  </r>
  <r>
    <n v="377"/>
    <d v="2011-01-17T00:00:00"/>
    <n v="1"/>
    <n v="0"/>
    <x v="0"/>
    <x v="4"/>
    <b v="1"/>
    <x v="2"/>
    <x v="2"/>
    <x v="1"/>
    <s v="Night"/>
    <n v="2"/>
    <x v="1"/>
    <n v="0.18"/>
    <s v="Cold"/>
    <n v="0.19700000000000001"/>
    <n v="0.43"/>
    <n v="0.1343"/>
    <s v="Light Breeze"/>
    <n v="1"/>
    <n v="2"/>
    <n v="3"/>
    <n v="48.166666666666664"/>
    <n v="42.126792741278877"/>
    <n v="-1.0721601082725936"/>
    <b v="0"/>
  </r>
  <r>
    <n v="378"/>
    <d v="2011-01-17T00:00:00"/>
    <n v="1"/>
    <n v="0"/>
    <x v="0"/>
    <x v="5"/>
    <b v="1"/>
    <x v="2"/>
    <x v="2"/>
    <x v="1"/>
    <s v="Night"/>
    <n v="2"/>
    <x v="1"/>
    <n v="0.18"/>
    <s v="Cold"/>
    <n v="0.19700000000000001"/>
    <n v="0.43"/>
    <n v="0.16420000000000001"/>
    <s v="Light Breeze"/>
    <n v="0"/>
    <n v="1"/>
    <n v="1"/>
    <n v="48.125"/>
    <n v="42.174907540941412"/>
    <n v="-1.1173705586491984"/>
    <b v="0"/>
  </r>
  <r>
    <n v="379"/>
    <d v="2011-01-17T00:00:00"/>
    <n v="1"/>
    <n v="0"/>
    <x v="0"/>
    <x v="6"/>
    <b v="1"/>
    <x v="2"/>
    <x v="2"/>
    <x v="1"/>
    <s v="Morning"/>
    <n v="2"/>
    <x v="1"/>
    <n v="0.18"/>
    <s v="Cold"/>
    <n v="0.18179999999999999"/>
    <n v="0.43"/>
    <n v="0.19400000000000001"/>
    <s v="Light Breeze"/>
    <n v="0"/>
    <n v="5"/>
    <n v="5"/>
    <n v="48.291666666666664"/>
    <n v="41.988071977715258"/>
    <n v="-1.0310467860882795"/>
    <b v="0"/>
  </r>
  <r>
    <n v="380"/>
    <d v="2011-01-17T00:00:00"/>
    <n v="1"/>
    <n v="0"/>
    <x v="0"/>
    <x v="7"/>
    <b v="1"/>
    <x v="2"/>
    <x v="2"/>
    <x v="1"/>
    <s v="Morning"/>
    <n v="2"/>
    <x v="1"/>
    <n v="0.16"/>
    <s v="Cold"/>
    <n v="0.18179999999999999"/>
    <n v="0.5"/>
    <n v="0.1343"/>
    <s v="Light Breeze"/>
    <n v="4"/>
    <n v="9"/>
    <n v="13"/>
    <n v="48.708333333333336"/>
    <n v="41.566582696938767"/>
    <n v="-0.85906348360850771"/>
    <b v="0"/>
  </r>
  <r>
    <n v="381"/>
    <d v="2011-01-17T00:00:00"/>
    <n v="1"/>
    <n v="0"/>
    <x v="0"/>
    <x v="8"/>
    <b v="1"/>
    <x v="2"/>
    <x v="2"/>
    <x v="1"/>
    <s v="Morning"/>
    <n v="2"/>
    <x v="1"/>
    <n v="0.16"/>
    <s v="Cold"/>
    <n v="0.1515"/>
    <n v="0.47"/>
    <n v="0.22389999999999999"/>
    <s v="Light Breeze"/>
    <n v="3"/>
    <n v="30"/>
    <n v="33"/>
    <n v="49.333333333333336"/>
    <n v="41.19589116981647"/>
    <n v="-0.3964796699264147"/>
    <b v="0"/>
  </r>
  <r>
    <n v="382"/>
    <d v="2011-01-17T00:00:00"/>
    <n v="1"/>
    <n v="0"/>
    <x v="0"/>
    <x v="9"/>
    <b v="1"/>
    <x v="2"/>
    <x v="2"/>
    <x v="1"/>
    <s v="Morning"/>
    <n v="2"/>
    <x v="1"/>
    <n v="0.16"/>
    <s v="Cold"/>
    <n v="0.1515"/>
    <n v="0.47"/>
    <n v="0.22389999999999999"/>
    <s v="Light Breeze"/>
    <n v="8"/>
    <n v="39"/>
    <n v="47"/>
    <n v="49.958333333333336"/>
    <n v="41.034957702222485"/>
    <n v="-7.2093003112151624E-2"/>
    <b v="0"/>
  </r>
  <r>
    <n v="383"/>
    <d v="2011-01-17T00:00:00"/>
    <n v="1"/>
    <n v="0"/>
    <x v="0"/>
    <x v="10"/>
    <b v="1"/>
    <x v="2"/>
    <x v="2"/>
    <x v="1"/>
    <s v="Morning"/>
    <n v="2"/>
    <x v="1"/>
    <n v="0.16"/>
    <s v="Cold"/>
    <n v="0.1515"/>
    <n v="0.5"/>
    <n v="0.25369999999999998"/>
    <s v="Light Breeze"/>
    <n v="7"/>
    <n v="50"/>
    <n v="57"/>
    <n v="49.041666666666664"/>
    <n v="40.601434079049014"/>
    <n v="0.19601113886368762"/>
    <b v="0"/>
  </r>
  <r>
    <n v="384"/>
    <d v="2011-01-17T00:00:00"/>
    <n v="1"/>
    <n v="0"/>
    <x v="0"/>
    <x v="11"/>
    <b v="1"/>
    <x v="2"/>
    <x v="2"/>
    <x v="1"/>
    <s v="Morning"/>
    <n v="2"/>
    <x v="1"/>
    <n v="0.16"/>
    <s v="Cold"/>
    <n v="0.1515"/>
    <n v="0.55000000000000004"/>
    <n v="0.19400000000000001"/>
    <s v="Light Breeze"/>
    <n v="9"/>
    <n v="55"/>
    <n v="64"/>
    <n v="47.833333333333336"/>
    <n v="39.656861533241212"/>
    <n v="0.40766379490508664"/>
    <b v="0"/>
  </r>
  <r>
    <n v="385"/>
    <d v="2011-01-17T00:00:00"/>
    <n v="1"/>
    <n v="0"/>
    <x v="0"/>
    <x v="12"/>
    <b v="1"/>
    <x v="2"/>
    <x v="2"/>
    <x v="1"/>
    <s v="Midday"/>
    <n v="2"/>
    <x v="1"/>
    <n v="0.18"/>
    <s v="Cold"/>
    <n v="0.19700000000000001"/>
    <n v="0.47"/>
    <n v="0.1343"/>
    <s v="Light Breeze"/>
    <n v="10"/>
    <n v="70"/>
    <n v="80"/>
    <n v="46.833333333333336"/>
    <n v="38.463609754706056"/>
    <n v="0.86228689606046904"/>
    <b v="0"/>
  </r>
  <r>
    <n v="386"/>
    <d v="2011-01-17T00:00:00"/>
    <n v="1"/>
    <n v="0"/>
    <x v="0"/>
    <x v="13"/>
    <b v="1"/>
    <x v="2"/>
    <x v="2"/>
    <x v="1"/>
    <s v="Midday"/>
    <n v="2"/>
    <x v="1"/>
    <n v="0.18"/>
    <s v="Cold"/>
    <n v="0.19700000000000001"/>
    <n v="0.47"/>
    <n v="0.1343"/>
    <s v="Light Breeze"/>
    <n v="13"/>
    <n v="80"/>
    <n v="93"/>
    <n v="45.791666666666664"/>
    <n v="36.752969908586294"/>
    <n v="1.2844766953732476"/>
    <b v="0"/>
  </r>
  <r>
    <n v="387"/>
    <d v="2011-01-17T00:00:00"/>
    <n v="1"/>
    <n v="0"/>
    <x v="0"/>
    <x v="14"/>
    <b v="1"/>
    <x v="2"/>
    <x v="2"/>
    <x v="1"/>
    <s v="Midday"/>
    <n v="2"/>
    <x v="1"/>
    <n v="0.18"/>
    <s v="Cold"/>
    <n v="0.21210000000000001"/>
    <n v="0.43"/>
    <n v="0.1045"/>
    <s v="Calm"/>
    <n v="12"/>
    <n v="74"/>
    <n v="86"/>
    <n v="45.583333333333336"/>
    <n v="36.498858429636762"/>
    <n v="1.1073405691463676"/>
    <b v="0"/>
  </r>
  <r>
    <n v="388"/>
    <d v="2011-01-17T00:00:00"/>
    <n v="1"/>
    <n v="0"/>
    <x v="0"/>
    <x v="15"/>
    <b v="1"/>
    <x v="2"/>
    <x v="2"/>
    <x v="1"/>
    <s v="Midday"/>
    <n v="2"/>
    <x v="1"/>
    <n v="0.2"/>
    <s v="Mild"/>
    <n v="0.21210000000000001"/>
    <n v="0.47"/>
    <n v="0.16420000000000001"/>
    <s v="Light Breeze"/>
    <n v="21"/>
    <n v="72"/>
    <n v="93"/>
    <n v="44.75"/>
    <n v="35.093973222217791"/>
    <n v="1.3748799457524292"/>
    <b v="0"/>
  </r>
  <r>
    <n v="389"/>
    <d v="2011-01-17T00:00:00"/>
    <n v="1"/>
    <n v="0"/>
    <x v="0"/>
    <x v="16"/>
    <b v="1"/>
    <x v="2"/>
    <x v="2"/>
    <x v="1"/>
    <s v="Midday"/>
    <n v="2"/>
    <x v="1"/>
    <n v="0.2"/>
    <s v="Mild"/>
    <n v="0.21210000000000001"/>
    <n v="0.47"/>
    <n v="0.16420000000000001"/>
    <s v="Light Breeze"/>
    <n v="6"/>
    <n v="76"/>
    <n v="82"/>
    <n v="44.041666666666664"/>
    <n v="34.109133249241218"/>
    <n v="1.1128495425540532"/>
    <b v="0"/>
  </r>
  <r>
    <n v="390"/>
    <d v="2011-01-17T00:00:00"/>
    <n v="1"/>
    <n v="0"/>
    <x v="0"/>
    <x v="17"/>
    <b v="1"/>
    <x v="2"/>
    <x v="2"/>
    <x v="1"/>
    <s v="Evening"/>
    <n v="1"/>
    <x v="0"/>
    <n v="0.2"/>
    <s v="Mild"/>
    <n v="0.19700000000000001"/>
    <n v="0.51"/>
    <n v="0.19400000000000001"/>
    <s v="Light Breeze"/>
    <n v="4"/>
    <n v="67"/>
    <n v="71"/>
    <n v="42.625"/>
    <n v="32.115027635049607"/>
    <n v="0.88354275520012859"/>
    <b v="0"/>
  </r>
  <r>
    <n v="391"/>
    <d v="2011-01-17T00:00:00"/>
    <n v="1"/>
    <n v="0"/>
    <x v="0"/>
    <x v="18"/>
    <b v="1"/>
    <x v="2"/>
    <x v="2"/>
    <x v="1"/>
    <s v="Evening"/>
    <n v="2"/>
    <x v="1"/>
    <n v="0.18"/>
    <s v="Cold"/>
    <n v="0.16669999999999999"/>
    <n v="0.55000000000000004"/>
    <n v="0.25369999999999998"/>
    <s v="Light Breeze"/>
    <n v="7"/>
    <n v="85"/>
    <n v="92"/>
    <n v="43.666666666666664"/>
    <n v="33.322751943701313"/>
    <n v="1.4504604366107683"/>
    <b v="0"/>
  </r>
  <r>
    <n v="392"/>
    <d v="2011-01-17T00:00:00"/>
    <n v="1"/>
    <n v="0"/>
    <x v="0"/>
    <x v="19"/>
    <b v="1"/>
    <x v="2"/>
    <x v="2"/>
    <x v="1"/>
    <s v="Evening"/>
    <n v="3"/>
    <x v="2"/>
    <n v="0.18"/>
    <s v="Cold"/>
    <n v="0.18179999999999999"/>
    <n v="0.59"/>
    <n v="0.19400000000000001"/>
    <s v="Light Breeze"/>
    <n v="2"/>
    <n v="58"/>
    <n v="60"/>
    <n v="43.625"/>
    <n v="33.300754006348029"/>
    <n v="0.4917306075675788"/>
    <b v="0"/>
  </r>
  <r>
    <n v="393"/>
    <d v="2011-01-17T00:00:00"/>
    <n v="1"/>
    <n v="0"/>
    <x v="0"/>
    <x v="20"/>
    <b v="1"/>
    <x v="2"/>
    <x v="2"/>
    <x v="1"/>
    <s v="Evening"/>
    <n v="3"/>
    <x v="2"/>
    <n v="0.16"/>
    <s v="Cold"/>
    <n v="0.1515"/>
    <n v="0.8"/>
    <n v="0.19400000000000001"/>
    <s v="Light Breeze"/>
    <n v="4"/>
    <n v="29"/>
    <n v="33"/>
    <n v="42.625"/>
    <n v="33.241949008941148"/>
    <n v="-0.28954379291692994"/>
    <b v="0"/>
  </r>
  <r>
    <n v="394"/>
    <d v="2011-01-17T00:00:00"/>
    <n v="1"/>
    <n v="0"/>
    <x v="0"/>
    <x v="21"/>
    <b v="1"/>
    <x v="2"/>
    <x v="2"/>
    <x v="1"/>
    <s v="Night"/>
    <n v="3"/>
    <x v="2"/>
    <n v="0.16"/>
    <s v="Cold"/>
    <n v="0.1515"/>
    <n v="0.8"/>
    <n v="0.19400000000000001"/>
    <s v="Light Breeze"/>
    <n v="3"/>
    <n v="24"/>
    <n v="27"/>
    <n v="42.583333333333336"/>
    <n v="33.261698388839754"/>
    <n v="-0.46850684385262742"/>
    <b v="0"/>
  </r>
  <r>
    <n v="395"/>
    <d v="2011-01-17T00:00:00"/>
    <n v="1"/>
    <n v="0"/>
    <x v="0"/>
    <x v="22"/>
    <b v="1"/>
    <x v="2"/>
    <x v="2"/>
    <x v="1"/>
    <s v="Night"/>
    <n v="3"/>
    <x v="2"/>
    <n v="0.14000000000000001"/>
    <s v="Cold"/>
    <n v="0.1212"/>
    <n v="0.93"/>
    <n v="0.25369999999999998"/>
    <s v="Light Breeze"/>
    <n v="0"/>
    <n v="13"/>
    <n v="13"/>
    <n v="42.25"/>
    <n v="33.526433438861858"/>
    <n v="-0.87244591803478655"/>
    <b v="0"/>
  </r>
  <r>
    <n v="396"/>
    <d v="2011-01-17T00:00:00"/>
    <n v="1"/>
    <n v="0"/>
    <x v="0"/>
    <x v="23"/>
    <b v="1"/>
    <x v="2"/>
    <x v="2"/>
    <x v="1"/>
    <s v="Night"/>
    <n v="3"/>
    <x v="2"/>
    <n v="0.16"/>
    <s v="Cold"/>
    <n v="0.13639999999999999"/>
    <n v="0.86"/>
    <n v="0.28360000000000002"/>
    <s v="Light Breeze"/>
    <n v="1"/>
    <n v="3"/>
    <n v="4"/>
    <n v="41.666666666666664"/>
    <n v="34.083869277526816"/>
    <n v="-1.1051170968872999"/>
    <b v="0"/>
  </r>
  <r>
    <n v="397"/>
    <d v="2011-01-18T00:00:00"/>
    <n v="1"/>
    <n v="0"/>
    <x v="0"/>
    <x v="12"/>
    <b v="0"/>
    <x v="3"/>
    <x v="3"/>
    <x v="1"/>
    <s v="Midday"/>
    <n v="2"/>
    <x v="1"/>
    <n v="0.2"/>
    <s v="Mild"/>
    <n v="0.18179999999999999"/>
    <n v="0.86"/>
    <n v="0.32840000000000003"/>
    <s v="Gale"/>
    <n v="0"/>
    <n v="3"/>
    <n v="3"/>
    <n v="41.083333333333336"/>
    <n v="34.639656422970617"/>
    <n v="-1.0994142917676029"/>
    <b v="0"/>
  </r>
  <r>
    <n v="398"/>
    <d v="2011-01-18T00:00:00"/>
    <n v="1"/>
    <n v="0"/>
    <x v="0"/>
    <x v="13"/>
    <b v="0"/>
    <x v="3"/>
    <x v="3"/>
    <x v="1"/>
    <s v="Midday"/>
    <n v="2"/>
    <x v="1"/>
    <n v="0.2"/>
    <s v="Mild"/>
    <n v="0.19700000000000001"/>
    <n v="0.86"/>
    <n v="0.22389999999999999"/>
    <s v="Light Breeze"/>
    <n v="0"/>
    <n v="22"/>
    <n v="22"/>
    <n v="41.333333333333336"/>
    <n v="34.472000820661833"/>
    <n v="-0.5608416359094921"/>
    <b v="0"/>
  </r>
  <r>
    <n v="399"/>
    <d v="2011-01-18T00:00:00"/>
    <n v="1"/>
    <n v="0"/>
    <x v="0"/>
    <x v="14"/>
    <b v="0"/>
    <x v="3"/>
    <x v="3"/>
    <x v="1"/>
    <s v="Midday"/>
    <n v="2"/>
    <x v="1"/>
    <n v="0.22"/>
    <s v="Mild"/>
    <n v="0.2273"/>
    <n v="0.8"/>
    <n v="0.16420000000000001"/>
    <s v="Light Breeze"/>
    <n v="2"/>
    <n v="26"/>
    <n v="28"/>
    <n v="42.166666666666664"/>
    <n v="33.867602406335514"/>
    <n v="-0.41829552906339029"/>
    <b v="0"/>
  </r>
  <r>
    <n v="400"/>
    <d v="2011-01-18T00:00:00"/>
    <n v="1"/>
    <n v="0"/>
    <x v="0"/>
    <x v="15"/>
    <b v="0"/>
    <x v="3"/>
    <x v="3"/>
    <x v="1"/>
    <s v="Midday"/>
    <n v="2"/>
    <x v="1"/>
    <n v="0.22"/>
    <s v="Mild"/>
    <n v="0.2273"/>
    <n v="0.87"/>
    <n v="0.16420000000000001"/>
    <s v="Light Breeze"/>
    <n v="3"/>
    <n v="32"/>
    <n v="35"/>
    <n v="43.541666666666664"/>
    <n v="32.819637767477047"/>
    <n v="-0.26026084526536475"/>
    <b v="0"/>
  </r>
  <r>
    <n v="401"/>
    <d v="2011-01-18T00:00:00"/>
    <n v="1"/>
    <n v="0"/>
    <x v="0"/>
    <x v="16"/>
    <b v="0"/>
    <x v="3"/>
    <x v="3"/>
    <x v="1"/>
    <s v="Midday"/>
    <n v="2"/>
    <x v="1"/>
    <n v="0.22"/>
    <s v="Mild"/>
    <n v="0.2273"/>
    <n v="0.87"/>
    <n v="0.19400000000000001"/>
    <s v="Light Breeze"/>
    <n v="0"/>
    <n v="61"/>
    <n v="61"/>
    <n v="45.958333333333336"/>
    <n v="31.824900241199799"/>
    <n v="0.47263829745471003"/>
    <b v="0"/>
  </r>
  <r>
    <n v="402"/>
    <d v="2011-01-18T00:00:00"/>
    <n v="1"/>
    <n v="0"/>
    <x v="0"/>
    <x v="17"/>
    <b v="0"/>
    <x v="3"/>
    <x v="3"/>
    <x v="1"/>
    <s v="Evening"/>
    <n v="2"/>
    <x v="1"/>
    <n v="0.22"/>
    <s v="Mild"/>
    <n v="0.2273"/>
    <n v="0.82"/>
    <n v="0.19400000000000001"/>
    <s v="Light Breeze"/>
    <n v="1"/>
    <n v="124"/>
    <n v="125"/>
    <n v="51.125"/>
    <n v="34.186588394967941"/>
    <n v="2.1609351347522572"/>
    <b v="0"/>
  </r>
  <r>
    <n v="403"/>
    <d v="2011-01-18T00:00:00"/>
    <n v="1"/>
    <n v="0"/>
    <x v="0"/>
    <x v="18"/>
    <b v="0"/>
    <x v="3"/>
    <x v="3"/>
    <x v="1"/>
    <s v="Evening"/>
    <n v="2"/>
    <x v="1"/>
    <n v="0.22"/>
    <s v="Mild"/>
    <n v="0.2273"/>
    <n v="0.8"/>
    <n v="0.16420000000000001"/>
    <s v="Light Breeze"/>
    <n v="1"/>
    <n v="132"/>
    <n v="133"/>
    <n v="56.458333333333336"/>
    <n v="36.578657553357488"/>
    <n v="2.0925225742638287"/>
    <b v="0"/>
  </r>
  <r>
    <n v="404"/>
    <d v="2011-01-18T00:00:00"/>
    <n v="1"/>
    <n v="0"/>
    <x v="0"/>
    <x v="19"/>
    <b v="0"/>
    <x v="3"/>
    <x v="3"/>
    <x v="1"/>
    <s v="Evening"/>
    <n v="2"/>
    <x v="1"/>
    <n v="0.22"/>
    <s v="Mild"/>
    <n v="0.2273"/>
    <n v="0.8"/>
    <n v="0.1343"/>
    <s v="Light Breeze"/>
    <n v="1"/>
    <n v="98"/>
    <n v="99"/>
    <n v="60.041666666666664"/>
    <n v="36.347931185272088"/>
    <n v="1.071817076321498"/>
    <b v="0"/>
  </r>
  <r>
    <n v="405"/>
    <d v="2011-01-18T00:00:00"/>
    <n v="1"/>
    <n v="0"/>
    <x v="0"/>
    <x v="20"/>
    <b v="0"/>
    <x v="3"/>
    <x v="3"/>
    <x v="1"/>
    <s v="Evening"/>
    <n v="2"/>
    <x v="1"/>
    <n v="0.22"/>
    <s v="Mild"/>
    <n v="0.2727"/>
    <n v="0.87"/>
    <n v="0"/>
    <s v="Calm"/>
    <n v="0"/>
    <n v="83"/>
    <n v="83"/>
    <n v="62.125"/>
    <n v="36.163051645952478"/>
    <n v="0.57724663848540059"/>
    <b v="0"/>
  </r>
  <r>
    <n v="406"/>
    <d v="2011-01-18T00:00:00"/>
    <n v="1"/>
    <n v="0"/>
    <x v="0"/>
    <x v="21"/>
    <b v="0"/>
    <x v="3"/>
    <x v="3"/>
    <x v="1"/>
    <s v="Night"/>
    <n v="2"/>
    <x v="1"/>
    <n v="0.22"/>
    <s v="Mild"/>
    <n v="0.2424"/>
    <n v="0.93"/>
    <n v="0.1045"/>
    <s v="Calm"/>
    <n v="0"/>
    <n v="41"/>
    <n v="41"/>
    <n v="61.875"/>
    <n v="36.292666045575274"/>
    <n v="-0.5751850793707407"/>
    <b v="0"/>
  </r>
  <r>
    <n v="407"/>
    <d v="2011-01-18T00:00:00"/>
    <n v="1"/>
    <n v="0"/>
    <x v="0"/>
    <x v="22"/>
    <b v="0"/>
    <x v="3"/>
    <x v="3"/>
    <x v="1"/>
    <s v="Night"/>
    <n v="2"/>
    <x v="1"/>
    <n v="0.22"/>
    <s v="Mild"/>
    <n v="0.2576"/>
    <n v="0.93"/>
    <n v="8.9599999999999999E-2"/>
    <s v="Calm"/>
    <n v="0"/>
    <n v="33"/>
    <n v="33"/>
    <n v="60.875"/>
    <n v="36.760461391815127"/>
    <n v="-0.758287544405155"/>
    <b v="0"/>
  </r>
  <r>
    <n v="408"/>
    <d v="2011-01-18T00:00:00"/>
    <n v="1"/>
    <n v="0"/>
    <x v="0"/>
    <x v="23"/>
    <b v="0"/>
    <x v="3"/>
    <x v="3"/>
    <x v="1"/>
    <s v="Night"/>
    <n v="2"/>
    <x v="1"/>
    <n v="0.22"/>
    <s v="Mild"/>
    <n v="0.2727"/>
    <n v="0.93"/>
    <n v="0"/>
    <s v="Calm"/>
    <n v="1"/>
    <n v="19"/>
    <n v="20"/>
    <n v="59.041666666666664"/>
    <n v="37.683440218040957"/>
    <n v="-1.0360430587219969"/>
    <b v="0"/>
  </r>
  <r>
    <n v="409"/>
    <d v="2011-01-19T00:00:00"/>
    <n v="1"/>
    <n v="0"/>
    <x v="0"/>
    <x v="0"/>
    <b v="0"/>
    <x v="4"/>
    <x v="4"/>
    <x v="1"/>
    <s v="Night"/>
    <n v="2"/>
    <x v="1"/>
    <n v="0.22"/>
    <s v="Mild"/>
    <n v="0.2727"/>
    <n v="0.93"/>
    <n v="0"/>
    <s v="Calm"/>
    <n v="0"/>
    <n v="3"/>
    <n v="3"/>
    <n v="55.833333333333336"/>
    <n v="39.073694772678017"/>
    <n v="-1.3521458270252098"/>
    <b v="0"/>
  </r>
  <r>
    <n v="410"/>
    <d v="2011-01-19T00:00:00"/>
    <n v="1"/>
    <n v="0"/>
    <x v="0"/>
    <x v="1"/>
    <b v="0"/>
    <x v="4"/>
    <x v="4"/>
    <x v="1"/>
    <s v="Night"/>
    <n v="3"/>
    <x v="2"/>
    <n v="0.22"/>
    <s v="Mild"/>
    <n v="0.2273"/>
    <n v="0.93"/>
    <n v="0.1343"/>
    <s v="Light Breeze"/>
    <n v="1"/>
    <n v="6"/>
    <n v="7"/>
    <n v="52.25"/>
    <n v="39.458563847022681"/>
    <n v="-1.146772603671796"/>
    <b v="0"/>
  </r>
  <r>
    <n v="411"/>
    <d v="2011-01-19T00:00:00"/>
    <n v="1"/>
    <n v="0"/>
    <x v="0"/>
    <x v="2"/>
    <b v="0"/>
    <x v="4"/>
    <x v="4"/>
    <x v="1"/>
    <s v="Night"/>
    <n v="3"/>
    <x v="2"/>
    <n v="0.22"/>
    <s v="Mild"/>
    <n v="0.2273"/>
    <n v="0.93"/>
    <n v="0.1343"/>
    <s v="Light Breeze"/>
    <n v="0"/>
    <n v="3"/>
    <n v="3"/>
    <n v="48.791666666666664"/>
    <n v="40.005411771590261"/>
    <n v="-1.1446368038432615"/>
    <b v="0"/>
  </r>
  <r>
    <n v="412"/>
    <d v="2011-01-19T00:00:00"/>
    <n v="1"/>
    <n v="0"/>
    <x v="0"/>
    <x v="4"/>
    <b v="0"/>
    <x v="4"/>
    <x v="4"/>
    <x v="1"/>
    <s v="Night"/>
    <n v="3"/>
    <x v="2"/>
    <n v="0.22"/>
    <s v="Mild"/>
    <n v="0.2273"/>
    <n v="0.93"/>
    <n v="0.1343"/>
    <s v="Light Breeze"/>
    <n v="1"/>
    <n v="1"/>
    <n v="2"/>
    <n v="45"/>
    <n v="39.945615202585671"/>
    <n v="-1.0764635813448835"/>
    <b v="0"/>
  </r>
  <r>
    <n v="413"/>
    <d v="2011-01-19T00:00:00"/>
    <n v="1"/>
    <n v="0"/>
    <x v="0"/>
    <x v="5"/>
    <b v="0"/>
    <x v="4"/>
    <x v="4"/>
    <x v="1"/>
    <s v="Night"/>
    <n v="2"/>
    <x v="1"/>
    <n v="0.22"/>
    <s v="Mild"/>
    <n v="0.2576"/>
    <n v="0.93"/>
    <n v="8.9599999999999999E-2"/>
    <s v="Calm"/>
    <n v="0"/>
    <n v="7"/>
    <n v="7"/>
    <n v="41.875"/>
    <n v="39.858786058872347"/>
    <n v="-0.87496392761407282"/>
    <b v="0"/>
  </r>
  <r>
    <n v="414"/>
    <d v="2011-01-19T00:00:00"/>
    <n v="1"/>
    <n v="0"/>
    <x v="0"/>
    <x v="6"/>
    <b v="0"/>
    <x v="4"/>
    <x v="4"/>
    <x v="1"/>
    <s v="Morning"/>
    <n v="2"/>
    <x v="1"/>
    <n v="0.22"/>
    <s v="Mild"/>
    <n v="0.2576"/>
    <n v="0.93"/>
    <n v="8.9599999999999999E-2"/>
    <s v="Calm"/>
    <n v="0"/>
    <n v="32"/>
    <n v="32"/>
    <n v="40.25"/>
    <n v="39.412258079898464"/>
    <n v="-0.20932573777618108"/>
    <b v="0"/>
  </r>
  <r>
    <n v="415"/>
    <d v="2011-01-19T00:00:00"/>
    <n v="1"/>
    <n v="0"/>
    <x v="0"/>
    <x v="7"/>
    <b v="0"/>
    <x v="4"/>
    <x v="4"/>
    <x v="1"/>
    <s v="Morning"/>
    <n v="2"/>
    <x v="1"/>
    <n v="0.24"/>
    <s v="Mild"/>
    <n v="0.2576"/>
    <n v="0.92"/>
    <n v="0.1045"/>
    <s v="Calm"/>
    <n v="1"/>
    <n v="89"/>
    <n v="90"/>
    <n v="40.166666666666664"/>
    <n v="39.300035033358284"/>
    <n v="1.2680226185812373"/>
    <b v="0"/>
  </r>
  <r>
    <n v="416"/>
    <d v="2011-01-19T00:00:00"/>
    <n v="1"/>
    <n v="0"/>
    <x v="0"/>
    <x v="8"/>
    <b v="0"/>
    <x v="4"/>
    <x v="4"/>
    <x v="1"/>
    <s v="Morning"/>
    <n v="2"/>
    <x v="1"/>
    <n v="0.24"/>
    <s v="Mild"/>
    <n v="0.2576"/>
    <n v="0.93"/>
    <n v="0.1045"/>
    <s v="Calm"/>
    <n v="1"/>
    <n v="196"/>
    <n v="197"/>
    <n v="45.875"/>
    <n v="50.624201550332579"/>
    <n v="2.9852322678066452"/>
    <b v="0"/>
  </r>
  <r>
    <n v="417"/>
    <d v="2011-01-19T00:00:00"/>
    <n v="1"/>
    <n v="0"/>
    <x v="0"/>
    <x v="9"/>
    <b v="0"/>
    <x v="4"/>
    <x v="4"/>
    <x v="1"/>
    <s v="Morning"/>
    <n v="2"/>
    <x v="1"/>
    <n v="0.24"/>
    <s v="Mild"/>
    <n v="0.2576"/>
    <n v="0.93"/>
    <n v="0.1045"/>
    <s v="Calm"/>
    <n v="2"/>
    <n v="107"/>
    <n v="109"/>
    <n v="49.041666666666664"/>
    <n v="52.138176922036919"/>
    <n v="1.1499890650758662"/>
    <b v="0"/>
  </r>
  <r>
    <n v="418"/>
    <d v="2011-01-19T00:00:00"/>
    <n v="1"/>
    <n v="0"/>
    <x v="0"/>
    <x v="10"/>
    <b v="0"/>
    <x v="4"/>
    <x v="4"/>
    <x v="1"/>
    <s v="Morning"/>
    <n v="2"/>
    <x v="1"/>
    <n v="0.26"/>
    <s v="Mild"/>
    <n v="0.2727"/>
    <n v="0.93"/>
    <n v="0.1343"/>
    <s v="Light Breeze"/>
    <n v="1"/>
    <n v="46"/>
    <n v="47"/>
    <n v="49.875"/>
    <n v="51.929980031644114"/>
    <n v="-5.5363009926984119E-2"/>
    <b v="0"/>
  </r>
  <r>
    <n v="419"/>
    <d v="2011-01-19T00:00:00"/>
    <n v="1"/>
    <n v="0"/>
    <x v="0"/>
    <x v="11"/>
    <b v="0"/>
    <x v="4"/>
    <x v="4"/>
    <x v="1"/>
    <s v="Morning"/>
    <n v="2"/>
    <x v="1"/>
    <n v="0.28000000000000003"/>
    <s v="Mild"/>
    <n v="0.30299999999999999"/>
    <n v="0.87"/>
    <n v="8.9599999999999999E-2"/>
    <s v="Calm"/>
    <n v="5"/>
    <n v="47"/>
    <n v="52"/>
    <n v="51.5"/>
    <n v="51.332674567578003"/>
    <n v="9.7403847395826654E-3"/>
    <b v="0"/>
  </r>
  <r>
    <n v="420"/>
    <d v="2011-01-19T00:00:00"/>
    <n v="1"/>
    <n v="0"/>
    <x v="0"/>
    <x v="12"/>
    <b v="0"/>
    <x v="4"/>
    <x v="4"/>
    <x v="1"/>
    <s v="Midday"/>
    <n v="2"/>
    <x v="1"/>
    <n v="0.3"/>
    <s v="Mild"/>
    <n v="0.31819999999999998"/>
    <n v="0.81"/>
    <n v="8.9599999999999999E-2"/>
    <s v="Calm"/>
    <n v="5"/>
    <n v="65"/>
    <n v="70"/>
    <n v="54.25"/>
    <n v="50.437434338085595"/>
    <n v="0.31226806451784733"/>
    <b v="0"/>
  </r>
  <r>
    <n v="421"/>
    <d v="2011-01-19T00:00:00"/>
    <n v="1"/>
    <n v="0"/>
    <x v="0"/>
    <x v="13"/>
    <b v="0"/>
    <x v="4"/>
    <x v="4"/>
    <x v="1"/>
    <s v="Midday"/>
    <n v="1"/>
    <x v="0"/>
    <n v="0.4"/>
    <s v="Mild"/>
    <n v="0.40910000000000002"/>
    <n v="0.62"/>
    <n v="0.28360000000000002"/>
    <s v="Light Breeze"/>
    <n v="11"/>
    <n v="67"/>
    <n v="78"/>
    <n v="57.375"/>
    <n v="49.437542942321812"/>
    <n v="0.41719306366141495"/>
    <b v="0"/>
  </r>
  <r>
    <n v="422"/>
    <d v="2011-01-19T00:00:00"/>
    <n v="1"/>
    <n v="0"/>
    <x v="0"/>
    <x v="14"/>
    <b v="0"/>
    <x v="4"/>
    <x v="4"/>
    <x v="1"/>
    <s v="Midday"/>
    <n v="1"/>
    <x v="0"/>
    <n v="0.4"/>
    <s v="Mild"/>
    <n v="0.40910000000000002"/>
    <n v="0.57999999999999996"/>
    <n v="0.25369999999999998"/>
    <s v="Light Breeze"/>
    <n v="7"/>
    <n v="68"/>
    <n v="75"/>
    <n v="59.583333333333336"/>
    <n v="48.970192057464175"/>
    <n v="0.31481736172437191"/>
    <b v="0"/>
  </r>
  <r>
    <n v="423"/>
    <d v="2011-01-19T00:00:00"/>
    <n v="1"/>
    <n v="0"/>
    <x v="0"/>
    <x v="15"/>
    <b v="0"/>
    <x v="4"/>
    <x v="4"/>
    <x v="1"/>
    <s v="Midday"/>
    <n v="1"/>
    <x v="0"/>
    <n v="0.4"/>
    <s v="Mild"/>
    <n v="0.40910000000000002"/>
    <n v="0.54"/>
    <n v="0.28360000000000002"/>
    <s v="Light Breeze"/>
    <n v="4"/>
    <n v="78"/>
    <n v="82"/>
    <n v="61.833333333333336"/>
    <n v="48.695742753538944"/>
    <n v="0.41413613442010921"/>
    <b v="0"/>
  </r>
  <r>
    <n v="424"/>
    <d v="2011-01-19T00:00:00"/>
    <n v="1"/>
    <n v="0"/>
    <x v="0"/>
    <x v="16"/>
    <b v="0"/>
    <x v="4"/>
    <x v="4"/>
    <x v="1"/>
    <s v="Midday"/>
    <n v="1"/>
    <x v="0"/>
    <n v="0.38"/>
    <s v="Mild"/>
    <n v="0.39389999999999997"/>
    <n v="0.57999999999999996"/>
    <n v="0.3881"/>
    <s v="Gale"/>
    <n v="10"/>
    <n v="94"/>
    <n v="104"/>
    <n v="64.708333333333329"/>
    <n v="49.078002835474472"/>
    <n v="0.8005962833977821"/>
    <b v="0"/>
  </r>
  <r>
    <n v="425"/>
    <d v="2011-01-19T00:00:00"/>
    <n v="1"/>
    <n v="0"/>
    <x v="0"/>
    <x v="17"/>
    <b v="0"/>
    <x v="4"/>
    <x v="4"/>
    <x v="1"/>
    <s v="Evening"/>
    <n v="1"/>
    <x v="0"/>
    <n v="0.36"/>
    <s v="Mild"/>
    <n v="0.33329999999999999"/>
    <n v="0.56999999999999995"/>
    <n v="0.32840000000000003"/>
    <s v="Gale"/>
    <n v="7"/>
    <n v="190"/>
    <n v="197"/>
    <n v="70.375"/>
    <n v="55.995195834301171"/>
    <n v="2.261354712906154"/>
    <b v="0"/>
  </r>
  <r>
    <n v="426"/>
    <d v="2011-01-19T00:00:00"/>
    <n v="1"/>
    <n v="0"/>
    <x v="0"/>
    <x v="18"/>
    <b v="0"/>
    <x v="4"/>
    <x v="4"/>
    <x v="1"/>
    <s v="Evening"/>
    <n v="1"/>
    <x v="0"/>
    <n v="0.34"/>
    <s v="Mild"/>
    <n v="0.31819999999999998"/>
    <n v="0.61"/>
    <n v="0.28360000000000002"/>
    <s v="Light Breeze"/>
    <n v="5"/>
    <n v="156"/>
    <n v="161"/>
    <n v="71.875"/>
    <n v="57.969491601373726"/>
    <n v="1.537446638533017"/>
    <b v="0"/>
  </r>
  <r>
    <n v="427"/>
    <d v="2011-01-19T00:00:00"/>
    <n v="1"/>
    <n v="0"/>
    <x v="0"/>
    <x v="19"/>
    <b v="0"/>
    <x v="4"/>
    <x v="4"/>
    <x v="1"/>
    <s v="Evening"/>
    <n v="1"/>
    <x v="0"/>
    <n v="0.32"/>
    <s v="Mild"/>
    <n v="0.28789999999999999"/>
    <n v="0.56999999999999995"/>
    <n v="0.41789999999999999"/>
    <s v="Gale"/>
    <n v="4"/>
    <n v="108"/>
    <n v="112"/>
    <n v="71"/>
    <n v="57.159578298867359"/>
    <n v="0.71729010640395907"/>
    <b v="0"/>
  </r>
  <r>
    <n v="428"/>
    <d v="2011-01-19T00:00:00"/>
    <n v="1"/>
    <n v="0"/>
    <x v="0"/>
    <x v="20"/>
    <b v="0"/>
    <x v="4"/>
    <x v="4"/>
    <x v="1"/>
    <s v="Evening"/>
    <n v="1"/>
    <x v="0"/>
    <n v="0.32"/>
    <s v="Mild"/>
    <n v="0.30299999999999999"/>
    <n v="0.49"/>
    <n v="0.29849999999999999"/>
    <s v="Light Breeze"/>
    <n v="2"/>
    <n v="74"/>
    <n v="76"/>
    <n v="70.041666666666671"/>
    <n v="56.861753912194921"/>
    <n v="0.10478630930966532"/>
    <b v="0"/>
  </r>
  <r>
    <n v="429"/>
    <d v="2011-01-19T00:00:00"/>
    <n v="1"/>
    <n v="0"/>
    <x v="0"/>
    <x v="21"/>
    <b v="0"/>
    <x v="4"/>
    <x v="4"/>
    <x v="1"/>
    <s v="Night"/>
    <n v="1"/>
    <x v="0"/>
    <n v="0.32"/>
    <s v="Mild"/>
    <n v="0.28789999999999999"/>
    <n v="0.49"/>
    <n v="0.41789999999999999"/>
    <s v="Gale"/>
    <n v="4"/>
    <n v="55"/>
    <n v="59"/>
    <n v="69.041666666666671"/>
    <n v="56.83498552573181"/>
    <n v="-0.17668108074243016"/>
    <b v="0"/>
  </r>
  <r>
    <n v="430"/>
    <d v="2011-01-19T00:00:00"/>
    <n v="1"/>
    <n v="0"/>
    <x v="0"/>
    <x v="22"/>
    <b v="0"/>
    <x v="4"/>
    <x v="4"/>
    <x v="1"/>
    <s v="Night"/>
    <n v="1"/>
    <x v="0"/>
    <n v="0.3"/>
    <s v="Mild"/>
    <n v="0.30299999999999999"/>
    <n v="0.52"/>
    <n v="0.16420000000000001"/>
    <s v="Light Breeze"/>
    <n v="6"/>
    <n v="53"/>
    <n v="59"/>
    <n v="69.791666666666671"/>
    <n v="56.566989272563539"/>
    <n v="-0.19077675523206447"/>
    <b v="0"/>
  </r>
  <r>
    <n v="431"/>
    <d v="2011-01-19T00:00:00"/>
    <n v="1"/>
    <n v="0"/>
    <x v="0"/>
    <x v="23"/>
    <b v="0"/>
    <x v="4"/>
    <x v="4"/>
    <x v="1"/>
    <s v="Night"/>
    <n v="1"/>
    <x v="0"/>
    <n v="0.3"/>
    <s v="Mild"/>
    <n v="0.2727"/>
    <n v="0.52"/>
    <n v="0.4627"/>
    <s v="Gale"/>
    <n v="1"/>
    <n v="27"/>
    <n v="28"/>
    <n v="69.583333333333329"/>
    <n v="56.717389915620934"/>
    <n v="-0.73316725955121165"/>
    <b v="0"/>
  </r>
  <r>
    <n v="432"/>
    <d v="2011-01-20T00:00:00"/>
    <n v="1"/>
    <n v="0"/>
    <x v="0"/>
    <x v="0"/>
    <b v="0"/>
    <x v="5"/>
    <x v="5"/>
    <x v="1"/>
    <s v="Night"/>
    <n v="1"/>
    <x v="0"/>
    <n v="0.26"/>
    <s v="Mild"/>
    <n v="0.2273"/>
    <n v="0.56000000000000005"/>
    <n v="0.3881"/>
    <s v="Gale"/>
    <n v="5"/>
    <n v="8"/>
    <n v="13"/>
    <n v="69.291666666666671"/>
    <n v="57.000746880436012"/>
    <n v="-0.98756015925095342"/>
    <b v="0"/>
  </r>
  <r>
    <n v="433"/>
    <d v="2011-01-20T00:00:00"/>
    <n v="1"/>
    <n v="0"/>
    <x v="0"/>
    <x v="1"/>
    <b v="0"/>
    <x v="5"/>
    <x v="5"/>
    <x v="1"/>
    <s v="Night"/>
    <n v="1"/>
    <x v="0"/>
    <n v="0.26"/>
    <s v="Mild"/>
    <n v="0.2727"/>
    <n v="0.56000000000000005"/>
    <n v="0"/>
    <s v="Calm"/>
    <n v="2"/>
    <n v="3"/>
    <n v="5"/>
    <n v="69.375"/>
    <n v="56.900991433251463"/>
    <n v="-1.1313511131966134"/>
    <b v="0"/>
  </r>
  <r>
    <n v="434"/>
    <d v="2011-01-20T00:00:00"/>
    <n v="1"/>
    <n v="0"/>
    <x v="0"/>
    <x v="2"/>
    <b v="0"/>
    <x v="5"/>
    <x v="5"/>
    <x v="1"/>
    <s v="Night"/>
    <n v="1"/>
    <x v="0"/>
    <n v="0.26"/>
    <s v="Mild"/>
    <n v="0.2727"/>
    <n v="0.56000000000000005"/>
    <n v="0"/>
    <s v="Calm"/>
    <n v="0"/>
    <n v="2"/>
    <n v="2"/>
    <n v="69.166666666666671"/>
    <n v="57.147913854934501"/>
    <n v="-1.1753126603564916"/>
    <b v="0"/>
  </r>
  <r>
    <n v="435"/>
    <d v="2011-01-20T00:00:00"/>
    <n v="1"/>
    <n v="0"/>
    <x v="0"/>
    <x v="3"/>
    <b v="0"/>
    <x v="5"/>
    <x v="5"/>
    <x v="1"/>
    <s v="Night"/>
    <n v="1"/>
    <x v="0"/>
    <n v="0.26"/>
    <s v="Mild"/>
    <n v="0.2576"/>
    <n v="0.56000000000000005"/>
    <n v="0.16420000000000001"/>
    <s v="Light Breeze"/>
    <n v="0"/>
    <n v="1"/>
    <n v="1"/>
    <n v="69.083333333333329"/>
    <n v="57.249960445527755"/>
    <n v="-1.1892293514877328"/>
    <b v="0"/>
  </r>
  <r>
    <n v="436"/>
    <d v="2011-01-20T00:00:00"/>
    <n v="1"/>
    <n v="0"/>
    <x v="0"/>
    <x v="4"/>
    <b v="0"/>
    <x v="5"/>
    <x v="5"/>
    <x v="1"/>
    <s v="Night"/>
    <n v="1"/>
    <x v="0"/>
    <n v="0.26"/>
    <s v="Mild"/>
    <n v="0.2576"/>
    <n v="0.56000000000000005"/>
    <n v="0.16420000000000001"/>
    <s v="Light Breeze"/>
    <n v="0"/>
    <n v="1"/>
    <n v="1"/>
    <n v="69.041666666666671"/>
    <n v="57.301247551990457"/>
    <n v="-1.1874377884169318"/>
    <b v="0"/>
  </r>
  <r>
    <n v="437"/>
    <d v="2011-01-20T00:00:00"/>
    <n v="1"/>
    <n v="0"/>
    <x v="0"/>
    <x v="5"/>
    <b v="0"/>
    <x v="5"/>
    <x v="5"/>
    <x v="1"/>
    <s v="Night"/>
    <n v="1"/>
    <x v="0"/>
    <n v="0.24"/>
    <s v="Mild"/>
    <n v="0.2273"/>
    <n v="0.6"/>
    <n v="0.22389999999999999"/>
    <s v="Light Breeze"/>
    <n v="0"/>
    <n v="6"/>
    <n v="6"/>
    <n v="69"/>
    <n v="57.348666638531284"/>
    <n v="-1.0985434133471503"/>
    <b v="0"/>
  </r>
  <r>
    <n v="438"/>
    <d v="2011-01-20T00:00:00"/>
    <n v="1"/>
    <n v="0"/>
    <x v="0"/>
    <x v="6"/>
    <b v="0"/>
    <x v="5"/>
    <x v="5"/>
    <x v="1"/>
    <s v="Morning"/>
    <n v="1"/>
    <x v="0"/>
    <n v="0.22"/>
    <s v="Mild"/>
    <n v="0.21210000000000001"/>
    <n v="0.6"/>
    <n v="0.22389999999999999"/>
    <s v="Light Breeze"/>
    <n v="0"/>
    <n v="35"/>
    <n v="35"/>
    <n v="69.125"/>
    <n v="57.267725564268289"/>
    <n v="-0.59588537284763421"/>
    <b v="0"/>
  </r>
  <r>
    <n v="439"/>
    <d v="2011-01-20T00:00:00"/>
    <n v="1"/>
    <n v="0"/>
    <x v="0"/>
    <x v="7"/>
    <b v="0"/>
    <x v="5"/>
    <x v="5"/>
    <x v="1"/>
    <s v="Morning"/>
    <n v="1"/>
    <x v="0"/>
    <n v="0.22"/>
    <s v="Mild"/>
    <n v="0.21210000000000001"/>
    <n v="0.55000000000000004"/>
    <n v="0.22389999999999999"/>
    <s v="Light Breeze"/>
    <n v="1"/>
    <n v="100"/>
    <n v="101"/>
    <n v="69.583333333333329"/>
    <n v="57.485662988917177"/>
    <n v="0.54651307879537858"/>
    <b v="0"/>
  </r>
  <r>
    <n v="440"/>
    <d v="2011-01-20T00:00:00"/>
    <n v="1"/>
    <n v="0"/>
    <x v="0"/>
    <x v="8"/>
    <b v="0"/>
    <x v="5"/>
    <x v="5"/>
    <x v="1"/>
    <s v="Morning"/>
    <n v="1"/>
    <x v="0"/>
    <n v="0.22"/>
    <s v="Mild"/>
    <n v="0.21210000000000001"/>
    <n v="0.55000000000000004"/>
    <n v="0.28360000000000002"/>
    <s v="Light Breeze"/>
    <n v="2"/>
    <n v="247"/>
    <n v="249"/>
    <n v="71.75"/>
    <n v="63.193457283790551"/>
    <n v="2.8048789798602387"/>
    <b v="0"/>
  </r>
  <r>
    <n v="441"/>
    <d v="2011-01-20T00:00:00"/>
    <n v="1"/>
    <n v="0"/>
    <x v="0"/>
    <x v="9"/>
    <b v="0"/>
    <x v="5"/>
    <x v="5"/>
    <x v="1"/>
    <s v="Morning"/>
    <n v="2"/>
    <x v="1"/>
    <n v="0.24"/>
    <s v="Mild"/>
    <n v="0.2273"/>
    <n v="0.52"/>
    <n v="0.22389999999999999"/>
    <s v="Light Breeze"/>
    <n v="3"/>
    <n v="140"/>
    <n v="143"/>
    <n v="73.166666666666671"/>
    <n v="64.433765565327136"/>
    <n v="1.0838002826721613"/>
    <b v="0"/>
  </r>
  <r>
    <n v="442"/>
    <d v="2011-01-20T00:00:00"/>
    <n v="1"/>
    <n v="0"/>
    <x v="0"/>
    <x v="10"/>
    <b v="0"/>
    <x v="5"/>
    <x v="5"/>
    <x v="1"/>
    <s v="Morning"/>
    <n v="1"/>
    <x v="0"/>
    <n v="0.26"/>
    <s v="Mild"/>
    <n v="0.2273"/>
    <n v="0.48"/>
    <n v="0.29849999999999999"/>
    <s v="Light Breeze"/>
    <n v="1"/>
    <n v="56"/>
    <n v="57"/>
    <n v="73.583333333333329"/>
    <n v="64.289370726472328"/>
    <n v="-0.25794829138846798"/>
    <b v="0"/>
  </r>
  <r>
    <n v="443"/>
    <d v="2011-01-20T00:00:00"/>
    <n v="1"/>
    <n v="0"/>
    <x v="0"/>
    <x v="11"/>
    <b v="0"/>
    <x v="5"/>
    <x v="5"/>
    <x v="1"/>
    <s v="Morning"/>
    <n v="2"/>
    <x v="1"/>
    <n v="0.28000000000000003"/>
    <s v="Mild"/>
    <n v="0.2727"/>
    <n v="0.45"/>
    <n v="0.16420000000000001"/>
    <s v="Light Breeze"/>
    <n v="5"/>
    <n v="63"/>
    <n v="68"/>
    <n v="74.25"/>
    <n v="64.138606701153222"/>
    <n v="-9.7445210014012101E-2"/>
    <b v="0"/>
  </r>
  <r>
    <n v="444"/>
    <d v="2011-01-20T00:00:00"/>
    <n v="1"/>
    <n v="0"/>
    <x v="0"/>
    <x v="12"/>
    <b v="0"/>
    <x v="5"/>
    <x v="5"/>
    <x v="1"/>
    <s v="Midday"/>
    <n v="2"/>
    <x v="1"/>
    <n v="0.3"/>
    <s v="Mild"/>
    <n v="0.33329999999999999"/>
    <n v="0.42"/>
    <n v="0"/>
    <s v="Calm"/>
    <n v="7"/>
    <n v="77"/>
    <n v="84"/>
    <n v="74.833333333333329"/>
    <n v="64.161932819923734"/>
    <n v="0.14286768281114209"/>
    <b v="0"/>
  </r>
  <r>
    <n v="445"/>
    <d v="2011-01-20T00:00:00"/>
    <n v="1"/>
    <n v="0"/>
    <x v="0"/>
    <x v="13"/>
    <b v="0"/>
    <x v="5"/>
    <x v="5"/>
    <x v="1"/>
    <s v="Midday"/>
    <n v="2"/>
    <x v="1"/>
    <n v="0.28000000000000003"/>
    <s v="Mild"/>
    <n v="0.28789999999999999"/>
    <n v="0.45"/>
    <n v="0.1045"/>
    <s v="Calm"/>
    <n v="12"/>
    <n v="86"/>
    <n v="98"/>
    <n v="75.666666666666671"/>
    <n v="64.334497248613715"/>
    <n v="0.34714397855676987"/>
    <b v="0"/>
  </r>
  <r>
    <n v="446"/>
    <d v="2011-01-20T00:00:00"/>
    <n v="1"/>
    <n v="0"/>
    <x v="0"/>
    <x v="14"/>
    <b v="0"/>
    <x v="5"/>
    <x v="5"/>
    <x v="1"/>
    <s v="Midday"/>
    <n v="2"/>
    <x v="1"/>
    <n v="0.3"/>
    <s v="Mild"/>
    <n v="0.30299999999999999"/>
    <n v="0.45"/>
    <n v="0.1343"/>
    <s v="Light Breeze"/>
    <n v="6"/>
    <n v="75"/>
    <n v="81"/>
    <n v="75.916666666666671"/>
    <n v="64.343451183045261"/>
    <n v="7.9003119041162126E-2"/>
    <b v="0"/>
  </r>
  <r>
    <n v="447"/>
    <d v="2011-01-20T00:00:00"/>
    <n v="1"/>
    <n v="0"/>
    <x v="0"/>
    <x v="15"/>
    <b v="0"/>
    <x v="5"/>
    <x v="5"/>
    <x v="1"/>
    <s v="Midday"/>
    <n v="2"/>
    <x v="1"/>
    <n v="0.32"/>
    <s v="Mild"/>
    <n v="0.31819999999999998"/>
    <n v="0.45"/>
    <n v="0.19400000000000001"/>
    <s v="Light Breeze"/>
    <n v="8"/>
    <n v="62"/>
    <n v="70"/>
    <n v="75.416666666666671"/>
    <n v="64.340748239805009"/>
    <n v="-8.4187187977332226E-2"/>
    <b v="0"/>
  </r>
  <r>
    <n v="448"/>
    <d v="2011-01-20T00:00:00"/>
    <n v="1"/>
    <n v="0"/>
    <x v="0"/>
    <x v="16"/>
    <b v="0"/>
    <x v="5"/>
    <x v="5"/>
    <x v="1"/>
    <s v="Midday"/>
    <n v="2"/>
    <x v="1"/>
    <n v="0.3"/>
    <s v="Mild"/>
    <n v="0.30299999999999999"/>
    <n v="0.49"/>
    <n v="0.1343"/>
    <s v="Light Breeze"/>
    <n v="8"/>
    <n v="83"/>
    <n v="91"/>
    <n v="74.875"/>
    <n v="64.144071873570198"/>
    <n v="0.25138722143774778"/>
    <b v="0"/>
  </r>
  <r>
    <n v="449"/>
    <d v="2011-01-20T00:00:00"/>
    <n v="1"/>
    <n v="0"/>
    <x v="0"/>
    <x v="17"/>
    <b v="0"/>
    <x v="5"/>
    <x v="5"/>
    <x v="1"/>
    <s v="Evening"/>
    <n v="2"/>
    <x v="1"/>
    <n v="0.3"/>
    <s v="Mild"/>
    <n v="0.31819999999999998"/>
    <n v="0.49"/>
    <n v="0.1045"/>
    <s v="Calm"/>
    <n v="8"/>
    <n v="207"/>
    <n v="215"/>
    <n v="75.625"/>
    <n v="65.719967516994274"/>
    <n v="2.120740549117885"/>
    <b v="0"/>
  </r>
  <r>
    <n v="450"/>
    <d v="2011-01-20T00:00:00"/>
    <n v="1"/>
    <n v="0"/>
    <x v="0"/>
    <x v="18"/>
    <b v="0"/>
    <x v="5"/>
    <x v="5"/>
    <x v="1"/>
    <s v="Evening"/>
    <n v="2"/>
    <x v="1"/>
    <n v="0.26"/>
    <s v="Mild"/>
    <n v="0.2576"/>
    <n v="0.56000000000000005"/>
    <n v="0.19400000000000001"/>
    <s v="Light Breeze"/>
    <n v="1"/>
    <n v="184"/>
    <n v="185"/>
    <n v="76.625"/>
    <n v="67.240523819184077"/>
    <n v="1.6117512750410794"/>
    <b v="0"/>
  </r>
  <r>
    <n v="451"/>
    <d v="2011-01-20T00:00:00"/>
    <n v="1"/>
    <n v="0"/>
    <x v="0"/>
    <x v="19"/>
    <b v="0"/>
    <x v="5"/>
    <x v="5"/>
    <x v="1"/>
    <s v="Evening"/>
    <n v="1"/>
    <x v="0"/>
    <n v="0.26"/>
    <s v="Mild"/>
    <n v="0.2273"/>
    <n v="0.56000000000000005"/>
    <n v="0.32840000000000003"/>
    <s v="Gale"/>
    <n v="6"/>
    <n v="146"/>
    <n v="152"/>
    <n v="78.291666666666671"/>
    <n v="68.636711666613209"/>
    <n v="1.073890801927609"/>
    <b v="0"/>
  </r>
  <r>
    <n v="452"/>
    <d v="2011-01-20T00:00:00"/>
    <n v="1"/>
    <n v="0"/>
    <x v="0"/>
    <x v="20"/>
    <b v="0"/>
    <x v="5"/>
    <x v="5"/>
    <x v="1"/>
    <s v="Evening"/>
    <n v="2"/>
    <x v="1"/>
    <n v="0.26"/>
    <s v="Mild"/>
    <n v="0.2424"/>
    <n v="0.6"/>
    <n v="0.28360000000000002"/>
    <s v="Light Breeze"/>
    <n v="2"/>
    <n v="124"/>
    <n v="126"/>
    <n v="80.375"/>
    <n v="69.319557752170653"/>
    <n v="0.65818365666897682"/>
    <b v="0"/>
  </r>
  <r>
    <n v="453"/>
    <d v="2011-01-20T00:00:00"/>
    <n v="1"/>
    <n v="0"/>
    <x v="0"/>
    <x v="21"/>
    <b v="0"/>
    <x v="5"/>
    <x v="5"/>
    <x v="1"/>
    <s v="Night"/>
    <n v="2"/>
    <x v="1"/>
    <n v="0.24"/>
    <s v="Mild"/>
    <n v="0.2273"/>
    <n v="0.6"/>
    <n v="0.25369999999999998"/>
    <s v="Light Breeze"/>
    <n v="3"/>
    <n v="54"/>
    <n v="57"/>
    <n v="80.291666666666671"/>
    <n v="69.347567692944622"/>
    <n v="-0.33586854509154401"/>
    <b v="0"/>
  </r>
  <r>
    <n v="454"/>
    <d v="2011-01-20T00:00:00"/>
    <n v="1"/>
    <n v="0"/>
    <x v="0"/>
    <x v="22"/>
    <b v="0"/>
    <x v="5"/>
    <x v="5"/>
    <x v="1"/>
    <s v="Night"/>
    <n v="2"/>
    <x v="1"/>
    <n v="0.24"/>
    <s v="Mild"/>
    <n v="0.21210000000000001"/>
    <n v="0.65"/>
    <n v="0.28360000000000002"/>
    <s v="Light Breeze"/>
    <n v="0"/>
    <n v="56"/>
    <n v="56"/>
    <n v="80.166666666666671"/>
    <n v="69.3903054666401"/>
    <n v="-0.34827151291739122"/>
    <b v="0"/>
  </r>
  <r>
    <n v="455"/>
    <d v="2011-01-20T00:00:00"/>
    <n v="1"/>
    <n v="0"/>
    <x v="0"/>
    <x v="23"/>
    <b v="0"/>
    <x v="5"/>
    <x v="5"/>
    <x v="1"/>
    <s v="Night"/>
    <n v="2"/>
    <x v="1"/>
    <n v="0.24"/>
    <s v="Mild"/>
    <n v="0.21210000000000001"/>
    <n v="0.65"/>
    <n v="0.32840000000000003"/>
    <s v="Gale"/>
    <n v="3"/>
    <n v="28"/>
    <n v="31"/>
    <n v="80.291666666666671"/>
    <n v="69.294882907047693"/>
    <n v="-0.71133198583778001"/>
    <b v="0"/>
  </r>
  <r>
    <n v="456"/>
    <d v="2011-01-21T00:00:00"/>
    <n v="1"/>
    <n v="0"/>
    <x v="0"/>
    <x v="0"/>
    <b v="0"/>
    <x v="6"/>
    <x v="6"/>
    <x v="1"/>
    <s v="Night"/>
    <n v="2"/>
    <x v="1"/>
    <n v="0.24"/>
    <s v="Mild"/>
    <n v="0.2273"/>
    <n v="0.7"/>
    <n v="0.25369999999999998"/>
    <s v="Light Breeze"/>
    <n v="1"/>
    <n v="20"/>
    <n v="21"/>
    <n v="80.625"/>
    <n v="68.975617935363346"/>
    <n v="-0.86443589466460802"/>
    <b v="0"/>
  </r>
  <r>
    <n v="457"/>
    <d v="2011-01-21T00:00:00"/>
    <n v="1"/>
    <n v="0"/>
    <x v="0"/>
    <x v="1"/>
    <b v="0"/>
    <x v="6"/>
    <x v="6"/>
    <x v="1"/>
    <s v="Night"/>
    <n v="2"/>
    <x v="1"/>
    <n v="0.24"/>
    <s v="Mild"/>
    <n v="0.2273"/>
    <n v="0.7"/>
    <n v="0.25369999999999998"/>
    <s v="Light Breeze"/>
    <n v="0"/>
    <n v="6"/>
    <n v="6"/>
    <n v="80.666666666666671"/>
    <n v="68.92823405017252"/>
    <n v="-1.0832522796437405"/>
    <b v="0"/>
  </r>
  <r>
    <n v="458"/>
    <d v="2011-01-21T00:00:00"/>
    <n v="1"/>
    <n v="0"/>
    <x v="0"/>
    <x v="2"/>
    <b v="0"/>
    <x v="6"/>
    <x v="6"/>
    <x v="1"/>
    <s v="Night"/>
    <n v="3"/>
    <x v="2"/>
    <n v="0.24"/>
    <s v="Mild"/>
    <n v="0.2424"/>
    <n v="0.75"/>
    <n v="0.16420000000000001"/>
    <s v="Light Breeze"/>
    <n v="0"/>
    <n v="2"/>
    <n v="2"/>
    <n v="80.666666666666671"/>
    <n v="68.92823405017252"/>
    <n v="-1.1412836517675122"/>
    <b v="0"/>
  </r>
  <r>
    <n v="459"/>
    <d v="2011-01-21T00:00:00"/>
    <n v="1"/>
    <n v="0"/>
    <x v="0"/>
    <x v="3"/>
    <b v="0"/>
    <x v="6"/>
    <x v="6"/>
    <x v="1"/>
    <s v="Night"/>
    <n v="3"/>
    <x v="2"/>
    <n v="0.22"/>
    <s v="Mild"/>
    <n v="0.21210000000000001"/>
    <n v="0.8"/>
    <n v="0.29849999999999999"/>
    <s v="Light Breeze"/>
    <n v="0"/>
    <n v="1"/>
    <n v="1"/>
    <n v="80.666666666666671"/>
    <n v="68.92823405017252"/>
    <n v="-1.1557914947984551"/>
    <b v="0"/>
  </r>
  <r>
    <n v="460"/>
    <d v="2011-01-21T00:00:00"/>
    <n v="1"/>
    <n v="0"/>
    <x v="0"/>
    <x v="4"/>
    <b v="0"/>
    <x v="6"/>
    <x v="6"/>
    <x v="1"/>
    <s v="Night"/>
    <n v="2"/>
    <x v="1"/>
    <n v="0.22"/>
    <s v="Mild"/>
    <n v="0.2576"/>
    <n v="0.87"/>
    <n v="8.9599999999999999E-2"/>
    <s v="Calm"/>
    <n v="0"/>
    <n v="1"/>
    <n v="1"/>
    <n v="80.666666666666671"/>
    <n v="68.92823405017252"/>
    <n v="-1.1557914947984551"/>
    <b v="0"/>
  </r>
  <r>
    <n v="461"/>
    <d v="2011-01-21T00:00:00"/>
    <n v="1"/>
    <n v="0"/>
    <x v="0"/>
    <x v="5"/>
    <b v="0"/>
    <x v="6"/>
    <x v="6"/>
    <x v="1"/>
    <s v="Night"/>
    <n v="1"/>
    <x v="0"/>
    <n v="0.24"/>
    <s v="Mild"/>
    <n v="0.19700000000000001"/>
    <n v="0.6"/>
    <n v="0.41789999999999999"/>
    <s v="Gale"/>
    <n v="1"/>
    <n v="4"/>
    <n v="5"/>
    <n v="80.625"/>
    <n v="68.975617935363346"/>
    <n v="-1.0964019209058447"/>
    <b v="0"/>
  </r>
  <r>
    <n v="462"/>
    <d v="2011-01-21T00:00:00"/>
    <n v="1"/>
    <n v="0"/>
    <x v="0"/>
    <x v="6"/>
    <b v="0"/>
    <x v="6"/>
    <x v="6"/>
    <x v="1"/>
    <s v="Morning"/>
    <n v="1"/>
    <x v="0"/>
    <n v="0.22"/>
    <s v="Mild"/>
    <n v="0.21210000000000001"/>
    <n v="0.55000000000000004"/>
    <n v="0.25369999999999998"/>
    <s v="Light Breeze"/>
    <n v="0"/>
    <n v="27"/>
    <n v="27"/>
    <n v="80.291666666666671"/>
    <n v="69.224574153017855"/>
    <n v="-0.76983740700040715"/>
    <b v="0"/>
  </r>
  <r>
    <n v="463"/>
    <d v="2011-01-21T00:00:00"/>
    <n v="1"/>
    <n v="0"/>
    <x v="0"/>
    <x v="7"/>
    <b v="0"/>
    <x v="6"/>
    <x v="6"/>
    <x v="1"/>
    <s v="Morning"/>
    <n v="1"/>
    <x v="0"/>
    <n v="0.2"/>
    <s v="Mild"/>
    <n v="0.18179999999999999"/>
    <n v="0.51"/>
    <n v="0.28360000000000002"/>
    <s v="Light Breeze"/>
    <n v="2"/>
    <n v="66"/>
    <n v="68"/>
    <n v="78.916666666666671"/>
    <n v="69.123026218642863"/>
    <n v="-0.15793097125314207"/>
    <b v="0"/>
  </r>
  <r>
    <n v="464"/>
    <d v="2011-01-21T00:00:00"/>
    <n v="1"/>
    <n v="0"/>
    <x v="0"/>
    <x v="8"/>
    <b v="0"/>
    <x v="6"/>
    <x v="6"/>
    <x v="1"/>
    <s v="Morning"/>
    <n v="1"/>
    <x v="0"/>
    <n v="0.2"/>
    <s v="Mild"/>
    <n v="0.18179999999999999"/>
    <n v="0.47"/>
    <n v="0.32840000000000003"/>
    <s v="Gale"/>
    <n v="7"/>
    <n v="210"/>
    <n v="217"/>
    <n v="77.583333333333329"/>
    <n v="65.93469540364174"/>
    <n v="2.1144659243995894"/>
    <b v="0"/>
  </r>
  <r>
    <n v="465"/>
    <d v="2011-01-21T00:00:00"/>
    <n v="1"/>
    <n v="0"/>
    <x v="0"/>
    <x v="9"/>
    <b v="0"/>
    <x v="6"/>
    <x v="6"/>
    <x v="1"/>
    <s v="Morning"/>
    <n v="1"/>
    <x v="0"/>
    <n v="0.2"/>
    <s v="Mild"/>
    <n v="0.18179999999999999"/>
    <n v="0.51"/>
    <n v="0.35820000000000002"/>
    <s v="Gale"/>
    <n v="7"/>
    <n v="159"/>
    <n v="166"/>
    <n v="78.541666666666671"/>
    <n v="67.083970201315722"/>
    <n v="1.303714331022376"/>
    <b v="0"/>
  </r>
  <r>
    <n v="466"/>
    <d v="2011-01-21T00:00:00"/>
    <n v="1"/>
    <n v="0"/>
    <x v="0"/>
    <x v="10"/>
    <b v="0"/>
    <x v="6"/>
    <x v="6"/>
    <x v="1"/>
    <s v="Morning"/>
    <n v="1"/>
    <x v="0"/>
    <n v="0.2"/>
    <s v="Mild"/>
    <n v="0.16669999999999999"/>
    <n v="0.47"/>
    <n v="0.4627"/>
    <s v="Gale"/>
    <n v="6"/>
    <n v="57"/>
    <n v="63"/>
    <n v="78.791666666666671"/>
    <n v="67.011341782837263"/>
    <n v="-0.23565662537906656"/>
    <b v="0"/>
  </r>
  <r>
    <n v="467"/>
    <d v="2011-01-21T00:00:00"/>
    <n v="1"/>
    <n v="0"/>
    <x v="0"/>
    <x v="11"/>
    <b v="0"/>
    <x v="6"/>
    <x v="6"/>
    <x v="1"/>
    <s v="Morning"/>
    <n v="1"/>
    <x v="0"/>
    <n v="0.22"/>
    <s v="Mild"/>
    <n v="0.18179999999999999"/>
    <n v="0.41"/>
    <n v="0.4627"/>
    <s v="Gale"/>
    <n v="6"/>
    <n v="53"/>
    <n v="59"/>
    <n v="78.416666666666671"/>
    <n v="67.09948270821576"/>
    <n v="-0.28937133168523321"/>
    <b v="0"/>
  </r>
  <r>
    <n v="468"/>
    <d v="2011-01-21T00:00:00"/>
    <n v="1"/>
    <n v="0"/>
    <x v="0"/>
    <x v="12"/>
    <b v="0"/>
    <x v="6"/>
    <x v="6"/>
    <x v="1"/>
    <s v="Midday"/>
    <n v="1"/>
    <x v="0"/>
    <n v="0.22"/>
    <s v="Mild"/>
    <n v="0.18179999999999999"/>
    <n v="0.27"/>
    <n v="0.58209999999999995"/>
    <s v="Gale"/>
    <n v="11"/>
    <n v="67"/>
    <n v="78"/>
    <n v="78.166666666666671"/>
    <n v="67.088952415668899"/>
    <n v="-2.4842639609877963E-3"/>
    <b v="0"/>
  </r>
  <r>
    <n v="469"/>
    <d v="2011-01-21T00:00:00"/>
    <n v="1"/>
    <n v="0"/>
    <x v="0"/>
    <x v="13"/>
    <b v="0"/>
    <x v="6"/>
    <x v="6"/>
    <x v="1"/>
    <s v="Midday"/>
    <n v="1"/>
    <x v="0"/>
    <n v="0.2"/>
    <s v="Mild"/>
    <n v="0.1515"/>
    <n v="0.21"/>
    <n v="0.58209999999999995"/>
    <s v="Gale"/>
    <n v="8"/>
    <n v="65"/>
    <n v="73"/>
    <n v="77.125"/>
    <n v="66.961580483659176"/>
    <n v="-6.1602488624154197E-2"/>
    <b v="0"/>
  </r>
  <r>
    <n v="470"/>
    <d v="2011-01-21T00:00:00"/>
    <n v="1"/>
    <n v="0"/>
    <x v="0"/>
    <x v="14"/>
    <b v="0"/>
    <x v="6"/>
    <x v="6"/>
    <x v="1"/>
    <s v="Midday"/>
    <n v="1"/>
    <x v="0"/>
    <n v="0.2"/>
    <s v="Mild"/>
    <n v="0.1515"/>
    <n v="0.25"/>
    <n v="0.52239999999999998"/>
    <s v="Gale"/>
    <n v="6"/>
    <n v="56"/>
    <n v="62"/>
    <n v="76.333333333333329"/>
    <n v="67.026060257359518"/>
    <n v="-0.21384717046321572"/>
    <b v="0"/>
  </r>
  <r>
    <n v="471"/>
    <d v="2011-01-21T00:00:00"/>
    <n v="1"/>
    <n v="0"/>
    <x v="0"/>
    <x v="15"/>
    <b v="0"/>
    <x v="6"/>
    <x v="6"/>
    <x v="1"/>
    <s v="Midday"/>
    <n v="1"/>
    <x v="0"/>
    <n v="0.16"/>
    <s v="Cold"/>
    <n v="0.1212"/>
    <n v="0.26"/>
    <n v="0.44779999999999998"/>
    <s v="Gale"/>
    <n v="4"/>
    <n v="61"/>
    <n v="65"/>
    <n v="76.125"/>
    <n v="67.054366326722231"/>
    <n v="-0.16591015036654683"/>
    <b v="0"/>
  </r>
  <r>
    <n v="472"/>
    <d v="2011-01-21T00:00:00"/>
    <n v="1"/>
    <n v="0"/>
    <x v="0"/>
    <x v="16"/>
    <b v="0"/>
    <x v="6"/>
    <x v="6"/>
    <x v="1"/>
    <s v="Midday"/>
    <n v="1"/>
    <x v="0"/>
    <n v="0.16"/>
    <s v="Cold"/>
    <n v="0.13639999999999999"/>
    <n v="0.26"/>
    <n v="0.35820000000000002"/>
    <s v="Gale"/>
    <n v="0"/>
    <n v="97"/>
    <n v="97"/>
    <n v="76.375"/>
    <n v="67.123385738827849"/>
    <n v="0.30726995923969563"/>
    <b v="0"/>
  </r>
  <r>
    <n v="473"/>
    <d v="2011-01-21T00:00:00"/>
    <n v="1"/>
    <n v="0"/>
    <x v="0"/>
    <x v="17"/>
    <b v="0"/>
    <x v="6"/>
    <x v="6"/>
    <x v="1"/>
    <s v="Evening"/>
    <n v="1"/>
    <x v="0"/>
    <n v="0.14000000000000001"/>
    <s v="Cold"/>
    <n v="0.1212"/>
    <n v="0.28000000000000003"/>
    <n v="0.35820000000000002"/>
    <s v="Gale"/>
    <n v="10"/>
    <n v="151"/>
    <n v="161"/>
    <n v="74.125"/>
    <n v="63.056436074636999"/>
    <n v="1.3777340650392937"/>
    <b v="0"/>
  </r>
  <r>
    <n v="474"/>
    <d v="2011-01-21T00:00:00"/>
    <n v="1"/>
    <n v="0"/>
    <x v="0"/>
    <x v="18"/>
    <b v="0"/>
    <x v="6"/>
    <x v="6"/>
    <x v="1"/>
    <s v="Evening"/>
    <n v="1"/>
    <x v="0"/>
    <n v="0.12"/>
    <s v="Cold"/>
    <n v="0.1212"/>
    <n v="0.3"/>
    <n v="0.25369999999999998"/>
    <s v="Light Breeze"/>
    <n v="1"/>
    <n v="119"/>
    <n v="120"/>
    <n v="71.416666666666671"/>
    <n v="59.375676960290342"/>
    <n v="0.81823628496606804"/>
    <b v="0"/>
  </r>
  <r>
    <n v="475"/>
    <d v="2011-01-21T00:00:00"/>
    <n v="1"/>
    <n v="0"/>
    <x v="0"/>
    <x v="19"/>
    <b v="0"/>
    <x v="6"/>
    <x v="6"/>
    <x v="1"/>
    <s v="Evening"/>
    <n v="1"/>
    <x v="0"/>
    <n v="0.12"/>
    <s v="Cold"/>
    <n v="0.1061"/>
    <n v="0.3"/>
    <n v="0.32840000000000003"/>
    <s v="Gale"/>
    <n v="3"/>
    <n v="93"/>
    <n v="96"/>
    <n v="69.083333333333329"/>
    <n v="57.12908089631734"/>
    <n v="0.47115525480827009"/>
    <b v="0"/>
  </r>
  <r>
    <n v="476"/>
    <d v="2011-01-21T00:00:00"/>
    <n v="1"/>
    <n v="0"/>
    <x v="0"/>
    <x v="20"/>
    <b v="0"/>
    <x v="6"/>
    <x v="6"/>
    <x v="1"/>
    <s v="Evening"/>
    <n v="1"/>
    <x v="0"/>
    <n v="0.1"/>
    <s v="Cold"/>
    <n v="7.5800000000000006E-2"/>
    <n v="0.33"/>
    <n v="0.41789999999999999"/>
    <s v="Gale"/>
    <n v="1"/>
    <n v="52"/>
    <n v="53"/>
    <n v="66.041666666666671"/>
    <n v="55.897016461304638"/>
    <n v="-0.23331597091044953"/>
    <b v="0"/>
  </r>
  <r>
    <n v="477"/>
    <d v="2011-01-21T00:00:00"/>
    <n v="1"/>
    <n v="0"/>
    <x v="0"/>
    <x v="21"/>
    <b v="0"/>
    <x v="6"/>
    <x v="6"/>
    <x v="1"/>
    <s v="Night"/>
    <n v="1"/>
    <x v="0"/>
    <n v="0.08"/>
    <s v="Cold"/>
    <n v="7.5800000000000006E-2"/>
    <n v="0.38"/>
    <n v="0.28360000000000002"/>
    <s v="Light Breeze"/>
    <n v="0"/>
    <n v="41"/>
    <n v="41"/>
    <n v="65.375"/>
    <n v="56.104570456309141"/>
    <n v="-0.43445658351456024"/>
    <b v="0"/>
  </r>
  <r>
    <n v="478"/>
    <d v="2011-01-21T00:00:00"/>
    <n v="1"/>
    <n v="0"/>
    <x v="0"/>
    <x v="22"/>
    <b v="0"/>
    <x v="6"/>
    <x v="6"/>
    <x v="1"/>
    <s v="Night"/>
    <n v="1"/>
    <x v="0"/>
    <n v="0.06"/>
    <s v="Cold"/>
    <n v="3.0300000000000001E-2"/>
    <n v="0.41"/>
    <n v="0.3881"/>
    <s v="Gale"/>
    <n v="1"/>
    <n v="33"/>
    <n v="34"/>
    <n v="64.458333333333329"/>
    <n v="56.44310653536283"/>
    <n v="-0.53962893261820244"/>
    <b v="0"/>
  </r>
  <r>
    <n v="479"/>
    <d v="2011-01-21T00:00:00"/>
    <n v="1"/>
    <n v="0"/>
    <x v="0"/>
    <x v="23"/>
    <b v="0"/>
    <x v="6"/>
    <x v="6"/>
    <x v="1"/>
    <s v="Night"/>
    <n v="1"/>
    <x v="0"/>
    <n v="0.06"/>
    <s v="Cold"/>
    <n v="4.5499999999999999E-2"/>
    <n v="0.38"/>
    <n v="0.32840000000000003"/>
    <s v="Gale"/>
    <n v="0"/>
    <n v="27"/>
    <n v="27"/>
    <n v="64.291666666666671"/>
    <n v="56.551999285510725"/>
    <n v="-0.65942260464381541"/>
    <b v="0"/>
  </r>
  <r>
    <n v="480"/>
    <d v="2011-01-22T00:00:00"/>
    <n v="1"/>
    <n v="0"/>
    <x v="0"/>
    <x v="0"/>
    <b v="0"/>
    <x v="0"/>
    <x v="0"/>
    <x v="0"/>
    <s v="Night"/>
    <n v="1"/>
    <x v="0"/>
    <n v="0.04"/>
    <s v="Cold"/>
    <n v="3.0300000000000001E-2"/>
    <n v="0.45"/>
    <n v="0.25369999999999998"/>
    <s v="Light Breeze"/>
    <n v="0"/>
    <n v="13"/>
    <n v="13"/>
    <n v="63.958333333333336"/>
    <n v="56.841105125464068"/>
    <n v="-0.89650497154927189"/>
    <b v="0"/>
  </r>
  <r>
    <n v="481"/>
    <d v="2011-01-22T00:00:00"/>
    <n v="1"/>
    <n v="0"/>
    <x v="0"/>
    <x v="1"/>
    <b v="0"/>
    <x v="0"/>
    <x v="0"/>
    <x v="0"/>
    <s v="Night"/>
    <n v="2"/>
    <x v="1"/>
    <n v="0.04"/>
    <s v="Cold"/>
    <n v="0"/>
    <n v="0.41"/>
    <n v="0.3881"/>
    <s v="Gale"/>
    <n v="3"/>
    <n v="9"/>
    <n v="12"/>
    <n v="64.208333333333329"/>
    <n v="56.587738083875337"/>
    <n v="-0.9226085915635861"/>
    <b v="0"/>
  </r>
  <r>
    <n v="482"/>
    <d v="2011-01-22T00:00:00"/>
    <n v="1"/>
    <n v="0"/>
    <x v="0"/>
    <x v="2"/>
    <b v="0"/>
    <x v="0"/>
    <x v="0"/>
    <x v="0"/>
    <s v="Night"/>
    <n v="2"/>
    <x v="1"/>
    <n v="0.04"/>
    <s v="Cold"/>
    <n v="3.0300000000000001E-2"/>
    <n v="0.41"/>
    <n v="0.25369999999999998"/>
    <s v="Light Breeze"/>
    <n v="0"/>
    <n v="11"/>
    <n v="11"/>
    <n v="64.583333333333329"/>
    <n v="56.185961937485594"/>
    <n v="-0.95367831190559593"/>
    <b v="0"/>
  </r>
  <r>
    <n v="483"/>
    <d v="2011-01-22T00:00:00"/>
    <n v="1"/>
    <n v="0"/>
    <x v="0"/>
    <x v="3"/>
    <b v="0"/>
    <x v="0"/>
    <x v="0"/>
    <x v="0"/>
    <s v="Night"/>
    <n v="2"/>
    <x v="1"/>
    <n v="0.04"/>
    <s v="Cold"/>
    <n v="3.0300000000000001E-2"/>
    <n v="0.41"/>
    <n v="0.28360000000000002"/>
    <s v="Light Breeze"/>
    <n v="1"/>
    <n v="6"/>
    <n v="7"/>
    <n v="64.833333333333329"/>
    <n v="55.903384564774797"/>
    <n v="-1.0345229324410996"/>
    <b v="0"/>
  </r>
  <r>
    <n v="484"/>
    <d v="2011-01-22T00:00:00"/>
    <n v="1"/>
    <n v="0"/>
    <x v="0"/>
    <x v="4"/>
    <b v="0"/>
    <x v="0"/>
    <x v="0"/>
    <x v="0"/>
    <s v="Night"/>
    <n v="2"/>
    <x v="1"/>
    <n v="0.02"/>
    <s v="Cold"/>
    <n v="1.52E-2"/>
    <n v="0.48"/>
    <n v="0.29849999999999999"/>
    <s v="Light Breeze"/>
    <n v="0"/>
    <n v="3"/>
    <n v="3"/>
    <n v="64.916666666666671"/>
    <n v="55.805498144792196"/>
    <n v="-1.1095083589437464"/>
    <b v="0"/>
  </r>
  <r>
    <n v="485"/>
    <d v="2011-01-22T00:00:00"/>
    <n v="1"/>
    <n v="0"/>
    <x v="0"/>
    <x v="6"/>
    <b v="0"/>
    <x v="0"/>
    <x v="0"/>
    <x v="0"/>
    <s v="Morning"/>
    <n v="2"/>
    <x v="1"/>
    <n v="0.02"/>
    <s v="Cold"/>
    <n v="3.0300000000000001E-2"/>
    <n v="0.44"/>
    <n v="0.22389999999999999"/>
    <s v="Light Breeze"/>
    <n v="0"/>
    <n v="2"/>
    <n v="2"/>
    <n v="64.791666666666671"/>
    <n v="55.948718108380412"/>
    <n v="-1.1223075128375688"/>
    <b v="0"/>
  </r>
  <r>
    <n v="486"/>
    <d v="2011-01-22T00:00:00"/>
    <n v="1"/>
    <n v="0"/>
    <x v="0"/>
    <x v="7"/>
    <b v="0"/>
    <x v="0"/>
    <x v="0"/>
    <x v="0"/>
    <s v="Morning"/>
    <n v="1"/>
    <x v="0"/>
    <n v="0.02"/>
    <s v="Cold"/>
    <n v="1.52E-2"/>
    <n v="0.44"/>
    <n v="0.28360000000000002"/>
    <s v="Light Breeze"/>
    <n v="0"/>
    <n v="8"/>
    <n v="8"/>
    <n v="64"/>
    <n v="56.636906081059749"/>
    <n v="-0.9887545749736365"/>
    <b v="0"/>
  </r>
  <r>
    <n v="487"/>
    <d v="2011-01-22T00:00:00"/>
    <n v="1"/>
    <n v="0"/>
    <x v="0"/>
    <x v="8"/>
    <b v="0"/>
    <x v="0"/>
    <x v="0"/>
    <x v="0"/>
    <s v="Morning"/>
    <n v="1"/>
    <x v="0"/>
    <n v="0.02"/>
    <s v="Cold"/>
    <n v="0"/>
    <n v="0.44"/>
    <n v="0.32840000000000003"/>
    <s v="Gale"/>
    <n v="1"/>
    <n v="26"/>
    <n v="27"/>
    <n v="62.291666666666664"/>
    <n v="57.127225799405238"/>
    <n v="-0.61777315759369666"/>
    <b v="0"/>
  </r>
  <r>
    <n v="488"/>
    <d v="2011-01-22T00:00:00"/>
    <n v="1"/>
    <n v="0"/>
    <x v="0"/>
    <x v="9"/>
    <b v="0"/>
    <x v="0"/>
    <x v="0"/>
    <x v="0"/>
    <s v="Morning"/>
    <n v="1"/>
    <x v="0"/>
    <n v="0.04"/>
    <s v="Cold"/>
    <n v="3.0300000000000001E-2"/>
    <n v="0.41"/>
    <n v="0.25369999999999998"/>
    <s v="Light Breeze"/>
    <n v="3"/>
    <n v="37"/>
    <n v="40"/>
    <n v="54.916666666666664"/>
    <n v="46.773196213835668"/>
    <n v="-0.3189148459829706"/>
    <b v="0"/>
  </r>
  <r>
    <n v="489"/>
    <d v="2011-01-22T00:00:00"/>
    <n v="1"/>
    <n v="0"/>
    <x v="0"/>
    <x v="10"/>
    <b v="0"/>
    <x v="0"/>
    <x v="0"/>
    <x v="0"/>
    <s v="Morning"/>
    <n v="2"/>
    <x v="1"/>
    <n v="0.04"/>
    <s v="Cold"/>
    <n v="6.0600000000000001E-2"/>
    <n v="0.41"/>
    <n v="0.16420000000000001"/>
    <s v="Light Breeze"/>
    <n v="3"/>
    <n v="50"/>
    <n v="53"/>
    <n v="50.208333333333336"/>
    <n v="40.351692132685272"/>
    <n v="6.918338535809225E-2"/>
    <b v="0"/>
  </r>
  <r>
    <n v="490"/>
    <d v="2011-01-22T00:00:00"/>
    <n v="1"/>
    <n v="0"/>
    <x v="0"/>
    <x v="11"/>
    <b v="0"/>
    <x v="0"/>
    <x v="0"/>
    <x v="0"/>
    <s v="Morning"/>
    <n v="2"/>
    <x v="1"/>
    <n v="0.06"/>
    <s v="Cold"/>
    <n v="7.5800000000000006E-2"/>
    <n v="0.38"/>
    <n v="0.1343"/>
    <s v="Light Breeze"/>
    <n v="4"/>
    <n v="59"/>
    <n v="63"/>
    <n v="50.208333333333336"/>
    <n v="40.351692132685272"/>
    <n v="0.31700446723782588"/>
    <b v="0"/>
  </r>
  <r>
    <n v="491"/>
    <d v="2011-01-22T00:00:00"/>
    <n v="1"/>
    <n v="0"/>
    <x v="0"/>
    <x v="12"/>
    <b v="0"/>
    <x v="0"/>
    <x v="0"/>
    <x v="0"/>
    <s v="Midday"/>
    <n v="2"/>
    <x v="1"/>
    <n v="0.06"/>
    <s v="Cold"/>
    <n v="0.1061"/>
    <n v="0.38"/>
    <n v="0.1045"/>
    <s v="Calm"/>
    <n v="10"/>
    <n v="60"/>
    <n v="70"/>
    <n v="50.666666666666664"/>
    <n v="40.518022470593706"/>
    <n v="0.47715392199519768"/>
    <b v="0"/>
  </r>
  <r>
    <n v="492"/>
    <d v="2011-01-22T00:00:00"/>
    <n v="1"/>
    <n v="0"/>
    <x v="0"/>
    <x v="13"/>
    <b v="0"/>
    <x v="0"/>
    <x v="0"/>
    <x v="0"/>
    <s v="Midday"/>
    <n v="1"/>
    <x v="0"/>
    <n v="0.08"/>
    <s v="Cold"/>
    <n v="0.16669999999999999"/>
    <n v="0.35"/>
    <n v="0"/>
    <s v="Calm"/>
    <n v="12"/>
    <n v="72"/>
    <n v="84"/>
    <n v="50.916666666666664"/>
    <n v="40.712049991283337"/>
    <n v="0.81261772228165008"/>
    <b v="0"/>
  </r>
  <r>
    <n v="493"/>
    <d v="2011-01-22T00:00:00"/>
    <n v="1"/>
    <n v="0"/>
    <x v="0"/>
    <x v="14"/>
    <b v="0"/>
    <x v="0"/>
    <x v="0"/>
    <x v="0"/>
    <s v="Midday"/>
    <n v="1"/>
    <x v="0"/>
    <n v="0.1"/>
    <s v="Cold"/>
    <n v="0.13639999999999999"/>
    <n v="0.33"/>
    <n v="0.1045"/>
    <s v="Calm"/>
    <n v="11"/>
    <n v="64"/>
    <n v="75"/>
    <n v="51"/>
    <n v="40.761234780972536"/>
    <n v="0.5887947244229037"/>
    <b v="0"/>
  </r>
  <r>
    <n v="494"/>
    <d v="2011-01-22T00:00:00"/>
    <n v="1"/>
    <n v="0"/>
    <x v="0"/>
    <x v="15"/>
    <b v="0"/>
    <x v="0"/>
    <x v="0"/>
    <x v="0"/>
    <s v="Midday"/>
    <n v="1"/>
    <x v="0"/>
    <n v="0.12"/>
    <s v="Cold"/>
    <n v="0.1515"/>
    <n v="0.28000000000000003"/>
    <n v="0"/>
    <s v="Calm"/>
    <n v="10"/>
    <n v="93"/>
    <n v="103"/>
    <n v="52.708333333333336"/>
    <n v="42.080129738875328"/>
    <n v="1.1951404850400256"/>
    <b v="0"/>
  </r>
  <r>
    <n v="495"/>
    <d v="2011-01-22T00:00:00"/>
    <n v="1"/>
    <n v="0"/>
    <x v="0"/>
    <x v="16"/>
    <b v="0"/>
    <x v="0"/>
    <x v="0"/>
    <x v="0"/>
    <s v="Midday"/>
    <n v="1"/>
    <x v="0"/>
    <n v="0.12"/>
    <s v="Cold"/>
    <n v="0.13639999999999999"/>
    <n v="0.28000000000000003"/>
    <n v="0.19400000000000001"/>
    <s v="Light Breeze"/>
    <n v="11"/>
    <n v="72"/>
    <n v="83"/>
    <n v="53.458333333333336"/>
    <n v="42.467357455760798"/>
    <n v="0.69563232648607543"/>
    <b v="0"/>
  </r>
  <r>
    <n v="496"/>
    <d v="2011-01-22T00:00:00"/>
    <n v="1"/>
    <n v="0"/>
    <x v="0"/>
    <x v="17"/>
    <b v="0"/>
    <x v="0"/>
    <x v="0"/>
    <x v="0"/>
    <s v="Evening"/>
    <n v="1"/>
    <x v="0"/>
    <n v="0.12"/>
    <s v="Cold"/>
    <n v="0.19700000000000001"/>
    <n v="0.28000000000000003"/>
    <n v="0"/>
    <s v="Calm"/>
    <n v="8"/>
    <n v="59"/>
    <n v="67"/>
    <n v="52.208333333333336"/>
    <n v="41.561875472043162"/>
    <n v="0.35589507207431881"/>
    <b v="0"/>
  </r>
  <r>
    <n v="497"/>
    <d v="2011-01-22T00:00:00"/>
    <n v="1"/>
    <n v="0"/>
    <x v="0"/>
    <x v="18"/>
    <b v="0"/>
    <x v="0"/>
    <x v="0"/>
    <x v="0"/>
    <s v="Evening"/>
    <n v="1"/>
    <x v="0"/>
    <n v="0.08"/>
    <s v="Cold"/>
    <n v="9.0899999999999995E-2"/>
    <n v="0.35"/>
    <n v="0.19400000000000001"/>
    <s v="Light Breeze"/>
    <n v="0"/>
    <n v="54"/>
    <n v="54"/>
    <n v="47.75"/>
    <n v="34.528186343535523"/>
    <n v="0.18101153468693976"/>
    <b v="0"/>
  </r>
  <r>
    <n v="498"/>
    <d v="2011-01-22T00:00:00"/>
    <n v="1"/>
    <n v="0"/>
    <x v="0"/>
    <x v="19"/>
    <b v="0"/>
    <x v="0"/>
    <x v="0"/>
    <x v="0"/>
    <s v="Evening"/>
    <n v="1"/>
    <x v="0"/>
    <n v="0.08"/>
    <s v="Cold"/>
    <n v="0.1061"/>
    <n v="0.35"/>
    <n v="0.1343"/>
    <s v="Light Breeze"/>
    <n v="6"/>
    <n v="53"/>
    <n v="59"/>
    <n v="45.208333333333336"/>
    <n v="31.048320218746088"/>
    <n v="0.44420009100330171"/>
    <b v="0"/>
  </r>
  <r>
    <n v="499"/>
    <d v="2011-01-22T00:00:00"/>
    <n v="1"/>
    <n v="0"/>
    <x v="0"/>
    <x v="20"/>
    <b v="0"/>
    <x v="0"/>
    <x v="0"/>
    <x v="0"/>
    <s v="Evening"/>
    <n v="1"/>
    <x v="0"/>
    <n v="0.06"/>
    <s v="Cold"/>
    <n v="7.5800000000000006E-2"/>
    <n v="0.45"/>
    <n v="0.16420000000000001"/>
    <s v="Light Breeze"/>
    <n v="1"/>
    <n v="44"/>
    <n v="45"/>
    <n v="43.083333333333336"/>
    <n v="29.105380746621357"/>
    <n v="6.5852657395287881E-2"/>
    <b v="0"/>
  </r>
  <r>
    <n v="500"/>
    <d v="2011-01-22T00:00:00"/>
    <n v="1"/>
    <n v="0"/>
    <x v="0"/>
    <x v="21"/>
    <b v="0"/>
    <x v="0"/>
    <x v="0"/>
    <x v="0"/>
    <s v="Night"/>
    <n v="1"/>
    <x v="0"/>
    <n v="0.06"/>
    <s v="Cold"/>
    <n v="0.1061"/>
    <n v="0.41"/>
    <n v="8.9599999999999999E-2"/>
    <s v="Calm"/>
    <n v="0"/>
    <n v="39"/>
    <n v="39"/>
    <n v="42.5"/>
    <n v="29.038205717715201"/>
    <n v="-0.12053086316778766"/>
    <b v="0"/>
  </r>
  <r>
    <n v="501"/>
    <d v="2011-01-22T00:00:00"/>
    <n v="1"/>
    <n v="0"/>
    <x v="0"/>
    <x v="22"/>
    <b v="0"/>
    <x v="0"/>
    <x v="0"/>
    <x v="0"/>
    <s v="Night"/>
    <n v="1"/>
    <x v="0"/>
    <n v="0.06"/>
    <s v="Cold"/>
    <n v="0.1515"/>
    <n v="0.49"/>
    <n v="0"/>
    <s v="Calm"/>
    <n v="7"/>
    <n v="23"/>
    <n v="30"/>
    <n v="42.041666666666664"/>
    <n v="29.149508410601204"/>
    <n v="-0.41310016268704225"/>
    <b v="0"/>
  </r>
  <r>
    <n v="502"/>
    <d v="2011-01-22T00:00:00"/>
    <n v="1"/>
    <n v="0"/>
    <x v="0"/>
    <x v="23"/>
    <b v="0"/>
    <x v="0"/>
    <x v="0"/>
    <x v="0"/>
    <s v="Night"/>
    <n v="1"/>
    <x v="0"/>
    <n v="0.04"/>
    <s v="Cold"/>
    <n v="7.5800000000000006E-2"/>
    <n v="0.56999999999999995"/>
    <n v="0.1045"/>
    <s v="Calm"/>
    <n v="2"/>
    <n v="31"/>
    <n v="33"/>
    <n v="42"/>
    <n v="29.162214981182338"/>
    <n v="-0.30861853277631618"/>
    <b v="0"/>
  </r>
  <r>
    <n v="503"/>
    <d v="2011-01-23T00:00:00"/>
    <n v="1"/>
    <n v="0"/>
    <x v="0"/>
    <x v="0"/>
    <b v="0"/>
    <x v="1"/>
    <x v="1"/>
    <x v="0"/>
    <s v="Night"/>
    <n v="1"/>
    <x v="0"/>
    <n v="0.04"/>
    <s v="Cold"/>
    <n v="7.5800000000000006E-2"/>
    <n v="0.56999999999999995"/>
    <n v="0.1045"/>
    <s v="Calm"/>
    <n v="2"/>
    <n v="20"/>
    <n v="22"/>
    <n v="41.791666666666664"/>
    <n v="29.291606108334129"/>
    <n v="-0.67567707258754528"/>
    <b v="0"/>
  </r>
  <r>
    <n v="504"/>
    <d v="2011-01-23T00:00:00"/>
    <n v="1"/>
    <n v="0"/>
    <x v="0"/>
    <x v="1"/>
    <b v="0"/>
    <x v="1"/>
    <x v="1"/>
    <x v="0"/>
    <s v="Night"/>
    <n v="1"/>
    <x v="0"/>
    <n v="0.04"/>
    <s v="Cold"/>
    <n v="7.5800000000000006E-2"/>
    <n v="0.56999999999999995"/>
    <n v="0.1045"/>
    <s v="Calm"/>
    <n v="1"/>
    <n v="12"/>
    <n v="13"/>
    <n v="41.791666666666664"/>
    <n v="29.291606108334129"/>
    <n v="-0.98293233085893439"/>
    <b v="0"/>
  </r>
  <r>
    <n v="505"/>
    <d v="2011-01-23T00:00:00"/>
    <n v="1"/>
    <n v="0"/>
    <x v="0"/>
    <x v="2"/>
    <b v="0"/>
    <x v="1"/>
    <x v="1"/>
    <x v="0"/>
    <s v="Night"/>
    <n v="1"/>
    <x v="0"/>
    <n v="0.02"/>
    <s v="Cold"/>
    <n v="6.0600000000000001E-2"/>
    <n v="0.62"/>
    <n v="0.1343"/>
    <s v="Light Breeze"/>
    <n v="3"/>
    <n v="15"/>
    <n v="18"/>
    <n v="42.041666666666664"/>
    <n v="29.050898611659633"/>
    <n v="-0.82757049921400694"/>
    <b v="0"/>
  </r>
  <r>
    <n v="506"/>
    <d v="2011-01-23T00:00:00"/>
    <n v="1"/>
    <n v="0"/>
    <x v="0"/>
    <x v="3"/>
    <b v="0"/>
    <x v="1"/>
    <x v="1"/>
    <x v="0"/>
    <s v="Night"/>
    <n v="1"/>
    <x v="0"/>
    <n v="0.02"/>
    <s v="Cold"/>
    <n v="6.0600000000000001E-2"/>
    <n v="0.62"/>
    <n v="0.1343"/>
    <s v="Light Breeze"/>
    <n v="1"/>
    <n v="4"/>
    <n v="5"/>
    <n v="41.791666666666664"/>
    <n v="29.353881554554938"/>
    <n v="-1.2533833591407124"/>
    <b v="0"/>
  </r>
  <r>
    <n v="507"/>
    <d v="2011-01-23T00:00:00"/>
    <n v="1"/>
    <n v="0"/>
    <x v="0"/>
    <x v="5"/>
    <b v="0"/>
    <x v="1"/>
    <x v="1"/>
    <x v="0"/>
    <s v="Night"/>
    <n v="2"/>
    <x v="1"/>
    <n v="0.04"/>
    <s v="Cold"/>
    <n v="7.5800000000000006E-2"/>
    <n v="0.56999999999999995"/>
    <n v="0.1045"/>
    <s v="Calm"/>
    <n v="0"/>
    <n v="3"/>
    <n v="3"/>
    <n v="41.625"/>
    <n v="29.570567770350127"/>
    <n v="-1.3061974426723246"/>
    <b v="0"/>
  </r>
  <r>
    <n v="508"/>
    <d v="2011-01-23T00:00:00"/>
    <n v="1"/>
    <n v="0"/>
    <x v="0"/>
    <x v="6"/>
    <b v="0"/>
    <x v="1"/>
    <x v="1"/>
    <x v="0"/>
    <s v="Morning"/>
    <n v="2"/>
    <x v="1"/>
    <n v="0.04"/>
    <s v="Cold"/>
    <n v="7.5800000000000006E-2"/>
    <n v="0.56999999999999995"/>
    <n v="0.1045"/>
    <s v="Calm"/>
    <n v="0"/>
    <n v="1"/>
    <n v="1"/>
    <n v="41.541666666666664"/>
    <n v="29.686740074179315"/>
    <n v="-1.3656489922896133"/>
    <b v="0"/>
  </r>
  <r>
    <n v="509"/>
    <d v="2011-01-23T00:00:00"/>
    <n v="1"/>
    <n v="0"/>
    <x v="0"/>
    <x v="7"/>
    <b v="0"/>
    <x v="1"/>
    <x v="1"/>
    <x v="0"/>
    <s v="Morning"/>
    <n v="1"/>
    <x v="0"/>
    <n v="0.08"/>
    <s v="Cold"/>
    <n v="0.1061"/>
    <n v="0.57999999999999996"/>
    <n v="0.16420000000000001"/>
    <s v="Light Breeze"/>
    <n v="1"/>
    <n v="1"/>
    <n v="2"/>
    <n v="41.541666666666664"/>
    <n v="29.686740074179315"/>
    <n v="-1.3319639195096022"/>
    <b v="0"/>
  </r>
  <r>
    <n v="510"/>
    <d v="2011-01-23T00:00:00"/>
    <n v="1"/>
    <n v="0"/>
    <x v="0"/>
    <x v="8"/>
    <b v="0"/>
    <x v="1"/>
    <x v="1"/>
    <x v="0"/>
    <s v="Morning"/>
    <n v="1"/>
    <x v="0"/>
    <n v="0.06"/>
    <s v="Cold"/>
    <n v="7.5800000000000006E-2"/>
    <n v="0.62"/>
    <n v="0.16420000000000001"/>
    <s v="Light Breeze"/>
    <n v="2"/>
    <n v="17"/>
    <n v="19"/>
    <n v="42"/>
    <n v="29.22774143797665"/>
    <n v="-0.78692361668819466"/>
    <b v="0"/>
  </r>
  <r>
    <n v="511"/>
    <d v="2011-01-23T00:00:00"/>
    <n v="1"/>
    <n v="0"/>
    <x v="0"/>
    <x v="9"/>
    <b v="0"/>
    <x v="1"/>
    <x v="1"/>
    <x v="0"/>
    <s v="Morning"/>
    <n v="1"/>
    <x v="0"/>
    <n v="0.1"/>
    <s v="Cold"/>
    <n v="7.5800000000000006E-2"/>
    <n v="0.54"/>
    <n v="0.35820000000000002"/>
    <s v="Gale"/>
    <n v="3"/>
    <n v="25"/>
    <n v="28"/>
    <n v="42.041666666666664"/>
    <n v="29.206132719101944"/>
    <n v="-0.48077802020953186"/>
    <b v="0"/>
  </r>
  <r>
    <n v="512"/>
    <d v="2011-01-23T00:00:00"/>
    <n v="1"/>
    <n v="0"/>
    <x v="0"/>
    <x v="10"/>
    <b v="0"/>
    <x v="1"/>
    <x v="1"/>
    <x v="0"/>
    <s v="Morning"/>
    <n v="1"/>
    <x v="0"/>
    <n v="0.14000000000000001"/>
    <s v="Cold"/>
    <n v="0.1061"/>
    <n v="0.46"/>
    <n v="0.3881"/>
    <s v="Gale"/>
    <n v="7"/>
    <n v="51"/>
    <n v="58"/>
    <n v="42.791666666666664"/>
    <n v="29.382010418483691"/>
    <n v="0.51760696823407459"/>
    <b v="0"/>
  </r>
  <r>
    <n v="513"/>
    <d v="2011-01-23T00:00:00"/>
    <n v="1"/>
    <n v="0"/>
    <x v="0"/>
    <x v="11"/>
    <b v="0"/>
    <x v="1"/>
    <x v="1"/>
    <x v="0"/>
    <s v="Morning"/>
    <n v="1"/>
    <x v="0"/>
    <n v="0.14000000000000001"/>
    <s v="Cold"/>
    <n v="0.13639999999999999"/>
    <n v="0.43"/>
    <n v="0.22389999999999999"/>
    <s v="Light Breeze"/>
    <n v="22"/>
    <n v="77"/>
    <n v="99"/>
    <n v="44.708333333333336"/>
    <n v="31.50083389740475"/>
    <n v="1.7234993474613882"/>
    <b v="0"/>
  </r>
  <r>
    <n v="514"/>
    <d v="2011-01-23T00:00:00"/>
    <n v="1"/>
    <n v="0"/>
    <x v="0"/>
    <x v="12"/>
    <b v="0"/>
    <x v="1"/>
    <x v="1"/>
    <x v="0"/>
    <s v="Midday"/>
    <n v="1"/>
    <x v="0"/>
    <n v="0.16"/>
    <s v="Cold"/>
    <n v="0.1212"/>
    <n v="0.37"/>
    <n v="0.4627"/>
    <s v="Gale"/>
    <n v="24"/>
    <n v="92"/>
    <n v="116"/>
    <n v="46.916666666666664"/>
    <n v="34.549166813922326"/>
    <n v="1.9995658276046975"/>
    <b v="0"/>
  </r>
  <r>
    <n v="515"/>
    <d v="2011-01-23T00:00:00"/>
    <n v="1"/>
    <n v="0"/>
    <x v="0"/>
    <x v="13"/>
    <b v="0"/>
    <x v="1"/>
    <x v="1"/>
    <x v="0"/>
    <s v="Midday"/>
    <n v="1"/>
    <x v="0"/>
    <n v="0.14000000000000001"/>
    <s v="Cold"/>
    <n v="0.1061"/>
    <n v="0.33"/>
    <n v="0.3881"/>
    <s v="Gale"/>
    <n v="12"/>
    <n v="75"/>
    <n v="87"/>
    <n v="47.625"/>
    <n v="35.21093271426782"/>
    <n v="1.1182606356816234"/>
    <b v="0"/>
  </r>
  <r>
    <n v="516"/>
    <d v="2011-01-23T00:00:00"/>
    <n v="1"/>
    <n v="0"/>
    <x v="0"/>
    <x v="14"/>
    <b v="0"/>
    <x v="1"/>
    <x v="1"/>
    <x v="0"/>
    <s v="Midday"/>
    <n v="1"/>
    <x v="0"/>
    <n v="0.16"/>
    <s v="Cold"/>
    <n v="0.13639999999999999"/>
    <n v="0.28000000000000003"/>
    <n v="0.35820000000000002"/>
    <s v="Gale"/>
    <n v="17"/>
    <n v="93"/>
    <n v="110"/>
    <n v="48.708333333333336"/>
    <n v="36.74527969290947"/>
    <n v="1.6680146995450349"/>
    <b v="0"/>
  </r>
  <r>
    <n v="517"/>
    <d v="2011-01-23T00:00:00"/>
    <n v="1"/>
    <n v="0"/>
    <x v="0"/>
    <x v="15"/>
    <b v="0"/>
    <x v="1"/>
    <x v="1"/>
    <x v="0"/>
    <s v="Midday"/>
    <n v="1"/>
    <x v="0"/>
    <n v="0.16"/>
    <s v="Cold"/>
    <n v="0.13639999999999999"/>
    <n v="0.28000000000000003"/>
    <n v="0.35820000000000002"/>
    <s v="Gale"/>
    <n v="13"/>
    <n v="64"/>
    <n v="77"/>
    <n v="48.791666666666664"/>
    <n v="36.809709454774669"/>
    <n v="0.76632860598888453"/>
    <b v="0"/>
  </r>
  <r>
    <n v="518"/>
    <d v="2011-01-23T00:00:00"/>
    <n v="1"/>
    <n v="0"/>
    <x v="0"/>
    <x v="16"/>
    <b v="0"/>
    <x v="1"/>
    <x v="1"/>
    <x v="0"/>
    <s v="Midday"/>
    <n v="1"/>
    <x v="0"/>
    <n v="0.16"/>
    <s v="Cold"/>
    <n v="0.13639999999999999"/>
    <n v="0.26"/>
    <n v="0.32840000000000003"/>
    <s v="Gale"/>
    <n v="9"/>
    <n v="56"/>
    <n v="65"/>
    <n v="47.208333333333336"/>
    <n v="35.156765897986084"/>
    <n v="0.50606664783366317"/>
    <b v="0"/>
  </r>
  <r>
    <n v="519"/>
    <d v="2011-01-23T00:00:00"/>
    <n v="1"/>
    <n v="0"/>
    <x v="0"/>
    <x v="17"/>
    <b v="0"/>
    <x v="1"/>
    <x v="1"/>
    <x v="0"/>
    <s v="Evening"/>
    <n v="1"/>
    <x v="0"/>
    <n v="0.14000000000000001"/>
    <s v="Cold"/>
    <n v="0.1061"/>
    <n v="0.26"/>
    <n v="0.3881"/>
    <s v="Gale"/>
    <n v="5"/>
    <n v="50"/>
    <n v="55"/>
    <n v="46.041666666666664"/>
    <n v="34.37324435569375"/>
    <n v="0.26061937129450613"/>
    <b v="0"/>
  </r>
  <r>
    <n v="520"/>
    <d v="2011-01-23T00:00:00"/>
    <n v="1"/>
    <n v="0"/>
    <x v="0"/>
    <x v="18"/>
    <b v="0"/>
    <x v="1"/>
    <x v="1"/>
    <x v="0"/>
    <s v="Evening"/>
    <n v="1"/>
    <x v="0"/>
    <n v="0.12"/>
    <s v="Cold"/>
    <n v="0.1212"/>
    <n v="0.3"/>
    <n v="0.25369999999999998"/>
    <s v="Light Breeze"/>
    <n v="5"/>
    <n v="44"/>
    <n v="49"/>
    <n v="45.291666666666664"/>
    <n v="34.091283045818983"/>
    <n v="0.10877658457"/>
    <b v="0"/>
  </r>
  <r>
    <n v="521"/>
    <d v="2011-01-23T00:00:00"/>
    <n v="1"/>
    <n v="0"/>
    <x v="0"/>
    <x v="19"/>
    <b v="0"/>
    <x v="1"/>
    <x v="1"/>
    <x v="0"/>
    <s v="Evening"/>
    <n v="1"/>
    <x v="0"/>
    <n v="0.12"/>
    <s v="Cold"/>
    <n v="0.1212"/>
    <n v="0.3"/>
    <n v="0.28360000000000002"/>
    <s v="Light Breeze"/>
    <n v="5"/>
    <n v="45"/>
    <n v="50"/>
    <n v="45.125"/>
    <n v="34.056618459112542"/>
    <n v="0.14314398259629896"/>
    <b v="0"/>
  </r>
  <r>
    <n v="522"/>
    <d v="2011-01-23T00:00:00"/>
    <n v="1"/>
    <n v="0"/>
    <x v="0"/>
    <x v="20"/>
    <b v="0"/>
    <x v="1"/>
    <x v="1"/>
    <x v="0"/>
    <s v="Evening"/>
    <n v="1"/>
    <x v="0"/>
    <n v="0.1"/>
    <s v="Cold"/>
    <n v="0.1061"/>
    <n v="0.36"/>
    <n v="0.25369999999999998"/>
    <s v="Light Breeze"/>
    <n v="4"/>
    <n v="31"/>
    <n v="35"/>
    <n v="44.125"/>
    <n v="33.983771702541119"/>
    <n v="-0.26851051377907187"/>
    <b v="0"/>
  </r>
  <r>
    <n v="523"/>
    <d v="2011-01-23T00:00:00"/>
    <n v="1"/>
    <n v="0"/>
    <x v="0"/>
    <x v="21"/>
    <b v="0"/>
    <x v="1"/>
    <x v="1"/>
    <x v="0"/>
    <s v="Night"/>
    <n v="1"/>
    <x v="0"/>
    <n v="0.1"/>
    <s v="Cold"/>
    <n v="0.1061"/>
    <n v="0.36"/>
    <n v="0.19400000000000001"/>
    <s v="Light Breeze"/>
    <n v="5"/>
    <n v="20"/>
    <n v="25"/>
    <n v="43.291666666666664"/>
    <n v="34.205871815620583"/>
    <n v="-0.53475224269283272"/>
    <b v="0"/>
  </r>
  <r>
    <n v="524"/>
    <d v="2011-01-23T00:00:00"/>
    <n v="1"/>
    <n v="0"/>
    <x v="0"/>
    <x v="22"/>
    <b v="0"/>
    <x v="1"/>
    <x v="1"/>
    <x v="0"/>
    <s v="Night"/>
    <n v="1"/>
    <x v="0"/>
    <n v="0.08"/>
    <s v="Cold"/>
    <n v="9.0899999999999995E-2"/>
    <n v="0.38"/>
    <n v="0.19400000000000001"/>
    <s v="Light Breeze"/>
    <n v="5"/>
    <n v="23"/>
    <n v="28"/>
    <n v="42.833333333333336"/>
    <n v="34.339312832336958"/>
    <n v="-0.43196360409882595"/>
    <b v="0"/>
  </r>
  <r>
    <n v="525"/>
    <d v="2011-01-23T00:00:00"/>
    <n v="1"/>
    <n v="0"/>
    <x v="0"/>
    <x v="23"/>
    <b v="0"/>
    <x v="1"/>
    <x v="1"/>
    <x v="0"/>
    <s v="Night"/>
    <n v="1"/>
    <x v="0"/>
    <n v="0.06"/>
    <s v="Cold"/>
    <n v="6.0600000000000001E-2"/>
    <n v="0.41"/>
    <n v="0.22389999999999999"/>
    <s v="Light Breeze"/>
    <n v="4"/>
    <n v="17"/>
    <n v="21"/>
    <n v="42.458333333333336"/>
    <n v="34.534140847253916"/>
    <n v="-0.62136577910666801"/>
    <b v="0"/>
  </r>
  <r>
    <n v="526"/>
    <d v="2011-01-24T00:00:00"/>
    <n v="1"/>
    <n v="0"/>
    <x v="0"/>
    <x v="0"/>
    <b v="0"/>
    <x v="2"/>
    <x v="2"/>
    <x v="1"/>
    <s v="Night"/>
    <n v="1"/>
    <x v="0"/>
    <n v="0.06"/>
    <s v="Cold"/>
    <n v="6.0600000000000001E-2"/>
    <n v="0.41"/>
    <n v="0.19400000000000001"/>
    <s v="Light Breeze"/>
    <n v="0"/>
    <n v="7"/>
    <n v="7"/>
    <n v="41.375"/>
    <n v="35.244256393001855"/>
    <n v="-0.9753362254743313"/>
    <b v="0"/>
  </r>
  <r>
    <n v="527"/>
    <d v="2011-01-24T00:00:00"/>
    <n v="1"/>
    <n v="0"/>
    <x v="0"/>
    <x v="1"/>
    <b v="0"/>
    <x v="2"/>
    <x v="2"/>
    <x v="1"/>
    <s v="Night"/>
    <n v="1"/>
    <x v="0"/>
    <n v="0.04"/>
    <s v="Cold"/>
    <n v="4.5499999999999999E-2"/>
    <n v="0.45"/>
    <n v="0.19400000000000001"/>
    <s v="Light Breeze"/>
    <n v="0"/>
    <n v="1"/>
    <n v="1"/>
    <n v="40.5"/>
    <n v="35.998792250272238"/>
    <n v="-1.0972590337305352"/>
    <b v="0"/>
  </r>
  <r>
    <n v="528"/>
    <d v="2011-01-24T00:00:00"/>
    <n v="1"/>
    <n v="0"/>
    <x v="0"/>
    <x v="3"/>
    <b v="0"/>
    <x v="2"/>
    <x v="2"/>
    <x v="1"/>
    <s v="Night"/>
    <n v="1"/>
    <x v="0"/>
    <n v="0.04"/>
    <s v="Cold"/>
    <n v="3.0300000000000001E-2"/>
    <n v="0.45"/>
    <n v="0.25369999999999998"/>
    <s v="Light Breeze"/>
    <n v="0"/>
    <n v="1"/>
    <n v="1"/>
    <n v="40"/>
    <n v="36.477509449689322"/>
    <n v="-1.0691519401506773"/>
    <b v="0"/>
  </r>
  <r>
    <n v="529"/>
    <d v="2011-01-24T00:00:00"/>
    <n v="1"/>
    <n v="0"/>
    <x v="0"/>
    <x v="4"/>
    <b v="0"/>
    <x v="2"/>
    <x v="2"/>
    <x v="1"/>
    <s v="Night"/>
    <n v="1"/>
    <x v="0"/>
    <n v="0.02"/>
    <s v="Cold"/>
    <n v="6.0600000000000001E-2"/>
    <n v="0.48"/>
    <n v="0.1343"/>
    <s v="Light Breeze"/>
    <n v="0"/>
    <n v="1"/>
    <n v="1"/>
    <n v="39.291666666666664"/>
    <n v="37.083312978336707"/>
    <n v="-1.0325848364474839"/>
    <b v="0"/>
  </r>
  <r>
    <n v="530"/>
    <d v="2011-01-24T00:00:00"/>
    <n v="1"/>
    <n v="0"/>
    <x v="0"/>
    <x v="5"/>
    <b v="0"/>
    <x v="2"/>
    <x v="2"/>
    <x v="1"/>
    <s v="Night"/>
    <n v="1"/>
    <x v="0"/>
    <n v="0.02"/>
    <s v="Cold"/>
    <n v="6.0600000000000001E-2"/>
    <n v="0.48"/>
    <n v="0.1343"/>
    <s v="Light Breeze"/>
    <n v="0"/>
    <n v="5"/>
    <n v="5"/>
    <n v="39.291666666666664"/>
    <n v="37.083312978336707"/>
    <n v="-0.92471960870106551"/>
    <b v="0"/>
  </r>
  <r>
    <n v="531"/>
    <d v="2011-01-24T00:00:00"/>
    <n v="1"/>
    <n v="0"/>
    <x v="0"/>
    <x v="6"/>
    <b v="0"/>
    <x v="2"/>
    <x v="2"/>
    <x v="1"/>
    <s v="Morning"/>
    <n v="1"/>
    <x v="0"/>
    <n v="0.02"/>
    <s v="Cold"/>
    <n v="7.5800000000000006E-2"/>
    <n v="0.48"/>
    <n v="8.9599999999999999E-2"/>
    <s v="Calm"/>
    <n v="0"/>
    <n v="15"/>
    <n v="15"/>
    <n v="39.791666666666664"/>
    <n v="36.651091883215216"/>
    <n v="-0.67642368597537716"/>
    <b v="0"/>
  </r>
  <r>
    <n v="532"/>
    <d v="2011-01-24T00:00:00"/>
    <n v="1"/>
    <n v="0"/>
    <x v="0"/>
    <x v="7"/>
    <b v="0"/>
    <x v="2"/>
    <x v="2"/>
    <x v="1"/>
    <s v="Morning"/>
    <n v="1"/>
    <x v="0"/>
    <n v="0.02"/>
    <s v="Cold"/>
    <n v="0.1212"/>
    <n v="0.48"/>
    <n v="0"/>
    <s v="Calm"/>
    <n v="5"/>
    <n v="79"/>
    <n v="84"/>
    <n v="43.25"/>
    <n v="36.747374943217253"/>
    <n v="1.108922747896079"/>
    <b v="0"/>
  </r>
  <r>
    <n v="533"/>
    <d v="2011-01-24T00:00:00"/>
    <n v="1"/>
    <n v="0"/>
    <x v="0"/>
    <x v="8"/>
    <b v="0"/>
    <x v="2"/>
    <x v="2"/>
    <x v="1"/>
    <s v="Morning"/>
    <n v="1"/>
    <x v="0"/>
    <n v="0.04"/>
    <s v="Cold"/>
    <n v="0.13639999999999999"/>
    <n v="0.49"/>
    <n v="0"/>
    <s v="Calm"/>
    <n v="6"/>
    <n v="171"/>
    <n v="177"/>
    <n v="50.541666666666664"/>
    <n v="44.706753858670062"/>
    <n v="2.8286181039469285"/>
    <b v="0"/>
  </r>
  <r>
    <n v="534"/>
    <d v="2011-01-24T00:00:00"/>
    <n v="1"/>
    <n v="0"/>
    <x v="0"/>
    <x v="9"/>
    <b v="0"/>
    <x v="2"/>
    <x v="2"/>
    <x v="1"/>
    <s v="Morning"/>
    <n v="1"/>
    <x v="0"/>
    <n v="0.06"/>
    <s v="Cold"/>
    <n v="0.1515"/>
    <n v="0.41"/>
    <n v="0"/>
    <s v="Calm"/>
    <n v="4"/>
    <n v="98"/>
    <n v="102"/>
    <n v="54"/>
    <n v="45.366143284631754"/>
    <n v="1.0580577612437356"/>
    <b v="0"/>
  </r>
  <r>
    <n v="535"/>
    <d v="2011-01-24T00:00:00"/>
    <n v="1"/>
    <n v="0"/>
    <x v="0"/>
    <x v="10"/>
    <b v="0"/>
    <x v="2"/>
    <x v="2"/>
    <x v="1"/>
    <s v="Morning"/>
    <n v="1"/>
    <x v="0"/>
    <n v="0.1"/>
    <s v="Cold"/>
    <n v="0.13639999999999999"/>
    <n v="0.42"/>
    <n v="0"/>
    <s v="Calm"/>
    <n v="6"/>
    <n v="34"/>
    <n v="40"/>
    <n v="54.5"/>
    <n v="45.132654716281984"/>
    <n v="-0.32127514082988351"/>
    <b v="0"/>
  </r>
  <r>
    <n v="536"/>
    <d v="2011-01-24T00:00:00"/>
    <n v="1"/>
    <n v="0"/>
    <x v="0"/>
    <x v="11"/>
    <b v="0"/>
    <x v="2"/>
    <x v="2"/>
    <x v="1"/>
    <s v="Morning"/>
    <n v="1"/>
    <x v="0"/>
    <n v="0.1"/>
    <s v="Cold"/>
    <n v="0.1212"/>
    <n v="0.46"/>
    <n v="0.1343"/>
    <s v="Light Breeze"/>
    <n v="3"/>
    <n v="43"/>
    <n v="46"/>
    <n v="54"/>
    <n v="45.158657506906543"/>
    <n v="-0.17715318483009562"/>
    <b v="0"/>
  </r>
  <r>
    <n v="537"/>
    <d v="2011-01-24T00:00:00"/>
    <n v="1"/>
    <n v="0"/>
    <x v="0"/>
    <x v="12"/>
    <b v="0"/>
    <x v="2"/>
    <x v="2"/>
    <x v="1"/>
    <s v="Midday"/>
    <n v="2"/>
    <x v="1"/>
    <n v="0.12"/>
    <s v="Cold"/>
    <n v="0.13639999999999999"/>
    <n v="0.42"/>
    <n v="0.19400000000000001"/>
    <s v="Light Breeze"/>
    <n v="11"/>
    <n v="52"/>
    <n v="63"/>
    <n v="52.5"/>
    <n v="44.186364215770183"/>
    <n v="0.23762987035381683"/>
    <b v="0"/>
  </r>
  <r>
    <n v="538"/>
    <d v="2011-01-24T00:00:00"/>
    <n v="1"/>
    <n v="0"/>
    <x v="0"/>
    <x v="13"/>
    <b v="0"/>
    <x v="2"/>
    <x v="2"/>
    <x v="1"/>
    <s v="Midday"/>
    <n v="2"/>
    <x v="1"/>
    <n v="0.14000000000000001"/>
    <s v="Cold"/>
    <n v="0.13639999999999999"/>
    <n v="0.43"/>
    <n v="0.22389999999999999"/>
    <s v="Light Breeze"/>
    <n v="6"/>
    <n v="54"/>
    <n v="60"/>
    <n v="50.166666666666664"/>
    <n v="42.117502988318464"/>
    <n v="0.23347379677424535"/>
    <b v="0"/>
  </r>
  <r>
    <n v="539"/>
    <d v="2011-01-24T00:00:00"/>
    <n v="1"/>
    <n v="0"/>
    <x v="0"/>
    <x v="14"/>
    <b v="0"/>
    <x v="2"/>
    <x v="2"/>
    <x v="1"/>
    <s v="Midday"/>
    <n v="2"/>
    <x v="1"/>
    <n v="0.14000000000000001"/>
    <s v="Cold"/>
    <n v="0.13639999999999999"/>
    <n v="0.46"/>
    <n v="0.22389999999999999"/>
    <s v="Light Breeze"/>
    <n v="2"/>
    <n v="43"/>
    <n v="45"/>
    <n v="48.416666666666664"/>
    <n v="41.386740857919456"/>
    <n v="-8.2554620050804911E-2"/>
    <b v="0"/>
  </r>
  <r>
    <n v="540"/>
    <d v="2011-01-24T00:00:00"/>
    <n v="1"/>
    <n v="0"/>
    <x v="0"/>
    <x v="15"/>
    <b v="0"/>
    <x v="2"/>
    <x v="2"/>
    <x v="1"/>
    <s v="Midday"/>
    <n v="1"/>
    <x v="0"/>
    <n v="0.16"/>
    <s v="Cold"/>
    <n v="0.16669999999999999"/>
    <n v="0.4"/>
    <n v="0.16420000000000001"/>
    <s v="Light Breeze"/>
    <n v="7"/>
    <n v="50"/>
    <n v="57"/>
    <n v="46.208333333333336"/>
    <n v="39.320289227414598"/>
    <n v="0.27445542438031151"/>
    <b v="0"/>
  </r>
  <r>
    <n v="541"/>
    <d v="2011-01-24T00:00:00"/>
    <n v="1"/>
    <n v="0"/>
    <x v="0"/>
    <x v="16"/>
    <b v="0"/>
    <x v="2"/>
    <x v="2"/>
    <x v="1"/>
    <s v="Midday"/>
    <n v="1"/>
    <x v="0"/>
    <n v="0.16"/>
    <s v="Cold"/>
    <n v="0.1515"/>
    <n v="0.47"/>
    <n v="0.25369999999999998"/>
    <s v="Light Breeze"/>
    <n v="4"/>
    <n v="66"/>
    <n v="70"/>
    <n v="45.916666666666664"/>
    <n v="39.107340205785086"/>
    <n v="0.61582642047772729"/>
    <b v="0"/>
  </r>
  <r>
    <n v="542"/>
    <d v="2011-01-24T00:00:00"/>
    <n v="1"/>
    <n v="0"/>
    <x v="0"/>
    <x v="17"/>
    <b v="0"/>
    <x v="2"/>
    <x v="2"/>
    <x v="1"/>
    <s v="Evening"/>
    <n v="1"/>
    <x v="0"/>
    <n v="0.14000000000000001"/>
    <s v="Cold"/>
    <n v="0.1212"/>
    <n v="0.5"/>
    <n v="0.25369999999999998"/>
    <s v="Light Breeze"/>
    <n v="6"/>
    <n v="178"/>
    <n v="184"/>
    <n v="50.875"/>
    <n v="48.134153562002467"/>
    <n v="2.765707717878934"/>
    <b v="0"/>
  </r>
  <r>
    <n v="543"/>
    <d v="2011-01-24T00:00:00"/>
    <n v="1"/>
    <n v="0"/>
    <x v="0"/>
    <x v="18"/>
    <b v="0"/>
    <x v="2"/>
    <x v="2"/>
    <x v="1"/>
    <s v="Evening"/>
    <n v="1"/>
    <x v="0"/>
    <n v="0.14000000000000001"/>
    <s v="Cold"/>
    <n v="0.13639999999999999"/>
    <n v="0.59"/>
    <n v="0.19400000000000001"/>
    <s v="Light Breeze"/>
    <n v="8"/>
    <n v="145"/>
    <n v="153"/>
    <n v="54.958333333333336"/>
    <n v="52.46156287902739"/>
    <n v="1.8688285534448092"/>
    <b v="0"/>
  </r>
  <r>
    <n v="544"/>
    <d v="2011-01-24T00:00:00"/>
    <n v="1"/>
    <n v="0"/>
    <x v="0"/>
    <x v="19"/>
    <b v="0"/>
    <x v="2"/>
    <x v="2"/>
    <x v="1"/>
    <s v="Evening"/>
    <n v="1"/>
    <x v="0"/>
    <n v="0.14000000000000001"/>
    <s v="Cold"/>
    <n v="0.1515"/>
    <n v="0.54"/>
    <n v="0.16420000000000001"/>
    <s v="Light Breeze"/>
    <n v="5"/>
    <n v="101"/>
    <n v="106"/>
    <n v="57.333333333333336"/>
    <n v="53.460807803609669"/>
    <n v="0.91032419198463166"/>
    <b v="0"/>
  </r>
  <r>
    <n v="545"/>
    <d v="2011-01-24T00:00:00"/>
    <n v="1"/>
    <n v="0"/>
    <x v="0"/>
    <x v="20"/>
    <b v="0"/>
    <x v="2"/>
    <x v="2"/>
    <x v="1"/>
    <s v="Evening"/>
    <n v="1"/>
    <x v="0"/>
    <n v="0.14000000000000001"/>
    <s v="Cold"/>
    <n v="0.13639999999999999"/>
    <n v="0.59"/>
    <n v="0.19400000000000001"/>
    <s v="Light Breeze"/>
    <n v="1"/>
    <n v="80"/>
    <n v="81"/>
    <n v="58.625"/>
    <n v="53.650084079515949"/>
    <n v="0.41705433241889295"/>
    <b v="0"/>
  </r>
  <r>
    <n v="546"/>
    <d v="2011-01-24T00:00:00"/>
    <n v="1"/>
    <n v="0"/>
    <x v="0"/>
    <x v="21"/>
    <b v="0"/>
    <x v="2"/>
    <x v="2"/>
    <x v="1"/>
    <s v="Night"/>
    <n v="1"/>
    <x v="0"/>
    <n v="0.14000000000000001"/>
    <s v="Cold"/>
    <n v="0.1515"/>
    <n v="0.63"/>
    <n v="0.16420000000000001"/>
    <s v="Light Breeze"/>
    <n v="6"/>
    <n v="53"/>
    <n v="59"/>
    <n v="59.625"/>
    <n v="53.413735816857482"/>
    <n v="-1.1701110031752334E-2"/>
    <b v="0"/>
  </r>
  <r>
    <n v="547"/>
    <d v="2011-01-24T00:00:00"/>
    <n v="1"/>
    <n v="0"/>
    <x v="0"/>
    <x v="22"/>
    <b v="0"/>
    <x v="2"/>
    <x v="2"/>
    <x v="1"/>
    <s v="Night"/>
    <n v="2"/>
    <x v="1"/>
    <n v="0.14000000000000001"/>
    <s v="Cold"/>
    <n v="0.13639999999999999"/>
    <n v="0.63"/>
    <n v="0.22389999999999999"/>
    <s v="Light Breeze"/>
    <n v="3"/>
    <n v="32"/>
    <n v="35"/>
    <n v="60.041666666666664"/>
    <n v="53.170340838925753"/>
    <n v="-0.47097058757866339"/>
    <b v="0"/>
  </r>
  <r>
    <n v="548"/>
    <d v="2011-01-24T00:00:00"/>
    <n v="1"/>
    <n v="0"/>
    <x v="0"/>
    <x v="23"/>
    <b v="0"/>
    <x v="2"/>
    <x v="2"/>
    <x v="1"/>
    <s v="Night"/>
    <n v="2"/>
    <x v="1"/>
    <n v="0.16"/>
    <s v="Cold"/>
    <n v="0.1515"/>
    <n v="0.64"/>
    <n v="0.25369999999999998"/>
    <s v="Light Breeze"/>
    <n v="3"/>
    <n v="21"/>
    <n v="24"/>
    <n v="59.875"/>
    <n v="53.281298211759399"/>
    <n v="-0.67331317374099275"/>
    <b v="0"/>
  </r>
  <r>
    <n v="549"/>
    <d v="2011-01-25T00:00:00"/>
    <n v="1"/>
    <n v="0"/>
    <x v="0"/>
    <x v="0"/>
    <b v="0"/>
    <x v="3"/>
    <x v="3"/>
    <x v="1"/>
    <s v="Night"/>
    <n v="2"/>
    <x v="1"/>
    <n v="0.16"/>
    <s v="Cold"/>
    <n v="0.13639999999999999"/>
    <n v="0.69"/>
    <n v="0.28360000000000002"/>
    <s v="Light Breeze"/>
    <n v="3"/>
    <n v="6"/>
    <n v="9"/>
    <n v="59.375"/>
    <n v="53.716496130348439"/>
    <n v="-0.93779385531327353"/>
    <b v="0"/>
  </r>
  <r>
    <n v="550"/>
    <d v="2011-01-25T00:00:00"/>
    <n v="1"/>
    <n v="0"/>
    <x v="0"/>
    <x v="1"/>
    <b v="0"/>
    <x v="3"/>
    <x v="3"/>
    <x v="1"/>
    <s v="Night"/>
    <n v="2"/>
    <x v="1"/>
    <n v="0.16"/>
    <s v="Cold"/>
    <n v="0.16669999999999999"/>
    <n v="0.69"/>
    <n v="0.16420000000000001"/>
    <s v="Light Breeze"/>
    <n v="0"/>
    <n v="5"/>
    <n v="5"/>
    <n v="59.291666666666664"/>
    <n v="53.802763115295292"/>
    <n v="-1.009086959908057"/>
    <b v="0"/>
  </r>
  <r>
    <n v="551"/>
    <d v="2011-01-25T00:00:00"/>
    <n v="1"/>
    <n v="0"/>
    <x v="0"/>
    <x v="2"/>
    <b v="0"/>
    <x v="3"/>
    <x v="3"/>
    <x v="1"/>
    <s v="Night"/>
    <n v="1"/>
    <x v="0"/>
    <n v="0.16"/>
    <s v="Cold"/>
    <n v="0.1515"/>
    <n v="0.69"/>
    <n v="0.22389999999999999"/>
    <s v="Light Breeze"/>
    <n v="0"/>
    <n v="2"/>
    <n v="2"/>
    <n v="59.333333333333336"/>
    <n v="53.756024266379079"/>
    <n v="-1.0665471287316095"/>
    <b v="0"/>
  </r>
  <r>
    <n v="552"/>
    <d v="2011-01-25T00:00:00"/>
    <n v="1"/>
    <n v="0"/>
    <x v="0"/>
    <x v="4"/>
    <b v="0"/>
    <x v="3"/>
    <x v="3"/>
    <x v="1"/>
    <s v="Night"/>
    <n v="1"/>
    <x v="0"/>
    <n v="0.14000000000000001"/>
    <s v="Cold"/>
    <n v="0.16669999999999999"/>
    <n v="0.74"/>
    <n v="0.1045"/>
    <s v="Calm"/>
    <n v="0"/>
    <n v="1"/>
    <n v="1"/>
    <n v="59.333333333333336"/>
    <n v="53.756024266379079"/>
    <n v="-1.0851496949304167"/>
    <b v="0"/>
  </r>
  <r>
    <n v="553"/>
    <d v="2011-01-25T00:00:00"/>
    <n v="1"/>
    <n v="0"/>
    <x v="0"/>
    <x v="5"/>
    <b v="0"/>
    <x v="3"/>
    <x v="3"/>
    <x v="1"/>
    <s v="Night"/>
    <n v="1"/>
    <x v="0"/>
    <n v="0.14000000000000001"/>
    <s v="Cold"/>
    <n v="0.13639999999999999"/>
    <n v="0.74"/>
    <n v="0.22389999999999999"/>
    <s v="Light Breeze"/>
    <n v="0"/>
    <n v="9"/>
    <n v="9"/>
    <n v="59.666666666666664"/>
    <n v="53.402220004876902"/>
    <n v="-0.94877453899930719"/>
    <b v="0"/>
  </r>
  <r>
    <n v="554"/>
    <d v="2011-01-25T00:00:00"/>
    <n v="1"/>
    <n v="0"/>
    <x v="0"/>
    <x v="6"/>
    <b v="0"/>
    <x v="3"/>
    <x v="3"/>
    <x v="1"/>
    <s v="Morning"/>
    <n v="1"/>
    <x v="0"/>
    <n v="0.16"/>
    <s v="Cold"/>
    <n v="0.18179999999999999"/>
    <n v="0.74"/>
    <n v="0.1045"/>
    <s v="Calm"/>
    <n v="1"/>
    <n v="35"/>
    <n v="36"/>
    <n v="60.958333333333336"/>
    <n v="52.387750946908973"/>
    <n v="-0.47641543838418871"/>
    <b v="0"/>
  </r>
  <r>
    <n v="555"/>
    <d v="2011-01-25T00:00:00"/>
    <n v="1"/>
    <n v="0"/>
    <x v="0"/>
    <x v="7"/>
    <b v="0"/>
    <x v="3"/>
    <x v="3"/>
    <x v="1"/>
    <s v="Morning"/>
    <n v="1"/>
    <x v="0"/>
    <n v="0.16"/>
    <s v="Cold"/>
    <n v="0.1515"/>
    <n v="0.74"/>
    <n v="0.22389999999999999"/>
    <s v="Light Breeze"/>
    <n v="5"/>
    <n v="103"/>
    <n v="108"/>
    <n v="64.833333333333329"/>
    <n v="52.279904416487803"/>
    <n v="0.82568373351985247"/>
    <b v="0"/>
  </r>
  <r>
    <n v="556"/>
    <d v="2011-01-25T00:00:00"/>
    <n v="1"/>
    <n v="0"/>
    <x v="0"/>
    <x v="8"/>
    <b v="0"/>
    <x v="3"/>
    <x v="3"/>
    <x v="1"/>
    <s v="Morning"/>
    <n v="2"/>
    <x v="1"/>
    <n v="0.16"/>
    <s v="Cold"/>
    <n v="0.18179999999999999"/>
    <n v="0.74"/>
    <n v="0.1343"/>
    <s v="Light Breeze"/>
    <n v="5"/>
    <n v="233"/>
    <n v="238"/>
    <n v="71.25"/>
    <n v="63.071560462148348"/>
    <n v="2.6438223309866107"/>
    <b v="0"/>
  </r>
  <r>
    <n v="557"/>
    <d v="2011-01-25T00:00:00"/>
    <n v="1"/>
    <n v="0"/>
    <x v="0"/>
    <x v="9"/>
    <b v="0"/>
    <x v="3"/>
    <x v="3"/>
    <x v="1"/>
    <s v="Morning"/>
    <n v="2"/>
    <x v="1"/>
    <n v="0.2"/>
    <s v="Mild"/>
    <n v="0.2273"/>
    <n v="0.64"/>
    <n v="8.9599999999999999E-2"/>
    <s v="Calm"/>
    <n v="10"/>
    <n v="134"/>
    <n v="144"/>
    <n v="69.875"/>
    <n v="60.991312638697195"/>
    <n v="1.2153370175701033"/>
    <b v="0"/>
  </r>
  <r>
    <n v="558"/>
    <d v="2011-01-25T00:00:00"/>
    <n v="1"/>
    <n v="0"/>
    <x v="0"/>
    <x v="10"/>
    <b v="0"/>
    <x v="3"/>
    <x v="3"/>
    <x v="1"/>
    <s v="Morning"/>
    <n v="2"/>
    <x v="1"/>
    <n v="0.22"/>
    <s v="Mild"/>
    <n v="0.2424"/>
    <n v="0.6"/>
    <n v="0.1045"/>
    <s v="Calm"/>
    <n v="6"/>
    <n v="49"/>
    <n v="55"/>
    <n v="67.916666666666671"/>
    <n v="60.668677303836951"/>
    <n v="-0.21290503173455153"/>
    <b v="0"/>
  </r>
  <r>
    <n v="559"/>
    <d v="2011-01-25T00:00:00"/>
    <n v="1"/>
    <n v="0"/>
    <x v="0"/>
    <x v="11"/>
    <b v="0"/>
    <x v="3"/>
    <x v="3"/>
    <x v="1"/>
    <s v="Morning"/>
    <n v="2"/>
    <x v="1"/>
    <n v="0.24"/>
    <s v="Mild"/>
    <n v="0.2424"/>
    <n v="0.6"/>
    <n v="0.1343"/>
    <s v="Light Breeze"/>
    <n v="6"/>
    <n v="55"/>
    <n v="61"/>
    <n v="68.791666666666671"/>
    <n v="60.39938033562543"/>
    <n v="-0.12900242723303082"/>
    <b v="0"/>
  </r>
  <r>
    <n v="560"/>
    <d v="2011-01-25T00:00:00"/>
    <n v="1"/>
    <n v="0"/>
    <x v="0"/>
    <x v="12"/>
    <b v="0"/>
    <x v="3"/>
    <x v="3"/>
    <x v="1"/>
    <s v="Midday"/>
    <n v="2"/>
    <x v="1"/>
    <n v="0.26"/>
    <s v="Mild"/>
    <n v="0.28789999999999999"/>
    <n v="0.56000000000000005"/>
    <n v="8.9599999999999999E-2"/>
    <s v="Calm"/>
    <n v="21"/>
    <n v="85"/>
    <n v="106"/>
    <n v="71.291666666666671"/>
    <n v="60.656179416851465"/>
    <n v="0.57221430144495189"/>
    <b v="0"/>
  </r>
  <r>
    <n v="561"/>
    <d v="2011-01-25T00:00:00"/>
    <n v="1"/>
    <n v="0"/>
    <x v="0"/>
    <x v="13"/>
    <b v="0"/>
    <x v="3"/>
    <x v="3"/>
    <x v="1"/>
    <s v="Midday"/>
    <n v="2"/>
    <x v="1"/>
    <n v="0.26"/>
    <s v="Mild"/>
    <n v="0.2727"/>
    <n v="0.56000000000000005"/>
    <n v="0.1343"/>
    <s v="Light Breeze"/>
    <n v="21"/>
    <n v="72"/>
    <n v="93"/>
    <n v="72.541666666666671"/>
    <n v="60.786854390292859"/>
    <n v="0.33655851316103552"/>
    <b v="0"/>
  </r>
  <r>
    <n v="562"/>
    <d v="2011-01-25T00:00:00"/>
    <n v="1"/>
    <n v="0"/>
    <x v="0"/>
    <x v="14"/>
    <b v="0"/>
    <x v="3"/>
    <x v="3"/>
    <x v="1"/>
    <s v="Midday"/>
    <n v="2"/>
    <x v="1"/>
    <n v="0.3"/>
    <s v="Mild"/>
    <n v="0.33329999999999999"/>
    <n v="0.45"/>
    <n v="0"/>
    <s v="Calm"/>
    <n v="11"/>
    <n v="57"/>
    <n v="68"/>
    <n v="72.875"/>
    <n v="60.737004335513404"/>
    <n v="-8.0264083705385333E-2"/>
    <b v="0"/>
  </r>
  <r>
    <n v="563"/>
    <d v="2011-01-25T00:00:00"/>
    <n v="1"/>
    <n v="0"/>
    <x v="0"/>
    <x v="15"/>
    <b v="0"/>
    <x v="3"/>
    <x v="3"/>
    <x v="1"/>
    <s v="Midday"/>
    <n v="2"/>
    <x v="1"/>
    <n v="0.32"/>
    <s v="Mild"/>
    <n v="0.34849999999999998"/>
    <n v="0.42"/>
    <n v="0"/>
    <s v="Calm"/>
    <n v="21"/>
    <n v="63"/>
    <n v="84"/>
    <n v="74.5"/>
    <n v="60.479964343214696"/>
    <n v="0.15707681218343533"/>
    <b v="0"/>
  </r>
  <r>
    <n v="564"/>
    <d v="2011-01-25T00:00:00"/>
    <n v="1"/>
    <n v="0"/>
    <x v="0"/>
    <x v="16"/>
    <b v="0"/>
    <x v="3"/>
    <x v="3"/>
    <x v="1"/>
    <s v="Midday"/>
    <n v="2"/>
    <x v="1"/>
    <n v="0.32"/>
    <s v="Mild"/>
    <n v="0.34849999999999998"/>
    <n v="0.42"/>
    <n v="0"/>
    <s v="Calm"/>
    <n v="14"/>
    <n v="102"/>
    <n v="116"/>
    <n v="76.958333333333329"/>
    <n v="60.93508960301557"/>
    <n v="0.64070910408137927"/>
    <b v="0"/>
  </r>
  <r>
    <n v="565"/>
    <d v="2011-01-25T00:00:00"/>
    <n v="1"/>
    <n v="0"/>
    <x v="0"/>
    <x v="17"/>
    <b v="0"/>
    <x v="3"/>
    <x v="3"/>
    <x v="1"/>
    <s v="Evening"/>
    <n v="1"/>
    <x v="0"/>
    <n v="0.3"/>
    <s v="Mild"/>
    <n v="0.33329999999999999"/>
    <n v="0.45"/>
    <n v="0"/>
    <s v="Calm"/>
    <n v="14"/>
    <n v="208"/>
    <n v="222"/>
    <n v="83.291666666666671"/>
    <n v="67.7036246969204"/>
    <n v="2.0487578612558783"/>
    <b v="0"/>
  </r>
  <r>
    <n v="566"/>
    <d v="2011-01-25T00:00:00"/>
    <n v="1"/>
    <n v="0"/>
    <x v="0"/>
    <x v="18"/>
    <b v="0"/>
    <x v="3"/>
    <x v="3"/>
    <x v="1"/>
    <s v="Evening"/>
    <n v="2"/>
    <x v="1"/>
    <n v="0.3"/>
    <s v="Mild"/>
    <n v="0.31819999999999998"/>
    <n v="0.49"/>
    <n v="8.9599999999999999E-2"/>
    <s v="Calm"/>
    <n v="7"/>
    <n v="218"/>
    <n v="225"/>
    <n v="85"/>
    <n v="70.80162120472518"/>
    <n v="1.9773558517139809"/>
    <b v="0"/>
  </r>
  <r>
    <n v="567"/>
    <d v="2011-01-25T00:00:00"/>
    <n v="1"/>
    <n v="0"/>
    <x v="0"/>
    <x v="19"/>
    <b v="0"/>
    <x v="3"/>
    <x v="3"/>
    <x v="1"/>
    <s v="Evening"/>
    <n v="2"/>
    <x v="1"/>
    <n v="0.26"/>
    <s v="Mild"/>
    <n v="0.2576"/>
    <n v="0.65"/>
    <n v="0.16420000000000001"/>
    <s v="Light Breeze"/>
    <n v="13"/>
    <n v="133"/>
    <n v="146"/>
    <n v="84.708333333333329"/>
    <n v="70.523187162352727"/>
    <n v="0.86909949951022492"/>
    <b v="0"/>
  </r>
  <r>
    <n v="568"/>
    <d v="2011-01-25T00:00:00"/>
    <n v="1"/>
    <n v="0"/>
    <x v="0"/>
    <x v="20"/>
    <b v="0"/>
    <x v="3"/>
    <x v="3"/>
    <x v="1"/>
    <s v="Evening"/>
    <n v="1"/>
    <x v="0"/>
    <n v="0.24"/>
    <s v="Mild"/>
    <n v="0.2273"/>
    <n v="0.65"/>
    <n v="0.19400000000000001"/>
    <s v="Light Breeze"/>
    <n v="16"/>
    <n v="103"/>
    <n v="119"/>
    <n v="85.25"/>
    <n v="70.743412659996892"/>
    <n v="0.47707622138908395"/>
    <b v="0"/>
  </r>
  <r>
    <n v="569"/>
    <d v="2011-01-25T00:00:00"/>
    <n v="1"/>
    <n v="0"/>
    <x v="0"/>
    <x v="21"/>
    <b v="0"/>
    <x v="3"/>
    <x v="3"/>
    <x v="1"/>
    <s v="Night"/>
    <n v="1"/>
    <x v="0"/>
    <n v="0.24"/>
    <s v="Mild"/>
    <n v="0.2273"/>
    <n v="0.65"/>
    <n v="0.19400000000000001"/>
    <s v="Light Breeze"/>
    <n v="5"/>
    <n v="40"/>
    <n v="45"/>
    <n v="83.75"/>
    <n v="71.217517385884037"/>
    <n v="-0.54410770583362966"/>
    <b v="0"/>
  </r>
  <r>
    <n v="570"/>
    <d v="2011-01-25T00:00:00"/>
    <n v="1"/>
    <n v="0"/>
    <x v="0"/>
    <x v="22"/>
    <b v="0"/>
    <x v="3"/>
    <x v="3"/>
    <x v="1"/>
    <s v="Night"/>
    <n v="1"/>
    <x v="0"/>
    <n v="0.22"/>
    <s v="Mild"/>
    <n v="0.2273"/>
    <n v="0.64"/>
    <n v="0.16420000000000001"/>
    <s v="Light Breeze"/>
    <n v="4"/>
    <n v="49"/>
    <n v="53"/>
    <n v="83.5"/>
    <n v="71.318635896145381"/>
    <n v="-0.42765820765857443"/>
    <b v="0"/>
  </r>
  <r>
    <n v="571"/>
    <d v="2011-01-25T00:00:00"/>
    <n v="1"/>
    <n v="0"/>
    <x v="0"/>
    <x v="23"/>
    <b v="0"/>
    <x v="3"/>
    <x v="3"/>
    <x v="1"/>
    <s v="Night"/>
    <n v="2"/>
    <x v="1"/>
    <n v="0.22"/>
    <s v="Mild"/>
    <n v="0.2273"/>
    <n v="0.64"/>
    <n v="0.16420000000000001"/>
    <s v="Light Breeze"/>
    <n v="3"/>
    <n v="37"/>
    <n v="40"/>
    <n v="83.708333333333329"/>
    <n v="71.177963838760419"/>
    <n v="-0.6140711391006618"/>
    <b v="0"/>
  </r>
  <r>
    <n v="572"/>
    <d v="2011-01-26T00:00:00"/>
    <n v="1"/>
    <n v="0"/>
    <x v="0"/>
    <x v="0"/>
    <b v="0"/>
    <x v="4"/>
    <x v="4"/>
    <x v="1"/>
    <s v="Night"/>
    <n v="2"/>
    <x v="1"/>
    <n v="0.22"/>
    <s v="Mild"/>
    <n v="0.2273"/>
    <n v="0.69"/>
    <n v="0.1343"/>
    <s v="Light Breeze"/>
    <n v="3"/>
    <n v="14"/>
    <n v="17"/>
    <n v="83.416666666666671"/>
    <n v="71.447102151151668"/>
    <n v="-0.92959216912894893"/>
    <b v="0"/>
  </r>
  <r>
    <n v="573"/>
    <d v="2011-01-26T00:00:00"/>
    <n v="1"/>
    <n v="0"/>
    <x v="0"/>
    <x v="1"/>
    <b v="0"/>
    <x v="4"/>
    <x v="4"/>
    <x v="1"/>
    <s v="Night"/>
    <n v="2"/>
    <x v="1"/>
    <n v="0.24"/>
    <s v="Mild"/>
    <n v="0.2424"/>
    <n v="0.65"/>
    <n v="0.1343"/>
    <s v="Light Breeze"/>
    <n v="0"/>
    <n v="5"/>
    <n v="5"/>
    <n v="83.25"/>
    <n v="71.6326680393435"/>
    <n v="-1.0923786889666318"/>
    <b v="0"/>
  </r>
  <r>
    <n v="574"/>
    <d v="2011-01-26T00:00:00"/>
    <n v="1"/>
    <n v="0"/>
    <x v="0"/>
    <x v="2"/>
    <b v="0"/>
    <x v="4"/>
    <x v="4"/>
    <x v="1"/>
    <s v="Night"/>
    <n v="3"/>
    <x v="2"/>
    <n v="0.22"/>
    <s v="Mild"/>
    <n v="0.2273"/>
    <n v="0.69"/>
    <n v="0.19400000000000001"/>
    <s v="Light Breeze"/>
    <n v="3"/>
    <n v="7"/>
    <n v="10"/>
    <n v="83.458333333333329"/>
    <n v="71.402094212782131"/>
    <n v="-1.0287980225681266"/>
    <b v="0"/>
  </r>
  <r>
    <n v="575"/>
    <d v="2011-01-26T00:00:00"/>
    <n v="1"/>
    <n v="0"/>
    <x v="0"/>
    <x v="5"/>
    <b v="0"/>
    <x v="4"/>
    <x v="4"/>
    <x v="1"/>
    <s v="Night"/>
    <n v="3"/>
    <x v="2"/>
    <n v="0.2"/>
    <s v="Mild"/>
    <n v="0.18179999999999999"/>
    <n v="0.86"/>
    <n v="0.28360000000000002"/>
    <s v="Light Breeze"/>
    <n v="0"/>
    <n v="1"/>
    <n v="1"/>
    <n v="83.416666666666671"/>
    <n v="71.451970287536611"/>
    <n v="-1.1534554797440293"/>
    <b v="0"/>
  </r>
  <r>
    <n v="576"/>
    <d v="2011-01-26T00:00:00"/>
    <n v="1"/>
    <n v="0"/>
    <x v="0"/>
    <x v="6"/>
    <b v="0"/>
    <x v="4"/>
    <x v="4"/>
    <x v="1"/>
    <s v="Morning"/>
    <n v="3"/>
    <x v="2"/>
    <n v="0.2"/>
    <s v="Mild"/>
    <n v="0.18179999999999999"/>
    <n v="0.86"/>
    <n v="0.28360000000000002"/>
    <s v="Light Breeze"/>
    <n v="0"/>
    <n v="8"/>
    <n v="8"/>
    <n v="83.708333333333329"/>
    <n v="71.114408230477565"/>
    <n v="-1.0645990765748501"/>
    <b v="0"/>
  </r>
  <r>
    <n v="577"/>
    <d v="2011-01-26T00:00:00"/>
    <n v="1"/>
    <n v="0"/>
    <x v="0"/>
    <x v="7"/>
    <b v="0"/>
    <x v="4"/>
    <x v="4"/>
    <x v="1"/>
    <s v="Morning"/>
    <n v="3"/>
    <x v="2"/>
    <n v="0.22"/>
    <s v="Mild"/>
    <n v="0.21210000000000001"/>
    <n v="0.87"/>
    <n v="0.29849999999999999"/>
    <s v="Light Breeze"/>
    <n v="1"/>
    <n v="29"/>
    <n v="30"/>
    <n v="84.583333333333329"/>
    <n v="70.279514404465957"/>
    <n v="-0.77666064991855999"/>
    <b v="0"/>
  </r>
  <r>
    <n v="578"/>
    <d v="2011-01-26T00:00:00"/>
    <n v="1"/>
    <n v="0"/>
    <x v="0"/>
    <x v="8"/>
    <b v="0"/>
    <x v="4"/>
    <x v="4"/>
    <x v="1"/>
    <s v="Morning"/>
    <n v="3"/>
    <x v="2"/>
    <n v="0.22"/>
    <s v="Mild"/>
    <n v="0.21210000000000001"/>
    <n v="0.87"/>
    <n v="0.29849999999999999"/>
    <s v="Light Breeze"/>
    <n v="3"/>
    <n v="69"/>
    <n v="72"/>
    <n v="86.083333333333329"/>
    <n v="69.578180404533413"/>
    <n v="-0.20241019887918368"/>
    <b v="0"/>
  </r>
  <r>
    <n v="579"/>
    <d v="2011-01-26T00:00:00"/>
    <n v="1"/>
    <n v="0"/>
    <x v="0"/>
    <x v="9"/>
    <b v="0"/>
    <x v="4"/>
    <x v="4"/>
    <x v="1"/>
    <s v="Morning"/>
    <n v="3"/>
    <x v="2"/>
    <n v="0.22"/>
    <s v="Mild"/>
    <n v="0.21210000000000001"/>
    <n v="0.87"/>
    <n v="0.29849999999999999"/>
    <s v="Light Breeze"/>
    <n v="3"/>
    <n v="55"/>
    <n v="58"/>
    <n v="84"/>
    <n v="69.641941385920603"/>
    <n v="-0.37333824248122377"/>
    <b v="0"/>
  </r>
  <r>
    <n v="580"/>
    <d v="2011-01-26T00:00:00"/>
    <n v="1"/>
    <n v="0"/>
    <x v="0"/>
    <x v="10"/>
    <b v="0"/>
    <x v="4"/>
    <x v="4"/>
    <x v="1"/>
    <s v="Morning"/>
    <n v="3"/>
    <x v="2"/>
    <n v="0.22"/>
    <s v="Mild"/>
    <n v="0.21210000000000001"/>
    <n v="0.93"/>
    <n v="0.28360000000000002"/>
    <s v="Light Breeze"/>
    <n v="2"/>
    <n v="26"/>
    <n v="28"/>
    <n v="75.25"/>
    <n v="62.252117128307546"/>
    <n v="-0.75901033056615963"/>
    <b v="0"/>
  </r>
  <r>
    <n v="581"/>
    <d v="2011-01-26T00:00:00"/>
    <n v="1"/>
    <n v="0"/>
    <x v="0"/>
    <x v="11"/>
    <b v="0"/>
    <x v="4"/>
    <x v="4"/>
    <x v="1"/>
    <s v="Morning"/>
    <n v="3"/>
    <x v="2"/>
    <n v="0.22"/>
    <s v="Mild"/>
    <n v="0.19700000000000001"/>
    <n v="0.93"/>
    <n v="0.32840000000000003"/>
    <s v="Gale"/>
    <n v="6"/>
    <n v="35"/>
    <n v="41"/>
    <n v="70.958333333333329"/>
    <n v="60.840832374795554"/>
    <n v="-0.4924050537110029"/>
    <b v="0"/>
  </r>
  <r>
    <n v="582"/>
    <d v="2011-01-26T00:00:00"/>
    <n v="1"/>
    <n v="0"/>
    <x v="0"/>
    <x v="12"/>
    <b v="0"/>
    <x v="4"/>
    <x v="4"/>
    <x v="1"/>
    <s v="Midday"/>
    <n v="3"/>
    <x v="2"/>
    <n v="0.22"/>
    <s v="Mild"/>
    <n v="0.19700000000000001"/>
    <n v="0.93"/>
    <n v="0.32840000000000003"/>
    <s v="Gale"/>
    <n v="7"/>
    <n v="41"/>
    <n v="48"/>
    <n v="70.666666666666671"/>
    <n v="60.937363898027122"/>
    <n v="-0.37196664274150715"/>
    <b v="0"/>
  </r>
  <r>
    <n v="583"/>
    <d v="2011-01-26T00:00:00"/>
    <n v="1"/>
    <n v="0"/>
    <x v="0"/>
    <x v="13"/>
    <b v="0"/>
    <x v="4"/>
    <x v="4"/>
    <x v="1"/>
    <s v="Midday"/>
    <n v="3"/>
    <x v="2"/>
    <n v="0.22"/>
    <s v="Mild"/>
    <n v="0.19700000000000001"/>
    <n v="0.93"/>
    <n v="0.32840000000000003"/>
    <s v="Gale"/>
    <n v="4"/>
    <n v="43"/>
    <n v="47"/>
    <n v="70.083333333333329"/>
    <n v="61.100712773659808"/>
    <n v="-0.37779155570316736"/>
    <b v="0"/>
  </r>
  <r>
    <n v="584"/>
    <d v="2011-01-26T00:00:00"/>
    <n v="1"/>
    <n v="0"/>
    <x v="0"/>
    <x v="14"/>
    <b v="0"/>
    <x v="4"/>
    <x v="4"/>
    <x v="1"/>
    <s v="Midday"/>
    <n v="3"/>
    <x v="2"/>
    <n v="0.22"/>
    <s v="Mild"/>
    <n v="0.19700000000000001"/>
    <n v="0.93"/>
    <n v="0.35820000000000002"/>
    <s v="Gale"/>
    <n v="0"/>
    <n v="36"/>
    <n v="36"/>
    <n v="67.166666666666671"/>
    <n v="60.982297264945217"/>
    <n v="-0.51107728085839721"/>
    <b v="0"/>
  </r>
  <r>
    <n v="585"/>
    <d v="2011-01-26T00:00:00"/>
    <n v="1"/>
    <n v="0"/>
    <x v="0"/>
    <x v="15"/>
    <b v="0"/>
    <x v="4"/>
    <x v="4"/>
    <x v="1"/>
    <s v="Midday"/>
    <n v="3"/>
    <x v="2"/>
    <n v="0.22"/>
    <s v="Mild"/>
    <n v="0.18179999999999999"/>
    <n v="0.93"/>
    <n v="0.4627"/>
    <s v="Gale"/>
    <n v="1"/>
    <n v="42"/>
    <n v="43"/>
    <n v="65.083333333333329"/>
    <n v="60.915420098667141"/>
    <n v="-0.36252451838244026"/>
    <b v="0"/>
  </r>
  <r>
    <n v="586"/>
    <d v="2011-01-26T00:00:00"/>
    <n v="1"/>
    <n v="0"/>
    <x v="0"/>
    <x v="16"/>
    <b v="0"/>
    <x v="4"/>
    <x v="4"/>
    <x v="1"/>
    <s v="Midday"/>
    <n v="4"/>
    <x v="3"/>
    <n v="0.22"/>
    <s v="Mild"/>
    <n v="0.19700000000000001"/>
    <n v="0.93"/>
    <n v="0.32840000000000003"/>
    <s v="Gale"/>
    <n v="1"/>
    <n v="35"/>
    <n v="36"/>
    <n v="63.75"/>
    <n v="61.198358886777207"/>
    <n v="-0.45344353189830044"/>
    <b v="0"/>
  </r>
  <r>
    <n v="587"/>
    <d v="2011-01-26T00:00:00"/>
    <n v="1"/>
    <n v="0"/>
    <x v="0"/>
    <x v="17"/>
    <b v="0"/>
    <x v="4"/>
    <x v="4"/>
    <x v="1"/>
    <s v="Evening"/>
    <n v="3"/>
    <x v="2"/>
    <n v="0.2"/>
    <s v="Mild"/>
    <n v="0.18179999999999999"/>
    <n v="0.93"/>
    <n v="0.35820000000000002"/>
    <s v="Gale"/>
    <n v="0"/>
    <n v="26"/>
    <n v="26"/>
    <n v="61.333333333333336"/>
    <n v="61.508335714103339"/>
    <n v="-0.57444788455285256"/>
    <b v="0"/>
  </r>
  <r>
    <n v="588"/>
    <d v="2011-01-27T00:00:00"/>
    <n v="1"/>
    <n v="0"/>
    <x v="0"/>
    <x v="16"/>
    <b v="0"/>
    <x v="5"/>
    <x v="5"/>
    <x v="1"/>
    <s v="Midday"/>
    <n v="1"/>
    <x v="0"/>
    <n v="0.22"/>
    <s v="Mild"/>
    <n v="0.2273"/>
    <n v="0.55000000000000004"/>
    <n v="0.19400000000000001"/>
    <s v="Light Breeze"/>
    <n v="1"/>
    <n v="23"/>
    <n v="24"/>
    <n v="57.5"/>
    <n v="60.816187776382151"/>
    <n v="-0.55084018293250636"/>
    <b v="0"/>
  </r>
  <r>
    <n v="589"/>
    <d v="2011-01-27T00:00:00"/>
    <n v="1"/>
    <n v="0"/>
    <x v="0"/>
    <x v="17"/>
    <b v="0"/>
    <x v="5"/>
    <x v="5"/>
    <x v="1"/>
    <s v="Evening"/>
    <n v="1"/>
    <x v="0"/>
    <n v="0.22"/>
    <s v="Mild"/>
    <n v="0.2424"/>
    <n v="0.55000000000000004"/>
    <n v="0.1045"/>
    <s v="Calm"/>
    <n v="2"/>
    <n v="82"/>
    <n v="84"/>
    <n v="51.75"/>
    <n v="50.180760213972185"/>
    <n v="0.64267659283129797"/>
    <b v="0"/>
  </r>
  <r>
    <n v="590"/>
    <d v="2011-01-27T00:00:00"/>
    <n v="1"/>
    <n v="0"/>
    <x v="0"/>
    <x v="18"/>
    <b v="0"/>
    <x v="5"/>
    <x v="5"/>
    <x v="1"/>
    <s v="Evening"/>
    <n v="1"/>
    <x v="0"/>
    <n v="0.2"/>
    <s v="Mild"/>
    <n v="0.2273"/>
    <n v="0.69"/>
    <n v="8.9599999999999999E-2"/>
    <s v="Calm"/>
    <n v="3"/>
    <n v="101"/>
    <n v="104"/>
    <n v="46.708333333333336"/>
    <n v="36.128369157367381"/>
    <n v="1.5857805930048081"/>
    <b v="0"/>
  </r>
  <r>
    <n v="591"/>
    <d v="2011-01-27T00:00:00"/>
    <n v="1"/>
    <n v="0"/>
    <x v="0"/>
    <x v="19"/>
    <b v="0"/>
    <x v="5"/>
    <x v="5"/>
    <x v="1"/>
    <s v="Evening"/>
    <n v="1"/>
    <x v="0"/>
    <n v="0.2"/>
    <s v="Mild"/>
    <n v="0.2273"/>
    <n v="0.69"/>
    <n v="8.9599999999999999E-2"/>
    <s v="Calm"/>
    <n v="3"/>
    <n v="76"/>
    <n v="79"/>
    <n v="43.916666666666664"/>
    <n v="30.229436656671428"/>
    <n v="1.1605685455468349"/>
    <b v="0"/>
  </r>
  <r>
    <n v="592"/>
    <d v="2011-01-27T00:00:00"/>
    <n v="1"/>
    <n v="0"/>
    <x v="0"/>
    <x v="20"/>
    <b v="0"/>
    <x v="5"/>
    <x v="5"/>
    <x v="1"/>
    <s v="Evening"/>
    <n v="1"/>
    <x v="0"/>
    <n v="0.18"/>
    <s v="Cold"/>
    <n v="0.21210000000000001"/>
    <n v="0.74"/>
    <n v="8.9599999999999999E-2"/>
    <s v="Calm"/>
    <n v="4"/>
    <n v="55"/>
    <n v="59"/>
    <n v="41.416666666666664"/>
    <n v="25.924500190841243"/>
    <n v="0.67825158455881351"/>
    <b v="0"/>
  </r>
  <r>
    <n v="593"/>
    <d v="2011-01-27T00:00:00"/>
    <n v="1"/>
    <n v="0"/>
    <x v="0"/>
    <x v="21"/>
    <b v="0"/>
    <x v="5"/>
    <x v="5"/>
    <x v="1"/>
    <s v="Night"/>
    <n v="1"/>
    <x v="0"/>
    <n v="0.18"/>
    <s v="Cold"/>
    <n v="0.21210000000000001"/>
    <n v="0.74"/>
    <n v="8.9599999999999999E-2"/>
    <s v="Calm"/>
    <n v="2"/>
    <n v="36"/>
    <n v="38"/>
    <n v="41.125"/>
    <n v="25.921809685886213"/>
    <n v="-0.12055485469062314"/>
    <b v="0"/>
  </r>
  <r>
    <n v="594"/>
    <d v="2011-01-27T00:00:00"/>
    <n v="1"/>
    <n v="0"/>
    <x v="0"/>
    <x v="22"/>
    <b v="0"/>
    <x v="5"/>
    <x v="5"/>
    <x v="1"/>
    <s v="Night"/>
    <n v="1"/>
    <x v="0"/>
    <n v="0.18"/>
    <s v="Cold"/>
    <n v="0.21210000000000001"/>
    <n v="0.74"/>
    <n v="8.9599999999999999E-2"/>
    <s v="Calm"/>
    <n v="0"/>
    <n v="27"/>
    <n v="27"/>
    <n v="40.041666666666664"/>
    <n v="25.947236037216268"/>
    <n v="-0.50262257791006826"/>
    <b v="0"/>
  </r>
  <r>
    <n v="595"/>
    <d v="2011-01-27T00:00:00"/>
    <n v="1"/>
    <n v="0"/>
    <x v="0"/>
    <x v="23"/>
    <b v="0"/>
    <x v="5"/>
    <x v="5"/>
    <x v="1"/>
    <s v="Night"/>
    <n v="1"/>
    <x v="0"/>
    <n v="0.18"/>
    <s v="Cold"/>
    <n v="0.19700000000000001"/>
    <n v="0.8"/>
    <n v="0.16420000000000001"/>
    <s v="Light Breeze"/>
    <n v="0"/>
    <n v="16"/>
    <n v="16"/>
    <n v="39.041666666666664"/>
    <n v="26.40730986853363"/>
    <n v="-0.87254880490960596"/>
    <b v="0"/>
  </r>
  <r>
    <n v="596"/>
    <d v="2011-01-28T00:00:00"/>
    <n v="1"/>
    <n v="0"/>
    <x v="0"/>
    <x v="0"/>
    <b v="0"/>
    <x v="6"/>
    <x v="6"/>
    <x v="1"/>
    <s v="Night"/>
    <n v="2"/>
    <x v="1"/>
    <n v="0.2"/>
    <s v="Mild"/>
    <n v="0.21210000000000001"/>
    <n v="0.75"/>
    <n v="0.1343"/>
    <s v="Light Breeze"/>
    <n v="0"/>
    <n v="9"/>
    <n v="9"/>
    <n v="38.708333333333336"/>
    <n v="26.74595323582156"/>
    <n v="-1.1107599370787871"/>
    <b v="0"/>
  </r>
  <r>
    <n v="597"/>
    <d v="2011-01-28T00:00:00"/>
    <n v="1"/>
    <n v="0"/>
    <x v="0"/>
    <x v="1"/>
    <b v="0"/>
    <x v="6"/>
    <x v="6"/>
    <x v="1"/>
    <s v="Night"/>
    <n v="2"/>
    <x v="1"/>
    <n v="0.2"/>
    <s v="Mild"/>
    <n v="0.21210000000000001"/>
    <n v="0.75"/>
    <n v="0.1343"/>
    <s v="Light Breeze"/>
    <n v="1"/>
    <n v="2"/>
    <n v="3"/>
    <n v="38.625"/>
    <n v="26.858425121365549"/>
    <n v="-1.3263994385009845"/>
    <b v="0"/>
  </r>
  <r>
    <n v="598"/>
    <d v="2011-01-28T00:00:00"/>
    <n v="1"/>
    <n v="0"/>
    <x v="0"/>
    <x v="2"/>
    <b v="0"/>
    <x v="6"/>
    <x v="6"/>
    <x v="1"/>
    <s v="Night"/>
    <n v="2"/>
    <x v="1"/>
    <n v="0.2"/>
    <s v="Mild"/>
    <n v="0.21210000000000001"/>
    <n v="0.75"/>
    <n v="0.16420000000000001"/>
    <s v="Light Breeze"/>
    <n v="0"/>
    <n v="2"/>
    <n v="2"/>
    <n v="38.291666666666664"/>
    <n v="27.275533178013728"/>
    <n v="-1.3305575524338664"/>
    <b v="0"/>
  </r>
  <r>
    <n v="599"/>
    <d v="2011-01-28T00:00:00"/>
    <n v="1"/>
    <n v="0"/>
    <x v="0"/>
    <x v="3"/>
    <b v="0"/>
    <x v="6"/>
    <x v="6"/>
    <x v="1"/>
    <s v="Night"/>
    <n v="2"/>
    <x v="1"/>
    <n v="0.2"/>
    <s v="Mild"/>
    <n v="0.2273"/>
    <n v="0.75"/>
    <n v="0.1045"/>
    <s v="Calm"/>
    <n v="1"/>
    <n v="0"/>
    <n v="1"/>
    <n v="38.291666666666664"/>
    <n v="27.275533178013728"/>
    <n v="-1.3672204471048341"/>
    <b v="0"/>
  </r>
  <r>
    <n v="600"/>
    <d v="2011-01-28T00:00:00"/>
    <n v="1"/>
    <n v="0"/>
    <x v="0"/>
    <x v="5"/>
    <b v="0"/>
    <x v="6"/>
    <x v="6"/>
    <x v="1"/>
    <s v="Night"/>
    <n v="2"/>
    <x v="1"/>
    <n v="0.18"/>
    <s v="Cold"/>
    <n v="0.21210000000000001"/>
    <n v="0.8"/>
    <n v="0.1045"/>
    <s v="Calm"/>
    <n v="0"/>
    <n v="4"/>
    <n v="4"/>
    <n v="38.125"/>
    <n v="27.480131162271626"/>
    <n v="-1.2418062999222992"/>
    <b v="0"/>
  </r>
  <r>
    <n v="601"/>
    <d v="2011-01-28T00:00:00"/>
    <n v="1"/>
    <n v="0"/>
    <x v="0"/>
    <x v="6"/>
    <b v="0"/>
    <x v="6"/>
    <x v="6"/>
    <x v="1"/>
    <s v="Morning"/>
    <n v="2"/>
    <x v="1"/>
    <n v="0.18"/>
    <s v="Cold"/>
    <n v="0.19700000000000001"/>
    <n v="0.8"/>
    <n v="0.1343"/>
    <s v="Light Breeze"/>
    <n v="0"/>
    <n v="16"/>
    <n v="16"/>
    <n v="37.541666666666664"/>
    <n v="27.806754210265982"/>
    <n v="-0.77469187895053537"/>
    <b v="0"/>
  </r>
  <r>
    <n v="602"/>
    <d v="2011-01-28T00:00:00"/>
    <n v="1"/>
    <n v="0"/>
    <x v="0"/>
    <x v="7"/>
    <b v="0"/>
    <x v="6"/>
    <x v="6"/>
    <x v="1"/>
    <s v="Morning"/>
    <n v="2"/>
    <x v="1"/>
    <n v="0.16"/>
    <s v="Cold"/>
    <n v="0.19700000000000001"/>
    <n v="0.86"/>
    <n v="8.9599999999999999E-2"/>
    <s v="Calm"/>
    <n v="2"/>
    <n v="58"/>
    <n v="60"/>
    <n v="37.041666666666664"/>
    <n v="27.262777884342867"/>
    <n v="0.84211276747841635"/>
    <b v="0"/>
  </r>
  <r>
    <n v="603"/>
    <d v="2011-01-28T00:00:00"/>
    <n v="1"/>
    <n v="0"/>
    <x v="0"/>
    <x v="8"/>
    <b v="0"/>
    <x v="6"/>
    <x v="6"/>
    <x v="1"/>
    <s v="Morning"/>
    <n v="2"/>
    <x v="1"/>
    <n v="0.16"/>
    <s v="Cold"/>
    <n v="0.19700000000000001"/>
    <n v="0.86"/>
    <n v="8.9599999999999999E-2"/>
    <s v="Calm"/>
    <n v="2"/>
    <n v="155"/>
    <n v="157"/>
    <n v="41.166666666666664"/>
    <n v="36.497369371154583"/>
    <n v="3.1737447199381261"/>
    <b v="1"/>
  </r>
  <r>
    <n v="604"/>
    <d v="2011-01-28T00:00:00"/>
    <n v="1"/>
    <n v="0"/>
    <x v="0"/>
    <x v="9"/>
    <b v="0"/>
    <x v="6"/>
    <x v="6"/>
    <x v="1"/>
    <s v="Morning"/>
    <n v="3"/>
    <x v="2"/>
    <n v="0.18"/>
    <s v="Cold"/>
    <n v="0.21210000000000001"/>
    <n v="0.86"/>
    <n v="8.9599999999999999E-2"/>
    <s v="Calm"/>
    <n v="6"/>
    <n v="95"/>
    <n v="101"/>
    <n v="44.208333333333336"/>
    <n v="38.347358807827064"/>
    <n v="1.4809798753356369"/>
    <b v="0"/>
  </r>
  <r>
    <n v="605"/>
    <d v="2011-01-28T00:00:00"/>
    <n v="1"/>
    <n v="0"/>
    <x v="0"/>
    <x v="10"/>
    <b v="0"/>
    <x v="6"/>
    <x v="6"/>
    <x v="1"/>
    <s v="Morning"/>
    <n v="3"/>
    <x v="2"/>
    <n v="0.18"/>
    <s v="Cold"/>
    <n v="0.21210000000000001"/>
    <n v="0.86"/>
    <n v="0.1045"/>
    <s v="Calm"/>
    <n v="0"/>
    <n v="49"/>
    <n v="49"/>
    <n v="44.541666666666664"/>
    <n v="38.353027392175022"/>
    <n v="0.11624462621281749"/>
    <b v="0"/>
  </r>
  <r>
    <n v="606"/>
    <d v="2011-01-28T00:00:00"/>
    <n v="1"/>
    <n v="0"/>
    <x v="0"/>
    <x v="11"/>
    <b v="0"/>
    <x v="6"/>
    <x v="6"/>
    <x v="1"/>
    <s v="Morning"/>
    <n v="3"/>
    <x v="2"/>
    <n v="0.18"/>
    <s v="Cold"/>
    <n v="0.21210000000000001"/>
    <n v="0.93"/>
    <n v="0.1045"/>
    <s v="Calm"/>
    <n v="0"/>
    <n v="30"/>
    <n v="30"/>
    <n v="43.791666666666664"/>
    <n v="38.458310762001325"/>
    <n v="-0.3586134282396381"/>
    <b v="0"/>
  </r>
  <r>
    <n v="607"/>
    <d v="2011-01-28T00:00:00"/>
    <n v="1"/>
    <n v="0"/>
    <x v="0"/>
    <x v="12"/>
    <b v="0"/>
    <x v="6"/>
    <x v="6"/>
    <x v="1"/>
    <s v="Midday"/>
    <n v="3"/>
    <x v="2"/>
    <n v="0.18"/>
    <s v="Cold"/>
    <n v="0.21210000000000001"/>
    <n v="0.93"/>
    <n v="0.1045"/>
    <s v="Calm"/>
    <n v="1"/>
    <n v="28"/>
    <n v="29"/>
    <n v="43.041666666666664"/>
    <n v="38.568379892552294"/>
    <n v="-0.36407198606177815"/>
    <b v="0"/>
  </r>
  <r>
    <n v="608"/>
    <d v="2011-01-28T00:00:00"/>
    <n v="1"/>
    <n v="0"/>
    <x v="0"/>
    <x v="13"/>
    <b v="0"/>
    <x v="6"/>
    <x v="6"/>
    <x v="1"/>
    <s v="Midday"/>
    <n v="3"/>
    <x v="2"/>
    <n v="0.18"/>
    <s v="Cold"/>
    <n v="0.21210000000000001"/>
    <n v="0.93"/>
    <n v="0.1045"/>
    <s v="Calm"/>
    <n v="0"/>
    <n v="31"/>
    <n v="31"/>
    <n v="42.833333333333336"/>
    <n v="38.62153788245358"/>
    <n v="-0.30639208022602898"/>
    <b v="0"/>
  </r>
  <r>
    <n v="609"/>
    <d v="2011-01-28T00:00:00"/>
    <n v="1"/>
    <n v="0"/>
    <x v="0"/>
    <x v="14"/>
    <b v="0"/>
    <x v="6"/>
    <x v="6"/>
    <x v="1"/>
    <s v="Midday"/>
    <n v="3"/>
    <x v="2"/>
    <n v="0.22"/>
    <s v="Mild"/>
    <n v="0.2727"/>
    <n v="0.8"/>
    <n v="0"/>
    <s v="Calm"/>
    <n v="2"/>
    <n v="36"/>
    <n v="38"/>
    <n v="42.625"/>
    <n v="38.634083285414548"/>
    <n v="-0.11971294791265483"/>
    <b v="0"/>
  </r>
  <r>
    <n v="610"/>
    <d v="2011-01-28T00:00:00"/>
    <n v="1"/>
    <n v="0"/>
    <x v="0"/>
    <x v="15"/>
    <b v="0"/>
    <x v="6"/>
    <x v="6"/>
    <x v="1"/>
    <s v="Midday"/>
    <n v="2"/>
    <x v="1"/>
    <n v="0.2"/>
    <s v="Mild"/>
    <n v="0.2576"/>
    <n v="0.86"/>
    <n v="0"/>
    <s v="Calm"/>
    <n v="1"/>
    <n v="40"/>
    <n v="41"/>
    <n v="42.833333333333336"/>
    <n v="38.610278724562534"/>
    <n v="-4.7483038037926209E-2"/>
    <b v="0"/>
  </r>
  <r>
    <n v="611"/>
    <d v="2011-01-28T00:00:00"/>
    <n v="1"/>
    <n v="0"/>
    <x v="0"/>
    <x v="16"/>
    <b v="0"/>
    <x v="6"/>
    <x v="6"/>
    <x v="1"/>
    <s v="Midday"/>
    <n v="1"/>
    <x v="0"/>
    <n v="0.22"/>
    <s v="Mild"/>
    <n v="0.2727"/>
    <n v="0.8"/>
    <n v="0"/>
    <s v="Calm"/>
    <n v="10"/>
    <n v="70"/>
    <n v="80"/>
    <n v="45.083333333333336"/>
    <n v="39.156227409283652"/>
    <n v="0.89172703748237458"/>
    <b v="0"/>
  </r>
  <r>
    <n v="612"/>
    <d v="2011-01-28T00:00:00"/>
    <n v="1"/>
    <n v="0"/>
    <x v="0"/>
    <x v="17"/>
    <b v="0"/>
    <x v="6"/>
    <x v="6"/>
    <x v="1"/>
    <s v="Evening"/>
    <n v="1"/>
    <x v="0"/>
    <n v="0.24"/>
    <s v="Mild"/>
    <n v="0.2424"/>
    <n v="0.75"/>
    <n v="0.1343"/>
    <s v="Light Breeze"/>
    <n v="2"/>
    <n v="147"/>
    <n v="149"/>
    <n v="50.291666666666664"/>
    <n v="44.216344771221607"/>
    <n v="2.2323946912404682"/>
    <b v="0"/>
  </r>
  <r>
    <n v="613"/>
    <d v="2011-01-28T00:00:00"/>
    <n v="1"/>
    <n v="0"/>
    <x v="0"/>
    <x v="18"/>
    <b v="0"/>
    <x v="6"/>
    <x v="6"/>
    <x v="1"/>
    <s v="Evening"/>
    <n v="1"/>
    <x v="0"/>
    <n v="0.24"/>
    <s v="Mild"/>
    <n v="0.2273"/>
    <n v="0.75"/>
    <n v="0.19400000000000001"/>
    <s v="Light Breeze"/>
    <n v="2"/>
    <n v="107"/>
    <n v="109"/>
    <n v="51.333333333333336"/>
    <n v="45.325553467127676"/>
    <n v="1.2722771649879439"/>
    <b v="0"/>
  </r>
  <r>
    <n v="614"/>
    <d v="2011-01-28T00:00:00"/>
    <n v="1"/>
    <n v="0"/>
    <x v="0"/>
    <x v="19"/>
    <b v="0"/>
    <x v="6"/>
    <x v="6"/>
    <x v="1"/>
    <s v="Evening"/>
    <n v="2"/>
    <x v="1"/>
    <n v="0.24"/>
    <s v="Mild"/>
    <n v="0.2424"/>
    <n v="0.75"/>
    <n v="0.1343"/>
    <s v="Light Breeze"/>
    <n v="5"/>
    <n v="84"/>
    <n v="89"/>
    <n v="50.708333333333336"/>
    <n v="44.666375999486867"/>
    <n v="0.85728169814149602"/>
    <b v="0"/>
  </r>
  <r>
    <n v="615"/>
    <d v="2011-01-28T00:00:00"/>
    <n v="1"/>
    <n v="0"/>
    <x v="0"/>
    <x v="20"/>
    <b v="0"/>
    <x v="6"/>
    <x v="6"/>
    <x v="1"/>
    <s v="Evening"/>
    <n v="2"/>
    <x v="1"/>
    <n v="0.24"/>
    <s v="Mild"/>
    <n v="0.2273"/>
    <n v="0.7"/>
    <n v="0.19400000000000001"/>
    <s v="Light Breeze"/>
    <n v="1"/>
    <n v="61"/>
    <n v="62"/>
    <n v="50"/>
    <n v="44.331753268126981"/>
    <n v="0.27068633914435303"/>
    <b v="0"/>
  </r>
  <r>
    <n v="616"/>
    <d v="2011-01-28T00:00:00"/>
    <n v="1"/>
    <n v="0"/>
    <x v="0"/>
    <x v="21"/>
    <b v="0"/>
    <x v="6"/>
    <x v="6"/>
    <x v="1"/>
    <s v="Night"/>
    <n v="2"/>
    <x v="1"/>
    <n v="0.22"/>
    <s v="Mild"/>
    <n v="0.2273"/>
    <n v="0.75"/>
    <n v="0.1343"/>
    <s v="Light Breeze"/>
    <n v="1"/>
    <n v="57"/>
    <n v="58"/>
    <n v="49.958333333333336"/>
    <n v="44.323395693438265"/>
    <n v="0.18143164667000392"/>
    <b v="0"/>
  </r>
  <r>
    <n v="617"/>
    <d v="2011-01-28T00:00:00"/>
    <n v="1"/>
    <n v="0"/>
    <x v="0"/>
    <x v="22"/>
    <b v="0"/>
    <x v="6"/>
    <x v="6"/>
    <x v="1"/>
    <s v="Night"/>
    <n v="1"/>
    <x v="0"/>
    <n v="0.24"/>
    <s v="Mild"/>
    <n v="0.21210000000000001"/>
    <n v="0.65"/>
    <n v="0.35820000000000002"/>
    <s v="Gale"/>
    <n v="0"/>
    <n v="26"/>
    <n v="26"/>
    <n v="49.458333333333336"/>
    <n v="44.531355994025901"/>
    <n v="-0.52678237187478383"/>
    <b v="0"/>
  </r>
  <r>
    <n v="618"/>
    <d v="2011-01-28T00:00:00"/>
    <n v="1"/>
    <n v="0"/>
    <x v="0"/>
    <x v="23"/>
    <b v="0"/>
    <x v="6"/>
    <x v="6"/>
    <x v="1"/>
    <s v="Night"/>
    <n v="1"/>
    <x v="0"/>
    <n v="0.24"/>
    <s v="Mild"/>
    <n v="0.2273"/>
    <n v="0.6"/>
    <n v="0.22389999999999999"/>
    <s v="Light Breeze"/>
    <n v="1"/>
    <n v="22"/>
    <n v="23"/>
    <n v="49.291666666666664"/>
    <n v="44.62644874439632"/>
    <n v="-0.58914987426527121"/>
    <b v="0"/>
  </r>
  <r>
    <n v="619"/>
    <d v="2011-01-29T00:00:00"/>
    <n v="1"/>
    <n v="0"/>
    <x v="0"/>
    <x v="0"/>
    <b v="0"/>
    <x v="0"/>
    <x v="0"/>
    <x v="0"/>
    <s v="Night"/>
    <n v="1"/>
    <x v="0"/>
    <n v="0.22"/>
    <s v="Mild"/>
    <n v="0.19700000000000001"/>
    <n v="0.64"/>
    <n v="0.35820000000000002"/>
    <s v="Gale"/>
    <n v="2"/>
    <n v="26"/>
    <n v="28"/>
    <n v="49.791666666666664"/>
    <n v="44.303282012752163"/>
    <n v="-0.49187477037015442"/>
    <b v="0"/>
  </r>
  <r>
    <n v="620"/>
    <d v="2011-01-29T00:00:00"/>
    <n v="1"/>
    <n v="0"/>
    <x v="0"/>
    <x v="1"/>
    <b v="0"/>
    <x v="0"/>
    <x v="0"/>
    <x v="0"/>
    <s v="Night"/>
    <n v="1"/>
    <x v="0"/>
    <n v="0.22"/>
    <s v="Mild"/>
    <n v="0.2273"/>
    <n v="0.64"/>
    <n v="0.19400000000000001"/>
    <s v="Light Breeze"/>
    <n v="0"/>
    <n v="20"/>
    <n v="20"/>
    <n v="50.25"/>
    <n v="43.918155104991456"/>
    <n v="-0.68878120967704259"/>
    <b v="0"/>
  </r>
  <r>
    <n v="621"/>
    <d v="2011-01-29T00:00:00"/>
    <n v="1"/>
    <n v="0"/>
    <x v="0"/>
    <x v="2"/>
    <b v="0"/>
    <x v="0"/>
    <x v="0"/>
    <x v="0"/>
    <s v="Night"/>
    <n v="1"/>
    <x v="0"/>
    <n v="0.22"/>
    <s v="Mild"/>
    <n v="0.2273"/>
    <n v="0.64"/>
    <n v="0.16420000000000001"/>
    <s v="Light Breeze"/>
    <n v="0"/>
    <n v="15"/>
    <n v="15"/>
    <n v="50.75"/>
    <n v="43.422344478390386"/>
    <n v="-0.82330883855871451"/>
    <b v="0"/>
  </r>
  <r>
    <n v="622"/>
    <d v="2011-01-29T00:00:00"/>
    <n v="1"/>
    <n v="0"/>
    <x v="0"/>
    <x v="3"/>
    <b v="0"/>
    <x v="0"/>
    <x v="0"/>
    <x v="0"/>
    <s v="Night"/>
    <n v="1"/>
    <x v="0"/>
    <n v="0.2"/>
    <s v="Mild"/>
    <n v="0.21210000000000001"/>
    <n v="0.64"/>
    <n v="0.1343"/>
    <s v="Light Breeze"/>
    <n v="3"/>
    <n v="5"/>
    <n v="8"/>
    <n v="51"/>
    <n v="43.145859794322149"/>
    <n v="-0.99661937912426668"/>
    <b v="0"/>
  </r>
  <r>
    <n v="623"/>
    <d v="2011-01-29T00:00:00"/>
    <n v="1"/>
    <n v="0"/>
    <x v="0"/>
    <x v="4"/>
    <b v="0"/>
    <x v="0"/>
    <x v="0"/>
    <x v="0"/>
    <s v="Night"/>
    <n v="1"/>
    <x v="0"/>
    <n v="0.16"/>
    <s v="Cold"/>
    <n v="0.18179999999999999"/>
    <n v="0.69"/>
    <n v="0.1045"/>
    <s v="Calm"/>
    <n v="1"/>
    <n v="2"/>
    <n v="3"/>
    <n v="51.083333333333336"/>
    <n v="43.046907344013206"/>
    <n v="-1.1169985557631605"/>
    <b v="0"/>
  </r>
  <r>
    <n v="624"/>
    <d v="2011-01-29T00:00:00"/>
    <n v="1"/>
    <n v="0"/>
    <x v="0"/>
    <x v="6"/>
    <b v="0"/>
    <x v="0"/>
    <x v="0"/>
    <x v="0"/>
    <s v="Morning"/>
    <n v="1"/>
    <x v="0"/>
    <n v="0.16"/>
    <s v="Cold"/>
    <n v="0.18179999999999999"/>
    <n v="0.64"/>
    <n v="0.1343"/>
    <s v="Light Breeze"/>
    <n v="0"/>
    <n v="2"/>
    <n v="2"/>
    <n v="51"/>
    <n v="43.143844338999578"/>
    <n v="-1.1357356014681055"/>
    <b v="0"/>
  </r>
  <r>
    <n v="625"/>
    <d v="2011-01-29T00:00:00"/>
    <n v="1"/>
    <n v="0"/>
    <x v="0"/>
    <x v="7"/>
    <b v="0"/>
    <x v="0"/>
    <x v="0"/>
    <x v="0"/>
    <s v="Morning"/>
    <n v="1"/>
    <x v="0"/>
    <n v="0.16"/>
    <s v="Cold"/>
    <n v="0.18179999999999999"/>
    <n v="0.59"/>
    <n v="0.1045"/>
    <s v="Calm"/>
    <n v="1"/>
    <n v="4"/>
    <n v="5"/>
    <n v="50.541666666666664"/>
    <n v="43.587971183390238"/>
    <n v="-1.0448218953586192"/>
    <b v="0"/>
  </r>
  <r>
    <n v="626"/>
    <d v="2011-01-29T00:00:00"/>
    <n v="1"/>
    <n v="0"/>
    <x v="0"/>
    <x v="8"/>
    <b v="0"/>
    <x v="0"/>
    <x v="0"/>
    <x v="0"/>
    <s v="Morning"/>
    <n v="1"/>
    <x v="0"/>
    <n v="0.18"/>
    <s v="Cold"/>
    <n v="0.19700000000000001"/>
    <n v="0.55000000000000004"/>
    <n v="0.16420000000000001"/>
    <s v="Light Breeze"/>
    <n v="3"/>
    <n v="31"/>
    <n v="34"/>
    <n v="49.458333333333336"/>
    <n v="43.665705543134308"/>
    <n v="-0.35401542563106247"/>
    <b v="0"/>
  </r>
  <r>
    <n v="627"/>
    <d v="2011-01-29T00:00:00"/>
    <n v="1"/>
    <n v="0"/>
    <x v="0"/>
    <x v="9"/>
    <b v="0"/>
    <x v="0"/>
    <x v="0"/>
    <x v="0"/>
    <s v="Morning"/>
    <n v="1"/>
    <x v="0"/>
    <n v="0.18"/>
    <s v="Cold"/>
    <n v="0.21210000000000001"/>
    <n v="0.59"/>
    <n v="8.9599999999999999E-2"/>
    <s v="Calm"/>
    <n v="0"/>
    <n v="34"/>
    <n v="34"/>
    <n v="44.333333333333336"/>
    <n v="37.240308534035336"/>
    <n v="-0.27747711391513602"/>
    <b v="0"/>
  </r>
  <r>
    <n v="628"/>
    <d v="2011-01-29T00:00:00"/>
    <n v="1"/>
    <n v="0"/>
    <x v="0"/>
    <x v="10"/>
    <b v="0"/>
    <x v="0"/>
    <x v="0"/>
    <x v="0"/>
    <s v="Morning"/>
    <n v="2"/>
    <x v="1"/>
    <n v="0.18"/>
    <s v="Cold"/>
    <n v="0.21210000000000001"/>
    <n v="0.64"/>
    <n v="0.1045"/>
    <s v="Calm"/>
    <n v="4"/>
    <n v="51"/>
    <n v="55"/>
    <n v="42.416666666666664"/>
    <n v="35.331863518786342"/>
    <n v="0.3561468906570025"/>
    <b v="0"/>
  </r>
  <r>
    <n v="629"/>
    <d v="2011-01-29T00:00:00"/>
    <n v="1"/>
    <n v="0"/>
    <x v="0"/>
    <x v="11"/>
    <b v="0"/>
    <x v="0"/>
    <x v="0"/>
    <x v="0"/>
    <s v="Morning"/>
    <n v="2"/>
    <x v="1"/>
    <n v="0.18"/>
    <s v="Cold"/>
    <n v="0.19700000000000001"/>
    <n v="0.64"/>
    <n v="0.1343"/>
    <s v="Light Breeze"/>
    <n v="4"/>
    <n v="60"/>
    <n v="64"/>
    <n v="43.041666666666664"/>
    <n v="35.585144881423261"/>
    <n v="0.58896299012328446"/>
    <b v="0"/>
  </r>
  <r>
    <n v="630"/>
    <d v="2011-01-29T00:00:00"/>
    <n v="1"/>
    <n v="0"/>
    <x v="0"/>
    <x v="12"/>
    <b v="0"/>
    <x v="0"/>
    <x v="0"/>
    <x v="0"/>
    <s v="Midday"/>
    <n v="2"/>
    <x v="1"/>
    <n v="0.2"/>
    <s v="Mild"/>
    <n v="0.19700000000000001"/>
    <n v="0.59"/>
    <n v="0.19400000000000001"/>
    <s v="Light Breeze"/>
    <n v="12"/>
    <n v="66"/>
    <n v="78"/>
    <n v="45.041666666666664"/>
    <n v="36.164454283497605"/>
    <n v="0.9113460713375876"/>
    <b v="0"/>
  </r>
  <r>
    <n v="631"/>
    <d v="2011-01-29T00:00:00"/>
    <n v="1"/>
    <n v="0"/>
    <x v="0"/>
    <x v="13"/>
    <b v="0"/>
    <x v="0"/>
    <x v="0"/>
    <x v="0"/>
    <s v="Midday"/>
    <n v="2"/>
    <x v="1"/>
    <n v="0.22"/>
    <s v="Mild"/>
    <n v="0.2273"/>
    <n v="0.55000000000000004"/>
    <n v="0.16420000000000001"/>
    <s v="Light Breeze"/>
    <n v="9"/>
    <n v="56"/>
    <n v="65"/>
    <n v="46.541666666666664"/>
    <n v="36.216713853120922"/>
    <n v="0.50966339486769074"/>
    <b v="0"/>
  </r>
  <r>
    <n v="632"/>
    <d v="2011-01-29T00:00:00"/>
    <n v="1"/>
    <n v="0"/>
    <x v="0"/>
    <x v="14"/>
    <b v="0"/>
    <x v="0"/>
    <x v="0"/>
    <x v="0"/>
    <s v="Midday"/>
    <n v="2"/>
    <x v="1"/>
    <n v="0.22"/>
    <s v="Mild"/>
    <n v="0.2273"/>
    <n v="0.6"/>
    <n v="0.1343"/>
    <s v="Light Breeze"/>
    <n v="10"/>
    <n v="89"/>
    <n v="99"/>
    <n v="49.375"/>
    <n v="37.582156381198637"/>
    <n v="1.3204404637309763"/>
    <b v="0"/>
  </r>
  <r>
    <n v="633"/>
    <d v="2011-01-29T00:00:00"/>
    <n v="1"/>
    <n v="0"/>
    <x v="0"/>
    <x v="15"/>
    <b v="0"/>
    <x v="0"/>
    <x v="0"/>
    <x v="0"/>
    <s v="Midday"/>
    <n v="1"/>
    <x v="0"/>
    <n v="0.22"/>
    <s v="Mild"/>
    <n v="0.21210000000000001"/>
    <n v="0.69"/>
    <n v="0.25369999999999998"/>
    <s v="Light Breeze"/>
    <n v="22"/>
    <n v="98"/>
    <n v="120"/>
    <n v="52.791666666666664"/>
    <n v="40.143199290482094"/>
    <n v="1.6742146744957709"/>
    <b v="0"/>
  </r>
  <r>
    <n v="634"/>
    <d v="2011-01-29T00:00:00"/>
    <n v="1"/>
    <n v="0"/>
    <x v="0"/>
    <x v="16"/>
    <b v="0"/>
    <x v="0"/>
    <x v="0"/>
    <x v="0"/>
    <s v="Midday"/>
    <n v="1"/>
    <x v="0"/>
    <n v="0.24"/>
    <s v="Mild"/>
    <n v="0.2424"/>
    <n v="0.6"/>
    <n v="0.16420000000000001"/>
    <s v="Light Breeze"/>
    <n v="19"/>
    <n v="88"/>
    <n v="107"/>
    <n v="55.541666666666664"/>
    <n v="41.536761263149586"/>
    <n v="1.2388624381984719"/>
    <b v="0"/>
  </r>
  <r>
    <n v="635"/>
    <d v="2011-01-29T00:00:00"/>
    <n v="1"/>
    <n v="0"/>
    <x v="0"/>
    <x v="17"/>
    <b v="0"/>
    <x v="0"/>
    <x v="0"/>
    <x v="0"/>
    <s v="Evening"/>
    <n v="1"/>
    <x v="0"/>
    <n v="0.24"/>
    <s v="Mild"/>
    <n v="0.28789999999999999"/>
    <n v="0.6"/>
    <n v="0"/>
    <s v="Calm"/>
    <n v="9"/>
    <n v="82"/>
    <n v="91"/>
    <n v="56"/>
    <n v="41.877668636575059"/>
    <n v="0.83576763319225822"/>
    <b v="0"/>
  </r>
  <r>
    <n v="636"/>
    <d v="2011-01-29T00:00:00"/>
    <n v="1"/>
    <n v="0"/>
    <x v="0"/>
    <x v="18"/>
    <b v="0"/>
    <x v="0"/>
    <x v="0"/>
    <x v="0"/>
    <s v="Evening"/>
    <n v="1"/>
    <x v="0"/>
    <n v="0.22"/>
    <s v="Mild"/>
    <n v="0.2273"/>
    <n v="0.69"/>
    <n v="0.1343"/>
    <s v="Light Breeze"/>
    <n v="9"/>
    <n v="59"/>
    <n v="68"/>
    <n v="52.625"/>
    <n v="37.041472057329379"/>
    <n v="0.41507529658119391"/>
    <b v="0"/>
  </r>
  <r>
    <n v="637"/>
    <d v="2011-01-29T00:00:00"/>
    <n v="1"/>
    <n v="0"/>
    <x v="0"/>
    <x v="19"/>
    <b v="0"/>
    <x v="0"/>
    <x v="0"/>
    <x v="0"/>
    <s v="Evening"/>
    <n v="2"/>
    <x v="1"/>
    <n v="0.22"/>
    <s v="Mild"/>
    <n v="0.21210000000000001"/>
    <n v="0.69"/>
    <n v="0.25369999999999998"/>
    <s v="Light Breeze"/>
    <n v="6"/>
    <n v="52"/>
    <n v="58"/>
    <n v="50.5"/>
    <n v="35.077553828747746"/>
    <n v="0.21381194471586523"/>
    <b v="0"/>
  </r>
  <r>
    <n v="638"/>
    <d v="2011-01-29T00:00:00"/>
    <n v="1"/>
    <n v="0"/>
    <x v="0"/>
    <x v="20"/>
    <b v="0"/>
    <x v="0"/>
    <x v="0"/>
    <x v="0"/>
    <s v="Evening"/>
    <n v="1"/>
    <x v="0"/>
    <n v="0.18"/>
    <s v="Cold"/>
    <n v="0.21210000000000001"/>
    <n v="0.74"/>
    <n v="8.9599999999999999E-2"/>
    <s v="Calm"/>
    <n v="1"/>
    <n v="42"/>
    <n v="43"/>
    <n v="48.583333333333336"/>
    <n v="34.126257475371695"/>
    <n v="-0.16360813480243847"/>
    <b v="0"/>
  </r>
  <r>
    <n v="639"/>
    <d v="2011-01-29T00:00:00"/>
    <n v="1"/>
    <n v="0"/>
    <x v="0"/>
    <x v="21"/>
    <b v="0"/>
    <x v="0"/>
    <x v="0"/>
    <x v="0"/>
    <s v="Night"/>
    <n v="1"/>
    <x v="0"/>
    <n v="0.18"/>
    <s v="Cold"/>
    <n v="0.21210000000000001"/>
    <n v="0.74"/>
    <n v="8.9599999999999999E-2"/>
    <s v="Calm"/>
    <n v="1"/>
    <n v="35"/>
    <n v="36"/>
    <n v="47.5"/>
    <n v="34.094497834822199"/>
    <n v="-0.33729782605140901"/>
    <b v="0"/>
  </r>
  <r>
    <n v="640"/>
    <d v="2011-01-29T00:00:00"/>
    <n v="1"/>
    <n v="0"/>
    <x v="0"/>
    <x v="22"/>
    <b v="0"/>
    <x v="0"/>
    <x v="0"/>
    <x v="0"/>
    <s v="Night"/>
    <n v="1"/>
    <x v="0"/>
    <n v="0.16"/>
    <s v="Cold"/>
    <n v="0.19700000000000001"/>
    <n v="0.8"/>
    <n v="8.9599999999999999E-2"/>
    <s v="Calm"/>
    <n v="4"/>
    <n v="28"/>
    <n v="32"/>
    <n v="46.416666666666664"/>
    <n v="34.159366487693823"/>
    <n v="-0.4220413944696656"/>
    <b v="0"/>
  </r>
  <r>
    <n v="641"/>
    <d v="2011-01-29T00:00:00"/>
    <n v="1"/>
    <n v="0"/>
    <x v="0"/>
    <x v="23"/>
    <b v="0"/>
    <x v="0"/>
    <x v="0"/>
    <x v="0"/>
    <s v="Night"/>
    <n v="1"/>
    <x v="0"/>
    <n v="0.16"/>
    <s v="Cold"/>
    <n v="0.19700000000000001"/>
    <n v="0.8"/>
    <n v="8.9599999999999999E-2"/>
    <s v="Calm"/>
    <n v="3"/>
    <n v="30"/>
    <n v="33"/>
    <n v="46.708333333333336"/>
    <n v="34.007005885190225"/>
    <n v="-0.40310321289717549"/>
    <b v="0"/>
  </r>
  <r>
    <n v="642"/>
    <d v="2011-01-30T00:00:00"/>
    <n v="1"/>
    <n v="0"/>
    <x v="0"/>
    <x v="0"/>
    <b v="0"/>
    <x v="1"/>
    <x v="1"/>
    <x v="0"/>
    <s v="Night"/>
    <n v="1"/>
    <x v="0"/>
    <n v="0.16"/>
    <s v="Cold"/>
    <n v="0.18179999999999999"/>
    <n v="0.8"/>
    <n v="0.1045"/>
    <s v="Calm"/>
    <n v="0"/>
    <n v="33"/>
    <n v="33"/>
    <n v="47.125"/>
    <n v="33.76428844079264"/>
    <n v="-0.41834140899396977"/>
    <b v="0"/>
  </r>
  <r>
    <n v="643"/>
    <d v="2011-01-30T00:00:00"/>
    <n v="1"/>
    <n v="0"/>
    <x v="0"/>
    <x v="1"/>
    <b v="0"/>
    <x v="1"/>
    <x v="1"/>
    <x v="0"/>
    <s v="Night"/>
    <n v="1"/>
    <x v="0"/>
    <n v="0.14000000000000001"/>
    <s v="Cold"/>
    <n v="0.21210000000000001"/>
    <n v="0.8"/>
    <n v="0"/>
    <s v="Calm"/>
    <n v="7"/>
    <n v="22"/>
    <n v="29"/>
    <n v="47.166666666666664"/>
    <n v="33.740269665511704"/>
    <n v="-0.53842683673735092"/>
    <b v="0"/>
  </r>
  <r>
    <n v="644"/>
    <d v="2011-01-30T00:00:00"/>
    <n v="1"/>
    <n v="0"/>
    <x v="0"/>
    <x v="2"/>
    <b v="0"/>
    <x v="1"/>
    <x v="1"/>
    <x v="0"/>
    <s v="Night"/>
    <n v="1"/>
    <x v="0"/>
    <n v="0.16"/>
    <s v="Cold"/>
    <n v="0.2273"/>
    <n v="0.8"/>
    <n v="0"/>
    <s v="Calm"/>
    <n v="1"/>
    <n v="10"/>
    <n v="11"/>
    <n v="46.791666666666664"/>
    <n v="34.103396702772393"/>
    <n v="-1.0495044519643706"/>
    <b v="0"/>
  </r>
  <r>
    <n v="645"/>
    <d v="2011-01-30T00:00:00"/>
    <n v="1"/>
    <n v="0"/>
    <x v="0"/>
    <x v="3"/>
    <b v="0"/>
    <x v="1"/>
    <x v="1"/>
    <x v="0"/>
    <s v="Night"/>
    <n v="1"/>
    <x v="0"/>
    <n v="0.14000000000000001"/>
    <s v="Cold"/>
    <n v="0.21210000000000001"/>
    <n v="0.93"/>
    <n v="0"/>
    <s v="Calm"/>
    <n v="1"/>
    <n v="7"/>
    <n v="8"/>
    <n v="46.5"/>
    <n v="34.415618294732056"/>
    <n v="-1.1186781440417455"/>
    <b v="0"/>
  </r>
  <r>
    <n v="646"/>
    <d v="2011-01-30T00:00:00"/>
    <n v="1"/>
    <n v="0"/>
    <x v="0"/>
    <x v="4"/>
    <b v="0"/>
    <x v="1"/>
    <x v="1"/>
    <x v="0"/>
    <s v="Night"/>
    <n v="1"/>
    <x v="0"/>
    <n v="0.14000000000000001"/>
    <s v="Cold"/>
    <n v="0.21210000000000001"/>
    <n v="0.93"/>
    <n v="0"/>
    <s v="Calm"/>
    <n v="0"/>
    <n v="1"/>
    <n v="1"/>
    <n v="46.208333333333336"/>
    <n v="34.783778286495242"/>
    <n v="-1.2996958801018295"/>
    <b v="0"/>
  </r>
  <r>
    <n v="647"/>
    <d v="2011-01-30T00:00:00"/>
    <n v="1"/>
    <n v="0"/>
    <x v="0"/>
    <x v="5"/>
    <b v="0"/>
    <x v="1"/>
    <x v="1"/>
    <x v="0"/>
    <s v="Night"/>
    <n v="1"/>
    <x v="0"/>
    <n v="0.14000000000000001"/>
    <s v="Cold"/>
    <n v="0.21210000000000001"/>
    <n v="0.86"/>
    <n v="0"/>
    <s v="Calm"/>
    <n v="0"/>
    <n v="3"/>
    <n v="3"/>
    <n v="46.208333333333336"/>
    <n v="34.783778286495242"/>
    <n v="-1.2421978135166793"/>
    <b v="0"/>
  </r>
  <r>
    <n v="648"/>
    <d v="2011-01-30T00:00:00"/>
    <n v="1"/>
    <n v="0"/>
    <x v="0"/>
    <x v="7"/>
    <b v="0"/>
    <x v="1"/>
    <x v="1"/>
    <x v="0"/>
    <s v="Morning"/>
    <n v="1"/>
    <x v="0"/>
    <n v="0.14000000000000001"/>
    <s v="Cold"/>
    <n v="0.21210000000000001"/>
    <n v="0.86"/>
    <n v="0"/>
    <s v="Calm"/>
    <n v="0"/>
    <n v="3"/>
    <n v="3"/>
    <n v="46.25"/>
    <n v="34.729075652141596"/>
    <n v="-1.2453541935065282"/>
    <b v="0"/>
  </r>
  <r>
    <n v="649"/>
    <d v="2011-01-30T00:00:00"/>
    <n v="1"/>
    <n v="0"/>
    <x v="0"/>
    <x v="8"/>
    <b v="0"/>
    <x v="1"/>
    <x v="1"/>
    <x v="0"/>
    <s v="Morning"/>
    <n v="2"/>
    <x v="1"/>
    <n v="0.14000000000000001"/>
    <s v="Cold"/>
    <n v="0.21210000000000001"/>
    <n v="0.86"/>
    <n v="0"/>
    <s v="Calm"/>
    <n v="1"/>
    <n v="11"/>
    <n v="12"/>
    <n v="46.541666666666664"/>
    <n v="34.395372750802785"/>
    <n v="-1.0042533022370128"/>
    <b v="0"/>
  </r>
  <r>
    <n v="650"/>
    <d v="2011-01-30T00:00:00"/>
    <n v="1"/>
    <n v="0"/>
    <x v="0"/>
    <x v="9"/>
    <b v="0"/>
    <x v="1"/>
    <x v="1"/>
    <x v="0"/>
    <s v="Morning"/>
    <n v="2"/>
    <x v="1"/>
    <n v="0.16"/>
    <s v="Cold"/>
    <n v="0.2273"/>
    <n v="0.8"/>
    <n v="0"/>
    <s v="Calm"/>
    <n v="4"/>
    <n v="34"/>
    <n v="38"/>
    <n v="46.708333333333336"/>
    <n v="34.341607628251097"/>
    <n v="-0.25357966428366713"/>
    <b v="0"/>
  </r>
  <r>
    <n v="651"/>
    <d v="2011-01-30T00:00:00"/>
    <n v="1"/>
    <n v="0"/>
    <x v="0"/>
    <x v="10"/>
    <b v="0"/>
    <x v="1"/>
    <x v="1"/>
    <x v="0"/>
    <s v="Morning"/>
    <n v="2"/>
    <x v="1"/>
    <n v="0.18"/>
    <s v="Cold"/>
    <n v="0.2424"/>
    <n v="0.8"/>
    <n v="0"/>
    <s v="Calm"/>
    <n v="7"/>
    <n v="57"/>
    <n v="64"/>
    <n v="47.958333333333336"/>
    <n v="34.40485199182973"/>
    <n v="0.46626175489655203"/>
    <b v="0"/>
  </r>
  <r>
    <n v="652"/>
    <d v="2011-01-30T00:00:00"/>
    <n v="1"/>
    <n v="0"/>
    <x v="0"/>
    <x v="11"/>
    <b v="0"/>
    <x v="1"/>
    <x v="1"/>
    <x v="0"/>
    <s v="Morning"/>
    <n v="1"/>
    <x v="0"/>
    <n v="0.22"/>
    <s v="Mild"/>
    <n v="0.2727"/>
    <n v="0.75"/>
    <n v="0"/>
    <s v="Calm"/>
    <n v="9"/>
    <n v="50"/>
    <n v="59"/>
    <n v="48.125"/>
    <n v="34.450105698077266"/>
    <n v="0.31567392260880517"/>
    <b v="0"/>
  </r>
  <r>
    <n v="653"/>
    <d v="2011-01-30T00:00:00"/>
    <n v="1"/>
    <n v="0"/>
    <x v="0"/>
    <x v="12"/>
    <b v="0"/>
    <x v="1"/>
    <x v="1"/>
    <x v="0"/>
    <s v="Midday"/>
    <n v="1"/>
    <x v="0"/>
    <n v="0.3"/>
    <s v="Mild"/>
    <n v="0.31819999999999998"/>
    <n v="0.52"/>
    <n v="0.1045"/>
    <s v="Calm"/>
    <n v="10"/>
    <n v="87"/>
    <n v="97"/>
    <n v="49.5"/>
    <n v="35.745477062626854"/>
    <n v="1.3288394477650687"/>
    <b v="0"/>
  </r>
  <r>
    <n v="654"/>
    <d v="2011-01-30T00:00:00"/>
    <n v="1"/>
    <n v="0"/>
    <x v="0"/>
    <x v="13"/>
    <b v="0"/>
    <x v="1"/>
    <x v="1"/>
    <x v="0"/>
    <s v="Midday"/>
    <n v="1"/>
    <x v="0"/>
    <n v="0.28000000000000003"/>
    <s v="Mild"/>
    <n v="0.28789999999999999"/>
    <n v="0.61"/>
    <n v="0.1045"/>
    <s v="Calm"/>
    <n v="13"/>
    <n v="71"/>
    <n v="84"/>
    <n v="49.75"/>
    <n v="35.973722293532177"/>
    <n v="0.95208384944245572"/>
    <b v="0"/>
  </r>
  <r>
    <n v="655"/>
    <d v="2011-01-30T00:00:00"/>
    <n v="1"/>
    <n v="0"/>
    <x v="0"/>
    <x v="14"/>
    <b v="0"/>
    <x v="1"/>
    <x v="1"/>
    <x v="0"/>
    <s v="Midday"/>
    <n v="1"/>
    <x v="0"/>
    <n v="0.28000000000000003"/>
    <s v="Mild"/>
    <n v="0.30299999999999999"/>
    <n v="0.61"/>
    <n v="8.9599999999999999E-2"/>
    <s v="Calm"/>
    <n v="18"/>
    <n v="104"/>
    <n v="122"/>
    <n v="52.125"/>
    <n v="38.795240071095229"/>
    <n v="1.8011230210703362"/>
    <b v="0"/>
  </r>
  <r>
    <n v="656"/>
    <d v="2011-01-30T00:00:00"/>
    <n v="1"/>
    <n v="0"/>
    <x v="0"/>
    <x v="15"/>
    <b v="0"/>
    <x v="1"/>
    <x v="1"/>
    <x v="0"/>
    <s v="Midday"/>
    <n v="1"/>
    <x v="0"/>
    <n v="0.3"/>
    <s v="Mild"/>
    <n v="0.33329999999999999"/>
    <n v="0.56000000000000005"/>
    <n v="0"/>
    <s v="Calm"/>
    <n v="14"/>
    <n v="95"/>
    <n v="109"/>
    <n v="52.541666666666664"/>
    <n v="39.370016362782941"/>
    <n v="1.4340439387448218"/>
    <b v="0"/>
  </r>
  <r>
    <n v="657"/>
    <d v="2011-01-30T00:00:00"/>
    <n v="1"/>
    <n v="0"/>
    <x v="0"/>
    <x v="16"/>
    <b v="0"/>
    <x v="1"/>
    <x v="1"/>
    <x v="0"/>
    <s v="Midday"/>
    <n v="1"/>
    <x v="0"/>
    <n v="0.3"/>
    <s v="Mild"/>
    <n v="0.33329999999999999"/>
    <n v="0.56000000000000005"/>
    <n v="0"/>
    <s v="Calm"/>
    <n v="19"/>
    <n v="104"/>
    <n v="123"/>
    <n v="52.666666666666664"/>
    <n v="39.597613747456471"/>
    <n v="1.7762013080359207"/>
    <b v="0"/>
  </r>
  <r>
    <n v="658"/>
    <d v="2011-01-30T00:00:00"/>
    <n v="1"/>
    <n v="0"/>
    <x v="0"/>
    <x v="17"/>
    <b v="0"/>
    <x v="1"/>
    <x v="1"/>
    <x v="0"/>
    <s v="Evening"/>
    <n v="1"/>
    <x v="0"/>
    <n v="0.3"/>
    <s v="Mild"/>
    <n v="0.28789999999999999"/>
    <n v="0.56000000000000005"/>
    <n v="0.19400000000000001"/>
    <s v="Light Breeze"/>
    <n v="6"/>
    <n v="71"/>
    <n v="77"/>
    <n v="51.416666666666664"/>
    <n v="38.258749117789662"/>
    <n v="0.66869236248598429"/>
    <b v="0"/>
  </r>
  <r>
    <n v="659"/>
    <d v="2011-01-30T00:00:00"/>
    <n v="1"/>
    <n v="0"/>
    <x v="0"/>
    <x v="18"/>
    <b v="0"/>
    <x v="1"/>
    <x v="1"/>
    <x v="0"/>
    <s v="Evening"/>
    <n v="1"/>
    <x v="0"/>
    <n v="0.26"/>
    <s v="Mild"/>
    <n v="0.2576"/>
    <n v="0.65"/>
    <n v="0.16420000000000001"/>
    <s v="Light Breeze"/>
    <n v="8"/>
    <n v="57"/>
    <n v="65"/>
    <n v="50.333333333333336"/>
    <n v="37.44870888430534"/>
    <n v="0.39164679113445822"/>
    <b v="0"/>
  </r>
  <r>
    <n v="660"/>
    <d v="2011-01-30T00:00:00"/>
    <n v="1"/>
    <n v="0"/>
    <x v="0"/>
    <x v="19"/>
    <b v="0"/>
    <x v="1"/>
    <x v="1"/>
    <x v="0"/>
    <s v="Evening"/>
    <n v="1"/>
    <x v="0"/>
    <n v="0.26"/>
    <s v="Mild"/>
    <n v="0.2576"/>
    <n v="0.65"/>
    <n v="0.19400000000000001"/>
    <s v="Light Breeze"/>
    <n v="9"/>
    <n v="46"/>
    <n v="55"/>
    <n v="49.791666666666664"/>
    <n v="37.275681741255418"/>
    <n v="0.13972469690792899"/>
    <b v="0"/>
  </r>
  <r>
    <n v="661"/>
    <d v="2011-01-30T00:00:00"/>
    <n v="1"/>
    <n v="0"/>
    <x v="0"/>
    <x v="20"/>
    <b v="0"/>
    <x v="1"/>
    <x v="1"/>
    <x v="0"/>
    <s v="Evening"/>
    <n v="2"/>
    <x v="1"/>
    <n v="0.26"/>
    <s v="Mild"/>
    <n v="0.2727"/>
    <n v="0.65"/>
    <n v="0.1045"/>
    <s v="Calm"/>
    <n v="3"/>
    <n v="30"/>
    <n v="33"/>
    <n v="48.75"/>
    <n v="37.385477301266036"/>
    <n v="-0.42128658337248609"/>
    <b v="0"/>
  </r>
  <r>
    <n v="662"/>
    <d v="2011-01-30T00:00:00"/>
    <n v="1"/>
    <n v="0"/>
    <x v="0"/>
    <x v="21"/>
    <b v="0"/>
    <x v="1"/>
    <x v="1"/>
    <x v="0"/>
    <s v="Night"/>
    <n v="2"/>
    <x v="1"/>
    <n v="0.24"/>
    <s v="Mild"/>
    <n v="0.2424"/>
    <n v="0.7"/>
    <n v="0.16420000000000001"/>
    <s v="Light Breeze"/>
    <n v="3"/>
    <n v="25"/>
    <n v="28"/>
    <n v="48.125"/>
    <n v="37.610489401807556"/>
    <n v="-0.53509008577359263"/>
    <b v="0"/>
  </r>
  <r>
    <n v="663"/>
    <d v="2011-01-30T00:00:00"/>
    <n v="1"/>
    <n v="0"/>
    <x v="0"/>
    <x v="22"/>
    <b v="0"/>
    <x v="1"/>
    <x v="1"/>
    <x v="0"/>
    <s v="Night"/>
    <n v="2"/>
    <x v="1"/>
    <n v="0.24"/>
    <s v="Mild"/>
    <n v="0.2273"/>
    <n v="0.7"/>
    <n v="0.19400000000000001"/>
    <s v="Light Breeze"/>
    <n v="2"/>
    <n v="19"/>
    <n v="21"/>
    <n v="47.5"/>
    <n v="37.943894508007247"/>
    <n v="-0.69839958031740101"/>
    <b v="0"/>
  </r>
  <r>
    <n v="664"/>
    <d v="2011-01-30T00:00:00"/>
    <n v="1"/>
    <n v="0"/>
    <x v="0"/>
    <x v="23"/>
    <b v="0"/>
    <x v="1"/>
    <x v="1"/>
    <x v="0"/>
    <s v="Night"/>
    <n v="2"/>
    <x v="1"/>
    <n v="0.24"/>
    <s v="Mild"/>
    <n v="0.21210000000000001"/>
    <n v="0.65"/>
    <n v="0.28360000000000002"/>
    <s v="Light Breeze"/>
    <n v="5"/>
    <n v="16"/>
    <n v="21"/>
    <n v="47.041666666666664"/>
    <n v="38.204801845553014"/>
    <n v="-0.68163333949336735"/>
    <b v="0"/>
  </r>
  <r>
    <n v="665"/>
    <d v="2011-01-31T00:00:00"/>
    <n v="1"/>
    <n v="0"/>
    <x v="0"/>
    <x v="0"/>
    <b v="0"/>
    <x v="2"/>
    <x v="2"/>
    <x v="1"/>
    <s v="Night"/>
    <n v="2"/>
    <x v="1"/>
    <n v="0.24"/>
    <s v="Mild"/>
    <n v="0.2273"/>
    <n v="0.65"/>
    <n v="0.22389999999999999"/>
    <s v="Light Breeze"/>
    <n v="1"/>
    <n v="6"/>
    <n v="7"/>
    <n v="45.958333333333336"/>
    <n v="38.981020093581847"/>
    <n v="-0.99941800496256772"/>
    <b v="0"/>
  </r>
  <r>
    <n v="666"/>
    <d v="2011-01-31T00:00:00"/>
    <n v="1"/>
    <n v="0"/>
    <x v="0"/>
    <x v="1"/>
    <b v="0"/>
    <x v="2"/>
    <x v="2"/>
    <x v="1"/>
    <s v="Night"/>
    <n v="1"/>
    <x v="0"/>
    <n v="0.22"/>
    <s v="Mild"/>
    <n v="0.21210000000000001"/>
    <n v="0.64"/>
    <n v="0.25369999999999998"/>
    <s v="Light Breeze"/>
    <n v="2"/>
    <n v="5"/>
    <n v="7"/>
    <n v="44.875"/>
    <n v="39.711254017622942"/>
    <n v="-0.95375985818005005"/>
    <b v="0"/>
  </r>
  <r>
    <n v="667"/>
    <d v="2011-01-31T00:00:00"/>
    <n v="1"/>
    <n v="0"/>
    <x v="0"/>
    <x v="2"/>
    <b v="0"/>
    <x v="2"/>
    <x v="2"/>
    <x v="1"/>
    <s v="Night"/>
    <n v="1"/>
    <x v="0"/>
    <n v="0.22"/>
    <s v="Mild"/>
    <n v="0.2273"/>
    <n v="0.64"/>
    <n v="0.19400000000000001"/>
    <s v="Light Breeze"/>
    <n v="0"/>
    <n v="1"/>
    <n v="1"/>
    <n v="43.708333333333336"/>
    <n v="40.599292311958891"/>
    <n v="-1.0519477286739112"/>
    <b v="0"/>
  </r>
  <r>
    <n v="668"/>
    <d v="2011-01-31T00:00:00"/>
    <n v="1"/>
    <n v="0"/>
    <x v="0"/>
    <x v="3"/>
    <b v="0"/>
    <x v="2"/>
    <x v="2"/>
    <x v="1"/>
    <s v="Night"/>
    <n v="1"/>
    <x v="0"/>
    <n v="0.22"/>
    <s v="Mild"/>
    <n v="0.2273"/>
    <n v="0.64"/>
    <n v="0.19400000000000001"/>
    <s v="Light Breeze"/>
    <n v="0"/>
    <n v="2"/>
    <n v="2"/>
    <n v="43.333333333333336"/>
    <n v="40.954552400421136"/>
    <n v="-1.0092488114436895"/>
    <b v="0"/>
  </r>
  <r>
    <n v="669"/>
    <d v="2011-01-31T00:00:00"/>
    <n v="1"/>
    <n v="0"/>
    <x v="0"/>
    <x v="4"/>
    <b v="0"/>
    <x v="2"/>
    <x v="2"/>
    <x v="1"/>
    <s v="Night"/>
    <n v="1"/>
    <x v="0"/>
    <n v="0.2"/>
    <s v="Mild"/>
    <n v="0.19700000000000001"/>
    <n v="0.59"/>
    <n v="0.22389999999999999"/>
    <s v="Light Breeze"/>
    <n v="0"/>
    <n v="2"/>
    <n v="2"/>
    <n v="43.083333333333336"/>
    <n v="41.197210402253404"/>
    <n v="-0.99723580631289932"/>
    <b v="0"/>
  </r>
  <r>
    <n v="670"/>
    <d v="2011-01-31T00:00:00"/>
    <n v="1"/>
    <n v="0"/>
    <x v="0"/>
    <x v="5"/>
    <b v="0"/>
    <x v="2"/>
    <x v="2"/>
    <x v="1"/>
    <s v="Night"/>
    <n v="1"/>
    <x v="0"/>
    <n v="0.18"/>
    <s v="Cold"/>
    <n v="0.16669999999999999"/>
    <n v="0.64"/>
    <n v="0.28360000000000002"/>
    <s v="Light Breeze"/>
    <n v="0"/>
    <n v="8"/>
    <n v="8"/>
    <n v="43.375"/>
    <n v="40.910094959132245"/>
    <n v="-0.86470099948040668"/>
    <b v="0"/>
  </r>
  <r>
    <n v="671"/>
    <d v="2011-01-31T00:00:00"/>
    <n v="1"/>
    <n v="0"/>
    <x v="0"/>
    <x v="6"/>
    <b v="0"/>
    <x v="2"/>
    <x v="2"/>
    <x v="1"/>
    <s v="Morning"/>
    <n v="1"/>
    <x v="0"/>
    <n v="0.16"/>
    <s v="Cold"/>
    <n v="0.13639999999999999"/>
    <n v="0.69"/>
    <n v="0.32840000000000003"/>
    <s v="Gale"/>
    <n v="0"/>
    <n v="37"/>
    <n v="37"/>
    <n v="44.791666666666664"/>
    <n v="40.030400585236379"/>
    <n v="-0.19464373458057052"/>
    <b v="0"/>
  </r>
  <r>
    <n v="672"/>
    <d v="2011-01-31T00:00:00"/>
    <n v="1"/>
    <n v="0"/>
    <x v="0"/>
    <x v="7"/>
    <b v="0"/>
    <x v="2"/>
    <x v="2"/>
    <x v="1"/>
    <s v="Morning"/>
    <n v="2"/>
    <x v="1"/>
    <n v="0.16"/>
    <s v="Cold"/>
    <n v="0.13639999999999999"/>
    <n v="0.64"/>
    <n v="0.28360000000000002"/>
    <s v="Light Breeze"/>
    <n v="1"/>
    <n v="71"/>
    <n v="72"/>
    <n v="47.666666666666664"/>
    <n v="39.370775595795578"/>
    <n v="0.61805572699796907"/>
    <b v="0"/>
  </r>
  <r>
    <n v="673"/>
    <d v="2011-01-31T00:00:00"/>
    <n v="1"/>
    <n v="0"/>
    <x v="0"/>
    <x v="8"/>
    <b v="0"/>
    <x v="2"/>
    <x v="2"/>
    <x v="1"/>
    <s v="Morning"/>
    <n v="2"/>
    <x v="1"/>
    <n v="0.16"/>
    <s v="Cold"/>
    <n v="0.13639999999999999"/>
    <n v="0.59"/>
    <n v="0.28360000000000002"/>
    <s v="Light Breeze"/>
    <n v="3"/>
    <n v="182"/>
    <n v="185"/>
    <n v="54.875"/>
    <n v="47.545230181832949"/>
    <n v="2.7368675995961591"/>
    <b v="0"/>
  </r>
  <r>
    <n v="674"/>
    <d v="2011-01-31T00:00:00"/>
    <n v="1"/>
    <n v="0"/>
    <x v="0"/>
    <x v="9"/>
    <b v="0"/>
    <x v="2"/>
    <x v="2"/>
    <x v="1"/>
    <s v="Morning"/>
    <n v="2"/>
    <x v="1"/>
    <n v="0.16"/>
    <s v="Cold"/>
    <n v="0.13639999999999999"/>
    <n v="0.59"/>
    <n v="0.29849999999999999"/>
    <s v="Light Breeze"/>
    <n v="0"/>
    <n v="112"/>
    <n v="112"/>
    <n v="57.958333333333336"/>
    <n v="48.786561911948716"/>
    <n v="1.1077162347328862"/>
    <b v="0"/>
  </r>
  <r>
    <n v="675"/>
    <d v="2011-01-31T00:00:00"/>
    <n v="1"/>
    <n v="0"/>
    <x v="0"/>
    <x v="10"/>
    <b v="0"/>
    <x v="2"/>
    <x v="2"/>
    <x v="1"/>
    <s v="Morning"/>
    <n v="2"/>
    <x v="1"/>
    <n v="0.16"/>
    <s v="Cold"/>
    <n v="0.1515"/>
    <n v="0.59"/>
    <n v="0.19400000000000001"/>
    <s v="Light Breeze"/>
    <n v="1"/>
    <n v="68"/>
    <n v="69"/>
    <n v="58.166666666666664"/>
    <n v="48.82414465660689"/>
    <n v="0.22188475414217765"/>
    <b v="0"/>
  </r>
  <r>
    <n v="676"/>
    <d v="2011-01-31T00:00:00"/>
    <n v="1"/>
    <n v="0"/>
    <x v="0"/>
    <x v="11"/>
    <b v="0"/>
    <x v="2"/>
    <x v="2"/>
    <x v="1"/>
    <s v="Morning"/>
    <n v="2"/>
    <x v="1"/>
    <n v="0.16"/>
    <s v="Cold"/>
    <n v="0.1515"/>
    <n v="0.59"/>
    <n v="0.19400000000000001"/>
    <s v="Light Breeze"/>
    <n v="2"/>
    <n v="46"/>
    <n v="48"/>
    <n v="57.708333333333336"/>
    <n v="48.867593215408782"/>
    <n v="-0.19866608307347811"/>
    <b v="0"/>
  </r>
  <r>
    <n v="677"/>
    <d v="2011-01-31T00:00:00"/>
    <n v="1"/>
    <n v="0"/>
    <x v="0"/>
    <x v="12"/>
    <b v="0"/>
    <x v="2"/>
    <x v="2"/>
    <x v="1"/>
    <s v="Midday"/>
    <n v="2"/>
    <x v="1"/>
    <n v="0.18"/>
    <s v="Cold"/>
    <n v="0.21210000000000001"/>
    <n v="0.55000000000000004"/>
    <n v="0.1045"/>
    <s v="Calm"/>
    <n v="6"/>
    <n v="62"/>
    <n v="68"/>
    <n v="56.5"/>
    <n v="48.207883172775801"/>
    <n v="0.23855019642294392"/>
    <b v="0"/>
  </r>
  <r>
    <n v="678"/>
    <d v="2011-01-31T00:00:00"/>
    <n v="1"/>
    <n v="0"/>
    <x v="0"/>
    <x v="13"/>
    <b v="0"/>
    <x v="2"/>
    <x v="2"/>
    <x v="1"/>
    <s v="Midday"/>
    <n v="2"/>
    <x v="1"/>
    <n v="0.16"/>
    <s v="Cold"/>
    <n v="0.2273"/>
    <n v="0.59"/>
    <n v="0"/>
    <s v="Calm"/>
    <n v="2"/>
    <n v="52"/>
    <n v="54"/>
    <n v="55.25"/>
    <n v="47.851445846131099"/>
    <n v="-2.612251266177917E-2"/>
    <b v="0"/>
  </r>
  <r>
    <n v="679"/>
    <d v="2011-01-31T00:00:00"/>
    <n v="1"/>
    <n v="0"/>
    <x v="0"/>
    <x v="14"/>
    <b v="0"/>
    <x v="2"/>
    <x v="2"/>
    <x v="1"/>
    <s v="Midday"/>
    <n v="2"/>
    <x v="1"/>
    <n v="0.18"/>
    <s v="Cold"/>
    <n v="0.19700000000000001"/>
    <n v="0.55000000000000004"/>
    <n v="0.1343"/>
    <s v="Light Breeze"/>
    <n v="1"/>
    <n v="85"/>
    <n v="86"/>
    <n v="53.75"/>
    <n v="46.203942990031564"/>
    <n v="0.69799237712153472"/>
    <b v="0"/>
  </r>
  <r>
    <n v="680"/>
    <d v="2011-01-31T00:00:00"/>
    <n v="1"/>
    <n v="0"/>
    <x v="0"/>
    <x v="15"/>
    <b v="0"/>
    <x v="2"/>
    <x v="2"/>
    <x v="1"/>
    <s v="Midday"/>
    <n v="2"/>
    <x v="1"/>
    <n v="0.16"/>
    <s v="Cold"/>
    <n v="0.18179999999999999"/>
    <n v="0.59"/>
    <n v="0.1343"/>
    <s v="Light Breeze"/>
    <n v="3"/>
    <n v="41"/>
    <n v="44"/>
    <n v="51.041666666666664"/>
    <n v="44.705295053238395"/>
    <n v="-0.15751303415581808"/>
    <b v="0"/>
  </r>
  <r>
    <n v="681"/>
    <d v="2011-01-31T00:00:00"/>
    <n v="1"/>
    <n v="0"/>
    <x v="0"/>
    <x v="16"/>
    <b v="0"/>
    <x v="2"/>
    <x v="2"/>
    <x v="1"/>
    <s v="Midday"/>
    <n v="2"/>
    <x v="1"/>
    <n v="0.16"/>
    <s v="Cold"/>
    <n v="0.18179999999999999"/>
    <n v="0.56000000000000005"/>
    <n v="0.19400000000000001"/>
    <s v="Light Breeze"/>
    <n v="3"/>
    <n v="83"/>
    <n v="86"/>
    <n v="49.5"/>
    <n v="42.709331024048353"/>
    <n v="0.85461418207295115"/>
    <b v="0"/>
  </r>
  <r>
    <n v="682"/>
    <d v="2011-01-31T00:00:00"/>
    <n v="1"/>
    <n v="0"/>
    <x v="0"/>
    <x v="17"/>
    <b v="0"/>
    <x v="2"/>
    <x v="2"/>
    <x v="1"/>
    <s v="Evening"/>
    <n v="2"/>
    <x v="1"/>
    <n v="0.16"/>
    <s v="Cold"/>
    <n v="0.1515"/>
    <n v="0.59"/>
    <n v="0.19400000000000001"/>
    <s v="Light Breeze"/>
    <n v="6"/>
    <n v="155"/>
    <n v="161"/>
    <n v="53"/>
    <n v="48.155545077790684"/>
    <n v="2.2427323753793318"/>
    <b v="0"/>
  </r>
  <r>
    <n v="683"/>
    <d v="2011-01-31T00:00:00"/>
    <n v="1"/>
    <n v="0"/>
    <x v="0"/>
    <x v="18"/>
    <b v="0"/>
    <x v="2"/>
    <x v="2"/>
    <x v="1"/>
    <s v="Evening"/>
    <n v="2"/>
    <x v="1"/>
    <n v="0.16"/>
    <s v="Cold"/>
    <n v="0.1515"/>
    <n v="0.55000000000000004"/>
    <n v="0.22389999999999999"/>
    <s v="Light Breeze"/>
    <n v="3"/>
    <n v="153"/>
    <n v="156"/>
    <n v="56.791666666666664"/>
    <n v="52.525752827969328"/>
    <n v="1.888756048071454"/>
    <b v="0"/>
  </r>
  <r>
    <n v="684"/>
    <d v="2011-01-31T00:00:00"/>
    <n v="1"/>
    <n v="0"/>
    <x v="0"/>
    <x v="19"/>
    <b v="0"/>
    <x v="2"/>
    <x v="2"/>
    <x v="1"/>
    <s v="Evening"/>
    <n v="1"/>
    <x v="0"/>
    <n v="0.3"/>
    <s v="Mild"/>
    <n v="0.31819999999999998"/>
    <n v="0.61"/>
    <n v="0.1045"/>
    <s v="Calm"/>
    <n v="3"/>
    <n v="108"/>
    <n v="111"/>
    <n v="59.125"/>
    <n v="53.673985683293864"/>
    <n v="0.96648309864840531"/>
    <b v="0"/>
  </r>
  <r>
    <n v="685"/>
    <d v="2011-01-31T00:00:00"/>
    <n v="1"/>
    <n v="0"/>
    <x v="0"/>
    <x v="20"/>
    <b v="0"/>
    <x v="2"/>
    <x v="2"/>
    <x v="1"/>
    <s v="Evening"/>
    <n v="3"/>
    <x v="2"/>
    <n v="0.16"/>
    <s v="Cold"/>
    <n v="0.16669999999999999"/>
    <n v="0.59"/>
    <n v="0.16420000000000001"/>
    <s v="Light Breeze"/>
    <n v="0"/>
    <n v="78"/>
    <n v="78"/>
    <n v="61"/>
    <n v="53.507415170804776"/>
    <n v="0.31771297390713243"/>
    <b v="0"/>
  </r>
  <r>
    <n v="686"/>
    <d v="2011-01-31T00:00:00"/>
    <n v="1"/>
    <n v="0"/>
    <x v="0"/>
    <x v="21"/>
    <b v="0"/>
    <x v="2"/>
    <x v="2"/>
    <x v="1"/>
    <s v="Night"/>
    <n v="3"/>
    <x v="2"/>
    <n v="0.16"/>
    <s v="Cold"/>
    <n v="0.19700000000000001"/>
    <n v="0.59"/>
    <n v="8.9599999999999999E-2"/>
    <s v="Calm"/>
    <n v="3"/>
    <n v="53"/>
    <n v="56"/>
    <n v="62.166666666666664"/>
    <n v="53.059987927256252"/>
    <n v="-0.11622065717619444"/>
    <b v="0"/>
  </r>
  <r>
    <n v="687"/>
    <d v="2011-01-31T00:00:00"/>
    <n v="1"/>
    <n v="0"/>
    <x v="0"/>
    <x v="22"/>
    <b v="0"/>
    <x v="2"/>
    <x v="2"/>
    <x v="1"/>
    <s v="Night"/>
    <n v="2"/>
    <x v="1"/>
    <n v="0.16"/>
    <s v="Cold"/>
    <n v="0.18179999999999999"/>
    <n v="0.59"/>
    <n v="0.1045"/>
    <s v="Calm"/>
    <n v="0"/>
    <n v="34"/>
    <n v="34"/>
    <n v="62.708333333333336"/>
    <n v="52.686504473377127"/>
    <n v="-0.54488969462454784"/>
    <b v="0"/>
  </r>
  <r>
    <n v="688"/>
    <d v="2011-01-31T00:00:00"/>
    <n v="1"/>
    <n v="0"/>
    <x v="0"/>
    <x v="23"/>
    <b v="0"/>
    <x v="2"/>
    <x v="2"/>
    <x v="1"/>
    <s v="Night"/>
    <n v="2"/>
    <x v="1"/>
    <n v="0.16"/>
    <s v="Cold"/>
    <n v="0.19700000000000001"/>
    <n v="0.64"/>
    <n v="8.9599999999999999E-2"/>
    <s v="Calm"/>
    <n v="2"/>
    <n v="15"/>
    <n v="17"/>
    <n v="62.541666666666664"/>
    <n v="52.830310113292605"/>
    <n v="-0.86203670902185281"/>
    <b v="0"/>
  </r>
  <r>
    <n v="689"/>
    <d v="2011-02-01T00:00:00"/>
    <n v="1"/>
    <n v="0"/>
    <x v="1"/>
    <x v="0"/>
    <b v="0"/>
    <x v="3"/>
    <x v="3"/>
    <x v="1"/>
    <s v="Night"/>
    <n v="2"/>
    <x v="1"/>
    <n v="0.16"/>
    <s v="Cold"/>
    <n v="0.18179999999999999"/>
    <n v="0.64"/>
    <n v="0.1045"/>
    <s v="Calm"/>
    <n v="2"/>
    <n v="6"/>
    <n v="8"/>
    <n v="62.583333333333336"/>
    <n v="52.784975354625352"/>
    <n v="-1.0340695049420043"/>
    <b v="0"/>
  </r>
  <r>
    <n v="690"/>
    <d v="2011-02-01T00:00:00"/>
    <n v="1"/>
    <n v="0"/>
    <x v="1"/>
    <x v="1"/>
    <b v="0"/>
    <x v="3"/>
    <x v="3"/>
    <x v="1"/>
    <s v="Night"/>
    <n v="2"/>
    <x v="1"/>
    <n v="0.16"/>
    <s v="Cold"/>
    <n v="0.18179999999999999"/>
    <n v="0.69"/>
    <n v="0.1045"/>
    <s v="Calm"/>
    <n v="0"/>
    <n v="3"/>
    <n v="3"/>
    <n v="62.416666666666664"/>
    <n v="52.974084448798223"/>
    <n v="-1.121617622747128"/>
    <b v="0"/>
  </r>
  <r>
    <n v="691"/>
    <d v="2011-02-01T00:00:00"/>
    <n v="1"/>
    <n v="0"/>
    <x v="1"/>
    <x v="2"/>
    <b v="0"/>
    <x v="3"/>
    <x v="3"/>
    <x v="1"/>
    <s v="Night"/>
    <n v="2"/>
    <x v="1"/>
    <n v="0.16"/>
    <s v="Cold"/>
    <n v="0.2273"/>
    <n v="0.69"/>
    <n v="0"/>
    <s v="Calm"/>
    <n v="0"/>
    <n v="2"/>
    <n v="2"/>
    <n v="62.458333333333336"/>
    <n v="52.92404661536122"/>
    <n v="-1.1423603673530378"/>
    <b v="0"/>
  </r>
  <r>
    <n v="692"/>
    <d v="2011-02-01T00:00:00"/>
    <n v="1"/>
    <n v="0"/>
    <x v="1"/>
    <x v="3"/>
    <b v="0"/>
    <x v="3"/>
    <x v="3"/>
    <x v="1"/>
    <s v="Night"/>
    <n v="2"/>
    <x v="1"/>
    <n v="0.16"/>
    <s v="Cold"/>
    <n v="0.2273"/>
    <n v="0.69"/>
    <n v="0"/>
    <s v="Calm"/>
    <n v="0"/>
    <n v="2"/>
    <n v="2"/>
    <n v="62.458333333333336"/>
    <n v="52.92404661536122"/>
    <n v="-1.1423603673530378"/>
    <b v="0"/>
  </r>
  <r>
    <n v="693"/>
    <d v="2011-02-01T00:00:00"/>
    <n v="1"/>
    <n v="0"/>
    <x v="1"/>
    <x v="5"/>
    <b v="0"/>
    <x v="3"/>
    <x v="3"/>
    <x v="1"/>
    <s v="Night"/>
    <n v="3"/>
    <x v="2"/>
    <n v="0.14000000000000001"/>
    <s v="Cold"/>
    <n v="0.21210000000000001"/>
    <n v="0.93"/>
    <n v="0"/>
    <s v="Calm"/>
    <n v="0"/>
    <n v="3"/>
    <n v="3"/>
    <n v="62.5"/>
    <n v="52.87474945978262"/>
    <n v="-1.1253008403426412"/>
    <b v="0"/>
  </r>
  <r>
    <n v="694"/>
    <d v="2011-02-01T00:00:00"/>
    <n v="1"/>
    <n v="0"/>
    <x v="1"/>
    <x v="6"/>
    <b v="0"/>
    <x v="3"/>
    <x v="3"/>
    <x v="1"/>
    <s v="Morning"/>
    <n v="3"/>
    <x v="2"/>
    <n v="0.14000000000000001"/>
    <s v="Cold"/>
    <n v="0.21210000000000001"/>
    <n v="0.93"/>
    <n v="0"/>
    <s v="Calm"/>
    <n v="0"/>
    <n v="22"/>
    <n v="22"/>
    <n v="63.083333333333336"/>
    <n v="52.321677830651538"/>
    <n v="-0.78520672571523575"/>
    <b v="0"/>
  </r>
  <r>
    <n v="695"/>
    <d v="2011-02-01T00:00:00"/>
    <n v="1"/>
    <n v="0"/>
    <x v="1"/>
    <x v="7"/>
    <b v="0"/>
    <x v="3"/>
    <x v="3"/>
    <x v="1"/>
    <s v="Morning"/>
    <n v="3"/>
    <x v="2"/>
    <n v="0.16"/>
    <s v="Cold"/>
    <n v="0.2273"/>
    <n v="0.93"/>
    <n v="0"/>
    <s v="Calm"/>
    <n v="0"/>
    <n v="52"/>
    <n v="52"/>
    <n v="63.708333333333336"/>
    <n v="52.085614442800399"/>
    <n v="-0.22479015479775596"/>
    <b v="0"/>
  </r>
  <r>
    <n v="696"/>
    <d v="2011-02-01T00:00:00"/>
    <n v="1"/>
    <n v="0"/>
    <x v="1"/>
    <x v="8"/>
    <b v="0"/>
    <x v="3"/>
    <x v="3"/>
    <x v="1"/>
    <s v="Morning"/>
    <n v="3"/>
    <x v="2"/>
    <n v="0.16"/>
    <s v="Cold"/>
    <n v="0.2273"/>
    <n v="0.93"/>
    <n v="0"/>
    <s v="Calm"/>
    <n v="3"/>
    <n v="132"/>
    <n v="135"/>
    <n v="66.333333333333329"/>
    <n v="54.071343102678114"/>
    <n v="1.2699271504366545"/>
    <b v="0"/>
  </r>
  <r>
    <n v="697"/>
    <d v="2011-02-01T00:00:00"/>
    <n v="1"/>
    <n v="0"/>
    <x v="1"/>
    <x v="9"/>
    <b v="0"/>
    <x v="3"/>
    <x v="3"/>
    <x v="1"/>
    <s v="Morning"/>
    <n v="2"/>
    <x v="1"/>
    <n v="0.16"/>
    <s v="Cold"/>
    <n v="0.2273"/>
    <n v="0.93"/>
    <n v="0"/>
    <s v="Calm"/>
    <n v="2"/>
    <n v="114"/>
    <n v="116"/>
    <n v="63.458333333333336"/>
    <n v="49.09261802885986"/>
    <n v="1.0702559524484767"/>
    <b v="0"/>
  </r>
  <r>
    <n v="698"/>
    <d v="2011-02-01T00:00:00"/>
    <n v="1"/>
    <n v="0"/>
    <x v="1"/>
    <x v="10"/>
    <b v="0"/>
    <x v="3"/>
    <x v="3"/>
    <x v="1"/>
    <s v="Morning"/>
    <n v="2"/>
    <x v="1"/>
    <n v="0.16"/>
    <s v="Cold"/>
    <n v="0.2273"/>
    <n v="0.93"/>
    <n v="0"/>
    <s v="Calm"/>
    <n v="0"/>
    <n v="47"/>
    <n v="47"/>
    <n v="60.75"/>
    <n v="48.080774427677611"/>
    <n v="-0.2859770909198342"/>
    <b v="0"/>
  </r>
  <r>
    <n v="699"/>
    <d v="2011-02-01T00:00:00"/>
    <n v="1"/>
    <n v="0"/>
    <x v="1"/>
    <x v="11"/>
    <b v="0"/>
    <x v="3"/>
    <x v="3"/>
    <x v="1"/>
    <s v="Morning"/>
    <n v="2"/>
    <x v="1"/>
    <n v="0.18"/>
    <s v="Cold"/>
    <n v="0.2424"/>
    <n v="0.86"/>
    <n v="0"/>
    <s v="Calm"/>
    <n v="2"/>
    <n v="49"/>
    <n v="51"/>
    <n v="60"/>
    <n v="48.086877899141641"/>
    <n v="-0.18716124633578365"/>
    <b v="0"/>
  </r>
  <r>
    <n v="700"/>
    <d v="2011-02-01T00:00:00"/>
    <n v="1"/>
    <n v="0"/>
    <x v="1"/>
    <x v="12"/>
    <b v="0"/>
    <x v="3"/>
    <x v="3"/>
    <x v="1"/>
    <s v="Midday"/>
    <n v="2"/>
    <x v="1"/>
    <n v="0.2"/>
    <s v="Mild"/>
    <n v="0.2576"/>
    <n v="0.86"/>
    <n v="0"/>
    <s v="Calm"/>
    <n v="2"/>
    <n v="53"/>
    <n v="55"/>
    <n v="60.291666666666664"/>
    <n v="48.032126175379076"/>
    <n v="-0.11016931974539855"/>
    <b v="0"/>
  </r>
  <r>
    <n v="701"/>
    <d v="2011-02-01T00:00:00"/>
    <n v="1"/>
    <n v="0"/>
    <x v="1"/>
    <x v="13"/>
    <b v="0"/>
    <x v="3"/>
    <x v="3"/>
    <x v="1"/>
    <s v="Midday"/>
    <n v="2"/>
    <x v="1"/>
    <n v="0.2"/>
    <s v="Mild"/>
    <n v="0.2576"/>
    <n v="0.86"/>
    <n v="0"/>
    <s v="Calm"/>
    <n v="3"/>
    <n v="49"/>
    <n v="52"/>
    <n v="59.625"/>
    <n v="48.031522710747403"/>
    <n v="-0.15874991192594132"/>
    <b v="0"/>
  </r>
  <r>
    <n v="702"/>
    <d v="2011-02-01T00:00:00"/>
    <n v="1"/>
    <n v="0"/>
    <x v="1"/>
    <x v="14"/>
    <b v="0"/>
    <x v="3"/>
    <x v="3"/>
    <x v="1"/>
    <s v="Midday"/>
    <n v="2"/>
    <x v="1"/>
    <n v="0.22"/>
    <s v="Mild"/>
    <n v="0.2576"/>
    <n v="0.8"/>
    <n v="8.9599999999999999E-2"/>
    <s v="Calm"/>
    <n v="5"/>
    <n v="49"/>
    <n v="54"/>
    <n v="59.625"/>
    <n v="48.031522710747403"/>
    <n v="-0.11711059076503867"/>
    <b v="0"/>
  </r>
  <r>
    <n v="703"/>
    <d v="2011-02-01T00:00:00"/>
    <n v="1"/>
    <n v="0"/>
    <x v="1"/>
    <x v="15"/>
    <b v="0"/>
    <x v="3"/>
    <x v="3"/>
    <x v="1"/>
    <s v="Midday"/>
    <n v="2"/>
    <x v="1"/>
    <n v="0.24"/>
    <s v="Mild"/>
    <n v="0.28789999999999999"/>
    <n v="0.75"/>
    <n v="0"/>
    <s v="Calm"/>
    <n v="7"/>
    <n v="45"/>
    <n v="52"/>
    <n v="58.208333333333336"/>
    <n v="47.720180005005687"/>
    <n v="-0.13009869897142262"/>
    <b v="0"/>
  </r>
  <r>
    <n v="704"/>
    <d v="2011-02-01T00:00:00"/>
    <n v="1"/>
    <n v="0"/>
    <x v="1"/>
    <x v="16"/>
    <b v="0"/>
    <x v="3"/>
    <x v="3"/>
    <x v="1"/>
    <s v="Midday"/>
    <n v="2"/>
    <x v="1"/>
    <n v="0.24"/>
    <s v="Mild"/>
    <n v="0.2424"/>
    <n v="0.75"/>
    <n v="0.1343"/>
    <s v="Light Breeze"/>
    <n v="3"/>
    <n v="61"/>
    <n v="64"/>
    <n v="59.041666666666664"/>
    <n v="47.635827918167593"/>
    <n v="0.10408832070371767"/>
    <b v="0"/>
  </r>
  <r>
    <n v="705"/>
    <d v="2011-02-01T00:00:00"/>
    <n v="1"/>
    <n v="0"/>
    <x v="1"/>
    <x v="17"/>
    <b v="0"/>
    <x v="3"/>
    <x v="3"/>
    <x v="1"/>
    <s v="Evening"/>
    <n v="2"/>
    <x v="1"/>
    <n v="0.24"/>
    <s v="Mild"/>
    <n v="0.28789999999999999"/>
    <n v="0.75"/>
    <n v="0"/>
    <s v="Calm"/>
    <n v="4"/>
    <n v="172"/>
    <n v="176"/>
    <n v="62.791666666666664"/>
    <n v="53.081544460564075"/>
    <n v="2.1327249326258646"/>
    <b v="0"/>
  </r>
  <r>
    <n v="706"/>
    <d v="2011-02-01T00:00:00"/>
    <n v="1"/>
    <n v="0"/>
    <x v="1"/>
    <x v="18"/>
    <b v="0"/>
    <x v="3"/>
    <x v="3"/>
    <x v="1"/>
    <s v="Evening"/>
    <n v="2"/>
    <x v="1"/>
    <n v="0.24"/>
    <s v="Mild"/>
    <n v="0.2576"/>
    <n v="0.81"/>
    <n v="0.1045"/>
    <s v="Calm"/>
    <n v="3"/>
    <n v="165"/>
    <n v="168"/>
    <n v="63.083333333333336"/>
    <n v="53.660702702189369"/>
    <n v="1.9551862235003128"/>
    <b v="0"/>
  </r>
  <r>
    <n v="707"/>
    <d v="2011-02-01T00:00:00"/>
    <n v="1"/>
    <n v="0"/>
    <x v="1"/>
    <x v="19"/>
    <b v="0"/>
    <x v="3"/>
    <x v="3"/>
    <x v="1"/>
    <s v="Evening"/>
    <n v="2"/>
    <x v="1"/>
    <n v="0.24"/>
    <s v="Mild"/>
    <n v="0.2424"/>
    <n v="0.81"/>
    <n v="0.1343"/>
    <s v="Light Breeze"/>
    <n v="3"/>
    <n v="105"/>
    <n v="108"/>
    <n v="61.083333333333336"/>
    <n v="50.868899413455289"/>
    <n v="0.92230551884629097"/>
    <b v="0"/>
  </r>
  <r>
    <n v="708"/>
    <d v="2011-02-01T00:00:00"/>
    <n v="1"/>
    <n v="0"/>
    <x v="1"/>
    <x v="20"/>
    <b v="0"/>
    <x v="3"/>
    <x v="3"/>
    <x v="1"/>
    <s v="Evening"/>
    <n v="2"/>
    <x v="1"/>
    <n v="0.22"/>
    <s v="Mild"/>
    <n v="0.2273"/>
    <n v="0.87"/>
    <n v="0.1343"/>
    <s v="Light Breeze"/>
    <n v="5"/>
    <n v="69"/>
    <n v="74"/>
    <n v="59.541666666666664"/>
    <n v="49.840597357250203"/>
    <n v="0.29009149368130743"/>
    <b v="0"/>
  </r>
  <r>
    <n v="709"/>
    <d v="2011-02-01T00:00:00"/>
    <n v="1"/>
    <n v="0"/>
    <x v="1"/>
    <x v="21"/>
    <b v="0"/>
    <x v="3"/>
    <x v="3"/>
    <x v="1"/>
    <s v="Night"/>
    <n v="2"/>
    <x v="1"/>
    <n v="0.22"/>
    <s v="Mild"/>
    <n v="0.2273"/>
    <n v="0.87"/>
    <n v="0.1343"/>
    <s v="Light Breeze"/>
    <n v="0"/>
    <n v="64"/>
    <n v="64"/>
    <n v="58.958333333333336"/>
    <n v="49.696889209501322"/>
    <n v="0.10144833503387111"/>
    <b v="0"/>
  </r>
  <r>
    <n v="710"/>
    <d v="2011-02-01T00:00:00"/>
    <n v="1"/>
    <n v="0"/>
    <x v="1"/>
    <x v="22"/>
    <b v="0"/>
    <x v="3"/>
    <x v="3"/>
    <x v="1"/>
    <s v="Night"/>
    <n v="2"/>
    <x v="1"/>
    <n v="0.22"/>
    <s v="Mild"/>
    <n v="0.2576"/>
    <n v="0.87"/>
    <n v="8.9599999999999999E-2"/>
    <s v="Calm"/>
    <n v="2"/>
    <n v="34"/>
    <n v="36"/>
    <n v="58.125"/>
    <n v="49.915853106045859"/>
    <n v="-0.44324595540810657"/>
    <b v="0"/>
  </r>
  <r>
    <n v="711"/>
    <d v="2011-02-01T00:00:00"/>
    <n v="1"/>
    <n v="0"/>
    <x v="1"/>
    <x v="23"/>
    <b v="0"/>
    <x v="3"/>
    <x v="3"/>
    <x v="1"/>
    <s v="Night"/>
    <n v="3"/>
    <x v="2"/>
    <n v="0.2"/>
    <s v="Mild"/>
    <n v="0.19700000000000001"/>
    <n v="0.93"/>
    <n v="0.19400000000000001"/>
    <s v="Light Breeze"/>
    <n v="1"/>
    <n v="15"/>
    <n v="16"/>
    <n v="57.375"/>
    <n v="50.426711779269972"/>
    <n v="-0.82049767950582375"/>
    <b v="0"/>
  </r>
  <r>
    <n v="712"/>
    <d v="2011-02-02T00:00:00"/>
    <n v="1"/>
    <n v="0"/>
    <x v="1"/>
    <x v="0"/>
    <b v="0"/>
    <x v="4"/>
    <x v="4"/>
    <x v="1"/>
    <s v="Night"/>
    <n v="3"/>
    <x v="2"/>
    <n v="0.22"/>
    <s v="Mild"/>
    <n v="0.2424"/>
    <n v="0.93"/>
    <n v="0.1045"/>
    <s v="Calm"/>
    <n v="0"/>
    <n v="2"/>
    <n v="2"/>
    <n v="56.75"/>
    <n v="51.03813578440954"/>
    <n v="-1.0727272687088292"/>
    <b v="0"/>
  </r>
  <r>
    <n v="713"/>
    <d v="2011-02-02T00:00:00"/>
    <n v="1"/>
    <n v="0"/>
    <x v="1"/>
    <x v="1"/>
    <b v="0"/>
    <x v="4"/>
    <x v="4"/>
    <x v="1"/>
    <s v="Night"/>
    <n v="3"/>
    <x v="2"/>
    <n v="0.22"/>
    <s v="Mild"/>
    <n v="0.2273"/>
    <n v="0.93"/>
    <n v="0.19400000000000001"/>
    <s v="Light Breeze"/>
    <n v="0"/>
    <n v="3"/>
    <n v="3"/>
    <n v="56.541666666666664"/>
    <n v="51.255522855477786"/>
    <n v="-1.0446028775793583"/>
    <b v="0"/>
  </r>
  <r>
    <n v="714"/>
    <d v="2011-02-02T00:00:00"/>
    <n v="1"/>
    <n v="0"/>
    <x v="1"/>
    <x v="2"/>
    <b v="0"/>
    <x v="4"/>
    <x v="4"/>
    <x v="1"/>
    <s v="Night"/>
    <n v="3"/>
    <x v="2"/>
    <n v="0.22"/>
    <s v="Mild"/>
    <n v="0.2273"/>
    <n v="0.93"/>
    <n v="0.1343"/>
    <s v="Light Breeze"/>
    <n v="4"/>
    <n v="0"/>
    <n v="4"/>
    <n v="56.583333333333336"/>
    <n v="51.2104920182732"/>
    <n v="-1.0268078134178105"/>
    <b v="0"/>
  </r>
  <r>
    <n v="715"/>
    <d v="2011-02-02T00:00:00"/>
    <n v="1"/>
    <n v="0"/>
    <x v="1"/>
    <x v="3"/>
    <b v="0"/>
    <x v="4"/>
    <x v="4"/>
    <x v="1"/>
    <s v="Night"/>
    <n v="3"/>
    <x v="2"/>
    <n v="0.22"/>
    <s v="Mild"/>
    <n v="0.2273"/>
    <n v="0.93"/>
    <n v="0.1343"/>
    <s v="Light Breeze"/>
    <n v="0"/>
    <n v="1"/>
    <n v="1"/>
    <n v="56.541666666666664"/>
    <n v="51.257219357197712"/>
    <n v="-1.0835871973392039"/>
    <b v="0"/>
  </r>
  <r>
    <n v="716"/>
    <d v="2011-02-02T00:00:00"/>
    <n v="1"/>
    <n v="0"/>
    <x v="1"/>
    <x v="4"/>
    <b v="0"/>
    <x v="4"/>
    <x v="4"/>
    <x v="1"/>
    <s v="Night"/>
    <n v="3"/>
    <x v="2"/>
    <n v="0.22"/>
    <s v="Mild"/>
    <n v="0.21210000000000001"/>
    <n v="0.93"/>
    <n v="0.28360000000000002"/>
    <s v="Light Breeze"/>
    <n v="0"/>
    <n v="1"/>
    <n v="1"/>
    <n v="56.5"/>
    <n v="51.303868826061638"/>
    <n v="-1.0817897610834133"/>
    <b v="0"/>
  </r>
  <r>
    <n v="717"/>
    <d v="2011-02-02T00:00:00"/>
    <n v="1"/>
    <n v="0"/>
    <x v="1"/>
    <x v="5"/>
    <b v="0"/>
    <x v="4"/>
    <x v="4"/>
    <x v="1"/>
    <s v="Night"/>
    <n v="3"/>
    <x v="2"/>
    <n v="0.22"/>
    <s v="Mild"/>
    <n v="0.2424"/>
    <n v="0.93"/>
    <n v="0.1045"/>
    <s v="Calm"/>
    <n v="0"/>
    <n v="3"/>
    <n v="3"/>
    <n v="56.5"/>
    <n v="51.303868826061638"/>
    <n v="-1.0428063462695967"/>
    <b v="0"/>
  </r>
  <r>
    <n v="718"/>
    <d v="2011-02-02T00:00:00"/>
    <n v="1"/>
    <n v="0"/>
    <x v="1"/>
    <x v="6"/>
    <b v="0"/>
    <x v="4"/>
    <x v="4"/>
    <x v="1"/>
    <s v="Morning"/>
    <n v="3"/>
    <x v="2"/>
    <n v="0.22"/>
    <s v="Mild"/>
    <n v="0.2424"/>
    <n v="0.93"/>
    <n v="0.1045"/>
    <s v="Calm"/>
    <n v="1"/>
    <n v="17"/>
    <n v="18"/>
    <n v="56.333333333333336"/>
    <n v="51.427168142805662"/>
    <n v="-0.74539070918482853"/>
    <b v="0"/>
  </r>
  <r>
    <n v="719"/>
    <d v="2011-02-02T00:00:00"/>
    <n v="1"/>
    <n v="0"/>
    <x v="1"/>
    <x v="7"/>
    <b v="0"/>
    <x v="4"/>
    <x v="4"/>
    <x v="1"/>
    <s v="Morning"/>
    <n v="3"/>
    <x v="2"/>
    <n v="0.22"/>
    <s v="Mild"/>
    <n v="0.21210000000000001"/>
    <n v="0.93"/>
    <n v="0.22389999999999999"/>
    <s v="Light Breeze"/>
    <n v="1"/>
    <n v="48"/>
    <n v="49"/>
    <n v="56.208333333333336"/>
    <n v="51.441802631430157"/>
    <n v="-0.14012598634965318"/>
    <b v="0"/>
  </r>
  <r>
    <n v="720"/>
    <d v="2011-02-02T00:00:00"/>
    <n v="1"/>
    <n v="0"/>
    <x v="1"/>
    <x v="8"/>
    <b v="0"/>
    <x v="4"/>
    <x v="4"/>
    <x v="1"/>
    <s v="Morning"/>
    <n v="3"/>
    <x v="2"/>
    <n v="0.22"/>
    <s v="Mild"/>
    <n v="0.21210000000000001"/>
    <n v="0.93"/>
    <n v="0.22389999999999999"/>
    <s v="Light Breeze"/>
    <n v="1"/>
    <n v="154"/>
    <n v="155"/>
    <n v="57.041666666666664"/>
    <n v="52.914598270656157"/>
    <n v="1.851253463784799"/>
    <b v="0"/>
  </r>
  <r>
    <n v="721"/>
    <d v="2011-02-02T00:00:00"/>
    <n v="1"/>
    <n v="0"/>
    <x v="1"/>
    <x v="9"/>
    <b v="0"/>
    <x v="4"/>
    <x v="4"/>
    <x v="1"/>
    <s v="Morning"/>
    <n v="2"/>
    <x v="1"/>
    <n v="0.24"/>
    <s v="Mild"/>
    <n v="0.2576"/>
    <n v="0.93"/>
    <n v="8.9599999999999999E-2"/>
    <s v="Calm"/>
    <n v="4"/>
    <n v="119"/>
    <n v="123"/>
    <n v="57.333333333333336"/>
    <n v="53.271794206418605"/>
    <n v="1.2326723296050468"/>
    <b v="0"/>
  </r>
  <r>
    <n v="722"/>
    <d v="2011-02-02T00:00:00"/>
    <n v="1"/>
    <n v="0"/>
    <x v="1"/>
    <x v="10"/>
    <b v="0"/>
    <x v="4"/>
    <x v="4"/>
    <x v="1"/>
    <s v="Morning"/>
    <n v="2"/>
    <x v="1"/>
    <n v="0.22"/>
    <s v="Mild"/>
    <n v="0.2727"/>
    <n v="1"/>
    <n v="0"/>
    <s v="Calm"/>
    <n v="2"/>
    <n v="59"/>
    <n v="61"/>
    <n v="57.916666666666664"/>
    <n v="53.230358015823576"/>
    <n v="5.7924339573608832E-2"/>
    <b v="0"/>
  </r>
  <r>
    <n v="723"/>
    <d v="2011-02-02T00:00:00"/>
    <n v="1"/>
    <n v="0"/>
    <x v="1"/>
    <x v="11"/>
    <b v="0"/>
    <x v="4"/>
    <x v="4"/>
    <x v="1"/>
    <s v="Morning"/>
    <n v="2"/>
    <x v="1"/>
    <n v="0.24"/>
    <s v="Mild"/>
    <n v="0.2273"/>
    <n v="0.93"/>
    <n v="0.19400000000000001"/>
    <s v="Light Breeze"/>
    <n v="5"/>
    <n v="47"/>
    <n v="52"/>
    <n v="57.958333333333336"/>
    <n v="53.225099641842455"/>
    <n v="-0.11194593102554275"/>
    <b v="0"/>
  </r>
  <r>
    <n v="724"/>
    <d v="2011-02-02T00:00:00"/>
    <n v="1"/>
    <n v="0"/>
    <x v="1"/>
    <x v="12"/>
    <b v="0"/>
    <x v="4"/>
    <x v="4"/>
    <x v="1"/>
    <s v="Midday"/>
    <n v="2"/>
    <x v="1"/>
    <n v="0.24"/>
    <s v="Mild"/>
    <n v="0.2273"/>
    <n v="0.93"/>
    <n v="0.22389999999999999"/>
    <s v="Light Breeze"/>
    <n v="3"/>
    <n v="61"/>
    <n v="64"/>
    <n v="58.333333333333336"/>
    <n v="53.23505437672393"/>
    <n v="0.10644615156332614"/>
    <b v="0"/>
  </r>
  <r>
    <n v="725"/>
    <d v="2011-02-02T00:00:00"/>
    <n v="1"/>
    <n v="0"/>
    <x v="1"/>
    <x v="13"/>
    <b v="0"/>
    <x v="4"/>
    <x v="4"/>
    <x v="1"/>
    <s v="Midday"/>
    <n v="1"/>
    <x v="0"/>
    <n v="0.34"/>
    <s v="Mild"/>
    <n v="0.33329999999999999"/>
    <n v="0.93"/>
    <n v="0.16420000000000001"/>
    <s v="Light Breeze"/>
    <n v="1"/>
    <n v="74"/>
    <n v="75"/>
    <n v="59.291666666666664"/>
    <n v="53.323034558179017"/>
    <n v="0.29458813556821278"/>
    <b v="0"/>
  </r>
  <r>
    <n v="726"/>
    <d v="2011-02-02T00:00:00"/>
    <n v="1"/>
    <n v="0"/>
    <x v="1"/>
    <x v="14"/>
    <b v="0"/>
    <x v="4"/>
    <x v="4"/>
    <x v="1"/>
    <s v="Midday"/>
    <n v="1"/>
    <x v="0"/>
    <n v="0.38"/>
    <s v="Mild"/>
    <n v="0.39389999999999997"/>
    <n v="0.82"/>
    <n v="0.3881"/>
    <s v="Gale"/>
    <n v="2"/>
    <n v="61"/>
    <n v="63"/>
    <n v="59.666666666666664"/>
    <n v="53.315848583183289"/>
    <n v="6.2520496661188377E-2"/>
    <b v="0"/>
  </r>
  <r>
    <n v="727"/>
    <d v="2011-02-02T00:00:00"/>
    <n v="1"/>
    <n v="0"/>
    <x v="1"/>
    <x v="15"/>
    <b v="0"/>
    <x v="4"/>
    <x v="4"/>
    <x v="1"/>
    <s v="Midday"/>
    <n v="1"/>
    <x v="0"/>
    <n v="0.38"/>
    <s v="Mild"/>
    <n v="0.39389999999999997"/>
    <n v="0.76"/>
    <n v="0.32840000000000003"/>
    <s v="Gale"/>
    <n v="10"/>
    <n v="66"/>
    <n v="76"/>
    <n v="60.666666666666664"/>
    <n v="53.390820467051519"/>
    <n v="0.28719044208724653"/>
    <b v="0"/>
  </r>
  <r>
    <n v="728"/>
    <d v="2011-02-02T00:00:00"/>
    <n v="1"/>
    <n v="0"/>
    <x v="1"/>
    <x v="16"/>
    <b v="0"/>
    <x v="4"/>
    <x v="4"/>
    <x v="1"/>
    <s v="Midday"/>
    <n v="1"/>
    <x v="0"/>
    <n v="0.36"/>
    <s v="Mild"/>
    <n v="0.33329999999999999"/>
    <n v="0.71"/>
    <n v="0.29849999999999999"/>
    <s v="Light Breeze"/>
    <n v="8"/>
    <n v="95"/>
    <n v="103"/>
    <n v="62.291666666666664"/>
    <n v="54.085664070722238"/>
    <n v="0.75266401980575204"/>
    <b v="0"/>
  </r>
  <r>
    <n v="729"/>
    <d v="2011-02-02T00:00:00"/>
    <n v="1"/>
    <n v="0"/>
    <x v="1"/>
    <x v="17"/>
    <b v="0"/>
    <x v="4"/>
    <x v="4"/>
    <x v="1"/>
    <s v="Evening"/>
    <n v="1"/>
    <x v="0"/>
    <n v="0.36"/>
    <s v="Mild"/>
    <n v="0.31819999999999998"/>
    <n v="0.53"/>
    <n v="0.52239999999999998"/>
    <s v="Gale"/>
    <n v="7"/>
    <n v="183"/>
    <n v="190"/>
    <n v="62.875"/>
    <n v="55.424302078326299"/>
    <n v="2.2936689364233294"/>
    <b v="0"/>
  </r>
  <r>
    <n v="730"/>
    <d v="2011-02-02T00:00:00"/>
    <n v="1"/>
    <n v="0"/>
    <x v="1"/>
    <x v="18"/>
    <b v="0"/>
    <x v="4"/>
    <x v="4"/>
    <x v="1"/>
    <s v="Evening"/>
    <n v="1"/>
    <x v="0"/>
    <n v="0.34"/>
    <s v="Mild"/>
    <n v="0.28789999999999999"/>
    <n v="0.42"/>
    <n v="0.55220000000000002"/>
    <s v="Gale"/>
    <n v="7"/>
    <n v="175"/>
    <n v="182"/>
    <n v="63.458333333333336"/>
    <n v="56.63919304161913"/>
    <n v="2.0929264754806955"/>
    <b v="0"/>
  </r>
  <r>
    <n v="731"/>
    <d v="2011-02-02T00:00:00"/>
    <n v="1"/>
    <n v="0"/>
    <x v="1"/>
    <x v="19"/>
    <b v="0"/>
    <x v="4"/>
    <x v="4"/>
    <x v="1"/>
    <s v="Evening"/>
    <n v="1"/>
    <x v="0"/>
    <n v="0.28000000000000003"/>
    <s v="Mild"/>
    <n v="0.2424"/>
    <n v="0.45"/>
    <n v="0.49249999999999999"/>
    <s v="Gale"/>
    <n v="3"/>
    <n v="88"/>
    <n v="91"/>
    <n v="62.75"/>
    <n v="56.162226203863334"/>
    <n v="0.50300712613234544"/>
    <b v="0"/>
  </r>
  <r>
    <n v="732"/>
    <d v="2011-02-02T00:00:00"/>
    <n v="1"/>
    <n v="0"/>
    <x v="1"/>
    <x v="20"/>
    <b v="0"/>
    <x v="4"/>
    <x v="4"/>
    <x v="1"/>
    <s v="Evening"/>
    <n v="1"/>
    <x v="0"/>
    <n v="0.24"/>
    <s v="Mild"/>
    <n v="0.19700000000000001"/>
    <n v="0.48"/>
    <n v="0.55220000000000002"/>
    <s v="Gale"/>
    <n v="4"/>
    <n v="71"/>
    <n v="75"/>
    <n v="62.791666666666664"/>
    <n v="56.171305661433088"/>
    <n v="0.21734109950938013"/>
    <b v="0"/>
  </r>
  <r>
    <n v="733"/>
    <d v="2011-02-02T00:00:00"/>
    <n v="1"/>
    <n v="0"/>
    <x v="1"/>
    <x v="21"/>
    <b v="0"/>
    <x v="4"/>
    <x v="4"/>
    <x v="1"/>
    <s v="Night"/>
    <n v="1"/>
    <x v="0"/>
    <n v="0.22"/>
    <s v="Mild"/>
    <n v="0.19700000000000001"/>
    <n v="0.47"/>
    <n v="0.32840000000000003"/>
    <s v="Gale"/>
    <n v="1"/>
    <n v="62"/>
    <n v="63"/>
    <n v="62.75"/>
    <n v="56.170741261915381"/>
    <n v="4.4507156997321629E-3"/>
    <b v="0"/>
  </r>
  <r>
    <n v="734"/>
    <d v="2011-02-02T00:00:00"/>
    <n v="1"/>
    <n v="0"/>
    <x v="1"/>
    <x v="22"/>
    <b v="0"/>
    <x v="4"/>
    <x v="4"/>
    <x v="1"/>
    <s v="Night"/>
    <n v="1"/>
    <x v="0"/>
    <n v="0.22"/>
    <s v="Mild"/>
    <n v="0.21210000000000001"/>
    <n v="0.44"/>
    <n v="0.25369999999999998"/>
    <s v="Light Breeze"/>
    <n v="5"/>
    <n v="35"/>
    <n v="40"/>
    <n v="62.916666666666664"/>
    <n v="56.09380084067778"/>
    <n v="-0.4085418766996457"/>
    <b v="0"/>
  </r>
  <r>
    <n v="735"/>
    <d v="2011-02-02T00:00:00"/>
    <n v="1"/>
    <n v="0"/>
    <x v="1"/>
    <x v="23"/>
    <b v="0"/>
    <x v="4"/>
    <x v="4"/>
    <x v="1"/>
    <s v="Night"/>
    <n v="1"/>
    <x v="0"/>
    <n v="0.2"/>
    <s v="Mild"/>
    <n v="0.16669999999999999"/>
    <n v="0.44"/>
    <n v="0.44779999999999998"/>
    <s v="Gale"/>
    <n v="3"/>
    <n v="29"/>
    <n v="32"/>
    <n v="63.583333333333336"/>
    <n v="55.6049080306896"/>
    <n v="-0.56799542435897532"/>
    <b v="0"/>
  </r>
  <r>
    <n v="736"/>
    <d v="2011-02-03T00:00:00"/>
    <n v="1"/>
    <n v="0"/>
    <x v="1"/>
    <x v="0"/>
    <b v="0"/>
    <x v="5"/>
    <x v="5"/>
    <x v="1"/>
    <s v="Night"/>
    <n v="1"/>
    <x v="0"/>
    <n v="0.2"/>
    <s v="Mild"/>
    <n v="0.16669999999999999"/>
    <n v="0.4"/>
    <n v="0.44779999999999998"/>
    <s v="Gale"/>
    <n v="1"/>
    <n v="11"/>
    <n v="12"/>
    <n v="64"/>
    <n v="55.15905854100879"/>
    <n v="-0.94272820050653794"/>
    <b v="0"/>
  </r>
  <r>
    <n v="737"/>
    <d v="2011-02-03T00:00:00"/>
    <n v="1"/>
    <n v="0"/>
    <x v="1"/>
    <x v="1"/>
    <b v="0"/>
    <x v="5"/>
    <x v="5"/>
    <x v="1"/>
    <s v="Night"/>
    <n v="1"/>
    <x v="0"/>
    <n v="0.2"/>
    <s v="Mild"/>
    <n v="0.1515"/>
    <n v="0.44"/>
    <n v="0.52239999999999998"/>
    <s v="Gale"/>
    <n v="0"/>
    <n v="5"/>
    <n v="5"/>
    <n v="64.083333333333329"/>
    <n v="55.064323387697478"/>
    <n v="-1.0729875479870834"/>
    <b v="0"/>
  </r>
  <r>
    <n v="738"/>
    <d v="2011-02-03T00:00:00"/>
    <n v="1"/>
    <n v="0"/>
    <x v="1"/>
    <x v="2"/>
    <b v="0"/>
    <x v="5"/>
    <x v="5"/>
    <x v="1"/>
    <s v="Night"/>
    <n v="1"/>
    <x v="0"/>
    <n v="0.18"/>
    <s v="Cold"/>
    <n v="0.16669999999999999"/>
    <n v="0.43"/>
    <n v="0.25369999999999998"/>
    <s v="Light Breeze"/>
    <n v="0"/>
    <n v="2"/>
    <n v="2"/>
    <n v="64"/>
    <n v="55.160634987044091"/>
    <n v="-1.123989961583334"/>
    <b v="0"/>
  </r>
  <r>
    <n v="739"/>
    <d v="2011-02-03T00:00:00"/>
    <n v="1"/>
    <n v="0"/>
    <x v="1"/>
    <x v="3"/>
    <b v="0"/>
    <x v="5"/>
    <x v="5"/>
    <x v="1"/>
    <s v="Night"/>
    <n v="1"/>
    <x v="0"/>
    <n v="0.18"/>
    <s v="Cold"/>
    <n v="0.16669999999999999"/>
    <n v="0.43"/>
    <n v="0.25369999999999998"/>
    <s v="Light Breeze"/>
    <n v="0"/>
    <n v="1"/>
    <n v="1"/>
    <n v="64"/>
    <n v="55.160634987044091"/>
    <n v="-1.1421188319314524"/>
    <b v="0"/>
  </r>
  <r>
    <n v="740"/>
    <d v="2011-02-03T00:00:00"/>
    <n v="1"/>
    <n v="0"/>
    <x v="1"/>
    <x v="5"/>
    <b v="0"/>
    <x v="5"/>
    <x v="5"/>
    <x v="1"/>
    <s v="Night"/>
    <n v="1"/>
    <x v="0"/>
    <n v="0.16"/>
    <s v="Cold"/>
    <n v="0.13639999999999999"/>
    <n v="0.5"/>
    <n v="0.29849999999999999"/>
    <s v="Light Breeze"/>
    <n v="0"/>
    <n v="2"/>
    <n v="2"/>
    <n v="64.041666666666671"/>
    <n v="55.111333298796303"/>
    <n v="-1.1257515097719788"/>
    <b v="0"/>
  </r>
  <r>
    <n v="741"/>
    <d v="2011-02-03T00:00:00"/>
    <n v="1"/>
    <n v="0"/>
    <x v="1"/>
    <x v="6"/>
    <b v="0"/>
    <x v="5"/>
    <x v="5"/>
    <x v="1"/>
    <s v="Morning"/>
    <n v="1"/>
    <x v="0"/>
    <n v="0.16"/>
    <s v="Cold"/>
    <n v="0.13639999999999999"/>
    <n v="0.43"/>
    <n v="0.35820000000000002"/>
    <s v="Gale"/>
    <n v="0"/>
    <n v="39"/>
    <n v="39"/>
    <n v="65.541666666666671"/>
    <n v="53.853245969479637"/>
    <n v="-0.49285175273759146"/>
    <b v="0"/>
  </r>
  <r>
    <n v="742"/>
    <d v="2011-02-03T00:00:00"/>
    <n v="1"/>
    <n v="0"/>
    <x v="1"/>
    <x v="7"/>
    <b v="0"/>
    <x v="5"/>
    <x v="5"/>
    <x v="1"/>
    <s v="Morning"/>
    <n v="1"/>
    <x v="0"/>
    <n v="0.14000000000000001"/>
    <s v="Cold"/>
    <n v="0.1212"/>
    <n v="0.5"/>
    <n v="0.32840000000000003"/>
    <s v="Gale"/>
    <n v="1"/>
    <n v="86"/>
    <n v="87"/>
    <n v="68.416666666666671"/>
    <n v="53.040523201126845"/>
    <n v="0.35036104871866208"/>
    <b v="0"/>
  </r>
  <r>
    <n v="743"/>
    <d v="2011-02-03T00:00:00"/>
    <n v="1"/>
    <n v="0"/>
    <x v="1"/>
    <x v="8"/>
    <b v="0"/>
    <x v="5"/>
    <x v="5"/>
    <x v="1"/>
    <s v="Morning"/>
    <n v="1"/>
    <x v="0"/>
    <n v="0.14000000000000001"/>
    <s v="Cold"/>
    <n v="0.1212"/>
    <n v="0.5"/>
    <n v="0.35820000000000002"/>
    <s v="Gale"/>
    <n v="4"/>
    <n v="184"/>
    <n v="188"/>
    <n v="74.208333333333329"/>
    <n v="58.169153013593387"/>
    <n v="1.9562201058708042"/>
    <b v="0"/>
  </r>
  <r>
    <n v="744"/>
    <d v="2011-02-03T00:00:00"/>
    <n v="1"/>
    <n v="0"/>
    <x v="1"/>
    <x v="9"/>
    <b v="0"/>
    <x v="5"/>
    <x v="5"/>
    <x v="1"/>
    <s v="Morning"/>
    <n v="1"/>
    <x v="0"/>
    <n v="0.16"/>
    <s v="Cold"/>
    <n v="0.13639999999999999"/>
    <n v="0.47"/>
    <n v="0.29849999999999999"/>
    <s v="Light Breeze"/>
    <n v="6"/>
    <n v="127"/>
    <n v="133"/>
    <n v="73.291666666666671"/>
    <n v="57.002272393046006"/>
    <n v="1.0474728607594501"/>
    <b v="0"/>
  </r>
  <r>
    <n v="745"/>
    <d v="2011-02-03T00:00:00"/>
    <n v="1"/>
    <n v="0"/>
    <x v="1"/>
    <x v="10"/>
    <b v="0"/>
    <x v="5"/>
    <x v="5"/>
    <x v="1"/>
    <s v="Morning"/>
    <n v="1"/>
    <x v="0"/>
    <n v="0.18"/>
    <s v="Cold"/>
    <n v="0.1515"/>
    <n v="0.43"/>
    <n v="0.32840000000000003"/>
    <s v="Gale"/>
    <n v="2"/>
    <n v="50"/>
    <n v="52"/>
    <n v="70.333333333333329"/>
    <n v="56.146289254958326"/>
    <n v="-0.32652796073632412"/>
    <b v="0"/>
  </r>
  <r>
    <n v="746"/>
    <d v="2011-02-03T00:00:00"/>
    <n v="1"/>
    <n v="0"/>
    <x v="1"/>
    <x v="11"/>
    <b v="0"/>
    <x v="5"/>
    <x v="5"/>
    <x v="1"/>
    <s v="Morning"/>
    <n v="1"/>
    <x v="0"/>
    <n v="0.18"/>
    <s v="Cold"/>
    <n v="0.13639999999999999"/>
    <n v="0.43"/>
    <n v="0.44779999999999998"/>
    <s v="Gale"/>
    <n v="9"/>
    <n v="55"/>
    <n v="64"/>
    <n v="70.458333333333329"/>
    <n v="56.127943259064409"/>
    <n v="-0.11506449298389955"/>
    <b v="0"/>
  </r>
  <r>
    <n v="747"/>
    <d v="2011-02-03T00:00:00"/>
    <n v="1"/>
    <n v="0"/>
    <x v="1"/>
    <x v="12"/>
    <b v="0"/>
    <x v="5"/>
    <x v="5"/>
    <x v="1"/>
    <s v="Midday"/>
    <n v="1"/>
    <x v="0"/>
    <n v="0.2"/>
    <s v="Mild"/>
    <n v="0.18179999999999999"/>
    <n v="0.4"/>
    <n v="0.35820000000000002"/>
    <s v="Gale"/>
    <n v="2"/>
    <n v="67"/>
    <n v="69"/>
    <n v="71.166666666666671"/>
    <n v="55.991976650903851"/>
    <n v="-3.8696020327614135E-2"/>
    <b v="0"/>
  </r>
  <r>
    <n v="748"/>
    <d v="2011-02-03T00:00:00"/>
    <n v="1"/>
    <n v="0"/>
    <x v="1"/>
    <x v="13"/>
    <b v="0"/>
    <x v="5"/>
    <x v="5"/>
    <x v="1"/>
    <s v="Midday"/>
    <n v="1"/>
    <x v="0"/>
    <n v="0.2"/>
    <s v="Mild"/>
    <n v="0.16669999999999999"/>
    <n v="0.4"/>
    <n v="0.41789999999999999"/>
    <s v="Gale"/>
    <n v="4"/>
    <n v="47"/>
    <n v="51"/>
    <n v="70.625"/>
    <n v="56.127039519445454"/>
    <n v="-0.3496532182710409"/>
    <b v="0"/>
  </r>
  <r>
    <n v="749"/>
    <d v="2011-02-03T00:00:00"/>
    <n v="1"/>
    <n v="0"/>
    <x v="1"/>
    <x v="14"/>
    <b v="0"/>
    <x v="5"/>
    <x v="5"/>
    <x v="1"/>
    <s v="Midday"/>
    <n v="1"/>
    <x v="0"/>
    <n v="0.22"/>
    <s v="Mild"/>
    <n v="0.19700000000000001"/>
    <n v="0.37"/>
    <n v="0.3881"/>
    <s v="Gale"/>
    <n v="4"/>
    <n v="43"/>
    <n v="47"/>
    <n v="69.458333333333329"/>
    <n v="56.322811168930606"/>
    <n v="-0.3987431178811976"/>
    <b v="0"/>
  </r>
  <r>
    <n v="750"/>
    <d v="2011-02-03T00:00:00"/>
    <n v="1"/>
    <n v="0"/>
    <x v="1"/>
    <x v="15"/>
    <b v="0"/>
    <x v="5"/>
    <x v="5"/>
    <x v="1"/>
    <s v="Midday"/>
    <n v="1"/>
    <x v="0"/>
    <n v="0.22"/>
    <s v="Mild"/>
    <n v="0.19700000000000001"/>
    <n v="0.37"/>
    <n v="0.32840000000000003"/>
    <s v="Gale"/>
    <n v="4"/>
    <n v="56"/>
    <n v="60"/>
    <n v="69.333333333333329"/>
    <n v="56.341093711248718"/>
    <n v="-0.1656576526747455"/>
    <b v="0"/>
  </r>
  <r>
    <n v="751"/>
    <d v="2011-02-03T00:00:00"/>
    <n v="1"/>
    <n v="0"/>
    <x v="1"/>
    <x v="16"/>
    <b v="0"/>
    <x v="5"/>
    <x v="5"/>
    <x v="1"/>
    <s v="Midday"/>
    <n v="1"/>
    <x v="0"/>
    <n v="0.22"/>
    <s v="Mild"/>
    <n v="0.21210000000000001"/>
    <n v="0.37"/>
    <n v="0.25369999999999998"/>
    <s v="Light Breeze"/>
    <n v="5"/>
    <n v="73"/>
    <n v="78"/>
    <n v="69.416666666666671"/>
    <n v="56.352860863812687"/>
    <n v="0.15231406536886516"/>
    <b v="0"/>
  </r>
  <r>
    <n v="752"/>
    <d v="2011-02-03T00:00:00"/>
    <n v="1"/>
    <n v="0"/>
    <x v="1"/>
    <x v="17"/>
    <b v="0"/>
    <x v="5"/>
    <x v="5"/>
    <x v="1"/>
    <s v="Evening"/>
    <n v="1"/>
    <x v="0"/>
    <n v="0.2"/>
    <s v="Mild"/>
    <n v="0.19700000000000001"/>
    <n v="0.4"/>
    <n v="0.19400000000000001"/>
    <s v="Light Breeze"/>
    <n v="5"/>
    <n v="170"/>
    <n v="175"/>
    <n v="72.416666666666671"/>
    <n v="60.015879541180176"/>
    <n v="1.7092698485397568"/>
    <b v="0"/>
  </r>
  <r>
    <n v="753"/>
    <d v="2011-02-03T00:00:00"/>
    <n v="1"/>
    <n v="0"/>
    <x v="1"/>
    <x v="18"/>
    <b v="0"/>
    <x v="5"/>
    <x v="5"/>
    <x v="1"/>
    <s v="Evening"/>
    <n v="1"/>
    <x v="0"/>
    <n v="0.2"/>
    <s v="Mild"/>
    <n v="0.21210000000000001"/>
    <n v="0.4"/>
    <n v="0.16420000000000001"/>
    <s v="Light Breeze"/>
    <n v="2"/>
    <n v="145"/>
    <n v="147"/>
    <n v="70.625"/>
    <n v="56.914743638869716"/>
    <n v="1.3419194239827863"/>
    <b v="0"/>
  </r>
  <r>
    <n v="754"/>
    <d v="2011-02-03T00:00:00"/>
    <n v="1"/>
    <n v="0"/>
    <x v="1"/>
    <x v="19"/>
    <b v="0"/>
    <x v="5"/>
    <x v="5"/>
    <x v="1"/>
    <s v="Evening"/>
    <n v="1"/>
    <x v="0"/>
    <n v="0.2"/>
    <s v="Mild"/>
    <n v="0.2576"/>
    <n v="0.4"/>
    <n v="0"/>
    <s v="Calm"/>
    <n v="4"/>
    <n v="92"/>
    <n v="96"/>
    <n v="67.041666666666671"/>
    <n v="52.101472203740087"/>
    <n v="0.55580643134407559"/>
    <b v="0"/>
  </r>
  <r>
    <n v="755"/>
    <d v="2011-02-03T00:00:00"/>
    <n v="1"/>
    <n v="0"/>
    <x v="1"/>
    <x v="20"/>
    <b v="0"/>
    <x v="5"/>
    <x v="5"/>
    <x v="1"/>
    <s v="Evening"/>
    <n v="1"/>
    <x v="0"/>
    <n v="0.2"/>
    <s v="Mild"/>
    <n v="0.2273"/>
    <n v="0.47"/>
    <n v="8.9599999999999999E-2"/>
    <s v="Calm"/>
    <n v="1"/>
    <n v="108"/>
    <n v="109"/>
    <n v="67.791666666666671"/>
    <n v="52.588624300290469"/>
    <n v="0.783597857552355"/>
    <b v="0"/>
  </r>
  <r>
    <n v="756"/>
    <d v="2011-02-03T00:00:00"/>
    <n v="1"/>
    <n v="0"/>
    <x v="1"/>
    <x v="21"/>
    <b v="0"/>
    <x v="5"/>
    <x v="5"/>
    <x v="1"/>
    <s v="Night"/>
    <n v="1"/>
    <x v="0"/>
    <n v="0.18"/>
    <s v="Cold"/>
    <n v="0.21210000000000001"/>
    <n v="0.55000000000000004"/>
    <n v="0.1045"/>
    <s v="Calm"/>
    <n v="1"/>
    <n v="53"/>
    <n v="54"/>
    <n v="66.916666666666671"/>
    <n v="52.638155004890137"/>
    <n v="-0.24538600688923654"/>
    <b v="0"/>
  </r>
  <r>
    <n v="757"/>
    <d v="2011-02-03T00:00:00"/>
    <n v="1"/>
    <n v="0"/>
    <x v="1"/>
    <x v="22"/>
    <b v="0"/>
    <x v="5"/>
    <x v="5"/>
    <x v="1"/>
    <s v="Night"/>
    <n v="1"/>
    <x v="0"/>
    <n v="0.18"/>
    <s v="Cold"/>
    <n v="0.21210000000000001"/>
    <n v="0.51"/>
    <n v="8.9599999999999999E-2"/>
    <s v="Calm"/>
    <n v="2"/>
    <n v="39"/>
    <n v="41"/>
    <n v="66"/>
    <n v="52.900234239639197"/>
    <n v="-0.47258769945610191"/>
    <b v="0"/>
  </r>
  <r>
    <n v="758"/>
    <d v="2011-02-03T00:00:00"/>
    <n v="1"/>
    <n v="0"/>
    <x v="1"/>
    <x v="23"/>
    <b v="0"/>
    <x v="5"/>
    <x v="5"/>
    <x v="1"/>
    <s v="Night"/>
    <n v="1"/>
    <x v="0"/>
    <n v="0.2"/>
    <s v="Mild"/>
    <n v="0.2273"/>
    <n v="0.47"/>
    <n v="0.1045"/>
    <s v="Calm"/>
    <n v="4"/>
    <n v="34"/>
    <n v="38"/>
    <n v="65.916666666666671"/>
    <n v="52.9445293529539"/>
    <n v="-0.5272814209105654"/>
    <b v="0"/>
  </r>
  <r>
    <n v="759"/>
    <d v="2011-02-04T00:00:00"/>
    <n v="1"/>
    <n v="0"/>
    <x v="1"/>
    <x v="0"/>
    <b v="0"/>
    <x v="6"/>
    <x v="6"/>
    <x v="1"/>
    <s v="Night"/>
    <n v="2"/>
    <x v="1"/>
    <n v="0.2"/>
    <s v="Mild"/>
    <n v="0.2576"/>
    <n v="0.44"/>
    <n v="0"/>
    <s v="Calm"/>
    <n v="3"/>
    <n v="10"/>
    <n v="13"/>
    <n v="65.125"/>
    <n v="53.611576053652087"/>
    <n v="-0.97227136071947617"/>
    <b v="0"/>
  </r>
  <r>
    <n v="760"/>
    <d v="2011-02-04T00:00:00"/>
    <n v="1"/>
    <n v="0"/>
    <x v="1"/>
    <x v="1"/>
    <b v="0"/>
    <x v="6"/>
    <x v="6"/>
    <x v="1"/>
    <s v="Night"/>
    <n v="2"/>
    <x v="1"/>
    <n v="0.16"/>
    <s v="Cold"/>
    <n v="0.2273"/>
    <n v="0.59"/>
    <n v="0"/>
    <s v="Calm"/>
    <n v="0"/>
    <n v="7"/>
    <n v="7"/>
    <n v="64.916666666666671"/>
    <n v="53.836238536046928"/>
    <n v="-1.0757933362652672"/>
    <b v="0"/>
  </r>
  <r>
    <n v="761"/>
    <d v="2011-02-04T00:00:00"/>
    <n v="1"/>
    <n v="0"/>
    <x v="1"/>
    <x v="2"/>
    <b v="0"/>
    <x v="6"/>
    <x v="6"/>
    <x v="1"/>
    <s v="Night"/>
    <n v="2"/>
    <x v="1"/>
    <n v="0.14000000000000001"/>
    <s v="Cold"/>
    <n v="0.16669999999999999"/>
    <n v="0.63"/>
    <n v="0.1045"/>
    <s v="Calm"/>
    <n v="0"/>
    <n v="1"/>
    <n v="1"/>
    <n v="64.75"/>
    <n v="54.035616273777762"/>
    <n v="-1.1797774208219107"/>
    <b v="0"/>
  </r>
  <r>
    <n v="762"/>
    <d v="2011-02-04T00:00:00"/>
    <n v="1"/>
    <n v="0"/>
    <x v="1"/>
    <x v="3"/>
    <b v="0"/>
    <x v="6"/>
    <x v="6"/>
    <x v="1"/>
    <s v="Night"/>
    <n v="2"/>
    <x v="1"/>
    <n v="0.14000000000000001"/>
    <s v="Cold"/>
    <n v="0.16669999999999999"/>
    <n v="0.63"/>
    <n v="0.1045"/>
    <s v="Calm"/>
    <n v="0"/>
    <n v="1"/>
    <n v="1"/>
    <n v="64.708333333333329"/>
    <n v="54.086467942478492"/>
    <n v="-1.1778978320619455"/>
    <b v="0"/>
  </r>
  <r>
    <n v="763"/>
    <d v="2011-02-04T00:00:00"/>
    <n v="1"/>
    <n v="0"/>
    <x v="1"/>
    <x v="5"/>
    <b v="0"/>
    <x v="6"/>
    <x v="6"/>
    <x v="1"/>
    <s v="Night"/>
    <n v="2"/>
    <x v="1"/>
    <n v="0.14000000000000001"/>
    <s v="Cold"/>
    <n v="0.1515"/>
    <n v="0.63"/>
    <n v="0.1343"/>
    <s v="Light Breeze"/>
    <n v="0"/>
    <n v="7"/>
    <n v="7"/>
    <n v="64.958333333333329"/>
    <n v="53.792256729551426"/>
    <n v="-1.0774475148854132"/>
    <b v="0"/>
  </r>
  <r>
    <n v="764"/>
    <d v="2011-02-04T00:00:00"/>
    <n v="1"/>
    <n v="0"/>
    <x v="1"/>
    <x v="6"/>
    <b v="0"/>
    <x v="6"/>
    <x v="6"/>
    <x v="1"/>
    <s v="Morning"/>
    <n v="2"/>
    <x v="1"/>
    <n v="0.16"/>
    <s v="Cold"/>
    <n v="0.2273"/>
    <n v="0.55000000000000004"/>
    <n v="0"/>
    <s v="Calm"/>
    <n v="2"/>
    <n v="26"/>
    <n v="28"/>
    <n v="66.041666666666671"/>
    <n v="52.720327872790136"/>
    <n v="-0.72157492568062398"/>
    <b v="0"/>
  </r>
  <r>
    <n v="765"/>
    <d v="2011-02-04T00:00:00"/>
    <n v="1"/>
    <n v="0"/>
    <x v="1"/>
    <x v="7"/>
    <b v="0"/>
    <x v="6"/>
    <x v="6"/>
    <x v="1"/>
    <s v="Morning"/>
    <n v="1"/>
    <x v="0"/>
    <n v="0.14000000000000001"/>
    <s v="Cold"/>
    <n v="0.21210000000000001"/>
    <n v="0.59"/>
    <n v="0"/>
    <s v="Calm"/>
    <n v="0"/>
    <n v="87"/>
    <n v="87"/>
    <n v="68.041666666666671"/>
    <n v="52.560093281853113"/>
    <n v="0.36069824365929881"/>
    <b v="0"/>
  </r>
  <r>
    <n v="766"/>
    <d v="2011-02-04T00:00:00"/>
    <n v="1"/>
    <n v="0"/>
    <x v="1"/>
    <x v="8"/>
    <b v="0"/>
    <x v="6"/>
    <x v="6"/>
    <x v="1"/>
    <s v="Morning"/>
    <n v="1"/>
    <x v="0"/>
    <n v="0.14000000000000001"/>
    <s v="Cold"/>
    <n v="0.1515"/>
    <n v="0.74"/>
    <n v="0.1343"/>
    <s v="Light Breeze"/>
    <n v="3"/>
    <n v="217"/>
    <n v="220"/>
    <n v="73.583333333333329"/>
    <n v="60.982475506005656"/>
    <n v="2.4009629889860298"/>
    <b v="0"/>
  </r>
  <r>
    <n v="767"/>
    <d v="2011-02-04T00:00:00"/>
    <n v="1"/>
    <n v="0"/>
    <x v="1"/>
    <x v="9"/>
    <b v="0"/>
    <x v="6"/>
    <x v="6"/>
    <x v="1"/>
    <s v="Morning"/>
    <n v="2"/>
    <x v="1"/>
    <n v="0.16"/>
    <s v="Cold"/>
    <n v="0.18179999999999999"/>
    <n v="0.8"/>
    <n v="0.1343"/>
    <s v="Light Breeze"/>
    <n v="3"/>
    <n v="124"/>
    <n v="127"/>
    <n v="71.041666666666671"/>
    <n v="57.157660802431351"/>
    <n v="0.97901720517843505"/>
    <b v="0"/>
  </r>
  <r>
    <n v="768"/>
    <d v="2011-02-04T00:00:00"/>
    <n v="1"/>
    <n v="0"/>
    <x v="1"/>
    <x v="10"/>
    <b v="0"/>
    <x v="6"/>
    <x v="6"/>
    <x v="1"/>
    <s v="Morning"/>
    <n v="2"/>
    <x v="1"/>
    <n v="0.2"/>
    <s v="Mild"/>
    <n v="0.21210000000000001"/>
    <n v="0.51"/>
    <n v="0.1343"/>
    <s v="Light Breeze"/>
    <n v="5"/>
    <n v="46"/>
    <n v="51"/>
    <n v="67.625"/>
    <n v="55.725891648317301"/>
    <n v="-0.29833528918513069"/>
    <b v="0"/>
  </r>
  <r>
    <n v="769"/>
    <d v="2011-02-04T00:00:00"/>
    <n v="1"/>
    <n v="0"/>
    <x v="1"/>
    <x v="11"/>
    <b v="0"/>
    <x v="6"/>
    <x v="6"/>
    <x v="1"/>
    <s v="Morning"/>
    <n v="1"/>
    <x v="0"/>
    <n v="0.22"/>
    <s v="Mild"/>
    <n v="0.2273"/>
    <n v="0.51"/>
    <n v="0.16420000000000001"/>
    <s v="Light Breeze"/>
    <n v="3"/>
    <n v="61"/>
    <n v="64"/>
    <n v="68.125"/>
    <n v="55.633359166725796"/>
    <n v="-7.4146160896700883E-2"/>
    <b v="0"/>
  </r>
  <r>
    <n v="770"/>
    <d v="2011-02-04T00:00:00"/>
    <n v="1"/>
    <n v="0"/>
    <x v="1"/>
    <x v="12"/>
    <b v="0"/>
    <x v="6"/>
    <x v="6"/>
    <x v="1"/>
    <s v="Midday"/>
    <n v="2"/>
    <x v="1"/>
    <n v="0.24"/>
    <s v="Mild"/>
    <n v="0.2424"/>
    <n v="0.48"/>
    <n v="0.16420000000000001"/>
    <s v="Light Breeze"/>
    <n v="8"/>
    <n v="78"/>
    <n v="86"/>
    <n v="69.041666666666671"/>
    <n v="55.743573750637424"/>
    <n v="0.30422041846822589"/>
    <b v="0"/>
  </r>
  <r>
    <n v="771"/>
    <d v="2011-02-04T00:00:00"/>
    <n v="1"/>
    <n v="0"/>
    <x v="1"/>
    <x v="13"/>
    <b v="0"/>
    <x v="6"/>
    <x v="6"/>
    <x v="1"/>
    <s v="Midday"/>
    <n v="2"/>
    <x v="1"/>
    <n v="0.26"/>
    <s v="Mild"/>
    <n v="0.2576"/>
    <n v="0.5"/>
    <n v="0.22389999999999999"/>
    <s v="Light Breeze"/>
    <n v="9"/>
    <n v="73"/>
    <n v="82"/>
    <n v="69.583333333333329"/>
    <n v="55.806277242888584"/>
    <n v="0.22249587824367789"/>
    <b v="0"/>
  </r>
  <r>
    <n v="772"/>
    <d v="2011-02-04T00:00:00"/>
    <n v="1"/>
    <n v="0"/>
    <x v="1"/>
    <x v="14"/>
    <b v="0"/>
    <x v="6"/>
    <x v="6"/>
    <x v="1"/>
    <s v="Midday"/>
    <n v="2"/>
    <x v="1"/>
    <n v="0.28000000000000003"/>
    <s v="Mild"/>
    <n v="0.2727"/>
    <n v="0.45"/>
    <n v="0.16420000000000001"/>
    <s v="Light Breeze"/>
    <n v="15"/>
    <n v="76"/>
    <n v="91"/>
    <n v="71.25"/>
    <n v="55.82445311167313"/>
    <n v="0.35378761275979598"/>
    <b v="0"/>
  </r>
  <r>
    <n v="773"/>
    <d v="2011-02-04T00:00:00"/>
    <n v="1"/>
    <n v="0"/>
    <x v="1"/>
    <x v="15"/>
    <b v="0"/>
    <x v="6"/>
    <x v="6"/>
    <x v="1"/>
    <s v="Midday"/>
    <n v="2"/>
    <x v="1"/>
    <n v="0.28000000000000003"/>
    <s v="Mild"/>
    <n v="0.2727"/>
    <n v="0.48"/>
    <n v="0.25369999999999998"/>
    <s v="Light Breeze"/>
    <n v="9"/>
    <n v="81"/>
    <n v="90"/>
    <n v="73.041666666666671"/>
    <n v="55.702220053069517"/>
    <n v="0.30444627372439576"/>
    <b v="0"/>
  </r>
  <r>
    <n v="774"/>
    <d v="2011-02-04T00:00:00"/>
    <n v="1"/>
    <n v="0"/>
    <x v="1"/>
    <x v="16"/>
    <b v="0"/>
    <x v="6"/>
    <x v="6"/>
    <x v="1"/>
    <s v="Midday"/>
    <n v="2"/>
    <x v="1"/>
    <n v="0.3"/>
    <s v="Mild"/>
    <n v="0.28789999999999999"/>
    <n v="0.42"/>
    <n v="0.22389999999999999"/>
    <s v="Light Breeze"/>
    <n v="8"/>
    <n v="91"/>
    <n v="99"/>
    <n v="74.666666666666671"/>
    <n v="55.87382265400332"/>
    <n v="0.43550507514076203"/>
    <b v="0"/>
  </r>
  <r>
    <n v="775"/>
    <d v="2011-02-04T00:00:00"/>
    <n v="1"/>
    <n v="0"/>
    <x v="1"/>
    <x v="17"/>
    <b v="0"/>
    <x v="6"/>
    <x v="6"/>
    <x v="1"/>
    <s v="Evening"/>
    <n v="2"/>
    <x v="1"/>
    <n v="0.26"/>
    <s v="Mild"/>
    <n v="0.2727"/>
    <n v="0.56000000000000005"/>
    <n v="0.1343"/>
    <s v="Light Breeze"/>
    <n v="10"/>
    <n v="195"/>
    <n v="205"/>
    <n v="79.958333333333329"/>
    <n v="61.892950477744876"/>
    <n v="2.0202893173048593"/>
    <b v="0"/>
  </r>
  <r>
    <n v="776"/>
    <d v="2011-02-04T00:00:00"/>
    <n v="1"/>
    <n v="0"/>
    <x v="1"/>
    <x v="18"/>
    <b v="0"/>
    <x v="6"/>
    <x v="6"/>
    <x v="1"/>
    <s v="Evening"/>
    <n v="2"/>
    <x v="1"/>
    <n v="0.24"/>
    <s v="Mild"/>
    <n v="0.2576"/>
    <n v="0.6"/>
    <n v="0.1045"/>
    <s v="Calm"/>
    <n v="3"/>
    <n v="152"/>
    <n v="155"/>
    <n v="79.125"/>
    <n v="60.680426254557432"/>
    <n v="1.2504032137431034"/>
    <b v="0"/>
  </r>
  <r>
    <n v="777"/>
    <d v="2011-02-04T00:00:00"/>
    <n v="1"/>
    <n v="0"/>
    <x v="1"/>
    <x v="19"/>
    <b v="0"/>
    <x v="6"/>
    <x v="6"/>
    <x v="1"/>
    <s v="Evening"/>
    <n v="2"/>
    <x v="1"/>
    <n v="0.24"/>
    <s v="Mild"/>
    <n v="0.2424"/>
    <n v="0.65"/>
    <n v="0.1343"/>
    <s v="Light Breeze"/>
    <n v="1"/>
    <n v="102"/>
    <n v="103"/>
    <n v="77.291666666666671"/>
    <n v="59.186866321233268"/>
    <n v="0.4343587510411997"/>
    <b v="0"/>
  </r>
  <r>
    <n v="778"/>
    <d v="2011-02-04T00:00:00"/>
    <n v="1"/>
    <n v="0"/>
    <x v="1"/>
    <x v="20"/>
    <b v="0"/>
    <x v="6"/>
    <x v="6"/>
    <x v="1"/>
    <s v="Evening"/>
    <n v="2"/>
    <x v="1"/>
    <n v="0.24"/>
    <s v="Mild"/>
    <n v="0.2424"/>
    <n v="0.65"/>
    <n v="0.16420000000000001"/>
    <s v="Light Breeze"/>
    <n v="2"/>
    <n v="69"/>
    <n v="71"/>
    <n v="76.25"/>
    <n v="59.063157058687018"/>
    <n v="-8.8887900028497197E-2"/>
    <b v="0"/>
  </r>
  <r>
    <n v="779"/>
    <d v="2011-02-04T00:00:00"/>
    <n v="1"/>
    <n v="0"/>
    <x v="1"/>
    <x v="21"/>
    <b v="0"/>
    <x v="6"/>
    <x v="6"/>
    <x v="1"/>
    <s v="Night"/>
    <n v="2"/>
    <x v="1"/>
    <n v="0.24"/>
    <s v="Mild"/>
    <n v="0.2424"/>
    <n v="0.7"/>
    <n v="0.16420000000000001"/>
    <s v="Light Breeze"/>
    <n v="2"/>
    <n v="41"/>
    <n v="43"/>
    <n v="73.5"/>
    <n v="59.008473967727717"/>
    <n v="-0.51687491557027443"/>
    <b v="0"/>
  </r>
  <r>
    <n v="780"/>
    <d v="2011-02-04T00:00:00"/>
    <n v="1"/>
    <n v="0"/>
    <x v="1"/>
    <x v="22"/>
    <b v="0"/>
    <x v="6"/>
    <x v="6"/>
    <x v="1"/>
    <s v="Night"/>
    <n v="2"/>
    <x v="1"/>
    <n v="0.24"/>
    <s v="Mild"/>
    <n v="0.2424"/>
    <n v="0.65"/>
    <n v="0.16420000000000001"/>
    <s v="Light Breeze"/>
    <n v="1"/>
    <n v="45"/>
    <n v="46"/>
    <n v="73.166666666666671"/>
    <n v="59.145852636156754"/>
    <n v="-0.45931651089360198"/>
    <b v="0"/>
  </r>
  <r>
    <n v="781"/>
    <d v="2011-02-04T00:00:00"/>
    <n v="1"/>
    <n v="0"/>
    <x v="1"/>
    <x v="23"/>
    <b v="0"/>
    <x v="6"/>
    <x v="6"/>
    <x v="1"/>
    <s v="Night"/>
    <n v="2"/>
    <x v="1"/>
    <n v="0.24"/>
    <s v="Mild"/>
    <n v="0.2424"/>
    <n v="0.7"/>
    <n v="0.1343"/>
    <s v="Light Breeze"/>
    <n v="1"/>
    <n v="30"/>
    <n v="31"/>
    <n v="72.75"/>
    <n v="59.416913124272888"/>
    <n v="-0.70266188202470525"/>
    <b v="0"/>
  </r>
  <r>
    <n v="782"/>
    <d v="2011-02-05T00:00:00"/>
    <n v="1"/>
    <n v="0"/>
    <x v="1"/>
    <x v="0"/>
    <b v="0"/>
    <x v="0"/>
    <x v="0"/>
    <x v="0"/>
    <s v="Night"/>
    <n v="2"/>
    <x v="1"/>
    <n v="0.24"/>
    <s v="Mild"/>
    <n v="0.2424"/>
    <n v="0.7"/>
    <n v="0.16420000000000001"/>
    <s v="Light Breeze"/>
    <n v="3"/>
    <n v="36"/>
    <n v="39"/>
    <n v="72.791666666666671"/>
    <n v="59.39183018525042"/>
    <n v="-0.568961531598981"/>
    <b v="0"/>
  </r>
  <r>
    <n v="783"/>
    <d v="2011-02-05T00:00:00"/>
    <n v="1"/>
    <n v="0"/>
    <x v="1"/>
    <x v="1"/>
    <b v="0"/>
    <x v="0"/>
    <x v="0"/>
    <x v="0"/>
    <s v="Night"/>
    <n v="2"/>
    <x v="1"/>
    <n v="0.24"/>
    <s v="Mild"/>
    <n v="0.2424"/>
    <n v="0.65"/>
    <n v="0.16420000000000001"/>
    <s v="Light Breeze"/>
    <n v="1"/>
    <n v="17"/>
    <n v="18"/>
    <n v="73"/>
    <n v="59.181371922326164"/>
    <n v="-0.92934648544791942"/>
    <b v="0"/>
  </r>
  <r>
    <n v="784"/>
    <d v="2011-02-05T00:00:00"/>
    <n v="1"/>
    <n v="0"/>
    <x v="1"/>
    <x v="2"/>
    <b v="0"/>
    <x v="0"/>
    <x v="0"/>
    <x v="0"/>
    <s v="Night"/>
    <n v="2"/>
    <x v="1"/>
    <n v="0.24"/>
    <s v="Mild"/>
    <n v="0.2424"/>
    <n v="0.75"/>
    <n v="0.16420000000000001"/>
    <s v="Light Breeze"/>
    <n v="5"/>
    <n v="12"/>
    <n v="17"/>
    <n v="73.416666666666671"/>
    <n v="58.72997654458527"/>
    <n v="-0.96061108799928718"/>
    <b v="0"/>
  </r>
  <r>
    <n v="785"/>
    <d v="2011-02-05T00:00:00"/>
    <n v="1"/>
    <n v="0"/>
    <x v="1"/>
    <x v="3"/>
    <b v="0"/>
    <x v="0"/>
    <x v="0"/>
    <x v="0"/>
    <s v="Night"/>
    <n v="2"/>
    <x v="1"/>
    <n v="0.24"/>
    <s v="Mild"/>
    <n v="0.2424"/>
    <n v="0.75"/>
    <n v="0.16420000000000001"/>
    <s v="Light Breeze"/>
    <n v="1"/>
    <n v="10"/>
    <n v="11"/>
    <n v="73.833333333333329"/>
    <n v="58.22719121769012"/>
    <n v="-1.0791063765796727"/>
    <b v="0"/>
  </r>
  <r>
    <n v="786"/>
    <d v="2011-02-05T00:00:00"/>
    <n v="1"/>
    <n v="0"/>
    <x v="1"/>
    <x v="4"/>
    <b v="0"/>
    <x v="0"/>
    <x v="0"/>
    <x v="0"/>
    <s v="Night"/>
    <n v="3"/>
    <x v="2"/>
    <n v="0.22"/>
    <s v="Mild"/>
    <n v="0.2273"/>
    <n v="0.93"/>
    <n v="0.1343"/>
    <s v="Light Breeze"/>
    <n v="0"/>
    <n v="8"/>
    <n v="8"/>
    <n v="74.125"/>
    <n v="57.862890788784327"/>
    <n v="-1.1427877020761834"/>
    <b v="0"/>
  </r>
  <r>
    <n v="787"/>
    <d v="2011-02-05T00:00:00"/>
    <n v="1"/>
    <n v="0"/>
    <x v="1"/>
    <x v="5"/>
    <b v="0"/>
    <x v="0"/>
    <x v="0"/>
    <x v="0"/>
    <s v="Night"/>
    <n v="3"/>
    <x v="2"/>
    <n v="0.2"/>
    <s v="Mild"/>
    <n v="0.2273"/>
    <n v="1"/>
    <n v="8.9599999999999999E-2"/>
    <s v="Calm"/>
    <n v="0"/>
    <n v="9"/>
    <n v="9"/>
    <n v="74.208333333333329"/>
    <n v="57.763369742925939"/>
    <n v="-1.1288872796642746"/>
    <b v="0"/>
  </r>
  <r>
    <n v="788"/>
    <d v="2011-02-05T00:00:00"/>
    <n v="1"/>
    <n v="0"/>
    <x v="1"/>
    <x v="6"/>
    <b v="0"/>
    <x v="0"/>
    <x v="0"/>
    <x v="0"/>
    <s v="Morning"/>
    <n v="3"/>
    <x v="2"/>
    <n v="0.2"/>
    <s v="Mild"/>
    <n v="0.2576"/>
    <n v="1"/>
    <n v="0"/>
    <s v="Calm"/>
    <n v="0"/>
    <n v="4"/>
    <n v="4"/>
    <n v="73.208333333333329"/>
    <n v="58.796612714225866"/>
    <n v="-1.1770802796023714"/>
    <b v="0"/>
  </r>
  <r>
    <n v="789"/>
    <d v="2011-02-05T00:00:00"/>
    <n v="1"/>
    <n v="0"/>
    <x v="1"/>
    <x v="7"/>
    <b v="0"/>
    <x v="0"/>
    <x v="0"/>
    <x v="0"/>
    <s v="Morning"/>
    <n v="3"/>
    <x v="2"/>
    <n v="0.22"/>
    <s v="Mild"/>
    <n v="0.2576"/>
    <n v="0.93"/>
    <n v="8.9599999999999999E-2"/>
    <s v="Calm"/>
    <n v="0"/>
    <n v="4"/>
    <n v="4"/>
    <n v="69.75"/>
    <n v="60.370054482838341"/>
    <n v="-1.0891161282402195"/>
    <b v="0"/>
  </r>
  <r>
    <n v="790"/>
    <d v="2011-02-05T00:00:00"/>
    <n v="1"/>
    <n v="0"/>
    <x v="1"/>
    <x v="8"/>
    <b v="0"/>
    <x v="0"/>
    <x v="0"/>
    <x v="0"/>
    <s v="Morning"/>
    <n v="3"/>
    <x v="2"/>
    <n v="0.2"/>
    <s v="Mild"/>
    <n v="0.2273"/>
    <n v="1"/>
    <n v="8.9599999999999999E-2"/>
    <s v="Calm"/>
    <n v="0"/>
    <n v="10"/>
    <n v="10"/>
    <n v="61"/>
    <n v="52.329225353400339"/>
    <n v="-0.97459879552155526"/>
    <b v="0"/>
  </r>
  <r>
    <n v="791"/>
    <d v="2011-02-05T00:00:00"/>
    <n v="1"/>
    <n v="0"/>
    <x v="1"/>
    <x v="9"/>
    <b v="0"/>
    <x v="0"/>
    <x v="0"/>
    <x v="0"/>
    <s v="Morning"/>
    <n v="3"/>
    <x v="2"/>
    <n v="0.2"/>
    <s v="Mild"/>
    <n v="0.2273"/>
    <n v="1"/>
    <n v="8.9599999999999999E-2"/>
    <s v="Calm"/>
    <n v="3"/>
    <n v="17"/>
    <n v="20"/>
    <n v="56.541666666666664"/>
    <n v="51.002965955245031"/>
    <n v="-0.71646160144356863"/>
    <b v="0"/>
  </r>
  <r>
    <n v="792"/>
    <d v="2011-02-05T00:00:00"/>
    <n v="1"/>
    <n v="0"/>
    <x v="1"/>
    <x v="10"/>
    <b v="0"/>
    <x v="0"/>
    <x v="0"/>
    <x v="0"/>
    <s v="Morning"/>
    <n v="3"/>
    <x v="2"/>
    <n v="0.2"/>
    <s v="Mild"/>
    <n v="0.21210000000000001"/>
    <n v="1"/>
    <n v="0.1343"/>
    <s v="Light Breeze"/>
    <n v="3"/>
    <n v="31"/>
    <n v="34"/>
    <n v="55.833333333333336"/>
    <n v="51.200939755868326"/>
    <n v="-0.42642446481328378"/>
    <b v="0"/>
  </r>
  <r>
    <n v="793"/>
    <d v="2011-02-05T00:00:00"/>
    <n v="1"/>
    <n v="0"/>
    <x v="1"/>
    <x v="11"/>
    <b v="0"/>
    <x v="0"/>
    <x v="0"/>
    <x v="0"/>
    <s v="Morning"/>
    <n v="3"/>
    <x v="2"/>
    <n v="0.22"/>
    <s v="Mild"/>
    <n v="0.2273"/>
    <n v="1"/>
    <n v="0.1343"/>
    <s v="Light Breeze"/>
    <n v="1"/>
    <n v="46"/>
    <n v="47"/>
    <n v="55.125"/>
    <n v="51.200639007561307"/>
    <n v="-0.15868942570814595"/>
    <b v="0"/>
  </r>
  <r>
    <n v="794"/>
    <d v="2011-02-05T00:00:00"/>
    <n v="1"/>
    <n v="0"/>
    <x v="1"/>
    <x v="12"/>
    <b v="0"/>
    <x v="0"/>
    <x v="0"/>
    <x v="0"/>
    <s v="Midday"/>
    <n v="3"/>
    <x v="2"/>
    <n v="0.22"/>
    <s v="Mild"/>
    <n v="0.2273"/>
    <n v="1"/>
    <n v="0.16420000000000001"/>
    <s v="Light Breeze"/>
    <n v="10"/>
    <n v="42"/>
    <n v="52"/>
    <n v="53.708333333333336"/>
    <n v="50.777844506769121"/>
    <n v="-3.3643281827482857E-2"/>
    <b v="0"/>
  </r>
  <r>
    <n v="795"/>
    <d v="2011-02-05T00:00:00"/>
    <n v="1"/>
    <n v="0"/>
    <x v="1"/>
    <x v="13"/>
    <b v="0"/>
    <x v="0"/>
    <x v="0"/>
    <x v="0"/>
    <s v="Midday"/>
    <n v="3"/>
    <x v="2"/>
    <n v="0.22"/>
    <s v="Mild"/>
    <n v="0.2273"/>
    <n v="1"/>
    <n v="0.16420000000000001"/>
    <s v="Light Breeze"/>
    <n v="10"/>
    <n v="62"/>
    <n v="72"/>
    <n v="53.291666666666664"/>
    <n v="50.576226729016938"/>
    <n v="0.36990369869960787"/>
    <b v="0"/>
  </r>
  <r>
    <n v="796"/>
    <d v="2011-02-05T00:00:00"/>
    <n v="1"/>
    <n v="0"/>
    <x v="1"/>
    <x v="14"/>
    <b v="0"/>
    <x v="0"/>
    <x v="0"/>
    <x v="0"/>
    <s v="Midday"/>
    <n v="3"/>
    <x v="2"/>
    <n v="0.22"/>
    <s v="Mild"/>
    <n v="0.2727"/>
    <n v="1"/>
    <n v="0"/>
    <s v="Calm"/>
    <n v="5"/>
    <n v="50"/>
    <n v="55"/>
    <n v="51.791666666666664"/>
    <n v="49.939075200528677"/>
    <n v="6.4244948879216945E-2"/>
    <b v="0"/>
  </r>
  <r>
    <n v="797"/>
    <d v="2011-02-05T00:00:00"/>
    <n v="1"/>
    <n v="0"/>
    <x v="1"/>
    <x v="15"/>
    <b v="0"/>
    <x v="0"/>
    <x v="0"/>
    <x v="0"/>
    <s v="Midday"/>
    <n v="3"/>
    <x v="2"/>
    <n v="0.22"/>
    <s v="Mild"/>
    <n v="0.2727"/>
    <n v="1"/>
    <n v="0"/>
    <s v="Calm"/>
    <n v="11"/>
    <n v="49"/>
    <n v="60"/>
    <n v="50.541666666666664"/>
    <n v="49.312648669895843"/>
    <n v="0.19180339301278326"/>
    <b v="0"/>
  </r>
  <r>
    <n v="798"/>
    <d v="2011-02-05T00:00:00"/>
    <n v="1"/>
    <n v="0"/>
    <x v="1"/>
    <x v="16"/>
    <b v="0"/>
    <x v="0"/>
    <x v="0"/>
    <x v="0"/>
    <s v="Midday"/>
    <n v="3"/>
    <x v="2"/>
    <n v="0.22"/>
    <s v="Mild"/>
    <n v="0.2273"/>
    <n v="1"/>
    <n v="0.1343"/>
    <s v="Light Breeze"/>
    <n v="8"/>
    <n v="63"/>
    <n v="71"/>
    <n v="49.375"/>
    <n v="48.43984391243297"/>
    <n v="0.44643000995404836"/>
    <b v="0"/>
  </r>
  <r>
    <n v="799"/>
    <d v="2011-02-05T00:00:00"/>
    <n v="1"/>
    <n v="0"/>
    <x v="1"/>
    <x v="17"/>
    <b v="0"/>
    <x v="0"/>
    <x v="0"/>
    <x v="0"/>
    <s v="Evening"/>
    <n v="2"/>
    <x v="1"/>
    <n v="0.24"/>
    <s v="Mild"/>
    <n v="0.21210000000000001"/>
    <n v="1"/>
    <n v="0.28360000000000002"/>
    <s v="Light Breeze"/>
    <n v="14"/>
    <n v="64"/>
    <n v="78"/>
    <n v="44.083333333333336"/>
    <n v="36.053000437962304"/>
    <n v="0.94074463303070421"/>
    <b v="0"/>
  </r>
  <r>
    <n v="800"/>
    <d v="2011-02-05T00:00:00"/>
    <n v="1"/>
    <n v="0"/>
    <x v="1"/>
    <x v="18"/>
    <b v="0"/>
    <x v="0"/>
    <x v="0"/>
    <x v="0"/>
    <s v="Evening"/>
    <n v="2"/>
    <x v="1"/>
    <n v="0.28000000000000003"/>
    <s v="Mild"/>
    <n v="0.2424"/>
    <n v="0.93"/>
    <n v="0.44779999999999998"/>
    <s v="Gale"/>
    <n v="2"/>
    <n v="81"/>
    <n v="83"/>
    <n v="41.083333333333336"/>
    <n v="28.659798638005373"/>
    <n v="1.4625597058829833"/>
    <b v="0"/>
  </r>
  <r>
    <n v="801"/>
    <d v="2011-02-05T00:00:00"/>
    <n v="1"/>
    <n v="0"/>
    <x v="1"/>
    <x v="19"/>
    <b v="0"/>
    <x v="0"/>
    <x v="0"/>
    <x v="0"/>
    <s v="Evening"/>
    <n v="2"/>
    <x v="1"/>
    <n v="0.28000000000000003"/>
    <s v="Mild"/>
    <n v="0.2424"/>
    <n v="0.93"/>
    <n v="0.44779999999999998"/>
    <s v="Gale"/>
    <n v="6"/>
    <n v="78"/>
    <n v="84"/>
    <n v="40.291666666666664"/>
    <n v="27.094808048561738"/>
    <n v="1.6131626861867909"/>
    <b v="0"/>
  </r>
  <r>
    <n v="802"/>
    <d v="2011-02-05T00:00:00"/>
    <n v="1"/>
    <n v="0"/>
    <x v="1"/>
    <x v="20"/>
    <b v="0"/>
    <x v="0"/>
    <x v="0"/>
    <x v="0"/>
    <s v="Evening"/>
    <n v="1"/>
    <x v="0"/>
    <n v="0.3"/>
    <s v="Mild"/>
    <n v="0.28789999999999999"/>
    <n v="0.87"/>
    <n v="0.25369999999999998"/>
    <s v="Light Breeze"/>
    <n v="5"/>
    <n v="64"/>
    <n v="69"/>
    <n v="40.208333333333336"/>
    <n v="26.999161285953452"/>
    <n v="1.0663911505149524"/>
    <b v="0"/>
  </r>
  <r>
    <n v="803"/>
    <d v="2011-02-05T00:00:00"/>
    <n v="1"/>
    <n v="0"/>
    <x v="1"/>
    <x v="21"/>
    <b v="0"/>
    <x v="0"/>
    <x v="0"/>
    <x v="0"/>
    <s v="Night"/>
    <n v="1"/>
    <x v="0"/>
    <n v="0.26"/>
    <s v="Mild"/>
    <n v="0.2576"/>
    <n v="1"/>
    <n v="0.19400000000000001"/>
    <s v="Light Breeze"/>
    <n v="3"/>
    <n v="53"/>
    <n v="56"/>
    <n v="40.75"/>
    <n v="27.187353198004462"/>
    <n v="0.56092256899503334"/>
    <b v="0"/>
  </r>
  <r>
    <n v="804"/>
    <d v="2011-02-05T00:00:00"/>
    <n v="1"/>
    <n v="0"/>
    <x v="1"/>
    <x v="22"/>
    <b v="0"/>
    <x v="0"/>
    <x v="0"/>
    <x v="0"/>
    <s v="Night"/>
    <n v="1"/>
    <x v="0"/>
    <n v="0.26"/>
    <s v="Mild"/>
    <n v="0.2727"/>
    <n v="0.93"/>
    <n v="0.1343"/>
    <s v="Light Breeze"/>
    <n v="2"/>
    <n v="43"/>
    <n v="45"/>
    <n v="40.708333333333336"/>
    <n v="27.179722567395345"/>
    <n v="0.15789957590718479"/>
    <b v="0"/>
  </r>
  <r>
    <n v="805"/>
    <d v="2011-02-05T00:00:00"/>
    <n v="1"/>
    <n v="0"/>
    <x v="1"/>
    <x v="23"/>
    <b v="0"/>
    <x v="0"/>
    <x v="0"/>
    <x v="0"/>
    <s v="Night"/>
    <n v="1"/>
    <x v="0"/>
    <n v="0.26"/>
    <s v="Mild"/>
    <n v="0.2576"/>
    <n v="0.93"/>
    <n v="0.22389999999999999"/>
    <s v="Light Breeze"/>
    <n v="7"/>
    <n v="52"/>
    <n v="59"/>
    <n v="41.875"/>
    <n v="27.345315948948663"/>
    <n v="0.62624984958926389"/>
    <b v="0"/>
  </r>
  <r>
    <n v="806"/>
    <d v="2011-02-06T00:00:00"/>
    <n v="1"/>
    <n v="0"/>
    <x v="1"/>
    <x v="0"/>
    <b v="0"/>
    <x v="1"/>
    <x v="1"/>
    <x v="0"/>
    <s v="Night"/>
    <n v="1"/>
    <x v="0"/>
    <n v="0.26"/>
    <s v="Mild"/>
    <n v="0.2576"/>
    <n v="0.7"/>
    <n v="0.19400000000000001"/>
    <s v="Light Breeze"/>
    <n v="2"/>
    <n v="37"/>
    <n v="39"/>
    <n v="41.875"/>
    <n v="27.345315948948663"/>
    <n v="-0.10513683606243117"/>
    <b v="0"/>
  </r>
  <r>
    <n v="807"/>
    <d v="2011-02-06T00:00:00"/>
    <n v="1"/>
    <n v="0"/>
    <x v="1"/>
    <x v="1"/>
    <b v="0"/>
    <x v="1"/>
    <x v="1"/>
    <x v="0"/>
    <s v="Night"/>
    <n v="1"/>
    <x v="0"/>
    <n v="0.26"/>
    <s v="Mild"/>
    <n v="0.2273"/>
    <n v="0.65"/>
    <n v="0.41789999999999999"/>
    <s v="Gale"/>
    <n v="4"/>
    <n v="40"/>
    <n v="44"/>
    <n v="42.958333333333336"/>
    <n v="26.869214914934297"/>
    <n v="3.8768035090139194E-2"/>
    <b v="0"/>
  </r>
  <r>
    <n v="808"/>
    <d v="2011-02-06T00:00:00"/>
    <n v="1"/>
    <n v="0"/>
    <x v="1"/>
    <x v="2"/>
    <b v="0"/>
    <x v="1"/>
    <x v="1"/>
    <x v="0"/>
    <s v="Night"/>
    <n v="1"/>
    <x v="0"/>
    <n v="0.26"/>
    <s v="Mild"/>
    <n v="0.2273"/>
    <n v="0.6"/>
    <n v="0.32840000000000003"/>
    <s v="Gale"/>
    <n v="0"/>
    <n v="20"/>
    <n v="20"/>
    <n v="43.083333333333336"/>
    <n v="26.749915345931338"/>
    <n v="-0.86293107977421357"/>
    <b v="0"/>
  </r>
  <r>
    <n v="809"/>
    <d v="2011-02-06T00:00:00"/>
    <n v="1"/>
    <n v="0"/>
    <x v="1"/>
    <x v="3"/>
    <b v="0"/>
    <x v="1"/>
    <x v="1"/>
    <x v="0"/>
    <s v="Night"/>
    <n v="1"/>
    <x v="0"/>
    <n v="0.26"/>
    <s v="Mild"/>
    <n v="0.28789999999999999"/>
    <n v="0.6"/>
    <n v="8.9599999999999999E-2"/>
    <s v="Calm"/>
    <n v="3"/>
    <n v="10"/>
    <n v="13"/>
    <n v="43.166666666666664"/>
    <n v="26.648544566940839"/>
    <n v="-1.1320192962466804"/>
    <b v="0"/>
  </r>
  <r>
    <n v="810"/>
    <d v="2011-02-06T00:00:00"/>
    <n v="1"/>
    <n v="0"/>
    <x v="1"/>
    <x v="4"/>
    <b v="0"/>
    <x v="1"/>
    <x v="1"/>
    <x v="0"/>
    <s v="Night"/>
    <n v="1"/>
    <x v="0"/>
    <n v="0.26"/>
    <s v="Mild"/>
    <n v="0.2273"/>
    <n v="0.6"/>
    <n v="0.35820000000000002"/>
    <s v="Gale"/>
    <n v="0"/>
    <n v="2"/>
    <n v="2"/>
    <n v="42.916666666666664"/>
    <n v="27.018378071660564"/>
    <n v="-1.5144012922664645"/>
    <b v="0"/>
  </r>
  <r>
    <n v="811"/>
    <d v="2011-02-06T00:00:00"/>
    <n v="1"/>
    <n v="0"/>
    <x v="1"/>
    <x v="5"/>
    <b v="0"/>
    <x v="1"/>
    <x v="1"/>
    <x v="0"/>
    <s v="Night"/>
    <n v="1"/>
    <x v="0"/>
    <n v="0.26"/>
    <s v="Mild"/>
    <n v="0.2576"/>
    <n v="0.6"/>
    <n v="0.22389999999999999"/>
    <s v="Light Breeze"/>
    <n v="0"/>
    <n v="1"/>
    <n v="1"/>
    <n v="42.583333333333336"/>
    <n v="27.500065876073933"/>
    <n v="-1.5121175898532069"/>
    <b v="0"/>
  </r>
  <r>
    <n v="812"/>
    <d v="2011-02-06T00:00:00"/>
    <n v="1"/>
    <n v="0"/>
    <x v="1"/>
    <x v="6"/>
    <b v="0"/>
    <x v="1"/>
    <x v="1"/>
    <x v="0"/>
    <s v="Morning"/>
    <n v="1"/>
    <x v="0"/>
    <n v="0.26"/>
    <s v="Mild"/>
    <n v="0.2576"/>
    <n v="0.6"/>
    <n v="0.22389999999999999"/>
    <s v="Light Breeze"/>
    <n v="0"/>
    <n v="1"/>
    <n v="1"/>
    <n v="42.458333333333336"/>
    <n v="27.689236908584359"/>
    <n v="-1.4972725131504152"/>
    <b v="0"/>
  </r>
  <r>
    <n v="813"/>
    <d v="2011-02-06T00:00:00"/>
    <n v="1"/>
    <n v="0"/>
    <x v="1"/>
    <x v="7"/>
    <b v="0"/>
    <x v="1"/>
    <x v="1"/>
    <x v="0"/>
    <s v="Morning"/>
    <n v="1"/>
    <x v="0"/>
    <n v="0.24"/>
    <s v="Mild"/>
    <n v="0.2424"/>
    <n v="0.65"/>
    <n v="0.16420000000000001"/>
    <s v="Light Breeze"/>
    <n v="0"/>
    <n v="8"/>
    <n v="8"/>
    <n v="42.625"/>
    <n v="27.458763549223658"/>
    <n v="-1.2609817604470741"/>
    <b v="0"/>
  </r>
  <r>
    <n v="814"/>
    <d v="2011-02-06T00:00:00"/>
    <n v="1"/>
    <n v="0"/>
    <x v="1"/>
    <x v="8"/>
    <b v="0"/>
    <x v="1"/>
    <x v="1"/>
    <x v="0"/>
    <s v="Morning"/>
    <n v="1"/>
    <x v="0"/>
    <n v="0.24"/>
    <s v="Mild"/>
    <n v="0.2576"/>
    <n v="0.65"/>
    <n v="0.1045"/>
    <s v="Calm"/>
    <n v="2"/>
    <n v="21"/>
    <n v="23"/>
    <n v="43.166666666666664"/>
    <n v="26.909941054120353"/>
    <n v="-0.74941326055334545"/>
    <b v="0"/>
  </r>
  <r>
    <n v="815"/>
    <d v="2011-02-06T00:00:00"/>
    <n v="1"/>
    <n v="0"/>
    <x v="1"/>
    <x v="9"/>
    <b v="0"/>
    <x v="1"/>
    <x v="1"/>
    <x v="0"/>
    <s v="Morning"/>
    <n v="1"/>
    <x v="0"/>
    <n v="0.28000000000000003"/>
    <s v="Mild"/>
    <n v="0.28789999999999999"/>
    <n v="0.56000000000000005"/>
    <n v="0.1045"/>
    <s v="Calm"/>
    <n v="7"/>
    <n v="38"/>
    <n v="45"/>
    <n v="44.208333333333336"/>
    <n v="26.454192018701288"/>
    <n v="2.9925943914938344E-2"/>
    <b v="0"/>
  </r>
  <r>
    <n v="816"/>
    <d v="2011-02-06T00:00:00"/>
    <n v="1"/>
    <n v="0"/>
    <x v="1"/>
    <x v="10"/>
    <b v="0"/>
    <x v="1"/>
    <x v="1"/>
    <x v="0"/>
    <s v="Morning"/>
    <n v="1"/>
    <x v="0"/>
    <n v="0.3"/>
    <s v="Mild"/>
    <n v="0.28789999999999999"/>
    <n v="0.52"/>
    <n v="0.25369999999999998"/>
    <s v="Light Breeze"/>
    <n v="15"/>
    <n v="74"/>
    <n v="89"/>
    <n v="46.5"/>
    <n v="27.875499605583208"/>
    <n v="1.5246363509656213"/>
    <b v="0"/>
  </r>
  <r>
    <n v="817"/>
    <d v="2011-02-06T00:00:00"/>
    <n v="1"/>
    <n v="0"/>
    <x v="1"/>
    <x v="11"/>
    <b v="0"/>
    <x v="1"/>
    <x v="1"/>
    <x v="0"/>
    <s v="Morning"/>
    <n v="1"/>
    <x v="0"/>
    <n v="0.32"/>
    <s v="Mild"/>
    <n v="0.30299999999999999"/>
    <n v="0.49"/>
    <n v="0.25369999999999998"/>
    <s v="Light Breeze"/>
    <n v="28"/>
    <n v="89"/>
    <n v="117"/>
    <n v="49.416666666666664"/>
    <n v="31.372816628227785"/>
    <n v="2.1542003746174654"/>
    <b v="0"/>
  </r>
  <r>
    <n v="818"/>
    <d v="2011-02-06T00:00:00"/>
    <n v="1"/>
    <n v="0"/>
    <x v="1"/>
    <x v="12"/>
    <b v="0"/>
    <x v="1"/>
    <x v="1"/>
    <x v="0"/>
    <s v="Midday"/>
    <n v="1"/>
    <x v="0"/>
    <n v="0.34"/>
    <s v="Mild"/>
    <n v="0.33329999999999999"/>
    <n v="0.46"/>
    <n v="0"/>
    <s v="Calm"/>
    <n v="48"/>
    <n v="126"/>
    <n v="174"/>
    <n v="54.5"/>
    <n v="40.395867201441803"/>
    <n v="2.9582234094416178"/>
    <b v="0"/>
  </r>
  <r>
    <n v="819"/>
    <d v="2011-02-06T00:00:00"/>
    <n v="1"/>
    <n v="0"/>
    <x v="1"/>
    <x v="13"/>
    <b v="0"/>
    <x v="1"/>
    <x v="1"/>
    <x v="0"/>
    <s v="Midday"/>
    <n v="1"/>
    <x v="0"/>
    <n v="0.34"/>
    <s v="Mild"/>
    <n v="0.36359999999999998"/>
    <n v="0.46"/>
    <n v="0"/>
    <s v="Calm"/>
    <n v="47"/>
    <n v="135"/>
    <n v="182"/>
    <n v="59.083333333333336"/>
    <n v="47.993583508329678"/>
    <n v="2.5611062496580081"/>
    <b v="0"/>
  </r>
  <r>
    <n v="820"/>
    <d v="2011-02-06T00:00:00"/>
    <n v="1"/>
    <n v="0"/>
    <x v="1"/>
    <x v="14"/>
    <b v="0"/>
    <x v="1"/>
    <x v="1"/>
    <x v="0"/>
    <s v="Midday"/>
    <n v="1"/>
    <x v="0"/>
    <n v="0.34"/>
    <s v="Mild"/>
    <n v="0.34849999999999998"/>
    <n v="0.46"/>
    <n v="8.9599999999999999E-2"/>
    <s v="Calm"/>
    <n v="47"/>
    <n v="114"/>
    <n v="161"/>
    <n v="63.5"/>
    <n v="52.286834322592732"/>
    <n v="1.8647141534417013"/>
    <b v="0"/>
  </r>
  <r>
    <n v="821"/>
    <d v="2011-02-06T00:00:00"/>
    <n v="1"/>
    <n v="0"/>
    <x v="1"/>
    <x v="15"/>
    <b v="0"/>
    <x v="1"/>
    <x v="1"/>
    <x v="0"/>
    <s v="Midday"/>
    <n v="1"/>
    <x v="0"/>
    <n v="0.34"/>
    <s v="Mild"/>
    <n v="0.34849999999999998"/>
    <n v="0.46"/>
    <n v="8.9599999999999999E-2"/>
    <s v="Calm"/>
    <n v="52"/>
    <n v="130"/>
    <n v="182"/>
    <n v="68.583333333333329"/>
    <n v="57.592962029768174"/>
    <n v="1.9692799722307182"/>
    <b v="0"/>
  </r>
  <r>
    <n v="822"/>
    <d v="2011-02-06T00:00:00"/>
    <n v="1"/>
    <n v="0"/>
    <x v="1"/>
    <x v="16"/>
    <b v="0"/>
    <x v="1"/>
    <x v="1"/>
    <x v="0"/>
    <s v="Midday"/>
    <n v="1"/>
    <x v="0"/>
    <n v="0.34"/>
    <s v="Mild"/>
    <n v="0.34849999999999998"/>
    <n v="0.49"/>
    <n v="0.1045"/>
    <s v="Calm"/>
    <n v="42"/>
    <n v="115"/>
    <n v="157"/>
    <n v="72.166666666666671"/>
    <n v="60.358830387915084"/>
    <n v="1.4054833864096623"/>
    <b v="0"/>
  </r>
  <r>
    <n v="823"/>
    <d v="2011-02-06T00:00:00"/>
    <n v="1"/>
    <n v="0"/>
    <x v="1"/>
    <x v="17"/>
    <b v="0"/>
    <x v="1"/>
    <x v="1"/>
    <x v="0"/>
    <s v="Evening"/>
    <n v="1"/>
    <x v="0"/>
    <n v="0.34"/>
    <s v="Mild"/>
    <n v="0.36359999999999998"/>
    <n v="0.46"/>
    <n v="0"/>
    <s v="Calm"/>
    <n v="24"/>
    <n v="97"/>
    <n v="121"/>
    <n v="73.958333333333329"/>
    <n v="61.172229538138197"/>
    <n v="0.76900363157988638"/>
    <b v="0"/>
  </r>
  <r>
    <n v="824"/>
    <d v="2011-02-06T00:00:00"/>
    <n v="1"/>
    <n v="0"/>
    <x v="1"/>
    <x v="18"/>
    <b v="0"/>
    <x v="1"/>
    <x v="1"/>
    <x v="0"/>
    <s v="Evening"/>
    <n v="1"/>
    <x v="0"/>
    <n v="0.3"/>
    <s v="Mild"/>
    <n v="0.30299999999999999"/>
    <n v="0.56000000000000005"/>
    <n v="0.16420000000000001"/>
    <s v="Light Breeze"/>
    <n v="13"/>
    <n v="65"/>
    <n v="78"/>
    <n v="73.75"/>
    <n v="61.148607293323074"/>
    <n v="6.9502809436251298E-2"/>
    <b v="0"/>
  </r>
  <r>
    <n v="825"/>
    <d v="2011-02-06T00:00:00"/>
    <n v="1"/>
    <n v="0"/>
    <x v="1"/>
    <x v="19"/>
    <b v="0"/>
    <x v="1"/>
    <x v="1"/>
    <x v="0"/>
    <s v="Evening"/>
    <n v="1"/>
    <x v="0"/>
    <n v="0.28000000000000003"/>
    <s v="Mild"/>
    <n v="0.28789999999999999"/>
    <n v="0.61"/>
    <n v="0.1343"/>
    <s v="Light Breeze"/>
    <n v="1"/>
    <n v="20"/>
    <n v="21"/>
    <n v="71.125"/>
    <n v="62.03527222475936"/>
    <n v="-0.80800806061417163"/>
    <b v="0"/>
  </r>
  <r>
    <n v="826"/>
    <d v="2011-02-06T00:00:00"/>
    <n v="1"/>
    <n v="0"/>
    <x v="1"/>
    <x v="20"/>
    <b v="0"/>
    <x v="1"/>
    <x v="1"/>
    <x v="0"/>
    <s v="Evening"/>
    <n v="1"/>
    <x v="0"/>
    <n v="0.28000000000000003"/>
    <s v="Mild"/>
    <n v="0.28789999999999999"/>
    <n v="0.61"/>
    <n v="0.1045"/>
    <s v="Calm"/>
    <n v="5"/>
    <n v="21"/>
    <n v="26"/>
    <n v="69.333333333333329"/>
    <n v="62.716523491346202"/>
    <n v="-0.69093965865809803"/>
    <b v="0"/>
  </r>
  <r>
    <n v="827"/>
    <d v="2011-02-06T00:00:00"/>
    <n v="1"/>
    <n v="0"/>
    <x v="1"/>
    <x v="21"/>
    <b v="0"/>
    <x v="1"/>
    <x v="1"/>
    <x v="0"/>
    <s v="Night"/>
    <n v="1"/>
    <x v="0"/>
    <n v="0.26"/>
    <s v="Mild"/>
    <n v="0.30299999999999999"/>
    <n v="0.6"/>
    <n v="0"/>
    <s v="Calm"/>
    <n v="5"/>
    <n v="22"/>
    <n v="27"/>
    <n v="68.125"/>
    <n v="63.261577390332619"/>
    <n v="-0.65007863693080403"/>
    <b v="0"/>
  </r>
  <r>
    <n v="828"/>
    <d v="2011-02-06T00:00:00"/>
    <n v="1"/>
    <n v="0"/>
    <x v="1"/>
    <x v="22"/>
    <b v="0"/>
    <x v="1"/>
    <x v="1"/>
    <x v="0"/>
    <s v="Night"/>
    <n v="1"/>
    <x v="0"/>
    <n v="0.26"/>
    <s v="Mild"/>
    <n v="0.30299999999999999"/>
    <n v="0.6"/>
    <n v="0"/>
    <s v="Calm"/>
    <n v="5"/>
    <n v="57"/>
    <n v="62"/>
    <n v="68.833333333333329"/>
    <n v="63.086322273302748"/>
    <n v="-0.1083171928097178"/>
    <b v="0"/>
  </r>
  <r>
    <n v="829"/>
    <d v="2011-02-06T00:00:00"/>
    <n v="1"/>
    <n v="0"/>
    <x v="1"/>
    <x v="23"/>
    <b v="0"/>
    <x v="1"/>
    <x v="1"/>
    <x v="0"/>
    <s v="Night"/>
    <n v="1"/>
    <x v="0"/>
    <n v="0.24"/>
    <s v="Mild"/>
    <n v="0.28789999999999999"/>
    <n v="0.65"/>
    <n v="0"/>
    <s v="Calm"/>
    <n v="4"/>
    <n v="26"/>
    <n v="30"/>
    <n v="67.625"/>
    <n v="63.558813913468811"/>
    <n v="-0.59197139913944885"/>
    <b v="0"/>
  </r>
  <r>
    <n v="830"/>
    <d v="2011-02-07T00:00:00"/>
    <n v="1"/>
    <n v="0"/>
    <x v="1"/>
    <x v="0"/>
    <b v="0"/>
    <x v="2"/>
    <x v="2"/>
    <x v="1"/>
    <s v="Night"/>
    <n v="1"/>
    <x v="0"/>
    <n v="0.24"/>
    <s v="Mild"/>
    <n v="0.28789999999999999"/>
    <n v="0.65"/>
    <n v="0"/>
    <s v="Calm"/>
    <n v="1"/>
    <n v="14"/>
    <n v="15"/>
    <n v="66.625"/>
    <n v="64.214188124757442"/>
    <n v="-0.80395005383703133"/>
    <b v="0"/>
  </r>
  <r>
    <n v="831"/>
    <d v="2011-02-07T00:00:00"/>
    <n v="1"/>
    <n v="0"/>
    <x v="1"/>
    <x v="1"/>
    <b v="0"/>
    <x v="2"/>
    <x v="2"/>
    <x v="1"/>
    <s v="Night"/>
    <n v="1"/>
    <x v="0"/>
    <n v="0.22"/>
    <s v="Mild"/>
    <n v="0.2727"/>
    <n v="0.75"/>
    <n v="0"/>
    <s v="Calm"/>
    <n v="1"/>
    <n v="4"/>
    <n v="5"/>
    <n v="65"/>
    <n v="65.295981632802679"/>
    <n v="-0.91889268680291736"/>
    <b v="0"/>
  </r>
  <r>
    <n v="832"/>
    <d v="2011-02-07T00:00:00"/>
    <n v="1"/>
    <n v="0"/>
    <x v="1"/>
    <x v="2"/>
    <b v="0"/>
    <x v="2"/>
    <x v="2"/>
    <x v="1"/>
    <s v="Night"/>
    <n v="1"/>
    <x v="0"/>
    <n v="0.2"/>
    <s v="Mild"/>
    <n v="0.2576"/>
    <n v="0.8"/>
    <n v="0"/>
    <s v="Calm"/>
    <n v="0"/>
    <n v="3"/>
    <n v="3"/>
    <n v="64.291666666666671"/>
    <n v="65.894830018662361"/>
    <n v="-0.93014378592839519"/>
    <b v="0"/>
  </r>
  <r>
    <n v="833"/>
    <d v="2011-02-07T00:00:00"/>
    <n v="1"/>
    <n v="0"/>
    <x v="1"/>
    <x v="3"/>
    <b v="0"/>
    <x v="2"/>
    <x v="2"/>
    <x v="1"/>
    <s v="Night"/>
    <n v="1"/>
    <x v="0"/>
    <n v="0.2"/>
    <s v="Mild"/>
    <n v="0.2576"/>
    <n v="0.86"/>
    <n v="0"/>
    <s v="Calm"/>
    <n v="0"/>
    <n v="1"/>
    <n v="1"/>
    <n v="63.791666666666664"/>
    <n v="66.344934714858525"/>
    <n v="-0.94644251194965645"/>
    <b v="0"/>
  </r>
  <r>
    <n v="834"/>
    <d v="2011-02-07T00:00:00"/>
    <n v="1"/>
    <n v="0"/>
    <x v="1"/>
    <x v="4"/>
    <b v="0"/>
    <x v="2"/>
    <x v="2"/>
    <x v="1"/>
    <s v="Night"/>
    <n v="1"/>
    <x v="0"/>
    <n v="0.2"/>
    <s v="Mild"/>
    <n v="0.2576"/>
    <n v="0.86"/>
    <n v="0"/>
    <s v="Calm"/>
    <n v="1"/>
    <n v="1"/>
    <n v="2"/>
    <n v="63.791666666666664"/>
    <n v="66.344934714858525"/>
    <n v="-0.93136977121522257"/>
    <b v="0"/>
  </r>
  <r>
    <n v="835"/>
    <d v="2011-02-07T00:00:00"/>
    <n v="1"/>
    <n v="0"/>
    <x v="1"/>
    <x v="5"/>
    <b v="0"/>
    <x v="2"/>
    <x v="2"/>
    <x v="1"/>
    <s v="Night"/>
    <n v="1"/>
    <x v="0"/>
    <n v="0.2"/>
    <s v="Mild"/>
    <n v="0.2576"/>
    <n v="0.86"/>
    <n v="0"/>
    <s v="Calm"/>
    <n v="1"/>
    <n v="9"/>
    <n v="10"/>
    <n v="64.166666666666671"/>
    <n v="65.999121645450813"/>
    <n v="-0.82071799315226601"/>
    <b v="0"/>
  </r>
  <r>
    <n v="836"/>
    <d v="2011-02-07T00:00:00"/>
    <n v="1"/>
    <n v="0"/>
    <x v="1"/>
    <x v="6"/>
    <b v="0"/>
    <x v="2"/>
    <x v="2"/>
    <x v="1"/>
    <s v="Morning"/>
    <n v="1"/>
    <x v="0"/>
    <n v="0.18"/>
    <s v="Cold"/>
    <n v="0.2424"/>
    <n v="0.93"/>
    <n v="0"/>
    <s v="Calm"/>
    <n v="1"/>
    <n v="29"/>
    <n v="30"/>
    <n v="65.375"/>
    <n v="65.051025123092543"/>
    <n v="-0.54380388215346021"/>
    <b v="0"/>
  </r>
  <r>
    <n v="837"/>
    <d v="2011-02-07T00:00:00"/>
    <n v="1"/>
    <n v="0"/>
    <x v="1"/>
    <x v="7"/>
    <b v="0"/>
    <x v="2"/>
    <x v="2"/>
    <x v="1"/>
    <s v="Morning"/>
    <n v="1"/>
    <x v="0"/>
    <n v="0.18"/>
    <s v="Cold"/>
    <n v="0.2424"/>
    <n v="0.86"/>
    <n v="0"/>
    <s v="Calm"/>
    <n v="6"/>
    <n v="89"/>
    <n v="95"/>
    <n v="69"/>
    <n v="64.132336007190091"/>
    <n v="0.40541170989132619"/>
    <b v="0"/>
  </r>
  <r>
    <n v="838"/>
    <d v="2011-02-07T00:00:00"/>
    <n v="1"/>
    <n v="0"/>
    <x v="1"/>
    <x v="8"/>
    <b v="0"/>
    <x v="2"/>
    <x v="2"/>
    <x v="1"/>
    <s v="Morning"/>
    <n v="2"/>
    <x v="1"/>
    <n v="0.16"/>
    <s v="Cold"/>
    <n v="0.2273"/>
    <n v="1"/>
    <n v="0"/>
    <s v="Calm"/>
    <n v="7"/>
    <n v="223"/>
    <n v="230"/>
    <n v="77.625"/>
    <n v="71.20626041114032"/>
    <n v="2.1399101584635489"/>
    <b v="0"/>
  </r>
  <r>
    <n v="839"/>
    <d v="2011-02-07T00:00:00"/>
    <n v="1"/>
    <n v="0"/>
    <x v="1"/>
    <x v="9"/>
    <b v="0"/>
    <x v="2"/>
    <x v="2"/>
    <x v="1"/>
    <s v="Morning"/>
    <n v="1"/>
    <x v="0"/>
    <n v="0.22"/>
    <s v="Mild"/>
    <n v="0.2727"/>
    <n v="0.8"/>
    <n v="0"/>
    <s v="Calm"/>
    <n v="3"/>
    <n v="115"/>
    <n v="118"/>
    <n v="80.666666666666671"/>
    <n v="71.311116681193823"/>
    <n v="0.52352753779241945"/>
    <b v="0"/>
  </r>
  <r>
    <n v="840"/>
    <d v="2011-02-07T00:00:00"/>
    <n v="1"/>
    <n v="0"/>
    <x v="1"/>
    <x v="10"/>
    <b v="0"/>
    <x v="2"/>
    <x v="2"/>
    <x v="1"/>
    <s v="Morning"/>
    <n v="1"/>
    <x v="0"/>
    <n v="0.24"/>
    <s v="Mild"/>
    <n v="0.2576"/>
    <n v="0.75"/>
    <n v="0.1045"/>
    <s v="Calm"/>
    <n v="6"/>
    <n v="49"/>
    <n v="55"/>
    <n v="79.25"/>
    <n v="71.475900468801981"/>
    <n v="-0.33927519402969558"/>
    <b v="0"/>
  </r>
  <r>
    <n v="841"/>
    <d v="2011-02-07T00:00:00"/>
    <n v="1"/>
    <n v="0"/>
    <x v="1"/>
    <x v="11"/>
    <b v="0"/>
    <x v="2"/>
    <x v="2"/>
    <x v="1"/>
    <s v="Morning"/>
    <n v="1"/>
    <x v="0"/>
    <n v="0.3"/>
    <s v="Mild"/>
    <n v="0.31819999999999998"/>
    <n v="0.65"/>
    <n v="8.9599999999999999E-2"/>
    <s v="Calm"/>
    <n v="11"/>
    <n v="36"/>
    <n v="47"/>
    <n v="76.333333333333329"/>
    <n v="71.296482422326434"/>
    <n v="-0.41142749735641404"/>
    <b v="0"/>
  </r>
  <r>
    <n v="842"/>
    <d v="2011-02-07T00:00:00"/>
    <n v="1"/>
    <n v="0"/>
    <x v="1"/>
    <x v="12"/>
    <b v="0"/>
    <x v="2"/>
    <x v="2"/>
    <x v="1"/>
    <s v="Midday"/>
    <n v="2"/>
    <x v="1"/>
    <n v="0.32"/>
    <s v="Mild"/>
    <n v="0.34849999999999998"/>
    <n v="0.62"/>
    <n v="0"/>
    <s v="Calm"/>
    <n v="7"/>
    <n v="59"/>
    <n v="66"/>
    <n v="71.833333333333329"/>
    <n v="68.205359133229067"/>
    <n v="-8.5526026216485071E-2"/>
    <b v="0"/>
  </r>
  <r>
    <n v="843"/>
    <d v="2011-02-07T00:00:00"/>
    <n v="1"/>
    <n v="0"/>
    <x v="1"/>
    <x v="13"/>
    <b v="0"/>
    <x v="2"/>
    <x v="2"/>
    <x v="1"/>
    <s v="Midday"/>
    <n v="2"/>
    <x v="1"/>
    <n v="0.36"/>
    <s v="Mild"/>
    <n v="0.36359999999999998"/>
    <n v="0.56999999999999995"/>
    <n v="8.9599999999999999E-2"/>
    <s v="Calm"/>
    <n v="10"/>
    <n v="54"/>
    <n v="64"/>
    <n v="66.916666666666671"/>
    <n v="64.044764688910917"/>
    <n v="-4.5541063049165671E-2"/>
    <b v="0"/>
  </r>
  <r>
    <n v="844"/>
    <d v="2011-02-07T00:00:00"/>
    <n v="1"/>
    <n v="0"/>
    <x v="1"/>
    <x v="14"/>
    <b v="0"/>
    <x v="2"/>
    <x v="2"/>
    <x v="1"/>
    <s v="Midday"/>
    <n v="2"/>
    <x v="1"/>
    <n v="0.36"/>
    <s v="Mild"/>
    <n v="0.36359999999999998"/>
    <n v="0.56999999999999995"/>
    <n v="8.9599999999999999E-2"/>
    <s v="Calm"/>
    <n v="8"/>
    <n v="52"/>
    <n v="60"/>
    <n v="62.708333333333336"/>
    <n v="60.831541565830484"/>
    <n v="-4.4521859279243153E-2"/>
    <b v="0"/>
  </r>
  <r>
    <n v="845"/>
    <d v="2011-02-07T00:00:00"/>
    <n v="1"/>
    <n v="0"/>
    <x v="1"/>
    <x v="15"/>
    <b v="0"/>
    <x v="2"/>
    <x v="2"/>
    <x v="1"/>
    <s v="Midday"/>
    <n v="2"/>
    <x v="1"/>
    <n v="0.38"/>
    <s v="Mild"/>
    <n v="0.39389999999999997"/>
    <n v="0.54"/>
    <n v="8.9599999999999999E-2"/>
    <s v="Calm"/>
    <n v="4"/>
    <n v="46"/>
    <n v="50"/>
    <n v="57.208333333333336"/>
    <n v="55.292093283851578"/>
    <n v="-0.13036824806628505"/>
    <b v="0"/>
  </r>
  <r>
    <n v="846"/>
    <d v="2011-02-07T00:00:00"/>
    <n v="1"/>
    <n v="0"/>
    <x v="1"/>
    <x v="16"/>
    <b v="0"/>
    <x v="2"/>
    <x v="2"/>
    <x v="1"/>
    <s v="Midday"/>
    <n v="2"/>
    <x v="1"/>
    <n v="0.36"/>
    <s v="Mild"/>
    <n v="0.34849999999999998"/>
    <n v="0.56999999999999995"/>
    <n v="0.1343"/>
    <s v="Light Breeze"/>
    <n v="16"/>
    <n v="98"/>
    <n v="114"/>
    <n v="55.416666666666664"/>
    <n v="52.546390821880401"/>
    <n v="1.1148878622685374"/>
    <b v="0"/>
  </r>
  <r>
    <n v="847"/>
    <d v="2011-02-07T00:00:00"/>
    <n v="1"/>
    <n v="0"/>
    <x v="1"/>
    <x v="17"/>
    <b v="0"/>
    <x v="2"/>
    <x v="2"/>
    <x v="1"/>
    <s v="Evening"/>
    <n v="2"/>
    <x v="1"/>
    <n v="0.32"/>
    <s v="Mild"/>
    <n v="0.31819999999999998"/>
    <n v="0.7"/>
    <n v="0.16420000000000001"/>
    <s v="Light Breeze"/>
    <n v="9"/>
    <n v="207"/>
    <n v="216"/>
    <n v="59.375"/>
    <n v="60.654267923958201"/>
    <n v="2.5822585180050246"/>
    <b v="0"/>
  </r>
  <r>
    <n v="848"/>
    <d v="2011-02-07T00:00:00"/>
    <n v="1"/>
    <n v="0"/>
    <x v="1"/>
    <x v="18"/>
    <b v="0"/>
    <x v="2"/>
    <x v="2"/>
    <x v="1"/>
    <s v="Evening"/>
    <n v="2"/>
    <x v="1"/>
    <n v="0.34"/>
    <s v="Mild"/>
    <n v="0.33329999999999999"/>
    <n v="0.66"/>
    <n v="0.1343"/>
    <s v="Light Breeze"/>
    <n v="5"/>
    <n v="170"/>
    <n v="175"/>
    <n v="63.416666666666664"/>
    <n v="65.023685762535237"/>
    <n v="1.71604134746887"/>
    <b v="0"/>
  </r>
  <r>
    <n v="849"/>
    <d v="2011-02-07T00:00:00"/>
    <n v="1"/>
    <n v="0"/>
    <x v="1"/>
    <x v="19"/>
    <b v="0"/>
    <x v="2"/>
    <x v="2"/>
    <x v="1"/>
    <s v="Evening"/>
    <n v="2"/>
    <x v="1"/>
    <n v="0.32"/>
    <s v="Mild"/>
    <n v="0.34849999999999998"/>
    <n v="0.7"/>
    <n v="0"/>
    <s v="Calm"/>
    <n v="5"/>
    <n v="123"/>
    <n v="128"/>
    <n v="67.875"/>
    <n v="65.654108451198539"/>
    <n v="0.91578427334355794"/>
    <b v="0"/>
  </r>
  <r>
    <n v="850"/>
    <d v="2011-02-07T00:00:00"/>
    <n v="1"/>
    <n v="0"/>
    <x v="1"/>
    <x v="20"/>
    <b v="0"/>
    <x v="2"/>
    <x v="2"/>
    <x v="1"/>
    <s v="Evening"/>
    <n v="2"/>
    <x v="1"/>
    <n v="0.32"/>
    <s v="Mild"/>
    <n v="0.33329999999999999"/>
    <n v="0.7"/>
    <n v="0.1045"/>
    <s v="Calm"/>
    <n v="6"/>
    <n v="82"/>
    <n v="88"/>
    <n v="70.458333333333329"/>
    <n v="65.15264962856989"/>
    <n v="0.26923949780508277"/>
    <b v="0"/>
  </r>
  <r>
    <n v="851"/>
    <d v="2011-02-07T00:00:00"/>
    <n v="1"/>
    <n v="0"/>
    <x v="1"/>
    <x v="21"/>
    <b v="0"/>
    <x v="2"/>
    <x v="2"/>
    <x v="1"/>
    <s v="Night"/>
    <n v="1"/>
    <x v="0"/>
    <n v="0.32"/>
    <s v="Mild"/>
    <n v="0.34849999999999998"/>
    <n v="0.7"/>
    <n v="0"/>
    <s v="Calm"/>
    <n v="3"/>
    <n v="75"/>
    <n v="78"/>
    <n v="72.583333333333329"/>
    <n v="64.502050298836423"/>
    <n v="8.3976658750712377E-2"/>
    <b v="0"/>
  </r>
  <r>
    <n v="852"/>
    <d v="2011-02-07T00:00:00"/>
    <n v="1"/>
    <n v="0"/>
    <x v="1"/>
    <x v="22"/>
    <b v="0"/>
    <x v="2"/>
    <x v="2"/>
    <x v="1"/>
    <s v="Night"/>
    <n v="1"/>
    <x v="0"/>
    <n v="0.28000000000000003"/>
    <s v="Mild"/>
    <n v="0.30299999999999999"/>
    <n v="0.81"/>
    <n v="8.9599999999999999E-2"/>
    <s v="Calm"/>
    <n v="3"/>
    <n v="34"/>
    <n v="37"/>
    <n v="71.541666666666671"/>
    <n v="64.881148308249763"/>
    <n v="-0.53238371341024238"/>
    <b v="0"/>
  </r>
  <r>
    <n v="853"/>
    <d v="2011-02-07T00:00:00"/>
    <n v="1"/>
    <n v="0"/>
    <x v="1"/>
    <x v="23"/>
    <b v="0"/>
    <x v="2"/>
    <x v="2"/>
    <x v="1"/>
    <s v="Night"/>
    <n v="2"/>
    <x v="1"/>
    <n v="0.3"/>
    <s v="Mild"/>
    <n v="0.33329999999999999"/>
    <n v="0.81"/>
    <n v="0"/>
    <s v="Calm"/>
    <n v="6"/>
    <n v="19"/>
    <n v="25"/>
    <n v="71.333333333333329"/>
    <n v="65.028199011403245"/>
    <n v="-0.71251140332532337"/>
    <b v="0"/>
  </r>
  <r>
    <n v="854"/>
    <d v="2011-02-08T00:00:00"/>
    <n v="1"/>
    <n v="0"/>
    <x v="1"/>
    <x v="0"/>
    <b v="0"/>
    <x v="3"/>
    <x v="3"/>
    <x v="1"/>
    <s v="Night"/>
    <n v="2"/>
    <x v="1"/>
    <n v="0.28000000000000003"/>
    <s v="Mild"/>
    <n v="0.31819999999999998"/>
    <n v="0.87"/>
    <n v="0"/>
    <s v="Calm"/>
    <n v="4"/>
    <n v="6"/>
    <n v="10"/>
    <n v="71.125"/>
    <n v="65.224236959557615"/>
    <n v="-0.9371516302735845"/>
    <b v="0"/>
  </r>
  <r>
    <n v="855"/>
    <d v="2011-02-08T00:00:00"/>
    <n v="1"/>
    <n v="0"/>
    <x v="1"/>
    <x v="1"/>
    <b v="0"/>
    <x v="3"/>
    <x v="3"/>
    <x v="1"/>
    <s v="Night"/>
    <n v="2"/>
    <x v="1"/>
    <n v="0.28000000000000003"/>
    <s v="Mild"/>
    <n v="0.31819999999999998"/>
    <n v="0.87"/>
    <n v="0"/>
    <s v="Calm"/>
    <n v="0"/>
    <n v="4"/>
    <n v="4"/>
    <n v="71.083333333333329"/>
    <n v="65.268619976395911"/>
    <n v="-1.0278037647738485"/>
    <b v="0"/>
  </r>
  <r>
    <n v="856"/>
    <d v="2011-02-08T00:00:00"/>
    <n v="1"/>
    <n v="0"/>
    <x v="1"/>
    <x v="2"/>
    <b v="0"/>
    <x v="3"/>
    <x v="3"/>
    <x v="1"/>
    <s v="Night"/>
    <n v="2"/>
    <x v="1"/>
    <n v="0.26"/>
    <s v="Mild"/>
    <n v="0.2727"/>
    <n v="0.93"/>
    <n v="0.1045"/>
    <s v="Calm"/>
    <n v="1"/>
    <n v="1"/>
    <n v="2"/>
    <n v="71.041666666666671"/>
    <n v="65.314276464988325"/>
    <n v="-1.0570685369786865"/>
    <b v="0"/>
  </r>
  <r>
    <n v="857"/>
    <d v="2011-02-08T00:00:00"/>
    <n v="1"/>
    <n v="0"/>
    <x v="1"/>
    <x v="3"/>
    <b v="0"/>
    <x v="3"/>
    <x v="3"/>
    <x v="1"/>
    <s v="Night"/>
    <n v="3"/>
    <x v="2"/>
    <n v="0.28000000000000003"/>
    <s v="Mild"/>
    <n v="0.2727"/>
    <n v="0.93"/>
    <n v="0.16420000000000001"/>
    <s v="Light Breeze"/>
    <n v="0"/>
    <n v="1"/>
    <n v="1"/>
    <n v="71.041666666666671"/>
    <n v="65.314276464988325"/>
    <n v="-1.0723791253235802"/>
    <b v="0"/>
  </r>
  <r>
    <n v="858"/>
    <d v="2011-02-08T00:00:00"/>
    <n v="1"/>
    <n v="0"/>
    <x v="1"/>
    <x v="4"/>
    <b v="0"/>
    <x v="3"/>
    <x v="3"/>
    <x v="1"/>
    <s v="Night"/>
    <n v="1"/>
    <x v="0"/>
    <n v="0.26"/>
    <s v="Mild"/>
    <n v="0.2576"/>
    <n v="0.93"/>
    <n v="0.16420000000000001"/>
    <s v="Light Breeze"/>
    <n v="0"/>
    <n v="3"/>
    <n v="3"/>
    <n v="71.083333333333329"/>
    <n v="65.268619976395911"/>
    <n v="-1.0431250631307256"/>
    <b v="0"/>
  </r>
  <r>
    <n v="859"/>
    <d v="2011-02-08T00:00:00"/>
    <n v="1"/>
    <n v="0"/>
    <x v="1"/>
    <x v="5"/>
    <b v="0"/>
    <x v="3"/>
    <x v="3"/>
    <x v="1"/>
    <s v="Night"/>
    <n v="1"/>
    <x v="0"/>
    <n v="0.26"/>
    <s v="Mild"/>
    <n v="0.2273"/>
    <n v="0.81"/>
    <n v="0.32840000000000003"/>
    <s v="Gale"/>
    <n v="0"/>
    <n v="2"/>
    <n v="2"/>
    <n v="70.75"/>
    <n v="65.613658440244308"/>
    <n v="-1.0478001323857291"/>
    <b v="0"/>
  </r>
  <r>
    <n v="860"/>
    <d v="2011-02-08T00:00:00"/>
    <n v="1"/>
    <n v="0"/>
    <x v="1"/>
    <x v="6"/>
    <b v="0"/>
    <x v="3"/>
    <x v="3"/>
    <x v="1"/>
    <s v="Morning"/>
    <n v="1"/>
    <x v="0"/>
    <n v="0.26"/>
    <s v="Mild"/>
    <n v="0.2273"/>
    <n v="0.7"/>
    <n v="0.32840000000000003"/>
    <s v="Gale"/>
    <n v="0"/>
    <n v="39"/>
    <n v="39"/>
    <n v="71.125"/>
    <n v="65.395992763817091"/>
    <n v="-0.4912380505640771"/>
    <b v="0"/>
  </r>
  <r>
    <n v="861"/>
    <d v="2011-02-08T00:00:00"/>
    <n v="1"/>
    <n v="0"/>
    <x v="1"/>
    <x v="7"/>
    <b v="0"/>
    <x v="3"/>
    <x v="3"/>
    <x v="1"/>
    <s v="Morning"/>
    <n v="1"/>
    <x v="0"/>
    <n v="0.24"/>
    <s v="Mild"/>
    <n v="0.19700000000000001"/>
    <n v="0.65"/>
    <n v="0.41789999999999999"/>
    <s v="Gale"/>
    <n v="3"/>
    <n v="97"/>
    <n v="100"/>
    <n v="71.333333333333329"/>
    <n v="65.483264816397877"/>
    <n v="0.43777088309573958"/>
    <b v="0"/>
  </r>
  <r>
    <n v="862"/>
    <d v="2011-02-08T00:00:00"/>
    <n v="1"/>
    <n v="0"/>
    <x v="1"/>
    <x v="8"/>
    <b v="0"/>
    <x v="3"/>
    <x v="3"/>
    <x v="1"/>
    <s v="Morning"/>
    <n v="1"/>
    <x v="0"/>
    <n v="0.24"/>
    <s v="Mild"/>
    <n v="0.19700000000000001"/>
    <n v="0.56000000000000005"/>
    <n v="0.49249999999999999"/>
    <s v="Gale"/>
    <n v="7"/>
    <n v="236"/>
    <n v="243"/>
    <n v="71.875"/>
    <n v="66.891419154640005"/>
    <n v="2.5582504028564883"/>
    <b v="0"/>
  </r>
  <r>
    <n v="863"/>
    <d v="2011-02-08T00:00:00"/>
    <n v="1"/>
    <n v="0"/>
    <x v="1"/>
    <x v="9"/>
    <b v="0"/>
    <x v="3"/>
    <x v="3"/>
    <x v="1"/>
    <s v="Morning"/>
    <n v="1"/>
    <x v="0"/>
    <n v="0.24"/>
    <s v="Mild"/>
    <n v="0.19700000000000001"/>
    <n v="0.52"/>
    <n v="0.49249999999999999"/>
    <s v="Gale"/>
    <n v="7"/>
    <n v="128"/>
    <n v="135"/>
    <n v="72.583333333333329"/>
    <n v="67.488431644224036"/>
    <n v="0.92484986161340987"/>
    <b v="0"/>
  </r>
  <r>
    <n v="864"/>
    <d v="2011-02-08T00:00:00"/>
    <n v="1"/>
    <n v="0"/>
    <x v="1"/>
    <x v="10"/>
    <b v="0"/>
    <x v="3"/>
    <x v="3"/>
    <x v="1"/>
    <s v="Morning"/>
    <n v="1"/>
    <x v="0"/>
    <n v="0.22"/>
    <s v="Mild"/>
    <n v="0.18179999999999999"/>
    <n v="0.47"/>
    <n v="0.55220000000000002"/>
    <s v="Gale"/>
    <n v="4"/>
    <n v="44"/>
    <n v="48"/>
    <n v="72.291666666666671"/>
    <n v="67.582786055433473"/>
    <n v="-0.35943570966047333"/>
    <b v="0"/>
  </r>
  <r>
    <n v="865"/>
    <d v="2011-02-08T00:00:00"/>
    <n v="1"/>
    <n v="0"/>
    <x v="1"/>
    <x v="11"/>
    <b v="0"/>
    <x v="3"/>
    <x v="3"/>
    <x v="1"/>
    <s v="Morning"/>
    <n v="1"/>
    <x v="0"/>
    <n v="0.22"/>
    <s v="Mild"/>
    <n v="0.18179999999999999"/>
    <n v="0.47"/>
    <n v="0.4627"/>
    <s v="Gale"/>
    <n v="1"/>
    <n v="49"/>
    <n v="50"/>
    <n v="72.416666666666671"/>
    <n v="67.536731820006921"/>
    <n v="-0.33191814383926127"/>
    <b v="0"/>
  </r>
  <r>
    <n v="866"/>
    <d v="2011-02-08T00:00:00"/>
    <n v="1"/>
    <n v="0"/>
    <x v="1"/>
    <x v="12"/>
    <b v="0"/>
    <x v="3"/>
    <x v="3"/>
    <x v="1"/>
    <s v="Midday"/>
    <n v="1"/>
    <x v="0"/>
    <n v="0.24"/>
    <s v="Mild"/>
    <n v="0.19700000000000001"/>
    <n v="0.38"/>
    <n v="0.49249999999999999"/>
    <s v="Gale"/>
    <n v="2"/>
    <n v="63"/>
    <n v="65"/>
    <n v="72.375"/>
    <n v="67.541171018932559"/>
    <n v="-0.10919265817782021"/>
    <b v="0"/>
  </r>
  <r>
    <n v="867"/>
    <d v="2011-02-08T00:00:00"/>
    <n v="1"/>
    <n v="0"/>
    <x v="1"/>
    <x v="13"/>
    <b v="0"/>
    <x v="3"/>
    <x v="3"/>
    <x v="1"/>
    <s v="Midday"/>
    <n v="2"/>
    <x v="1"/>
    <n v="0.24"/>
    <s v="Mild"/>
    <n v="0.19700000000000001"/>
    <n v="0.32"/>
    <n v="0.44779999999999998"/>
    <s v="Gale"/>
    <n v="2"/>
    <n v="48"/>
    <n v="50"/>
    <n v="71.791666666666671"/>
    <n v="67.676968766702871"/>
    <n v="-0.32199531190274278"/>
    <b v="0"/>
  </r>
  <r>
    <n v="868"/>
    <d v="2011-02-08T00:00:00"/>
    <n v="1"/>
    <n v="0"/>
    <x v="1"/>
    <x v="14"/>
    <b v="0"/>
    <x v="3"/>
    <x v="3"/>
    <x v="1"/>
    <s v="Midday"/>
    <n v="1"/>
    <x v="0"/>
    <n v="0.22"/>
    <s v="Mild"/>
    <n v="0.19700000000000001"/>
    <n v="0.37"/>
    <n v="0.41789999999999999"/>
    <s v="Gale"/>
    <n v="3"/>
    <n v="61"/>
    <n v="64"/>
    <n v="71.958333333333329"/>
    <n v="67.651587703767746"/>
    <n v="-0.1176370518927245"/>
    <b v="0"/>
  </r>
  <r>
    <n v="869"/>
    <d v="2011-02-08T00:00:00"/>
    <n v="1"/>
    <n v="0"/>
    <x v="1"/>
    <x v="15"/>
    <b v="0"/>
    <x v="3"/>
    <x v="3"/>
    <x v="1"/>
    <s v="Midday"/>
    <n v="1"/>
    <x v="0"/>
    <n v="0.22"/>
    <s v="Mild"/>
    <n v="0.19700000000000001"/>
    <n v="0.35"/>
    <n v="0.3881"/>
    <s v="Gale"/>
    <n v="6"/>
    <n v="45"/>
    <n v="51"/>
    <n v="72"/>
    <n v="67.637782083813121"/>
    <n v="-0.31047735973923457"/>
    <b v="0"/>
  </r>
  <r>
    <n v="870"/>
    <d v="2011-02-08T00:00:00"/>
    <n v="1"/>
    <n v="0"/>
    <x v="1"/>
    <x v="16"/>
    <b v="0"/>
    <x v="3"/>
    <x v="3"/>
    <x v="1"/>
    <s v="Midday"/>
    <n v="1"/>
    <x v="0"/>
    <n v="0.22"/>
    <s v="Mild"/>
    <n v="0.18179999999999999"/>
    <n v="0.35"/>
    <n v="0.52239999999999998"/>
    <s v="Gale"/>
    <n v="4"/>
    <n v="79"/>
    <n v="83"/>
    <n v="70.708333333333329"/>
    <n v="67.094663279427152"/>
    <n v="0.18319887254632955"/>
    <b v="0"/>
  </r>
  <r>
    <n v="871"/>
    <d v="2011-02-08T00:00:00"/>
    <n v="1"/>
    <n v="0"/>
    <x v="1"/>
    <x v="17"/>
    <b v="0"/>
    <x v="3"/>
    <x v="3"/>
    <x v="1"/>
    <s v="Evening"/>
    <n v="1"/>
    <x v="0"/>
    <n v="0.22"/>
    <s v="Mild"/>
    <n v="0.18179999999999999"/>
    <n v="0.32"/>
    <n v="0.58209999999999995"/>
    <s v="Gale"/>
    <n v="4"/>
    <n v="172"/>
    <n v="176"/>
    <n v="69.041666666666671"/>
    <n v="63.741651911491886"/>
    <n v="1.6779975122365784"/>
    <b v="0"/>
  </r>
  <r>
    <n v="872"/>
    <d v="2011-02-08T00:00:00"/>
    <n v="1"/>
    <n v="0"/>
    <x v="1"/>
    <x v="18"/>
    <b v="0"/>
    <x v="3"/>
    <x v="3"/>
    <x v="1"/>
    <s v="Evening"/>
    <n v="1"/>
    <x v="0"/>
    <n v="0.2"/>
    <s v="Mild"/>
    <n v="0.18179999999999999"/>
    <n v="0.32"/>
    <n v="0.3881"/>
    <s v="Gale"/>
    <n v="1"/>
    <n v="151"/>
    <n v="152"/>
    <n v="68.083333333333329"/>
    <n v="62.234421250669612"/>
    <n v="1.3483963533406165"/>
    <b v="0"/>
  </r>
  <r>
    <n v="873"/>
    <d v="2011-02-08T00:00:00"/>
    <n v="1"/>
    <n v="0"/>
    <x v="1"/>
    <x v="19"/>
    <b v="0"/>
    <x v="3"/>
    <x v="3"/>
    <x v="1"/>
    <s v="Evening"/>
    <n v="1"/>
    <x v="0"/>
    <n v="0.16"/>
    <s v="Cold"/>
    <n v="0.1212"/>
    <n v="0.4"/>
    <n v="0.4627"/>
    <s v="Gale"/>
    <n v="1"/>
    <n v="100"/>
    <n v="101"/>
    <n v="66.958333333333329"/>
    <n v="61.341863970393973"/>
    <n v="0.55494998787608629"/>
    <b v="0"/>
  </r>
  <r>
    <n v="874"/>
    <d v="2011-02-08T00:00:00"/>
    <n v="1"/>
    <n v="0"/>
    <x v="1"/>
    <x v="20"/>
    <b v="0"/>
    <x v="3"/>
    <x v="3"/>
    <x v="1"/>
    <s v="Evening"/>
    <n v="1"/>
    <x v="0"/>
    <n v="0.16"/>
    <s v="Cold"/>
    <n v="0.13639999999999999"/>
    <n v="0.4"/>
    <n v="0.32840000000000003"/>
    <s v="Gale"/>
    <n v="3"/>
    <n v="53"/>
    <n v="56"/>
    <n v="65.625"/>
    <n v="61.212255450941392"/>
    <n v="-0.15723975418148026"/>
    <b v="0"/>
  </r>
  <r>
    <n v="875"/>
    <d v="2011-02-08T00:00:00"/>
    <n v="1"/>
    <n v="0"/>
    <x v="1"/>
    <x v="21"/>
    <b v="0"/>
    <x v="3"/>
    <x v="3"/>
    <x v="1"/>
    <s v="Night"/>
    <n v="1"/>
    <x v="0"/>
    <n v="0.14000000000000001"/>
    <s v="Cold"/>
    <n v="0.1061"/>
    <n v="0.33"/>
    <n v="0.4627"/>
    <s v="Gale"/>
    <n v="8"/>
    <n v="46"/>
    <n v="54"/>
    <n v="64.625"/>
    <n v="61.197337609039678"/>
    <n v="-0.17361866406473447"/>
    <b v="0"/>
  </r>
  <r>
    <n v="876"/>
    <d v="2011-02-08T00:00:00"/>
    <n v="1"/>
    <n v="0"/>
    <x v="1"/>
    <x v="22"/>
    <b v="0"/>
    <x v="3"/>
    <x v="3"/>
    <x v="1"/>
    <s v="Night"/>
    <n v="1"/>
    <x v="0"/>
    <n v="0.12"/>
    <s v="Cold"/>
    <n v="0.1061"/>
    <n v="0.33"/>
    <n v="0.35820000000000002"/>
    <s v="Gale"/>
    <n v="0"/>
    <n v="29"/>
    <n v="29"/>
    <n v="64.291666666666671"/>
    <n v="61.37587627403618"/>
    <n v="-0.5750087625485536"/>
    <b v="0"/>
  </r>
  <r>
    <n v="877"/>
    <d v="2011-02-08T00:00:00"/>
    <n v="1"/>
    <n v="0"/>
    <x v="1"/>
    <x v="23"/>
    <b v="0"/>
    <x v="3"/>
    <x v="3"/>
    <x v="1"/>
    <s v="Night"/>
    <n v="1"/>
    <x v="0"/>
    <n v="0.12"/>
    <s v="Cold"/>
    <n v="0.1061"/>
    <n v="0.33"/>
    <n v="0.32840000000000003"/>
    <s v="Gale"/>
    <n v="3"/>
    <n v="9"/>
    <n v="12"/>
    <n v="63.75"/>
    <n v="61.793660853999661"/>
    <n v="-0.83746454385135249"/>
    <b v="0"/>
  </r>
  <r>
    <n v="878"/>
    <d v="2011-02-09T00:00:00"/>
    <n v="1"/>
    <n v="0"/>
    <x v="1"/>
    <x v="0"/>
    <b v="0"/>
    <x v="4"/>
    <x v="4"/>
    <x v="1"/>
    <s v="Night"/>
    <n v="1"/>
    <x v="0"/>
    <n v="0.1"/>
    <s v="Cold"/>
    <n v="7.5800000000000006E-2"/>
    <n v="0.36"/>
    <n v="0.35820000000000002"/>
    <s v="Gale"/>
    <n v="0"/>
    <n v="17"/>
    <n v="17"/>
    <n v="64.041666666666671"/>
    <n v="61.544949403679333"/>
    <n v="-0.76434649995592308"/>
    <b v="0"/>
  </r>
  <r>
    <n v="879"/>
    <d v="2011-02-09T00:00:00"/>
    <n v="1"/>
    <n v="0"/>
    <x v="1"/>
    <x v="1"/>
    <b v="0"/>
    <x v="4"/>
    <x v="4"/>
    <x v="1"/>
    <s v="Night"/>
    <n v="1"/>
    <x v="0"/>
    <n v="0.1"/>
    <s v="Cold"/>
    <n v="0.1061"/>
    <n v="0.36"/>
    <n v="0.22389999999999999"/>
    <s v="Light Breeze"/>
    <n v="0"/>
    <n v="7"/>
    <n v="7"/>
    <n v="64.166666666666671"/>
    <n v="61.420621566564989"/>
    <n v="-0.93074060809873005"/>
    <b v="0"/>
  </r>
  <r>
    <n v="880"/>
    <d v="2011-02-09T00:00:00"/>
    <n v="1"/>
    <n v="0"/>
    <x v="1"/>
    <x v="2"/>
    <b v="0"/>
    <x v="4"/>
    <x v="4"/>
    <x v="1"/>
    <s v="Night"/>
    <n v="1"/>
    <x v="0"/>
    <n v="0.08"/>
    <s v="Cold"/>
    <n v="7.5800000000000006E-2"/>
    <n v="0.38"/>
    <n v="0.28360000000000002"/>
    <s v="Light Breeze"/>
    <n v="1"/>
    <n v="2"/>
    <n v="3"/>
    <n v="64.208333333333329"/>
    <n v="61.37693885482075"/>
    <n v="-0.99725294997382918"/>
    <b v="0"/>
  </r>
  <r>
    <n v="881"/>
    <d v="2011-02-09T00:00:00"/>
    <n v="1"/>
    <n v="0"/>
    <x v="1"/>
    <x v="3"/>
    <b v="0"/>
    <x v="4"/>
    <x v="4"/>
    <x v="1"/>
    <s v="Night"/>
    <n v="1"/>
    <x v="0"/>
    <n v="0.06"/>
    <s v="Cold"/>
    <n v="7.5800000000000006E-2"/>
    <n v="0.45"/>
    <n v="0.1343"/>
    <s v="Light Breeze"/>
    <n v="0"/>
    <n v="2"/>
    <n v="2"/>
    <n v="64.25"/>
    <n v="61.332486604111189"/>
    <n v="-1.0149596640653293"/>
    <b v="0"/>
  </r>
  <r>
    <n v="882"/>
    <d v="2011-02-09T00:00:00"/>
    <n v="1"/>
    <n v="0"/>
    <x v="1"/>
    <x v="5"/>
    <b v="0"/>
    <x v="4"/>
    <x v="4"/>
    <x v="1"/>
    <s v="Night"/>
    <n v="1"/>
    <x v="0"/>
    <n v="0.06"/>
    <s v="Cold"/>
    <n v="0.1061"/>
    <n v="0.45"/>
    <n v="0.1045"/>
    <s v="Calm"/>
    <n v="0"/>
    <n v="7"/>
    <n v="7"/>
    <n v="64.416666666666671"/>
    <n v="61.164010920508289"/>
    <n v="-0.93873285617727309"/>
    <b v="0"/>
  </r>
  <r>
    <n v="883"/>
    <d v="2011-02-09T00:00:00"/>
    <n v="1"/>
    <n v="0"/>
    <x v="1"/>
    <x v="6"/>
    <b v="0"/>
    <x v="4"/>
    <x v="4"/>
    <x v="1"/>
    <s v="Morning"/>
    <n v="1"/>
    <x v="0"/>
    <n v="0.06"/>
    <s v="Cold"/>
    <n v="0.1515"/>
    <n v="0.45"/>
    <n v="0"/>
    <s v="Calm"/>
    <n v="0"/>
    <n v="43"/>
    <n v="43"/>
    <n v="66.125"/>
    <n v="59.904498270526219"/>
    <n v="-0.38603111064495466"/>
    <b v="0"/>
  </r>
  <r>
    <n v="884"/>
    <d v="2011-02-09T00:00:00"/>
    <n v="1"/>
    <n v="0"/>
    <x v="1"/>
    <x v="7"/>
    <b v="0"/>
    <x v="4"/>
    <x v="4"/>
    <x v="1"/>
    <s v="Morning"/>
    <n v="1"/>
    <x v="0"/>
    <n v="0.06"/>
    <s v="Cold"/>
    <n v="0.1061"/>
    <n v="0.49"/>
    <n v="0.1045"/>
    <s v="Calm"/>
    <n v="4"/>
    <n v="95"/>
    <n v="99"/>
    <n v="68.625"/>
    <n v="59.975221332755773"/>
    <n v="0.50645915638181294"/>
    <b v="0"/>
  </r>
  <r>
    <n v="885"/>
    <d v="2011-02-09T00:00:00"/>
    <n v="1"/>
    <n v="0"/>
    <x v="1"/>
    <x v="8"/>
    <b v="0"/>
    <x v="4"/>
    <x v="4"/>
    <x v="1"/>
    <s v="Morning"/>
    <n v="1"/>
    <x v="0"/>
    <n v="0.1"/>
    <s v="Cold"/>
    <n v="0.13639999999999999"/>
    <n v="0.42"/>
    <n v="0"/>
    <s v="Calm"/>
    <n v="1"/>
    <n v="198"/>
    <n v="199"/>
    <n v="72.75"/>
    <n v="65.387307636880109"/>
    <n v="1.9308028509311459"/>
    <b v="0"/>
  </r>
  <r>
    <n v="886"/>
    <d v="2011-02-09T00:00:00"/>
    <n v="1"/>
    <n v="0"/>
    <x v="1"/>
    <x v="9"/>
    <b v="0"/>
    <x v="4"/>
    <x v="4"/>
    <x v="1"/>
    <s v="Morning"/>
    <n v="1"/>
    <x v="0"/>
    <n v="0.12"/>
    <s v="Cold"/>
    <n v="0.13639999999999999"/>
    <n v="0.39"/>
    <n v="0.16420000000000001"/>
    <s v="Light Breeze"/>
    <n v="4"/>
    <n v="119"/>
    <n v="123"/>
    <n v="67.75"/>
    <n v="55.66846738387509"/>
    <n v="0.99248286501244143"/>
    <b v="0"/>
  </r>
  <r>
    <n v="887"/>
    <d v="2011-02-09T00:00:00"/>
    <n v="1"/>
    <n v="0"/>
    <x v="1"/>
    <x v="10"/>
    <b v="0"/>
    <x v="4"/>
    <x v="4"/>
    <x v="1"/>
    <s v="Morning"/>
    <n v="1"/>
    <x v="0"/>
    <n v="0.14000000000000001"/>
    <s v="Cold"/>
    <n v="0.18179999999999999"/>
    <n v="0.36"/>
    <n v="0"/>
    <s v="Calm"/>
    <n v="8"/>
    <n v="51"/>
    <n v="59"/>
    <n v="64.583333333333329"/>
    <n v="53.807157004691632"/>
    <n v="-0.10376562606432632"/>
    <b v="0"/>
  </r>
  <r>
    <n v="888"/>
    <d v="2011-02-09T00:00:00"/>
    <n v="1"/>
    <n v="0"/>
    <x v="1"/>
    <x v="11"/>
    <b v="0"/>
    <x v="4"/>
    <x v="4"/>
    <x v="1"/>
    <s v="Morning"/>
    <n v="2"/>
    <x v="1"/>
    <n v="0.14000000000000001"/>
    <s v="Cold"/>
    <n v="0.1515"/>
    <n v="0.43"/>
    <n v="0.16420000000000001"/>
    <s v="Light Breeze"/>
    <n v="1"/>
    <n v="40"/>
    <n v="41"/>
    <n v="64.291666666666671"/>
    <n v="53.91981096492043"/>
    <n v="-0.431968626184909"/>
    <b v="0"/>
  </r>
  <r>
    <n v="889"/>
    <d v="2011-02-09T00:00:00"/>
    <n v="1"/>
    <n v="0"/>
    <x v="1"/>
    <x v="12"/>
    <b v="0"/>
    <x v="4"/>
    <x v="4"/>
    <x v="1"/>
    <s v="Midday"/>
    <n v="2"/>
    <x v="1"/>
    <n v="0.18"/>
    <s v="Cold"/>
    <n v="0.18179999999999999"/>
    <n v="0.4"/>
    <n v="0.22389999999999999"/>
    <s v="Light Breeze"/>
    <n v="4"/>
    <n v="57"/>
    <n v="61"/>
    <n v="64.75"/>
    <n v="53.839738031535298"/>
    <n v="-6.9651156136820908E-2"/>
    <b v="0"/>
  </r>
  <r>
    <n v="890"/>
    <d v="2011-02-09T00:00:00"/>
    <n v="1"/>
    <n v="0"/>
    <x v="1"/>
    <x v="13"/>
    <b v="0"/>
    <x v="4"/>
    <x v="4"/>
    <x v="1"/>
    <s v="Midday"/>
    <n v="1"/>
    <x v="0"/>
    <n v="0.18"/>
    <s v="Cold"/>
    <n v="0.16669999999999999"/>
    <n v="0.4"/>
    <n v="0.25369999999999998"/>
    <s v="Light Breeze"/>
    <n v="2"/>
    <n v="67"/>
    <n v="69"/>
    <n v="64.916666666666671"/>
    <n v="53.84673634021614"/>
    <n v="7.5832512996403048E-2"/>
    <b v="0"/>
  </r>
  <r>
    <n v="891"/>
    <d v="2011-02-09T00:00:00"/>
    <n v="1"/>
    <n v="0"/>
    <x v="1"/>
    <x v="14"/>
    <b v="0"/>
    <x v="4"/>
    <x v="4"/>
    <x v="1"/>
    <s v="Midday"/>
    <n v="1"/>
    <x v="0"/>
    <n v="0.2"/>
    <s v="Mild"/>
    <n v="0.18179999999999999"/>
    <n v="0.34"/>
    <n v="0.29849999999999999"/>
    <s v="Light Breeze"/>
    <n v="2"/>
    <n v="56"/>
    <n v="58"/>
    <n v="65.25"/>
    <n v="53.775095253892552"/>
    <n v="-0.13482077466845963"/>
    <b v="0"/>
  </r>
  <r>
    <n v="892"/>
    <d v="2011-02-09T00:00:00"/>
    <n v="1"/>
    <n v="0"/>
    <x v="1"/>
    <x v="15"/>
    <b v="0"/>
    <x v="4"/>
    <x v="4"/>
    <x v="1"/>
    <s v="Midday"/>
    <n v="2"/>
    <x v="1"/>
    <n v="0.2"/>
    <s v="Mild"/>
    <n v="0.18179999999999999"/>
    <n v="0.34"/>
    <n v="0.28360000000000002"/>
    <s v="Light Breeze"/>
    <n v="3"/>
    <n v="61"/>
    <n v="64"/>
    <n v="65.25"/>
    <n v="53.775095253892552"/>
    <n v="-2.3244961149734417E-2"/>
    <b v="0"/>
  </r>
  <r>
    <n v="893"/>
    <d v="2011-02-09T00:00:00"/>
    <n v="1"/>
    <n v="0"/>
    <x v="1"/>
    <x v="16"/>
    <b v="0"/>
    <x v="4"/>
    <x v="4"/>
    <x v="1"/>
    <s v="Midday"/>
    <n v="2"/>
    <x v="1"/>
    <n v="0.2"/>
    <s v="Mild"/>
    <n v="0.19700000000000001"/>
    <n v="0.37"/>
    <n v="0.25369999999999998"/>
    <s v="Light Breeze"/>
    <n v="7"/>
    <n v="72"/>
    <n v="79"/>
    <n v="66.416666666666671"/>
    <n v="53.756226467805298"/>
    <n v="0.23408141084585821"/>
    <b v="0"/>
  </r>
  <r>
    <n v="894"/>
    <d v="2011-02-09T00:00:00"/>
    <n v="1"/>
    <n v="0"/>
    <x v="1"/>
    <x v="17"/>
    <b v="0"/>
    <x v="4"/>
    <x v="4"/>
    <x v="1"/>
    <s v="Evening"/>
    <n v="2"/>
    <x v="1"/>
    <n v="0.2"/>
    <s v="Mild"/>
    <n v="0.19700000000000001"/>
    <n v="0.34"/>
    <n v="0.25369999999999998"/>
    <s v="Light Breeze"/>
    <n v="9"/>
    <n v="157"/>
    <n v="166"/>
    <n v="69.875"/>
    <n v="57.414823491165926"/>
    <n v="1.6742192025512397"/>
    <b v="0"/>
  </r>
  <r>
    <n v="895"/>
    <d v="2011-02-09T00:00:00"/>
    <n v="1"/>
    <n v="0"/>
    <x v="1"/>
    <x v="18"/>
    <b v="0"/>
    <x v="4"/>
    <x v="4"/>
    <x v="1"/>
    <s v="Evening"/>
    <n v="2"/>
    <x v="1"/>
    <n v="0.18"/>
    <s v="Cold"/>
    <n v="0.16669999999999999"/>
    <n v="0.47"/>
    <n v="0.29849999999999999"/>
    <s v="Light Breeze"/>
    <n v="2"/>
    <n v="168"/>
    <n v="170"/>
    <n v="69.625"/>
    <n v="56.943765166208919"/>
    <n v="1.7627039537519671"/>
    <b v="0"/>
  </r>
  <r>
    <n v="896"/>
    <d v="2011-02-09T00:00:00"/>
    <n v="1"/>
    <n v="0"/>
    <x v="1"/>
    <x v="19"/>
    <b v="0"/>
    <x v="4"/>
    <x v="4"/>
    <x v="1"/>
    <s v="Evening"/>
    <n v="3"/>
    <x v="2"/>
    <n v="0.14000000000000001"/>
    <s v="Cold"/>
    <n v="0.1212"/>
    <n v="0.86"/>
    <n v="0.25369999999999998"/>
    <s v="Light Breeze"/>
    <n v="1"/>
    <n v="87"/>
    <n v="88"/>
    <n v="66.958333333333329"/>
    <n v="54.35829536843773"/>
    <n v="0.3870920992655737"/>
    <b v="0"/>
  </r>
  <r>
    <n v="897"/>
    <d v="2011-02-09T00:00:00"/>
    <n v="1"/>
    <n v="0"/>
    <x v="1"/>
    <x v="20"/>
    <b v="0"/>
    <x v="4"/>
    <x v="4"/>
    <x v="1"/>
    <s v="Evening"/>
    <n v="3"/>
    <x v="2"/>
    <n v="0.14000000000000001"/>
    <s v="Cold"/>
    <n v="0.1515"/>
    <n v="0.86"/>
    <n v="0.16420000000000001"/>
    <s v="Light Breeze"/>
    <n v="0"/>
    <n v="84"/>
    <n v="84"/>
    <n v="66.25"/>
    <n v="54.005031971667876"/>
    <n v="0.32867307641465721"/>
    <b v="0"/>
  </r>
  <r>
    <n v="898"/>
    <d v="2011-02-09T00:00:00"/>
    <n v="1"/>
    <n v="0"/>
    <x v="1"/>
    <x v="21"/>
    <b v="0"/>
    <x v="4"/>
    <x v="4"/>
    <x v="1"/>
    <s v="Night"/>
    <n v="2"/>
    <x v="1"/>
    <n v="0.14000000000000001"/>
    <s v="Cold"/>
    <n v="0.1515"/>
    <n v="0.86"/>
    <n v="0.16420000000000001"/>
    <s v="Light Breeze"/>
    <n v="0"/>
    <n v="83"/>
    <n v="83"/>
    <n v="67.375"/>
    <n v="54.063418878846029"/>
    <n v="0.28901242881096739"/>
    <b v="0"/>
  </r>
  <r>
    <n v="899"/>
    <d v="2011-02-09T00:00:00"/>
    <n v="1"/>
    <n v="0"/>
    <x v="1"/>
    <x v="22"/>
    <b v="0"/>
    <x v="4"/>
    <x v="4"/>
    <x v="1"/>
    <s v="Night"/>
    <n v="3"/>
    <x v="2"/>
    <n v="0.16"/>
    <s v="Cold"/>
    <n v="0.16669999999999999"/>
    <n v="0.8"/>
    <n v="0.16420000000000001"/>
    <s v="Light Breeze"/>
    <n v="4"/>
    <n v="42"/>
    <n v="46"/>
    <n v="67.041666666666671"/>
    <n v="54.174018453150758"/>
    <n v="-0.38840882156200635"/>
    <b v="0"/>
  </r>
  <r>
    <n v="900"/>
    <d v="2011-02-09T00:00:00"/>
    <n v="1"/>
    <n v="0"/>
    <x v="1"/>
    <x v="23"/>
    <b v="0"/>
    <x v="4"/>
    <x v="4"/>
    <x v="1"/>
    <s v="Night"/>
    <n v="3"/>
    <x v="2"/>
    <n v="0.16"/>
    <s v="Cold"/>
    <n v="0.1515"/>
    <n v="0.8"/>
    <n v="0.19400000000000001"/>
    <s v="Light Breeze"/>
    <n v="0"/>
    <n v="37"/>
    <n v="37"/>
    <n v="67.375"/>
    <n v="53.9539356665762"/>
    <n v="-0.56298024647749545"/>
    <b v="0"/>
  </r>
  <r>
    <n v="901"/>
    <d v="2011-02-10T00:00:00"/>
    <n v="1"/>
    <n v="0"/>
    <x v="1"/>
    <x v="0"/>
    <b v="0"/>
    <x v="5"/>
    <x v="5"/>
    <x v="1"/>
    <s v="Night"/>
    <n v="3"/>
    <x v="2"/>
    <n v="0.14000000000000001"/>
    <s v="Cold"/>
    <n v="0.13639999999999999"/>
    <n v="0.86"/>
    <n v="0.19400000000000001"/>
    <s v="Light Breeze"/>
    <n v="0"/>
    <n v="16"/>
    <n v="16"/>
    <n v="67.541666666666671"/>
    <n v="53.78134407965733"/>
    <n v="-0.95835586760953018"/>
    <b v="0"/>
  </r>
  <r>
    <n v="902"/>
    <d v="2011-02-10T00:00:00"/>
    <n v="1"/>
    <n v="0"/>
    <x v="1"/>
    <x v="1"/>
    <b v="0"/>
    <x v="5"/>
    <x v="5"/>
    <x v="1"/>
    <s v="Night"/>
    <n v="3"/>
    <x v="2"/>
    <n v="0.14000000000000001"/>
    <s v="Cold"/>
    <n v="0.1515"/>
    <n v="0.8"/>
    <n v="0.1343"/>
    <s v="Light Breeze"/>
    <n v="0"/>
    <n v="7"/>
    <n v="7"/>
    <n v="67.125"/>
    <n v="54.226828351319597"/>
    <n v="-1.1087685160280423"/>
    <b v="0"/>
  </r>
  <r>
    <n v="903"/>
    <d v="2011-02-10T00:00:00"/>
    <n v="1"/>
    <n v="0"/>
    <x v="1"/>
    <x v="2"/>
    <b v="0"/>
    <x v="5"/>
    <x v="5"/>
    <x v="1"/>
    <s v="Night"/>
    <n v="3"/>
    <x v="2"/>
    <n v="0.14000000000000001"/>
    <s v="Cold"/>
    <n v="0.1515"/>
    <n v="0.8"/>
    <n v="0.1343"/>
    <s v="Light Breeze"/>
    <n v="0"/>
    <n v="3"/>
    <n v="3"/>
    <n v="66.958333333333329"/>
    <n v="54.42544095538782"/>
    <n v="-1.1751550784082678"/>
    <b v="0"/>
  </r>
  <r>
    <n v="904"/>
    <d v="2011-02-10T00:00:00"/>
    <n v="1"/>
    <n v="0"/>
    <x v="1"/>
    <x v="4"/>
    <b v="0"/>
    <x v="5"/>
    <x v="5"/>
    <x v="1"/>
    <s v="Night"/>
    <n v="2"/>
    <x v="1"/>
    <n v="0.14000000000000001"/>
    <s v="Cold"/>
    <n v="0.13639999999999999"/>
    <n v="0.59"/>
    <n v="0.22389999999999999"/>
    <s v="Light Breeze"/>
    <n v="0"/>
    <n v="1"/>
    <n v="1"/>
    <n v="66.875"/>
    <n v="54.529060859883415"/>
    <n v="-1.2080714202885474"/>
    <b v="0"/>
  </r>
  <r>
    <n v="905"/>
    <d v="2011-02-10T00:00:00"/>
    <n v="1"/>
    <n v="0"/>
    <x v="1"/>
    <x v="5"/>
    <b v="0"/>
    <x v="5"/>
    <x v="5"/>
    <x v="1"/>
    <s v="Night"/>
    <n v="2"/>
    <x v="1"/>
    <n v="0.12"/>
    <s v="Cold"/>
    <n v="0.1212"/>
    <n v="0.5"/>
    <n v="0.22389999999999999"/>
    <s v="Light Breeze"/>
    <n v="0"/>
    <n v="6"/>
    <n v="6"/>
    <n v="67.041666666666671"/>
    <n v="54.32789272129218"/>
    <n v="-1.123578766064365"/>
    <b v="0"/>
  </r>
  <r>
    <n v="906"/>
    <d v="2011-02-10T00:00:00"/>
    <n v="1"/>
    <n v="0"/>
    <x v="1"/>
    <x v="6"/>
    <b v="0"/>
    <x v="5"/>
    <x v="5"/>
    <x v="1"/>
    <s v="Morning"/>
    <n v="2"/>
    <x v="1"/>
    <n v="0.12"/>
    <s v="Cold"/>
    <n v="0.1212"/>
    <n v="0.54"/>
    <n v="0.28360000000000002"/>
    <s v="Light Breeze"/>
    <n v="0"/>
    <n v="26"/>
    <n v="26"/>
    <n v="67.833333333333329"/>
    <n v="53.547757365183649"/>
    <n v="-0.78123408694857965"/>
    <b v="0"/>
  </r>
  <r>
    <n v="907"/>
    <d v="2011-02-10T00:00:00"/>
    <n v="1"/>
    <n v="0"/>
    <x v="1"/>
    <x v="7"/>
    <b v="0"/>
    <x v="5"/>
    <x v="5"/>
    <x v="1"/>
    <s v="Morning"/>
    <n v="1"/>
    <x v="0"/>
    <n v="0.1"/>
    <s v="Cold"/>
    <n v="7.5800000000000006E-2"/>
    <n v="0.5"/>
    <n v="0.41789999999999999"/>
    <s v="Gale"/>
    <n v="0"/>
    <n v="99"/>
    <n v="99"/>
    <n v="70.166666666666671"/>
    <n v="53.638619009770956"/>
    <n v="0.53754801793239626"/>
    <b v="0"/>
  </r>
  <r>
    <n v="908"/>
    <d v="2011-02-10T00:00:00"/>
    <n v="1"/>
    <n v="0"/>
    <x v="1"/>
    <x v="8"/>
    <b v="0"/>
    <x v="5"/>
    <x v="5"/>
    <x v="1"/>
    <s v="Morning"/>
    <n v="1"/>
    <x v="0"/>
    <n v="0.1"/>
    <s v="Cold"/>
    <n v="7.5800000000000006E-2"/>
    <n v="0.49"/>
    <n v="0.32840000000000003"/>
    <s v="Gale"/>
    <n v="5"/>
    <n v="173"/>
    <n v="178"/>
    <n v="73.458333333333329"/>
    <n v="57.751325350247541"/>
    <n v="1.81020376645293"/>
    <b v="0"/>
  </r>
  <r>
    <n v="909"/>
    <d v="2011-02-10T00:00:00"/>
    <n v="1"/>
    <n v="0"/>
    <x v="1"/>
    <x v="9"/>
    <b v="0"/>
    <x v="5"/>
    <x v="5"/>
    <x v="1"/>
    <s v="Morning"/>
    <n v="1"/>
    <x v="0"/>
    <n v="0.12"/>
    <s v="Cold"/>
    <n v="0.1061"/>
    <n v="0.42"/>
    <n v="0.35820000000000002"/>
    <s v="Gale"/>
    <n v="1"/>
    <n v="121"/>
    <n v="122"/>
    <n v="70.25"/>
    <n v="52.360996104385549"/>
    <n v="0.9883310832519786"/>
    <b v="0"/>
  </r>
  <r>
    <n v="910"/>
    <d v="2011-02-10T00:00:00"/>
    <n v="1"/>
    <n v="0"/>
    <x v="1"/>
    <x v="10"/>
    <b v="0"/>
    <x v="5"/>
    <x v="5"/>
    <x v="1"/>
    <s v="Morning"/>
    <n v="1"/>
    <x v="0"/>
    <n v="0.12"/>
    <s v="Cold"/>
    <n v="0.1061"/>
    <n v="0.42"/>
    <n v="0.29849999999999999"/>
    <s v="Light Breeze"/>
    <n v="1"/>
    <n v="34"/>
    <n v="35"/>
    <n v="66.583333333333329"/>
    <n v="51.581861209121769"/>
    <n v="-0.61229534167619593"/>
    <b v="0"/>
  </r>
  <r>
    <n v="911"/>
    <d v="2011-02-10T00:00:00"/>
    <n v="1"/>
    <n v="0"/>
    <x v="1"/>
    <x v="11"/>
    <b v="0"/>
    <x v="5"/>
    <x v="5"/>
    <x v="1"/>
    <s v="Morning"/>
    <n v="1"/>
    <x v="0"/>
    <n v="0.14000000000000001"/>
    <s v="Cold"/>
    <n v="0.1212"/>
    <n v="0.39"/>
    <n v="0.35820000000000002"/>
    <s v="Gale"/>
    <n v="1"/>
    <n v="44"/>
    <n v="45"/>
    <n v="66"/>
    <n v="51.750236294356561"/>
    <n v="-0.40579524855792942"/>
    <b v="0"/>
  </r>
  <r>
    <n v="912"/>
    <d v="2011-02-10T00:00:00"/>
    <n v="1"/>
    <n v="0"/>
    <x v="1"/>
    <x v="12"/>
    <b v="0"/>
    <x v="5"/>
    <x v="5"/>
    <x v="1"/>
    <s v="Midday"/>
    <n v="1"/>
    <x v="0"/>
    <n v="0.16"/>
    <s v="Cold"/>
    <n v="0.13639999999999999"/>
    <n v="0.34"/>
    <n v="0.3881"/>
    <s v="Gale"/>
    <n v="4"/>
    <n v="65"/>
    <n v="69"/>
    <n v="67.166666666666671"/>
    <n v="51.477024564081155"/>
    <n v="3.5614594061300187E-2"/>
    <b v="0"/>
  </r>
  <r>
    <n v="913"/>
    <d v="2011-02-10T00:00:00"/>
    <n v="1"/>
    <n v="0"/>
    <x v="1"/>
    <x v="13"/>
    <b v="0"/>
    <x v="5"/>
    <x v="5"/>
    <x v="1"/>
    <s v="Midday"/>
    <n v="1"/>
    <x v="0"/>
    <n v="0.18"/>
    <s v="Cold"/>
    <n v="0.16669999999999999"/>
    <n v="0.28999999999999998"/>
    <n v="0.29849999999999999"/>
    <s v="Light Breeze"/>
    <n v="3"/>
    <n v="59"/>
    <n v="62"/>
    <n v="67.208333333333329"/>
    <n v="51.472220592797655"/>
    <n v="-0.1011872670996074"/>
    <b v="0"/>
  </r>
  <r>
    <n v="914"/>
    <d v="2011-02-10T00:00:00"/>
    <n v="1"/>
    <n v="0"/>
    <x v="1"/>
    <x v="14"/>
    <b v="0"/>
    <x v="5"/>
    <x v="5"/>
    <x v="1"/>
    <s v="Midday"/>
    <n v="1"/>
    <x v="0"/>
    <n v="0.2"/>
    <s v="Mild"/>
    <n v="0.18179999999999999"/>
    <n v="0.27"/>
    <n v="0.28360000000000002"/>
    <s v="Light Breeze"/>
    <n v="6"/>
    <n v="42"/>
    <n v="48"/>
    <n v="66.333333333333329"/>
    <n v="51.618724835307468"/>
    <n v="-0.35516827259539807"/>
    <b v="0"/>
  </r>
  <r>
    <n v="915"/>
    <d v="2011-02-10T00:00:00"/>
    <n v="1"/>
    <n v="0"/>
    <x v="1"/>
    <x v="15"/>
    <b v="0"/>
    <x v="5"/>
    <x v="5"/>
    <x v="1"/>
    <s v="Midday"/>
    <n v="1"/>
    <x v="0"/>
    <n v="0.2"/>
    <s v="Mild"/>
    <n v="0.19700000000000001"/>
    <n v="0.25"/>
    <n v="0.25369999999999998"/>
    <s v="Light Breeze"/>
    <n v="0"/>
    <n v="50"/>
    <n v="50"/>
    <n v="66"/>
    <n v="51.700643339702559"/>
    <n v="-0.30947390528336222"/>
    <b v="0"/>
  </r>
  <r>
    <n v="916"/>
    <d v="2011-02-10T00:00:00"/>
    <n v="1"/>
    <n v="0"/>
    <x v="1"/>
    <x v="16"/>
    <b v="0"/>
    <x v="5"/>
    <x v="5"/>
    <x v="1"/>
    <s v="Midday"/>
    <n v="1"/>
    <x v="0"/>
    <n v="0.2"/>
    <s v="Mild"/>
    <n v="0.18179999999999999"/>
    <n v="0.27"/>
    <n v="0.29849999999999999"/>
    <s v="Light Breeze"/>
    <n v="4"/>
    <n v="76"/>
    <n v="80"/>
    <n v="66.666666666666671"/>
    <n v="51.776834392517131"/>
    <n v="0.25751542151561668"/>
    <b v="0"/>
  </r>
  <r>
    <n v="917"/>
    <d v="2011-02-10T00:00:00"/>
    <n v="1"/>
    <n v="0"/>
    <x v="1"/>
    <x v="17"/>
    <b v="0"/>
    <x v="5"/>
    <x v="5"/>
    <x v="1"/>
    <s v="Evening"/>
    <n v="1"/>
    <x v="0"/>
    <n v="0.18"/>
    <s v="Cold"/>
    <n v="0.18179999999999999"/>
    <n v="0.26"/>
    <n v="0.19400000000000001"/>
    <s v="Light Breeze"/>
    <n v="6"/>
    <n v="159"/>
    <n v="165"/>
    <n v="70.25"/>
    <n v="55.508910369730572"/>
    <n v="1.706933163863146"/>
    <b v="0"/>
  </r>
  <r>
    <n v="918"/>
    <d v="2011-02-10T00:00:00"/>
    <n v="1"/>
    <n v="0"/>
    <x v="1"/>
    <x v="18"/>
    <b v="0"/>
    <x v="5"/>
    <x v="5"/>
    <x v="1"/>
    <s v="Evening"/>
    <n v="1"/>
    <x v="0"/>
    <n v="0.16"/>
    <s v="Cold"/>
    <n v="0.18179999999999999"/>
    <n v="0.28000000000000003"/>
    <n v="0.1343"/>
    <s v="Light Breeze"/>
    <n v="3"/>
    <n v="157"/>
    <n v="160"/>
    <n v="70"/>
    <n v="55.070705540202155"/>
    <n v="1.6342627013249198"/>
    <b v="0"/>
  </r>
  <r>
    <n v="919"/>
    <d v="2011-02-10T00:00:00"/>
    <n v="1"/>
    <n v="0"/>
    <x v="1"/>
    <x v="19"/>
    <b v="0"/>
    <x v="5"/>
    <x v="5"/>
    <x v="1"/>
    <s v="Evening"/>
    <n v="1"/>
    <x v="0"/>
    <n v="0.14000000000000001"/>
    <s v="Cold"/>
    <n v="0.16669999999999999"/>
    <n v="0.28000000000000003"/>
    <n v="0.1045"/>
    <s v="Calm"/>
    <n v="2"/>
    <n v="110"/>
    <n v="112"/>
    <n v="67.583333333333329"/>
    <n v="51.658508004735893"/>
    <n v="0.85981319209983165"/>
    <b v="0"/>
  </r>
  <r>
    <n v="920"/>
    <d v="2011-02-10T00:00:00"/>
    <n v="1"/>
    <n v="0"/>
    <x v="1"/>
    <x v="20"/>
    <b v="0"/>
    <x v="5"/>
    <x v="5"/>
    <x v="1"/>
    <s v="Evening"/>
    <n v="1"/>
    <x v="0"/>
    <n v="0.14000000000000001"/>
    <s v="Cold"/>
    <n v="0.18179999999999999"/>
    <n v="0.31"/>
    <n v="8.9599999999999999E-2"/>
    <s v="Calm"/>
    <n v="4"/>
    <n v="93"/>
    <n v="97"/>
    <n v="67.958333333333329"/>
    <n v="51.845488811900765"/>
    <n v="0.56015802593803232"/>
    <b v="0"/>
  </r>
  <r>
    <n v="921"/>
    <d v="2011-02-10T00:00:00"/>
    <n v="1"/>
    <n v="0"/>
    <x v="1"/>
    <x v="21"/>
    <b v="0"/>
    <x v="5"/>
    <x v="5"/>
    <x v="1"/>
    <s v="Night"/>
    <n v="1"/>
    <x v="0"/>
    <n v="0.14000000000000001"/>
    <s v="Cold"/>
    <n v="0.21210000000000001"/>
    <n v="0.39"/>
    <n v="0"/>
    <s v="Calm"/>
    <n v="2"/>
    <n v="70"/>
    <n v="72"/>
    <n v="67.458333333333329"/>
    <n v="51.741816548224747"/>
    <n v="8.7775555047119716E-2"/>
    <b v="0"/>
  </r>
  <r>
    <n v="922"/>
    <d v="2011-02-10T00:00:00"/>
    <n v="1"/>
    <n v="0"/>
    <x v="1"/>
    <x v="22"/>
    <b v="0"/>
    <x v="5"/>
    <x v="5"/>
    <x v="1"/>
    <s v="Night"/>
    <n v="1"/>
    <x v="0"/>
    <n v="0.12"/>
    <s v="Cold"/>
    <n v="0.19700000000000001"/>
    <n v="0.39"/>
    <n v="0"/>
    <s v="Calm"/>
    <n v="4"/>
    <n v="47"/>
    <n v="51"/>
    <n v="66.125"/>
    <n v="51.736214294874898"/>
    <n v="-0.29234841022177988"/>
    <b v="0"/>
  </r>
  <r>
    <n v="923"/>
    <d v="2011-02-10T00:00:00"/>
    <n v="1"/>
    <n v="0"/>
    <x v="1"/>
    <x v="23"/>
    <b v="0"/>
    <x v="5"/>
    <x v="5"/>
    <x v="1"/>
    <s v="Night"/>
    <n v="1"/>
    <x v="0"/>
    <n v="0.12"/>
    <s v="Cold"/>
    <n v="0.1515"/>
    <n v="0.42"/>
    <n v="0.1045"/>
    <s v="Calm"/>
    <n v="1"/>
    <n v="33"/>
    <n v="34"/>
    <n v="65.625"/>
    <n v="51.996498627938571"/>
    <n v="-0.60821403045410771"/>
    <b v="0"/>
  </r>
  <r>
    <n v="924"/>
    <d v="2011-02-11T00:00:00"/>
    <n v="1"/>
    <n v="0"/>
    <x v="1"/>
    <x v="0"/>
    <b v="0"/>
    <x v="6"/>
    <x v="6"/>
    <x v="1"/>
    <s v="Night"/>
    <n v="1"/>
    <x v="0"/>
    <n v="0.1"/>
    <s v="Cold"/>
    <n v="0.13639999999999999"/>
    <n v="0.49"/>
    <n v="0.1045"/>
    <s v="Calm"/>
    <n v="2"/>
    <n v="12"/>
    <n v="14"/>
    <n v="64.666666666666671"/>
    <n v="52.753459945598678"/>
    <n v="-0.96044253246926392"/>
    <b v="0"/>
  </r>
  <r>
    <n v="925"/>
    <d v="2011-02-11T00:00:00"/>
    <n v="1"/>
    <n v="0"/>
    <x v="1"/>
    <x v="1"/>
    <b v="0"/>
    <x v="6"/>
    <x v="6"/>
    <x v="1"/>
    <s v="Night"/>
    <n v="1"/>
    <x v="0"/>
    <n v="0.1"/>
    <s v="Cold"/>
    <n v="0.13639999999999999"/>
    <n v="0.54"/>
    <n v="8.9599999999999999E-2"/>
    <s v="Calm"/>
    <n v="1"/>
    <n v="6"/>
    <n v="7"/>
    <n v="64.291666666666671"/>
    <n v="53.144985584282765"/>
    <n v="-1.0780258200617567"/>
    <b v="0"/>
  </r>
  <r>
    <n v="926"/>
    <d v="2011-02-11T00:00:00"/>
    <n v="1"/>
    <n v="0"/>
    <x v="1"/>
    <x v="2"/>
    <b v="0"/>
    <x v="6"/>
    <x v="6"/>
    <x v="1"/>
    <s v="Night"/>
    <n v="1"/>
    <x v="0"/>
    <n v="0.1"/>
    <s v="Cold"/>
    <n v="0.13639999999999999"/>
    <n v="0.54"/>
    <n v="8.9599999999999999E-2"/>
    <s v="Calm"/>
    <n v="0"/>
    <n v="3"/>
    <n v="3"/>
    <n v="64.125"/>
    <n v="53.338388573823394"/>
    <n v="-1.145985126929725"/>
    <b v="0"/>
  </r>
  <r>
    <n v="927"/>
    <d v="2011-02-11T00:00:00"/>
    <n v="1"/>
    <n v="0"/>
    <x v="1"/>
    <x v="5"/>
    <b v="0"/>
    <x v="6"/>
    <x v="6"/>
    <x v="1"/>
    <s v="Night"/>
    <n v="1"/>
    <x v="0"/>
    <n v="0.08"/>
    <s v="Cold"/>
    <n v="0.1212"/>
    <n v="0.63"/>
    <n v="8.9599999999999999E-2"/>
    <s v="Calm"/>
    <n v="0"/>
    <n v="4"/>
    <n v="4"/>
    <n v="64.166666666666671"/>
    <n v="53.288930791746388"/>
    <n v="-1.1290650004181644"/>
    <b v="0"/>
  </r>
  <r>
    <n v="928"/>
    <d v="2011-02-11T00:00:00"/>
    <n v="1"/>
    <n v="0"/>
    <x v="1"/>
    <x v="6"/>
    <b v="0"/>
    <x v="6"/>
    <x v="6"/>
    <x v="1"/>
    <s v="Morning"/>
    <n v="1"/>
    <x v="0"/>
    <n v="0.1"/>
    <s v="Cold"/>
    <n v="0.18179999999999999"/>
    <n v="0.68"/>
    <n v="0"/>
    <s v="Calm"/>
    <n v="1"/>
    <n v="23"/>
    <n v="24"/>
    <n v="65.125"/>
    <n v="52.301228267229725"/>
    <n v="-0.78631040536704966"/>
    <b v="0"/>
  </r>
  <r>
    <n v="929"/>
    <d v="2011-02-11T00:00:00"/>
    <n v="1"/>
    <n v="0"/>
    <x v="1"/>
    <x v="7"/>
    <b v="0"/>
    <x v="6"/>
    <x v="6"/>
    <x v="1"/>
    <s v="Morning"/>
    <n v="1"/>
    <x v="0"/>
    <n v="0.08"/>
    <s v="Cold"/>
    <n v="0.16669999999999999"/>
    <n v="0.73"/>
    <n v="0"/>
    <s v="Calm"/>
    <n v="1"/>
    <n v="73"/>
    <n v="74"/>
    <n v="67.958333333333329"/>
    <n v="50.778700744262473"/>
    <n v="0.1189803318736808"/>
    <b v="0"/>
  </r>
  <r>
    <n v="930"/>
    <d v="2011-02-11T00:00:00"/>
    <n v="1"/>
    <n v="0"/>
    <x v="1"/>
    <x v="8"/>
    <b v="0"/>
    <x v="6"/>
    <x v="6"/>
    <x v="1"/>
    <s v="Morning"/>
    <n v="1"/>
    <x v="0"/>
    <n v="0.1"/>
    <s v="Cold"/>
    <n v="0.1212"/>
    <n v="0.74"/>
    <n v="0.16420000000000001"/>
    <s v="Light Breeze"/>
    <n v="4"/>
    <n v="212"/>
    <n v="216"/>
    <n v="75.875"/>
    <n v="58.2187124407683"/>
    <n v="2.4068721915236981"/>
    <b v="0"/>
  </r>
  <r>
    <n v="931"/>
    <d v="2011-02-11T00:00:00"/>
    <n v="1"/>
    <n v="0"/>
    <x v="1"/>
    <x v="9"/>
    <b v="0"/>
    <x v="6"/>
    <x v="6"/>
    <x v="1"/>
    <s v="Morning"/>
    <n v="1"/>
    <x v="0"/>
    <n v="0.12"/>
    <s v="Cold"/>
    <n v="0.1212"/>
    <n v="0.74"/>
    <n v="0.22389999999999999"/>
    <s v="Light Breeze"/>
    <n v="8"/>
    <n v="132"/>
    <n v="140"/>
    <n v="77.583333333333329"/>
    <n v="59.513912634790273"/>
    <n v="1.0487743773407956"/>
    <b v="0"/>
  </r>
  <r>
    <n v="932"/>
    <d v="2011-02-11T00:00:00"/>
    <n v="1"/>
    <n v="0"/>
    <x v="1"/>
    <x v="10"/>
    <b v="0"/>
    <x v="6"/>
    <x v="6"/>
    <x v="1"/>
    <s v="Morning"/>
    <n v="1"/>
    <x v="0"/>
    <n v="0.14000000000000001"/>
    <s v="Cold"/>
    <n v="0.13639999999999999"/>
    <n v="0.69"/>
    <n v="0.19400000000000001"/>
    <s v="Light Breeze"/>
    <n v="5"/>
    <n v="39"/>
    <n v="44"/>
    <n v="72"/>
    <n v="55.856960175075763"/>
    <n v="-0.50128041182760308"/>
    <b v="0"/>
  </r>
  <r>
    <n v="933"/>
    <d v="2011-02-11T00:00:00"/>
    <n v="1"/>
    <n v="0"/>
    <x v="1"/>
    <x v="11"/>
    <b v="0"/>
    <x v="6"/>
    <x v="6"/>
    <x v="1"/>
    <s v="Morning"/>
    <n v="1"/>
    <x v="0"/>
    <n v="0.22"/>
    <s v="Mild"/>
    <n v="0.2273"/>
    <n v="0.47"/>
    <n v="0.1343"/>
    <s v="Light Breeze"/>
    <n v="12"/>
    <n v="52"/>
    <n v="64"/>
    <n v="69.583333333333329"/>
    <n v="54.845170741125315"/>
    <n v="-0.10180173127160493"/>
    <b v="0"/>
  </r>
  <r>
    <n v="934"/>
    <d v="2011-02-11T00:00:00"/>
    <n v="1"/>
    <n v="0"/>
    <x v="1"/>
    <x v="12"/>
    <b v="0"/>
    <x v="6"/>
    <x v="6"/>
    <x v="1"/>
    <s v="Midday"/>
    <n v="1"/>
    <x v="0"/>
    <n v="0.22"/>
    <s v="Mild"/>
    <n v="0.2273"/>
    <n v="0.47"/>
    <n v="0.1343"/>
    <s v="Light Breeze"/>
    <n v="7"/>
    <n v="64"/>
    <n v="71"/>
    <n v="71.083333333333329"/>
    <n v="54.348246375186484"/>
    <n v="-1.5333214756930169E-3"/>
    <b v="0"/>
  </r>
  <r>
    <n v="935"/>
    <d v="2011-02-11T00:00:00"/>
    <n v="1"/>
    <n v="0"/>
    <x v="1"/>
    <x v="13"/>
    <b v="0"/>
    <x v="6"/>
    <x v="6"/>
    <x v="1"/>
    <s v="Midday"/>
    <n v="1"/>
    <x v="0"/>
    <n v="0.24"/>
    <s v="Mild"/>
    <n v="0.2273"/>
    <n v="0.35"/>
    <n v="0.19400000000000001"/>
    <s v="Light Breeze"/>
    <n v="21"/>
    <n v="89"/>
    <n v="110"/>
    <n v="73.791666666666671"/>
    <n v="54.610859858573491"/>
    <n v="0.66302441358921205"/>
    <b v="0"/>
  </r>
  <r>
    <n v="936"/>
    <d v="2011-02-11T00:00:00"/>
    <n v="1"/>
    <n v="0"/>
    <x v="1"/>
    <x v="14"/>
    <b v="0"/>
    <x v="6"/>
    <x v="6"/>
    <x v="1"/>
    <s v="Midday"/>
    <n v="1"/>
    <x v="0"/>
    <n v="0.3"/>
    <s v="Mild"/>
    <n v="0.28789999999999999"/>
    <n v="0.26"/>
    <n v="0.25369999999999998"/>
    <s v="Light Breeze"/>
    <n v="17"/>
    <n v="67"/>
    <n v="84"/>
    <n v="74.416666666666671"/>
    <n v="54.639463892801459"/>
    <n v="0.17539215524030602"/>
    <b v="0"/>
  </r>
  <r>
    <n v="937"/>
    <d v="2011-02-11T00:00:00"/>
    <n v="1"/>
    <n v="0"/>
    <x v="1"/>
    <x v="15"/>
    <b v="0"/>
    <x v="6"/>
    <x v="6"/>
    <x v="1"/>
    <s v="Midday"/>
    <n v="1"/>
    <x v="0"/>
    <n v="0.32"/>
    <s v="Mild"/>
    <n v="0.31819999999999998"/>
    <n v="0.21"/>
    <n v="0.16420000000000001"/>
    <s v="Light Breeze"/>
    <n v="12"/>
    <n v="62"/>
    <n v="74"/>
    <n v="74.916666666666671"/>
    <n v="54.575768366131349"/>
    <n v="-1.6796220998979774E-2"/>
    <b v="0"/>
  </r>
  <r>
    <n v="938"/>
    <d v="2011-02-11T00:00:00"/>
    <n v="1"/>
    <n v="0"/>
    <x v="1"/>
    <x v="16"/>
    <b v="0"/>
    <x v="6"/>
    <x v="6"/>
    <x v="1"/>
    <s v="Midday"/>
    <n v="1"/>
    <x v="0"/>
    <n v="0.3"/>
    <s v="Mild"/>
    <n v="0.28789999999999999"/>
    <n v="0.28000000000000003"/>
    <n v="0.19400000000000001"/>
    <s v="Light Breeze"/>
    <n v="14"/>
    <n v="111"/>
    <n v="125"/>
    <n v="78.125"/>
    <n v="55.18452248356536"/>
    <n v="0.84942295213227514"/>
    <b v="0"/>
  </r>
  <r>
    <n v="939"/>
    <d v="2011-02-11T00:00:00"/>
    <n v="1"/>
    <n v="0"/>
    <x v="1"/>
    <x v="17"/>
    <b v="0"/>
    <x v="6"/>
    <x v="6"/>
    <x v="1"/>
    <s v="Evening"/>
    <n v="1"/>
    <x v="0"/>
    <n v="0.3"/>
    <s v="Mild"/>
    <n v="0.33329999999999999"/>
    <n v="0.24"/>
    <n v="0"/>
    <s v="Calm"/>
    <n v="18"/>
    <n v="193"/>
    <n v="211"/>
    <n v="84.833333333333329"/>
    <n v="61.087013254912023"/>
    <n v="2.0653598849264672"/>
    <b v="0"/>
  </r>
  <r>
    <n v="940"/>
    <d v="2011-02-11T00:00:00"/>
    <n v="1"/>
    <n v="0"/>
    <x v="1"/>
    <x v="18"/>
    <b v="0"/>
    <x v="6"/>
    <x v="6"/>
    <x v="1"/>
    <s v="Evening"/>
    <n v="1"/>
    <x v="0"/>
    <n v="0.28000000000000003"/>
    <s v="Mild"/>
    <n v="0.31819999999999998"/>
    <n v="0.28000000000000003"/>
    <n v="0"/>
    <s v="Calm"/>
    <n v="9"/>
    <n v="165"/>
    <n v="174"/>
    <n v="88.75"/>
    <n v="63.720346897169762"/>
    <n v="1.3378772111453541"/>
    <b v="0"/>
  </r>
  <r>
    <n v="941"/>
    <d v="2011-02-11T00:00:00"/>
    <n v="1"/>
    <n v="0"/>
    <x v="1"/>
    <x v="19"/>
    <b v="0"/>
    <x v="6"/>
    <x v="6"/>
    <x v="1"/>
    <s v="Evening"/>
    <n v="1"/>
    <x v="0"/>
    <n v="0.26"/>
    <s v="Mild"/>
    <n v="0.30299999999999999"/>
    <n v="0.33"/>
    <n v="0"/>
    <s v="Calm"/>
    <n v="7"/>
    <n v="94"/>
    <n v="101"/>
    <n v="86.083333333333329"/>
    <n v="61.697661619184267"/>
    <n v="0.24177037306108348"/>
    <b v="0"/>
  </r>
  <r>
    <n v="942"/>
    <d v="2011-02-11T00:00:00"/>
    <n v="1"/>
    <n v="0"/>
    <x v="1"/>
    <x v="20"/>
    <b v="0"/>
    <x v="6"/>
    <x v="6"/>
    <x v="1"/>
    <s v="Evening"/>
    <n v="1"/>
    <x v="0"/>
    <n v="0.22"/>
    <s v="Mild"/>
    <n v="0.2273"/>
    <n v="0.55000000000000004"/>
    <n v="0.1343"/>
    <s v="Light Breeze"/>
    <n v="2"/>
    <n v="61"/>
    <n v="63"/>
    <n v="82.041666666666671"/>
    <n v="59.792742882805399"/>
    <n v="-0.31846116683405212"/>
    <b v="0"/>
  </r>
  <r>
    <n v="943"/>
    <d v="2011-02-11T00:00:00"/>
    <n v="1"/>
    <n v="0"/>
    <x v="1"/>
    <x v="21"/>
    <b v="0"/>
    <x v="6"/>
    <x v="6"/>
    <x v="1"/>
    <s v="Night"/>
    <n v="1"/>
    <x v="0"/>
    <n v="0.2"/>
    <s v="Mild"/>
    <n v="0.21210000000000001"/>
    <n v="0.59"/>
    <n v="0.1343"/>
    <s v="Light Breeze"/>
    <n v="1"/>
    <n v="46"/>
    <n v="47"/>
    <n v="79.333333333333329"/>
    <n v="59.848843413812226"/>
    <n v="-0.5402499278018007"/>
    <b v="0"/>
  </r>
  <r>
    <n v="944"/>
    <d v="2011-02-11T00:00:00"/>
    <n v="1"/>
    <n v="0"/>
    <x v="1"/>
    <x v="22"/>
    <b v="0"/>
    <x v="6"/>
    <x v="6"/>
    <x v="1"/>
    <s v="Night"/>
    <n v="1"/>
    <x v="0"/>
    <n v="0.2"/>
    <s v="Mild"/>
    <n v="0.2273"/>
    <n v="0.64"/>
    <n v="8.9599999999999999E-2"/>
    <s v="Calm"/>
    <n v="2"/>
    <n v="41"/>
    <n v="43"/>
    <n v="77.083333333333329"/>
    <n v="60.169988667373744"/>
    <n v="-0.56645071884174203"/>
    <b v="0"/>
  </r>
  <r>
    <n v="945"/>
    <d v="2011-02-11T00:00:00"/>
    <n v="1"/>
    <n v="0"/>
    <x v="1"/>
    <x v="23"/>
    <b v="0"/>
    <x v="6"/>
    <x v="6"/>
    <x v="1"/>
    <s v="Night"/>
    <n v="1"/>
    <x v="0"/>
    <n v="0.18"/>
    <s v="Cold"/>
    <n v="0.2424"/>
    <n v="0.69"/>
    <n v="0"/>
    <s v="Calm"/>
    <n v="5"/>
    <n v="48"/>
    <n v="53"/>
    <n v="76.291666666666671"/>
    <n v="60.364457701723694"/>
    <n v="-0.38585067361586822"/>
    <b v="0"/>
  </r>
  <r>
    <n v="946"/>
    <d v="2011-02-12T00:00:00"/>
    <n v="1"/>
    <n v="0"/>
    <x v="1"/>
    <x v="0"/>
    <b v="0"/>
    <x v="0"/>
    <x v="0"/>
    <x v="0"/>
    <s v="Night"/>
    <n v="1"/>
    <x v="0"/>
    <n v="0.16"/>
    <s v="Cold"/>
    <n v="0.19700000000000001"/>
    <n v="0.69"/>
    <n v="8.9599999999999999E-2"/>
    <s v="Calm"/>
    <n v="3"/>
    <n v="27"/>
    <n v="30"/>
    <n v="75.416666666666671"/>
    <n v="60.896859822423394"/>
    <n v="-0.74579652873896429"/>
    <b v="0"/>
  </r>
  <r>
    <n v="947"/>
    <d v="2011-02-12T00:00:00"/>
    <n v="1"/>
    <n v="0"/>
    <x v="1"/>
    <x v="1"/>
    <b v="0"/>
    <x v="0"/>
    <x v="0"/>
    <x v="0"/>
    <s v="Night"/>
    <n v="1"/>
    <x v="0"/>
    <n v="0.14000000000000001"/>
    <s v="Cold"/>
    <n v="0.21210000000000001"/>
    <n v="0.86"/>
    <n v="0"/>
    <s v="Calm"/>
    <n v="2"/>
    <n v="22"/>
    <n v="24"/>
    <n v="75"/>
    <n v="61.225882563276897"/>
    <n v="-0.83298105090263985"/>
    <b v="0"/>
  </r>
  <r>
    <n v="948"/>
    <d v="2011-02-12T00:00:00"/>
    <n v="1"/>
    <n v="0"/>
    <x v="1"/>
    <x v="2"/>
    <b v="0"/>
    <x v="0"/>
    <x v="0"/>
    <x v="0"/>
    <s v="Night"/>
    <n v="1"/>
    <x v="0"/>
    <n v="0.14000000000000001"/>
    <s v="Cold"/>
    <n v="0.21210000000000001"/>
    <n v="0.8"/>
    <n v="0"/>
    <s v="Calm"/>
    <n v="2"/>
    <n v="13"/>
    <n v="15"/>
    <n v="75.041666666666671"/>
    <n v="61.182889883469493"/>
    <n v="-0.98134734696291026"/>
    <b v="0"/>
  </r>
  <r>
    <n v="949"/>
    <d v="2011-02-12T00:00:00"/>
    <n v="1"/>
    <n v="0"/>
    <x v="1"/>
    <x v="3"/>
    <b v="0"/>
    <x v="0"/>
    <x v="0"/>
    <x v="0"/>
    <s v="Night"/>
    <n v="1"/>
    <x v="0"/>
    <n v="0.12"/>
    <s v="Cold"/>
    <n v="0.19700000000000001"/>
    <n v="0.8"/>
    <n v="0"/>
    <s v="Calm"/>
    <n v="3"/>
    <n v="7"/>
    <n v="10"/>
    <n v="75.166666666666671"/>
    <n v="61.040732421005188"/>
    <n v="-1.0675931313733988"/>
    <b v="0"/>
  </r>
  <r>
    <n v="950"/>
    <d v="2011-02-12T00:00:00"/>
    <n v="1"/>
    <n v="0"/>
    <x v="1"/>
    <x v="4"/>
    <b v="0"/>
    <x v="0"/>
    <x v="0"/>
    <x v="0"/>
    <s v="Night"/>
    <n v="1"/>
    <x v="0"/>
    <n v="0.12"/>
    <s v="Cold"/>
    <n v="0.16669999999999999"/>
    <n v="0.74"/>
    <n v="8.9599999999999999E-2"/>
    <s v="Calm"/>
    <n v="0"/>
    <n v="4"/>
    <n v="4"/>
    <n v="75.208333333333329"/>
    <n v="60.989649276254902"/>
    <n v="-1.1675478409589226"/>
    <b v="0"/>
  </r>
  <r>
    <n v="951"/>
    <d v="2011-02-12T00:00:00"/>
    <n v="1"/>
    <n v="0"/>
    <x v="1"/>
    <x v="5"/>
    <b v="0"/>
    <x v="0"/>
    <x v="0"/>
    <x v="0"/>
    <s v="Night"/>
    <n v="1"/>
    <x v="0"/>
    <n v="0.12"/>
    <s v="Cold"/>
    <n v="0.16669999999999999"/>
    <n v="0.74"/>
    <n v="8.9599999999999999E-2"/>
    <s v="Calm"/>
    <n v="0"/>
    <n v="1"/>
    <n v="1"/>
    <n v="75.083333333333329"/>
    <n v="61.144815036085454"/>
    <n v="-1.211604504643804"/>
    <b v="0"/>
  </r>
  <r>
    <n v="952"/>
    <d v="2011-02-12T00:00:00"/>
    <n v="1"/>
    <n v="0"/>
    <x v="1"/>
    <x v="6"/>
    <b v="0"/>
    <x v="0"/>
    <x v="0"/>
    <x v="0"/>
    <s v="Morning"/>
    <n v="1"/>
    <x v="0"/>
    <n v="0.12"/>
    <s v="Cold"/>
    <n v="0.13639999999999999"/>
    <n v="0.93"/>
    <n v="0.19400000000000001"/>
    <s v="Light Breeze"/>
    <n v="1"/>
    <n v="1"/>
    <n v="2"/>
    <n v="74.166666666666671"/>
    <n v="62.101366411254816"/>
    <n v="-1.1620785634370148"/>
    <b v="0"/>
  </r>
  <r>
    <n v="953"/>
    <d v="2011-02-12T00:00:00"/>
    <n v="1"/>
    <n v="0"/>
    <x v="1"/>
    <x v="7"/>
    <b v="0"/>
    <x v="0"/>
    <x v="0"/>
    <x v="0"/>
    <s v="Morning"/>
    <n v="1"/>
    <x v="0"/>
    <n v="0.12"/>
    <s v="Cold"/>
    <n v="0.1515"/>
    <n v="0.8"/>
    <n v="0.1045"/>
    <s v="Calm"/>
    <n v="2"/>
    <n v="9"/>
    <n v="11"/>
    <n v="71.541666666666671"/>
    <n v="63.426081020532777"/>
    <n v="-0.95452321336182921"/>
    <b v="0"/>
  </r>
  <r>
    <n v="954"/>
    <d v="2011-02-12T00:00:00"/>
    <n v="1"/>
    <n v="0"/>
    <x v="1"/>
    <x v="8"/>
    <b v="0"/>
    <x v="0"/>
    <x v="0"/>
    <x v="0"/>
    <s v="Morning"/>
    <n v="1"/>
    <x v="0"/>
    <n v="0.14000000000000001"/>
    <s v="Cold"/>
    <n v="0.1515"/>
    <n v="0.86"/>
    <n v="0.1343"/>
    <s v="Light Breeze"/>
    <n v="2"/>
    <n v="28"/>
    <n v="30"/>
    <n v="63.791666666666664"/>
    <n v="55.92773222547163"/>
    <n v="-0.604202339734359"/>
    <b v="0"/>
  </r>
  <r>
    <n v="955"/>
    <d v="2011-02-12T00:00:00"/>
    <n v="1"/>
    <n v="0"/>
    <x v="1"/>
    <x v="9"/>
    <b v="0"/>
    <x v="0"/>
    <x v="0"/>
    <x v="0"/>
    <s v="Morning"/>
    <n v="1"/>
    <x v="0"/>
    <n v="0.16"/>
    <s v="Cold"/>
    <n v="0.18179999999999999"/>
    <n v="0.64"/>
    <n v="0.1343"/>
    <s v="Light Breeze"/>
    <n v="5"/>
    <n v="38"/>
    <n v="43"/>
    <n v="59.75"/>
    <n v="53.639091844596358"/>
    <n v="-0.31227225189658775"/>
    <b v="0"/>
  </r>
  <r>
    <n v="956"/>
    <d v="2011-02-12T00:00:00"/>
    <n v="1"/>
    <n v="0"/>
    <x v="1"/>
    <x v="10"/>
    <b v="0"/>
    <x v="0"/>
    <x v="0"/>
    <x v="0"/>
    <s v="Morning"/>
    <n v="1"/>
    <x v="0"/>
    <n v="0.22"/>
    <s v="Mild"/>
    <n v="0.21210000000000001"/>
    <n v="0.41"/>
    <n v="0.25369999999999998"/>
    <s v="Light Breeze"/>
    <n v="13"/>
    <n v="71"/>
    <n v="84"/>
    <n v="61.416666666666664"/>
    <n v="53.749755644877659"/>
    <n v="0.42015694885276234"/>
    <b v="0"/>
  </r>
  <r>
    <n v="957"/>
    <d v="2011-02-12T00:00:00"/>
    <n v="1"/>
    <n v="0"/>
    <x v="1"/>
    <x v="11"/>
    <b v="0"/>
    <x v="0"/>
    <x v="0"/>
    <x v="0"/>
    <s v="Morning"/>
    <n v="1"/>
    <x v="0"/>
    <n v="0.3"/>
    <s v="Mild"/>
    <n v="0.2727"/>
    <n v="0.28000000000000003"/>
    <n v="0.32840000000000003"/>
    <s v="Gale"/>
    <n v="30"/>
    <n v="84"/>
    <n v="114"/>
    <n v="63.5"/>
    <n v="54.812724641352169"/>
    <n v="0.921318915095519"/>
    <b v="0"/>
  </r>
  <r>
    <n v="958"/>
    <d v="2011-02-12T00:00:00"/>
    <n v="1"/>
    <n v="0"/>
    <x v="1"/>
    <x v="12"/>
    <b v="0"/>
    <x v="0"/>
    <x v="0"/>
    <x v="0"/>
    <s v="Midday"/>
    <n v="1"/>
    <x v="0"/>
    <n v="0.3"/>
    <s v="Mild"/>
    <n v="0.2727"/>
    <n v="0.39"/>
    <n v="0.4627"/>
    <s v="Gale"/>
    <n v="27"/>
    <n v="93"/>
    <n v="120"/>
    <n v="65.541666666666671"/>
    <n v="56.003865679205504"/>
    <n v="0.97240311312213512"/>
    <b v="0"/>
  </r>
  <r>
    <n v="959"/>
    <d v="2011-02-12T00:00:00"/>
    <n v="1"/>
    <n v="0"/>
    <x v="1"/>
    <x v="13"/>
    <b v="0"/>
    <x v="0"/>
    <x v="0"/>
    <x v="0"/>
    <s v="Midday"/>
    <n v="1"/>
    <x v="0"/>
    <n v="0.3"/>
    <s v="Mild"/>
    <n v="0.2727"/>
    <n v="0.39"/>
    <n v="0.41789999999999999"/>
    <s v="Gale"/>
    <n v="32"/>
    <n v="103"/>
    <n v="135"/>
    <n v="66.583333333333329"/>
    <n v="57.088730835479232"/>
    <n v="1.1984268289977014"/>
    <b v="0"/>
  </r>
  <r>
    <n v="960"/>
    <d v="2011-02-12T00:00:00"/>
    <n v="1"/>
    <n v="0"/>
    <x v="1"/>
    <x v="14"/>
    <b v="0"/>
    <x v="0"/>
    <x v="0"/>
    <x v="0"/>
    <s v="Midday"/>
    <n v="1"/>
    <x v="0"/>
    <n v="0.34"/>
    <s v="Mild"/>
    <n v="0.31819999999999998"/>
    <n v="0.31"/>
    <n v="0.28360000000000002"/>
    <s v="Light Breeze"/>
    <n v="30"/>
    <n v="90"/>
    <n v="120"/>
    <n v="68.083333333333329"/>
    <n v="58.031413282258015"/>
    <n v="0.89463040326366117"/>
    <b v="0"/>
  </r>
  <r>
    <n v="961"/>
    <d v="2011-02-12T00:00:00"/>
    <n v="1"/>
    <n v="0"/>
    <x v="1"/>
    <x v="15"/>
    <b v="0"/>
    <x v="0"/>
    <x v="0"/>
    <x v="0"/>
    <s v="Midday"/>
    <n v="1"/>
    <x v="0"/>
    <n v="0.34"/>
    <s v="Mild"/>
    <n v="0.30299999999999999"/>
    <n v="0.28999999999999998"/>
    <n v="0.41789999999999999"/>
    <s v="Gale"/>
    <n v="47"/>
    <n v="127"/>
    <n v="174"/>
    <n v="72.25"/>
    <n v="61.933519757601516"/>
    <n v="1.6428906414205782"/>
    <b v="0"/>
  </r>
  <r>
    <n v="962"/>
    <d v="2011-02-12T00:00:00"/>
    <n v="1"/>
    <n v="0"/>
    <x v="1"/>
    <x v="16"/>
    <b v="0"/>
    <x v="0"/>
    <x v="0"/>
    <x v="0"/>
    <s v="Midday"/>
    <n v="1"/>
    <x v="0"/>
    <n v="0.34"/>
    <s v="Mild"/>
    <n v="0.30299999999999999"/>
    <n v="0.28999999999999998"/>
    <n v="0.41789999999999999"/>
    <s v="Gale"/>
    <n v="42"/>
    <n v="103"/>
    <n v="145"/>
    <n v="73.083333333333329"/>
    <n v="62.802600795402306"/>
    <n v="1.1451224273490852"/>
    <b v="0"/>
  </r>
  <r>
    <n v="963"/>
    <d v="2011-02-12T00:00:00"/>
    <n v="1"/>
    <n v="0"/>
    <x v="1"/>
    <x v="17"/>
    <b v="0"/>
    <x v="0"/>
    <x v="0"/>
    <x v="0"/>
    <s v="Evening"/>
    <n v="1"/>
    <x v="0"/>
    <n v="0.32"/>
    <s v="Mild"/>
    <n v="0.28789999999999999"/>
    <n v="0.31"/>
    <n v="0.52239999999999998"/>
    <s v="Gale"/>
    <n v="24"/>
    <n v="113"/>
    <n v="137"/>
    <n v="70"/>
    <n v="57.313781634240392"/>
    <n v="1.1690033023396396"/>
    <b v="0"/>
  </r>
  <r>
    <n v="964"/>
    <d v="2011-02-12T00:00:00"/>
    <n v="1"/>
    <n v="0"/>
    <x v="1"/>
    <x v="18"/>
    <b v="0"/>
    <x v="0"/>
    <x v="0"/>
    <x v="0"/>
    <s v="Evening"/>
    <n v="1"/>
    <x v="0"/>
    <n v="0.28000000000000003"/>
    <s v="Mild"/>
    <n v="0.2576"/>
    <n v="0.38"/>
    <n v="0.32840000000000003"/>
    <s v="Gale"/>
    <n v="4"/>
    <n v="60"/>
    <n v="64"/>
    <n v="65.416666666666671"/>
    <n v="52.860700176864903"/>
    <n v="-2.6799998144683902E-2"/>
    <b v="0"/>
  </r>
  <r>
    <n v="965"/>
    <d v="2011-02-12T00:00:00"/>
    <n v="1"/>
    <n v="0"/>
    <x v="1"/>
    <x v="19"/>
    <b v="0"/>
    <x v="0"/>
    <x v="0"/>
    <x v="0"/>
    <s v="Evening"/>
    <n v="1"/>
    <x v="0"/>
    <n v="0.28000000000000003"/>
    <s v="Mild"/>
    <n v="0.2727"/>
    <n v="0.38"/>
    <n v="0.16420000000000001"/>
    <s v="Light Breeze"/>
    <n v="2"/>
    <n v="39"/>
    <n v="41"/>
    <n v="62.916666666666664"/>
    <n v="52.522389980610761"/>
    <n v="-0.41728235662462143"/>
    <b v="0"/>
  </r>
  <r>
    <n v="966"/>
    <d v="2011-02-12T00:00:00"/>
    <n v="1"/>
    <n v="0"/>
    <x v="1"/>
    <x v="20"/>
    <b v="0"/>
    <x v="0"/>
    <x v="0"/>
    <x v="0"/>
    <s v="Evening"/>
    <n v="1"/>
    <x v="0"/>
    <n v="0.26"/>
    <s v="Mild"/>
    <n v="0.2576"/>
    <n v="0.41"/>
    <n v="0.22389999999999999"/>
    <s v="Light Breeze"/>
    <n v="1"/>
    <n v="39"/>
    <n v="40"/>
    <n v="61.958333333333336"/>
    <n v="52.73022330007111"/>
    <n v="-0.41642784648142622"/>
    <b v="0"/>
  </r>
  <r>
    <n v="967"/>
    <d v="2011-02-12T00:00:00"/>
    <n v="1"/>
    <n v="0"/>
    <x v="1"/>
    <x v="21"/>
    <b v="0"/>
    <x v="0"/>
    <x v="0"/>
    <x v="0"/>
    <s v="Night"/>
    <n v="1"/>
    <x v="0"/>
    <n v="0.26"/>
    <s v="Mild"/>
    <n v="0.30299999999999999"/>
    <n v="0.41"/>
    <n v="0"/>
    <s v="Calm"/>
    <n v="9"/>
    <n v="42"/>
    <n v="51"/>
    <n v="62.125"/>
    <n v="52.687192157025265"/>
    <n v="-0.211151886151834"/>
    <b v="0"/>
  </r>
  <r>
    <n v="968"/>
    <d v="2011-02-12T00:00:00"/>
    <n v="1"/>
    <n v="0"/>
    <x v="1"/>
    <x v="22"/>
    <b v="0"/>
    <x v="0"/>
    <x v="0"/>
    <x v="0"/>
    <s v="Night"/>
    <n v="1"/>
    <x v="0"/>
    <n v="0.24"/>
    <s v="Mild"/>
    <n v="0.2576"/>
    <n v="0.44"/>
    <n v="8.9599999999999999E-2"/>
    <s v="Calm"/>
    <n v="6"/>
    <n v="39"/>
    <n v="45"/>
    <n v="62.208333333333336"/>
    <n v="52.657200809589654"/>
    <n v="-0.32679924243522351"/>
    <b v="0"/>
  </r>
  <r>
    <n v="969"/>
    <d v="2011-02-12T00:00:00"/>
    <n v="1"/>
    <n v="0"/>
    <x v="1"/>
    <x v="23"/>
    <b v="0"/>
    <x v="0"/>
    <x v="0"/>
    <x v="0"/>
    <s v="Night"/>
    <n v="1"/>
    <x v="0"/>
    <n v="0.22"/>
    <s v="Mild"/>
    <n v="0.2273"/>
    <n v="0.51"/>
    <n v="0.1343"/>
    <s v="Light Breeze"/>
    <n v="1"/>
    <n v="31"/>
    <n v="32"/>
    <n v="61.333333333333336"/>
    <n v="52.990291700393136"/>
    <n v="-0.55356051820178431"/>
    <b v="0"/>
  </r>
  <r>
    <n v="970"/>
    <d v="2011-02-13T00:00:00"/>
    <n v="1"/>
    <n v="0"/>
    <x v="1"/>
    <x v="0"/>
    <b v="0"/>
    <x v="1"/>
    <x v="1"/>
    <x v="0"/>
    <s v="Night"/>
    <n v="1"/>
    <x v="0"/>
    <n v="0.2"/>
    <s v="Mild"/>
    <n v="0.2273"/>
    <n v="0.64"/>
    <n v="0.1045"/>
    <s v="Calm"/>
    <n v="5"/>
    <n v="34"/>
    <n v="39"/>
    <n v="61.708333333333336"/>
    <n v="52.790380519203673"/>
    <n v="-0.43016044040585527"/>
    <b v="0"/>
  </r>
  <r>
    <n v="971"/>
    <d v="2011-02-13T00:00:00"/>
    <n v="1"/>
    <n v="0"/>
    <x v="1"/>
    <x v="1"/>
    <b v="0"/>
    <x v="1"/>
    <x v="1"/>
    <x v="0"/>
    <s v="Night"/>
    <n v="1"/>
    <x v="0"/>
    <n v="0.2"/>
    <s v="Mild"/>
    <n v="0.2273"/>
    <n v="0.59"/>
    <n v="8.9599999999999999E-2"/>
    <s v="Calm"/>
    <n v="1"/>
    <n v="23"/>
    <n v="24"/>
    <n v="61.708333333333336"/>
    <n v="52.790380519203673"/>
    <n v="-0.71430311663724588"/>
    <b v="0"/>
  </r>
  <r>
    <n v="972"/>
    <d v="2011-02-13T00:00:00"/>
    <n v="1"/>
    <n v="0"/>
    <x v="1"/>
    <x v="2"/>
    <b v="0"/>
    <x v="1"/>
    <x v="1"/>
    <x v="0"/>
    <s v="Night"/>
    <n v="2"/>
    <x v="1"/>
    <n v="0.2"/>
    <s v="Mild"/>
    <n v="0.2273"/>
    <n v="0.75"/>
    <n v="8.9599999999999999E-2"/>
    <s v="Calm"/>
    <n v="1"/>
    <n v="19"/>
    <n v="20"/>
    <n v="61.916666666666664"/>
    <n v="52.607584728957974"/>
    <n v="-0.79677991077954835"/>
    <b v="0"/>
  </r>
  <r>
    <n v="973"/>
    <d v="2011-02-13T00:00:00"/>
    <n v="1"/>
    <n v="0"/>
    <x v="1"/>
    <x v="3"/>
    <b v="0"/>
    <x v="1"/>
    <x v="1"/>
    <x v="0"/>
    <s v="Night"/>
    <n v="2"/>
    <x v="1"/>
    <n v="0.2"/>
    <s v="Mild"/>
    <n v="0.2273"/>
    <n v="0.69"/>
    <n v="0.1045"/>
    <s v="Calm"/>
    <n v="4"/>
    <n v="8"/>
    <n v="12"/>
    <n v="62"/>
    <n v="52.523286760958833"/>
    <n v="-0.95195870409933259"/>
    <b v="0"/>
  </r>
  <r>
    <n v="974"/>
    <d v="2011-02-13T00:00:00"/>
    <n v="1"/>
    <n v="0"/>
    <x v="1"/>
    <x v="4"/>
    <b v="0"/>
    <x v="1"/>
    <x v="1"/>
    <x v="0"/>
    <s v="Night"/>
    <n v="2"/>
    <x v="1"/>
    <n v="0.2"/>
    <s v="Mild"/>
    <n v="0.21210000000000001"/>
    <n v="0.69"/>
    <n v="0.16420000000000001"/>
    <s v="Light Breeze"/>
    <n v="0"/>
    <n v="2"/>
    <n v="2"/>
    <n v="61.916666666666664"/>
    <n v="52.620806487190201"/>
    <n v="-1.1386497217835789"/>
    <b v="0"/>
  </r>
  <r>
    <n v="975"/>
    <d v="2011-02-13T00:00:00"/>
    <n v="1"/>
    <n v="0"/>
    <x v="1"/>
    <x v="6"/>
    <b v="0"/>
    <x v="1"/>
    <x v="1"/>
    <x v="0"/>
    <s v="Morning"/>
    <n v="2"/>
    <x v="1"/>
    <n v="0.2"/>
    <s v="Mild"/>
    <n v="0.21210000000000001"/>
    <n v="0.69"/>
    <n v="0.1343"/>
    <s v="Light Breeze"/>
    <n v="2"/>
    <n v="3"/>
    <n v="5"/>
    <n v="62.083333333333336"/>
    <n v="52.425447410888964"/>
    <n v="-1.0888478048825752"/>
    <b v="0"/>
  </r>
  <r>
    <n v="976"/>
    <d v="2011-02-13T00:00:00"/>
    <n v="1"/>
    <n v="0"/>
    <x v="1"/>
    <x v="7"/>
    <b v="0"/>
    <x v="1"/>
    <x v="1"/>
    <x v="0"/>
    <s v="Morning"/>
    <n v="2"/>
    <x v="1"/>
    <n v="0.22"/>
    <s v="Mild"/>
    <n v="0.2727"/>
    <n v="0.55000000000000004"/>
    <n v="0"/>
    <s v="Calm"/>
    <n v="0"/>
    <n v="3"/>
    <n v="3"/>
    <n v="62.125"/>
    <n v="52.375992259979107"/>
    <n v="-1.1288568950927134"/>
    <b v="0"/>
  </r>
  <r>
    <n v="977"/>
    <d v="2011-02-13T00:00:00"/>
    <n v="1"/>
    <n v="0"/>
    <x v="1"/>
    <x v="8"/>
    <b v="0"/>
    <x v="1"/>
    <x v="1"/>
    <x v="0"/>
    <s v="Morning"/>
    <n v="2"/>
    <x v="1"/>
    <n v="0.22"/>
    <s v="Mild"/>
    <n v="0.2273"/>
    <n v="0.64"/>
    <n v="0.19400000000000001"/>
    <s v="Light Breeze"/>
    <n v="1"/>
    <n v="11"/>
    <n v="12"/>
    <n v="62.166666666666664"/>
    <n v="52.333933348355771"/>
    <n v="-0.95858773566162314"/>
    <b v="0"/>
  </r>
  <r>
    <n v="978"/>
    <d v="2011-02-13T00:00:00"/>
    <n v="1"/>
    <n v="0"/>
    <x v="1"/>
    <x v="9"/>
    <b v="0"/>
    <x v="1"/>
    <x v="1"/>
    <x v="0"/>
    <s v="Morning"/>
    <n v="2"/>
    <x v="1"/>
    <n v="0.24"/>
    <s v="Mild"/>
    <n v="0.2273"/>
    <n v="0.6"/>
    <n v="0.22389999999999999"/>
    <s v="Light Breeze"/>
    <n v="12"/>
    <n v="35"/>
    <n v="47"/>
    <n v="62.875"/>
    <n v="51.993571927105862"/>
    <n v="-0.30532620498273305"/>
    <b v="0"/>
  </r>
  <r>
    <n v="979"/>
    <d v="2011-02-13T00:00:00"/>
    <n v="1"/>
    <n v="0"/>
    <x v="1"/>
    <x v="10"/>
    <b v="0"/>
    <x v="1"/>
    <x v="1"/>
    <x v="0"/>
    <s v="Morning"/>
    <n v="1"/>
    <x v="0"/>
    <n v="0.3"/>
    <s v="Mild"/>
    <n v="0.2727"/>
    <n v="0.45"/>
    <n v="0.32840000000000003"/>
    <s v="Gale"/>
    <n v="19"/>
    <n v="86"/>
    <n v="105"/>
    <n v="65.458333333333329"/>
    <n v="52.500914415777117"/>
    <n v="0.75316148502708657"/>
    <b v="0"/>
  </r>
  <r>
    <n v="980"/>
    <d v="2011-02-13T00:00:00"/>
    <n v="1"/>
    <n v="0"/>
    <x v="1"/>
    <x v="11"/>
    <b v="0"/>
    <x v="1"/>
    <x v="1"/>
    <x v="0"/>
    <s v="Morning"/>
    <n v="1"/>
    <x v="0"/>
    <n v="0.32"/>
    <s v="Mild"/>
    <n v="0.28789999999999999"/>
    <n v="0.39"/>
    <n v="0.44779999999999998"/>
    <s v="Gale"/>
    <n v="26"/>
    <n v="86"/>
    <n v="112"/>
    <n v="66.625"/>
    <n v="53.236806898006684"/>
    <n v="0.85232384592357946"/>
    <b v="0"/>
  </r>
  <r>
    <n v="981"/>
    <d v="2011-02-13T00:00:00"/>
    <n v="1"/>
    <n v="0"/>
    <x v="1"/>
    <x v="12"/>
    <b v="0"/>
    <x v="1"/>
    <x v="1"/>
    <x v="0"/>
    <s v="Midday"/>
    <n v="1"/>
    <x v="0"/>
    <n v="0.36"/>
    <s v="Mild"/>
    <n v="0.31819999999999998"/>
    <n v="0.32"/>
    <n v="0.4627"/>
    <s v="Gale"/>
    <n v="58"/>
    <n v="94"/>
    <n v="152"/>
    <n v="68.208333333333329"/>
    <n v="55.234660799385637"/>
    <n v="1.5170124239741627"/>
    <b v="0"/>
  </r>
  <r>
    <n v="982"/>
    <d v="2011-02-13T00:00:00"/>
    <n v="1"/>
    <n v="0"/>
    <x v="1"/>
    <x v="13"/>
    <b v="0"/>
    <x v="1"/>
    <x v="1"/>
    <x v="0"/>
    <s v="Midday"/>
    <n v="1"/>
    <x v="0"/>
    <n v="0.38"/>
    <s v="Mild"/>
    <n v="0.39389999999999997"/>
    <n v="0.28999999999999998"/>
    <n v="0.35820000000000002"/>
    <s v="Gale"/>
    <n v="62"/>
    <n v="92"/>
    <n v="154"/>
    <n v="69.625"/>
    <n v="57.027691595361389"/>
    <n v="1.4795443694035659"/>
    <b v="0"/>
  </r>
  <r>
    <n v="983"/>
    <d v="2011-02-13T00:00:00"/>
    <n v="1"/>
    <n v="0"/>
    <x v="1"/>
    <x v="14"/>
    <b v="0"/>
    <x v="1"/>
    <x v="1"/>
    <x v="0"/>
    <s v="Midday"/>
    <n v="2"/>
    <x v="1"/>
    <n v="0.4"/>
    <s v="Mild"/>
    <n v="0.40910000000000002"/>
    <n v="0.3"/>
    <n v="0.41789999999999999"/>
    <s v="Gale"/>
    <n v="51"/>
    <n v="110"/>
    <n v="161"/>
    <n v="70.708333333333329"/>
    <n v="58.550223084019123"/>
    <n v="1.5421233585583238"/>
    <b v="0"/>
  </r>
  <r>
    <n v="984"/>
    <d v="2011-02-13T00:00:00"/>
    <n v="1"/>
    <n v="0"/>
    <x v="1"/>
    <x v="15"/>
    <b v="0"/>
    <x v="1"/>
    <x v="1"/>
    <x v="0"/>
    <s v="Midday"/>
    <n v="2"/>
    <x v="1"/>
    <n v="0.4"/>
    <s v="Mild"/>
    <n v="0.40910000000000002"/>
    <n v="0.3"/>
    <n v="0.29849999999999999"/>
    <s v="Light Breeze"/>
    <n v="40"/>
    <n v="122"/>
    <n v="162"/>
    <n v="72.458333333333329"/>
    <n v="60.676604736247732"/>
    <n v="1.4757197944066105"/>
    <b v="0"/>
  </r>
  <r>
    <n v="985"/>
    <d v="2011-02-13T00:00:00"/>
    <n v="1"/>
    <n v="0"/>
    <x v="1"/>
    <x v="16"/>
    <b v="0"/>
    <x v="1"/>
    <x v="1"/>
    <x v="0"/>
    <s v="Midday"/>
    <n v="2"/>
    <x v="1"/>
    <n v="0.42"/>
    <s v="Mild"/>
    <n v="0.42420000000000002"/>
    <n v="0.28000000000000003"/>
    <n v="0.32840000000000003"/>
    <s v="Gale"/>
    <n v="28"/>
    <n v="106"/>
    <n v="134"/>
    <n v="70.791666666666671"/>
    <n v="58.267732263993295"/>
    <n v="1.0847913738423125"/>
    <b v="0"/>
  </r>
  <r>
    <n v="986"/>
    <d v="2011-02-13T00:00:00"/>
    <n v="1"/>
    <n v="0"/>
    <x v="1"/>
    <x v="17"/>
    <b v="0"/>
    <x v="1"/>
    <x v="1"/>
    <x v="0"/>
    <s v="Evening"/>
    <n v="1"/>
    <x v="0"/>
    <n v="0.42"/>
    <s v="Mild"/>
    <n v="0.42420000000000002"/>
    <n v="0.28000000000000003"/>
    <n v="0.32840000000000003"/>
    <s v="Gale"/>
    <n v="30"/>
    <n v="95"/>
    <n v="125"/>
    <n v="69.958333333333329"/>
    <n v="57.295177099303736"/>
    <n v="0.96066840968601441"/>
    <b v="0"/>
  </r>
  <r>
    <n v="987"/>
    <d v="2011-02-13T00:00:00"/>
    <n v="1"/>
    <n v="0"/>
    <x v="1"/>
    <x v="18"/>
    <b v="0"/>
    <x v="1"/>
    <x v="1"/>
    <x v="0"/>
    <s v="Evening"/>
    <n v="1"/>
    <x v="0"/>
    <n v="0.4"/>
    <s v="Mild"/>
    <n v="0.40910000000000002"/>
    <n v="0.32"/>
    <n v="0.29849999999999999"/>
    <s v="Light Breeze"/>
    <n v="17"/>
    <n v="78"/>
    <n v="95"/>
    <n v="68.208333333333329"/>
    <n v="55.779830519226422"/>
    <n v="0.48031100878716382"/>
    <b v="0"/>
  </r>
  <r>
    <n v="988"/>
    <d v="2011-02-13T00:00:00"/>
    <n v="1"/>
    <n v="0"/>
    <x v="1"/>
    <x v="19"/>
    <b v="0"/>
    <x v="1"/>
    <x v="1"/>
    <x v="0"/>
    <s v="Evening"/>
    <n v="1"/>
    <x v="0"/>
    <n v="0.4"/>
    <s v="Mild"/>
    <n v="0.40910000000000002"/>
    <n v="0.35"/>
    <n v="0.28360000000000002"/>
    <s v="Light Breeze"/>
    <n v="11"/>
    <n v="50"/>
    <n v="61"/>
    <n v="68.083333333333329"/>
    <n v="55.793031095653689"/>
    <n v="-0.12695731338183425"/>
    <b v="0"/>
  </r>
  <r>
    <n v="989"/>
    <d v="2011-02-13T00:00:00"/>
    <n v="1"/>
    <n v="0"/>
    <x v="1"/>
    <x v="20"/>
    <b v="0"/>
    <x v="1"/>
    <x v="1"/>
    <x v="0"/>
    <s v="Evening"/>
    <n v="1"/>
    <x v="0"/>
    <n v="0.4"/>
    <s v="Mild"/>
    <n v="0.40910000000000002"/>
    <n v="0.35"/>
    <n v="0.32840000000000003"/>
    <s v="Gale"/>
    <n v="15"/>
    <n v="32"/>
    <n v="47"/>
    <n v="68.333333333333329"/>
    <n v="55.679725969673839"/>
    <n v="-0.38314364810187113"/>
    <b v="0"/>
  </r>
  <r>
    <n v="990"/>
    <d v="2011-02-13T00:00:00"/>
    <n v="1"/>
    <n v="0"/>
    <x v="1"/>
    <x v="21"/>
    <b v="0"/>
    <x v="1"/>
    <x v="1"/>
    <x v="0"/>
    <s v="Night"/>
    <n v="1"/>
    <x v="0"/>
    <n v="0.4"/>
    <s v="Mild"/>
    <n v="0.40910000000000002"/>
    <n v="0.35"/>
    <n v="0.35820000000000002"/>
    <s v="Gale"/>
    <n v="6"/>
    <n v="45"/>
    <n v="51"/>
    <n v="68.791666666666671"/>
    <n v="55.481277035133886"/>
    <n v="-0.32067875177782912"/>
    <b v="0"/>
  </r>
  <r>
    <n v="991"/>
    <d v="2011-02-13T00:00:00"/>
    <n v="1"/>
    <n v="0"/>
    <x v="1"/>
    <x v="22"/>
    <b v="0"/>
    <x v="1"/>
    <x v="1"/>
    <x v="0"/>
    <s v="Night"/>
    <n v="1"/>
    <x v="0"/>
    <n v="0.4"/>
    <s v="Mild"/>
    <n v="0.40910000000000002"/>
    <n v="0.35"/>
    <n v="0.29849999999999999"/>
    <s v="Light Breeze"/>
    <n v="5"/>
    <n v="31"/>
    <n v="36"/>
    <n v="68.166666666666671"/>
    <n v="55.774130411763529"/>
    <n v="-0.57673094011847259"/>
    <b v="0"/>
  </r>
  <r>
    <n v="992"/>
    <d v="2011-02-13T00:00:00"/>
    <n v="1"/>
    <n v="0"/>
    <x v="1"/>
    <x v="23"/>
    <b v="0"/>
    <x v="1"/>
    <x v="1"/>
    <x v="0"/>
    <s v="Night"/>
    <n v="1"/>
    <x v="0"/>
    <n v="0.4"/>
    <s v="Mild"/>
    <n v="0.40910000000000002"/>
    <n v="0.35"/>
    <n v="0.35820000000000002"/>
    <s v="Gale"/>
    <n v="3"/>
    <n v="27"/>
    <n v="30"/>
    <n v="67.541666666666671"/>
    <n v="56.127943259064409"/>
    <n v="-0.66885876244189402"/>
    <b v="0"/>
  </r>
  <r>
    <n v="993"/>
    <d v="2011-02-14T00:00:00"/>
    <n v="1"/>
    <n v="0"/>
    <x v="1"/>
    <x v="0"/>
    <b v="0"/>
    <x v="2"/>
    <x v="2"/>
    <x v="1"/>
    <s v="Night"/>
    <n v="1"/>
    <x v="0"/>
    <n v="0.38"/>
    <s v="Mild"/>
    <n v="0.39389999999999997"/>
    <n v="0.37"/>
    <n v="0.35820000000000002"/>
    <s v="Gale"/>
    <n v="3"/>
    <n v="8"/>
    <n v="11"/>
    <n v="66.666666666666671"/>
    <n v="56.864955714445053"/>
    <n v="-0.97892746010749132"/>
    <b v="0"/>
  </r>
  <r>
    <n v="994"/>
    <d v="2011-02-14T00:00:00"/>
    <n v="1"/>
    <n v="0"/>
    <x v="1"/>
    <x v="1"/>
    <b v="0"/>
    <x v="2"/>
    <x v="2"/>
    <x v="1"/>
    <s v="Night"/>
    <n v="1"/>
    <x v="0"/>
    <n v="0.38"/>
    <s v="Mild"/>
    <n v="0.39389999999999997"/>
    <n v="0.37"/>
    <n v="0.35820000000000002"/>
    <s v="Gale"/>
    <n v="1"/>
    <n v="6"/>
    <n v="7"/>
    <n v="65.333333333333329"/>
    <n v="57.907472422122176"/>
    <n v="-1.0073541616202275"/>
    <b v="0"/>
  </r>
  <r>
    <n v="995"/>
    <d v="2011-02-14T00:00:00"/>
    <n v="1"/>
    <n v="0"/>
    <x v="1"/>
    <x v="2"/>
    <b v="0"/>
    <x v="2"/>
    <x v="2"/>
    <x v="1"/>
    <s v="Night"/>
    <n v="1"/>
    <x v="0"/>
    <n v="0.36"/>
    <s v="Mild"/>
    <n v="0.33329999999999999"/>
    <n v="0.4"/>
    <n v="0.29849999999999999"/>
    <s v="Light Breeze"/>
    <n v="0"/>
    <n v="2"/>
    <n v="2"/>
    <n v="64.416666666666671"/>
    <n v="58.758101507397456"/>
    <n v="-1.0622648633194627"/>
    <b v="0"/>
  </r>
  <r>
    <n v="996"/>
    <d v="2011-02-14T00:00:00"/>
    <n v="1"/>
    <n v="0"/>
    <x v="1"/>
    <x v="3"/>
    <b v="0"/>
    <x v="2"/>
    <x v="2"/>
    <x v="1"/>
    <s v="Night"/>
    <n v="1"/>
    <x v="0"/>
    <n v="0.34"/>
    <s v="Mild"/>
    <n v="0.31819999999999998"/>
    <n v="0.46"/>
    <n v="0.22389999999999999"/>
    <s v="Light Breeze"/>
    <n v="1"/>
    <n v="1"/>
    <n v="2"/>
    <n v="63.666666666666664"/>
    <n v="59.460375308974108"/>
    <n v="-1.0371052376684136"/>
    <b v="0"/>
  </r>
  <r>
    <n v="997"/>
    <d v="2011-02-14T00:00:00"/>
    <n v="1"/>
    <n v="0"/>
    <x v="1"/>
    <x v="4"/>
    <b v="0"/>
    <x v="2"/>
    <x v="2"/>
    <x v="1"/>
    <s v="Night"/>
    <n v="1"/>
    <x v="0"/>
    <n v="0.32"/>
    <s v="Mild"/>
    <n v="0.30299999999999999"/>
    <n v="0.53"/>
    <n v="0.28360000000000002"/>
    <s v="Light Breeze"/>
    <n v="0"/>
    <n v="2"/>
    <n v="2"/>
    <n v="63.25"/>
    <n v="59.871783293823881"/>
    <n v="-1.0230194697794861"/>
    <b v="0"/>
  </r>
  <r>
    <n v="998"/>
    <d v="2011-02-14T00:00:00"/>
    <n v="1"/>
    <n v="0"/>
    <x v="1"/>
    <x v="5"/>
    <b v="0"/>
    <x v="2"/>
    <x v="2"/>
    <x v="1"/>
    <s v="Night"/>
    <n v="1"/>
    <x v="0"/>
    <n v="0.32"/>
    <s v="Mild"/>
    <n v="0.30299999999999999"/>
    <n v="0.53"/>
    <n v="0.28360000000000002"/>
    <s v="Light Breeze"/>
    <n v="0"/>
    <n v="3"/>
    <n v="3"/>
    <n v="63.291666666666664"/>
    <n v="59.82763587584548"/>
    <n v="-1.0077561278166522"/>
    <b v="0"/>
  </r>
  <r>
    <n v="999"/>
    <d v="2011-02-14T00:00:00"/>
    <n v="1"/>
    <n v="0"/>
    <x v="1"/>
    <x v="6"/>
    <b v="0"/>
    <x v="2"/>
    <x v="2"/>
    <x v="1"/>
    <s v="Morning"/>
    <n v="1"/>
    <x v="0"/>
    <n v="0.34"/>
    <s v="Mild"/>
    <n v="0.30299999999999999"/>
    <n v="0.46"/>
    <n v="0.29849999999999999"/>
    <s v="Light Breeze"/>
    <n v="1"/>
    <n v="25"/>
    <n v="26"/>
    <n v="64.166666666666671"/>
    <n v="59.087015175238292"/>
    <n v="-0.64594000142794905"/>
    <b v="0"/>
  </r>
  <r>
    <n v="1000"/>
    <d v="2011-02-14T00:00:00"/>
    <n v="1"/>
    <n v="0"/>
    <x v="1"/>
    <x v="7"/>
    <b v="0"/>
    <x v="2"/>
    <x v="2"/>
    <x v="1"/>
    <s v="Morning"/>
    <n v="1"/>
    <x v="0"/>
    <n v="0.34"/>
    <s v="Mild"/>
    <n v="0.30299999999999999"/>
    <n v="0.46"/>
    <n v="0.29849999999999999"/>
    <s v="Light Breeze"/>
    <n v="2"/>
    <n v="96"/>
    <n v="98"/>
    <n v="68.125"/>
    <n v="57.982990384362239"/>
    <n v="0.51523731014841134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E0FD6-315A-4DFF-9295-A395499A2F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9:Z38" firstHeaderRow="1" firstDataRow="2" firstDataCol="1"/>
  <pivotFields count="26">
    <pivotField showAll="0"/>
    <pivotField numFmtId="14" showAll="0"/>
    <pivotField showAll="0"/>
    <pivotField showAll="0"/>
    <pivotField showAll="0"/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numFmtId="2"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Average of cnt" fld="21" subtotal="average" baseField="8" baseItem="0"/>
  </dataFields>
  <formats count="2">
    <format dxfId="9">
      <pivotArea collapsedLevelsAreSubtotals="1" fieldPosition="0">
        <references count="1">
          <reference field="8" count="0"/>
        </references>
      </pivotArea>
    </format>
    <format dxfId="8">
      <pivotArea grandRow="1" outline="0" collapsedLevelsAreSubtotals="1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49D15-AE99-422F-89A8-990931AAD5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1:Z50" firstHeaderRow="1" firstDataRow="2" firstDataCol="1"/>
  <pivotFields count="26">
    <pivotField showAll="0"/>
    <pivotField numFmtId="14" showAll="0"/>
    <pivotField showAll="0"/>
    <pivotField showAll="0"/>
    <pivotField showAll="0"/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numFmtId="2"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Average of cnt" fld="21" subtotal="average" baseField="8" baseItem="0" numFmtId="167"/>
  </dataFields>
  <formats count="3">
    <format dxfId="12">
      <pivotArea collapsedLevelsAreSubtotals="1" fieldPosition="0">
        <references count="1">
          <reference field="8" count="0"/>
        </references>
      </pivotArea>
    </format>
    <format dxfId="11">
      <pivotArea grandRow="1" outline="0" collapsedLevelsAreSubtotals="1" fieldPosition="0"/>
    </format>
    <format dxfId="10">
      <pivotArea outline="0" collapsedLevelsAreSubtotals="1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E7B84-F839-4984-9799-C4CDF91E13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3:Z57" firstHeaderRow="1" firstDataRow="2" firstDataCol="1"/>
  <pivotFields count="26">
    <pivotField showAll="0"/>
    <pivotField numFmtId="14" showAll="0"/>
    <pivotField showAll="0"/>
    <pivotField showAll="0"/>
    <pivotField showAll="0"/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numFmtId="2"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5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Average of cnt" fld="21" subtotal="average" baseField="8" baseItem="0"/>
  </dataFields>
  <formats count="2">
    <format dxfId="14">
      <pivotArea grandRow="1" outline="0" collapsedLevelsAreSubtotals="1" fieldPosition="0"/>
    </format>
    <format dxfId="13">
      <pivotArea collapsedLevelsAreSubtotals="1" fieldPosition="0">
        <references count="1">
          <reference field="9" count="0"/>
        </references>
      </pivotArea>
    </format>
  </formats>
  <chartFormats count="4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DD7AC-8712-44E7-B35D-DDD134EA4E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98:Z104" firstHeaderRow="1" firstDataRow="2" firstDataCol="1"/>
  <pivotFields count="26">
    <pivotField showAll="0"/>
    <pivotField numFmtId="14" showAll="0"/>
    <pivotField showAll="0"/>
    <pivotField showAll="0"/>
    <pivotField showAll="0"/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numFmtId="2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Average of cnt" fld="21" subtotal="average" baseField="8" baseItem="0"/>
  </dataFields>
  <formats count="2">
    <format dxfId="16">
      <pivotArea grandRow="1" outline="0" collapsedLevelsAreSubtotals="1" fieldPosition="0"/>
    </format>
    <format dxfId="15">
      <pivotArea collapsedLevelsAreSubtotals="1" fieldPosition="0">
        <references count="1">
          <reference field="12" count="0"/>
        </references>
      </pivotArea>
    </format>
  </formats>
  <chartFormats count="4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E93CE-9167-4999-910A-F69DA3DAC2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75:Z79" firstHeaderRow="1" firstDataRow="2" firstDataCol="1"/>
  <pivotFields count="26"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numFmtId="2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5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Average of cnt" fld="21" subtotal="average" baseField="8" baseItem="0"/>
  </dataFields>
  <formats count="2">
    <format dxfId="18">
      <pivotArea grandRow="1" outline="0" collapsedLevelsAreSubtotals="1" fieldPosition="0"/>
    </format>
    <format dxfId="17">
      <pivotArea collapsedLevelsAreSubtotals="1" fieldPosition="0">
        <references count="1">
          <reference field="4" count="0"/>
        </references>
      </pivotArea>
    </format>
  </formats>
  <chartFormats count="4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EB35F-EF6A-458B-A0AF-47960ED1548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Z12" firstHeaderRow="1" firstDataRow="2" firstDataCol="1"/>
  <pivotFields count="26">
    <pivotField showAll="0"/>
    <pivotField numFmtId="14" showAll="0"/>
    <pivotField showAll="0"/>
    <pivotField showAll="0"/>
    <pivotField showAll="0"/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numFmtId="2"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Average of cnt" fld="21" subtotal="average" baseField="8" baseItem="0"/>
  </dataFields>
  <formats count="10">
    <format dxfId="28">
      <pivotArea collapsedLevelsAreSubtotals="1" fieldPosition="0">
        <references count="1">
          <reference field="8" count="0"/>
        </references>
      </pivotArea>
    </format>
    <format dxfId="27">
      <pivotArea grandRow="1" outline="0" collapsedLevelsAreSubtotals="1" fieldPosition="0"/>
    </format>
    <format dxfId="26">
      <pivotArea type="origin" dataOnly="0" labelOnly="1" outline="0" fieldPosition="0"/>
    </format>
    <format dxfId="25">
      <pivotArea field="5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8" type="button" dataOnly="0" labelOnly="1" outline="0" axis="axisRow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dataOnly="0" labelOnly="1" grandCol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4C7823-5213-478A-B478-DA9ACADBFCB8}" autoFormatId="16" applyNumberFormats="0" applyBorderFormats="0" applyFontFormats="0" applyPatternFormats="0" applyAlignmentFormats="0" applyWidthHeightFormats="0">
  <queryTableRefresh nextId="45">
    <queryTableFields count="22">
      <queryTableField id="23" name="Column1" tableColumnId="23"/>
      <queryTableField id="24" name="Column2" tableColumnId="24"/>
      <queryTableField id="25" name="Column3" tableColumnId="25"/>
      <queryTableField id="26" name="Column4" tableColumnId="26"/>
      <queryTableField id="27" name="Column5" tableColumnId="27"/>
      <queryTableField id="28" name="Column6" tableColumnId="28"/>
      <queryTableField id="29" name="Column7" tableColumnId="29"/>
      <queryTableField id="30" name="Column8" tableColumnId="30"/>
      <queryTableField id="31" name="Column9" tableColumnId="31"/>
      <queryTableField id="32" name="Column10" tableColumnId="32"/>
      <queryTableField id="33" name="Column11" tableColumnId="33"/>
      <queryTableField id="34" name="Column12" tableColumnId="34"/>
      <queryTableField id="35" name="Column13" tableColumnId="35"/>
      <queryTableField id="36" name="Column14" tableColumnId="36"/>
      <queryTableField id="37" name="Column15" tableColumnId="37"/>
      <queryTableField id="38" name="Column16" tableColumnId="38"/>
      <queryTableField id="39" name="Column17" tableColumnId="39"/>
      <queryTableField id="40" name="Column18" tableColumnId="40"/>
      <queryTableField id="41" name="Column19" tableColumnId="41"/>
      <queryTableField id="42" name="Column20" tableColumnId="42"/>
      <queryTableField id="43" name="Column21" tableColumnId="43"/>
      <queryTableField id="44" name="Column22" tableColumnId="4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B9212A3-5525-4DC0-AFAD-9B64D58BEBA8}" autoFormatId="16" applyNumberFormats="0" applyBorderFormats="0" applyFontFormats="0" applyPatternFormats="0" applyAlignmentFormats="0" applyWidthHeightFormats="0">
  <queryTableRefresh nextId="23">
    <queryTableFields count="22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  <queryTableField id="17" name="atemp.1" tableColumnId="17"/>
      <queryTableField id="18" name="hum.1" tableColumnId="18"/>
      <queryTableField id="19" name="windspeed.1" tableColumnId="19"/>
      <queryTableField id="20" name="casual.1" tableColumnId="20"/>
      <queryTableField id="21" name="registered.1" tableColumnId="21"/>
      <queryTableField id="22" name="cnt.1" tableColumnId="2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8A30A-93A2-4A10-BA37-6D70684B7ED5}" name="Table1" displayName="Table1" ref="A1:J611" totalsRowShown="0" headerRowDxfId="57" dataDxfId="55" headerRowBorderDxfId="56" tableBorderDxfId="54" totalsRowBorderDxfId="53">
  <autoFilter ref="A1:J611" xr:uid="{7F98A30A-93A2-4A10-BA37-6D70684B7ED5}"/>
  <tableColumns count="10">
    <tableColumn id="1" xr3:uid="{8C4FB22E-6C60-4D02-8B64-E05CCAE5FB8E}" name="instant" dataDxfId="52"/>
    <tableColumn id="2" xr3:uid="{F60785E3-DFA1-49D8-88F7-C13764E9AF1B}" name="dteday" dataDxfId="51"/>
    <tableColumn id="3" xr3:uid="{BE301327-408B-42A6-9AB0-CC7BF931262D}" name="season" dataDxfId="50"/>
    <tableColumn id="4" xr3:uid="{E1DF7003-5E03-49C7-921C-F624BF83639F}" name="yr" dataDxfId="49"/>
    <tableColumn id="5" xr3:uid="{5C493442-60DC-4308-BC74-AB6ED6662809}" name="mnth" dataDxfId="48"/>
    <tableColumn id="6" xr3:uid="{EBC82469-9481-40AA-B5EB-AC902F2F13DD}" name="hr" dataDxfId="47"/>
    <tableColumn id="7" xr3:uid="{7E00F38B-208E-44AE-8C6B-E8A34CED67CB}" name="holiday" dataDxfId="46"/>
    <tableColumn id="8" xr3:uid="{25E71BF2-D2FF-4278-8446-40247209B9AD}" name="weekday" dataDxfId="45"/>
    <tableColumn id="9" xr3:uid="{7FE6A766-EE69-46DA-9CBB-0DE988AA3F78}" name="weathersit" dataDxfId="44"/>
    <tableColumn id="10" xr3:uid="{8215F9E0-30AD-46DB-A00A-A45420594945}" name="temp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C39C3D-F91A-4B06-AC1E-031C13620D77}" name="Table2" displayName="Table2" ref="A1:H611" totalsRowShown="0" headerRowDxfId="42" dataDxfId="40" headerRowBorderDxfId="41" tableBorderDxfId="39" totalsRowBorderDxfId="38">
  <autoFilter ref="A1:H611" xr:uid="{94C39C3D-F91A-4B06-AC1E-031C13620D77}"/>
  <tableColumns count="8">
    <tableColumn id="1" xr3:uid="{C3A3F302-BC50-4E96-B865-30FA39A63380}" name="Unnamed: 0" dataDxfId="37"/>
    <tableColumn id="2" xr3:uid="{910F3BE6-5799-4BB5-94C7-9366FFBCB136}" name="instant" dataDxfId="36"/>
    <tableColumn id="3" xr3:uid="{8EF2063E-12F2-4AD2-9231-AF9D6A2D9C80}" name="atemp" dataDxfId="35"/>
    <tableColumn id="4" xr3:uid="{8816CDF4-D0E1-409F-9AC4-6F8E8608A9D8}" name="hum" dataDxfId="34"/>
    <tableColumn id="5" xr3:uid="{A2240C21-004E-418F-8A8C-97D483FDCC19}" name="windspeed" dataDxfId="33"/>
    <tableColumn id="6" xr3:uid="{99C202A0-5C99-450D-8C4A-8B14B3521079}" name="casual" dataDxfId="32"/>
    <tableColumn id="7" xr3:uid="{504BA1B6-9236-4BC9-96D1-B86C5BB09477}" name="registered" dataDxfId="31"/>
    <tableColumn id="8" xr3:uid="{566DEE4D-C4A2-47B7-9E06-B7F257761F8C}" name="cnt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6221C6-89AF-4B51-8A68-436CBED2182B}" name="Merge1" displayName="Merge1" ref="A1:V612" tableType="queryTable" totalsRowShown="0">
  <autoFilter ref="A1:V612" xr:uid="{496221C6-89AF-4B51-8A68-436CBED2182B}"/>
  <tableColumns count="22">
    <tableColumn id="23" xr3:uid="{08BA57C6-879E-419B-A2F2-8CA361768C62}" uniqueName="23" name="Column1" queryTableFieldId="23"/>
    <tableColumn id="24" xr3:uid="{C5B25366-0904-4FDF-A701-1334F9176307}" uniqueName="24" name="Column2" queryTableFieldId="24"/>
    <tableColumn id="25" xr3:uid="{169FCA13-7B43-4C2D-81C3-1930F6B7643A}" uniqueName="25" name="Column3" queryTableFieldId="25"/>
    <tableColumn id="26" xr3:uid="{0F38CE6D-A4EB-408D-B796-77A8C4D104CC}" uniqueName="26" name="Column4" queryTableFieldId="26"/>
    <tableColumn id="27" xr3:uid="{963B826E-583D-4A55-BE87-1F2D653CB9E9}" uniqueName="27" name="Column5" queryTableFieldId="27"/>
    <tableColumn id="28" xr3:uid="{917ECD6C-9E6A-4AAA-9852-E3A289388D88}" uniqueName="28" name="Column6" queryTableFieldId="28"/>
    <tableColumn id="29" xr3:uid="{C2EE56E6-7D4A-4F8F-BBFF-AD69A8CFAC15}" uniqueName="29" name="Column7" queryTableFieldId="29"/>
    <tableColumn id="30" xr3:uid="{452A280B-E9C3-4371-A32E-9E73A0A6FF3A}" uniqueName="30" name="Column8" queryTableFieldId="30"/>
    <tableColumn id="31" xr3:uid="{EF981C7E-1874-4A61-90D9-40B1EB98DE17}" uniqueName="31" name="Column9" queryTableFieldId="31"/>
    <tableColumn id="32" xr3:uid="{65EA45A6-5DB7-4A34-8792-CFE23252B576}" uniqueName="32" name="Column10" queryTableFieldId="32"/>
    <tableColumn id="33" xr3:uid="{21513020-3AEC-4AB4-B8C5-DC9661C87379}" uniqueName="33" name="Column11" queryTableFieldId="33"/>
    <tableColumn id="34" xr3:uid="{A4348019-B8F2-40DA-B54F-90B42101E360}" uniqueName="34" name="Column12" queryTableFieldId="34"/>
    <tableColumn id="35" xr3:uid="{BD05B23F-7FD8-4C6B-89A0-F4CEE968C7D1}" uniqueName="35" name="Column13" queryTableFieldId="35"/>
    <tableColumn id="36" xr3:uid="{A25A9B01-76EE-4785-948A-D49BEF0C0B6B}" uniqueName="36" name="Column14" queryTableFieldId="36"/>
    <tableColumn id="37" xr3:uid="{DEDB3C8C-52CB-42E2-A34F-E201A322E282}" uniqueName="37" name="Column15" queryTableFieldId="37"/>
    <tableColumn id="38" xr3:uid="{A4A081B6-53B9-4FE8-9956-240312B78CBC}" uniqueName="38" name="Column16" queryTableFieldId="38"/>
    <tableColumn id="39" xr3:uid="{E2F9AFF2-5A28-4137-BF6C-B01FD65B247B}" uniqueName="39" name="Column17" queryTableFieldId="39"/>
    <tableColumn id="40" xr3:uid="{D7CAAA81-4909-41D8-B2C2-515D7617B351}" uniqueName="40" name="Column18" queryTableFieldId="40"/>
    <tableColumn id="41" xr3:uid="{B58D2B12-028B-4DA3-881D-067EA038E495}" uniqueName="41" name="Column19" queryTableFieldId="41"/>
    <tableColumn id="42" xr3:uid="{3977DB7E-65D6-4778-810C-F1C51100AA6C}" uniqueName="42" name="Column20" queryTableFieldId="42"/>
    <tableColumn id="43" xr3:uid="{D1354125-19D0-4030-9202-3DDC1ADC8425}" uniqueName="43" name="Column21" queryTableFieldId="43"/>
    <tableColumn id="44" xr3:uid="{62106BB6-93F7-498C-8DEA-5E932434DDB8}" uniqueName="44" name="Column22" queryTableFieldId="4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DC39FA-2F25-406A-8389-FD78F063325F}" name="Table3" displayName="Table3" ref="A1:P391" totalsRowShown="0" headerRowDxfId="78" dataDxfId="76" headerRowBorderDxfId="77" tableBorderDxfId="75" totalsRowBorderDxfId="74">
  <autoFilter ref="A1:P391" xr:uid="{02DC39FA-2F25-406A-8389-FD78F063325F}"/>
  <tableColumns count="16">
    <tableColumn id="1" xr3:uid="{90AF3041-261D-4158-B598-50CACD1C658B}" name="instant" dataDxfId="73"/>
    <tableColumn id="2" xr3:uid="{A631EE6F-DC99-45BB-A8A2-4D820B64FC72}" name="dteday" dataDxfId="72"/>
    <tableColumn id="3" xr3:uid="{2FC93686-7C1F-4731-9ADD-00A427B05E06}" name="season" dataDxfId="71"/>
    <tableColumn id="4" xr3:uid="{DAA7D09D-CF40-44BC-9B86-B6A5F62182B9}" name="yr" dataDxfId="70"/>
    <tableColumn id="5" xr3:uid="{CD607054-63ED-4870-894F-30AC93CF9436}" name="mnth" dataDxfId="69"/>
    <tableColumn id="6" xr3:uid="{19F16A5E-17EF-4C7A-ACF8-E9AF9E4D3E46}" name="hr" dataDxfId="68"/>
    <tableColumn id="7" xr3:uid="{836237D0-E65B-4710-86D3-28EB242018DA}" name="holiday" dataDxfId="67"/>
    <tableColumn id="8" xr3:uid="{24016563-F273-40BA-B6C2-DF50772B315E}" name="weekday" dataDxfId="66"/>
    <tableColumn id="9" xr3:uid="{FE6C269A-6B00-4604-BCE5-E87C4617CB0E}" name="weathersit" dataDxfId="65"/>
    <tableColumn id="10" xr3:uid="{1B1D45C4-82E3-438A-BD4E-A8F8AA701C98}" name="temp" dataDxfId="64"/>
    <tableColumn id="11" xr3:uid="{CB4FE992-3CF6-43AF-AF89-CBD91893D21C}" name="atemp" dataDxfId="63"/>
    <tableColumn id="12" xr3:uid="{2A4DCBCC-C0E8-410B-9132-2DCBB285E64F}" name="hum" dataDxfId="62"/>
    <tableColumn id="13" xr3:uid="{EE6FA0F3-E2CF-4C88-9544-0D23BFE41EBC}" name="windspeed" dataDxfId="61"/>
    <tableColumn id="14" xr3:uid="{88CCE9D5-BD04-45E0-9280-5007A650CA8D}" name="casual" dataDxfId="60"/>
    <tableColumn id="15" xr3:uid="{980BE5C8-BA6D-455A-B7B8-8E032A075982}" name="registered" dataDxfId="59"/>
    <tableColumn id="16" xr3:uid="{81C780A5-36C8-4EF9-BDD2-74FA4172740E}" name="cnt" dataDxfId="5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0305FE-E698-4BD4-A887-E7F28BF03F0D}" name="Append1" displayName="Append1" ref="A1:V1001" tableType="queryTable" totalsRowShown="0">
  <autoFilter ref="A1:V1001" xr:uid="{800305FE-E698-4BD4-A887-E7F28BF03F0D}"/>
  <tableColumns count="22">
    <tableColumn id="1" xr3:uid="{96791F84-8898-44BB-9201-EADFB9A7DC37}" uniqueName="1" name="instant" queryTableFieldId="1"/>
    <tableColumn id="2" xr3:uid="{1F722CA9-41A9-49A3-991E-C45D14701F03}" uniqueName="2" name="dteday" queryTableFieldId="2" dataDxfId="29"/>
    <tableColumn id="3" xr3:uid="{D6A3C6C0-5597-4231-B2C4-8CAB299F2527}" uniqueName="3" name="season" queryTableFieldId="3"/>
    <tableColumn id="4" xr3:uid="{6E39FFF6-0715-4493-979D-CCE4AFB3D3A8}" uniqueName="4" name="yr" queryTableFieldId="4"/>
    <tableColumn id="5" xr3:uid="{DC8E7AC4-55BA-4F86-A702-AC3A52D507CC}" uniqueName="5" name="mnth" queryTableFieldId="5"/>
    <tableColumn id="6" xr3:uid="{F7152938-0B95-4540-98FE-29FB4B7A62AD}" uniqueName="6" name="hr" queryTableFieldId="6"/>
    <tableColumn id="7" xr3:uid="{32EB999B-9DD6-4BDD-AE62-C7E1FFF74B59}" uniqueName="7" name="holiday" queryTableFieldId="7"/>
    <tableColumn id="8" xr3:uid="{888FFF65-CC09-4EC7-9268-2A86B41A4BD9}" uniqueName="8" name="weekday" queryTableFieldId="8"/>
    <tableColumn id="9" xr3:uid="{496FEACD-0E30-4FD6-8525-77EC96D464AC}" uniqueName="9" name="weathersit" queryTableFieldId="9"/>
    <tableColumn id="10" xr3:uid="{1B64F9B8-DAB2-4A22-A216-ED405D967589}" uniqueName="10" name="temp" queryTableFieldId="10"/>
    <tableColumn id="11" xr3:uid="{F8CA9002-8933-4B46-9A57-3A003E236721}" uniqueName="11" name="atemp" queryTableFieldId="11"/>
    <tableColumn id="12" xr3:uid="{014E6897-3A5F-466B-B0BE-EA2D4CDD002C}" uniqueName="12" name="hum" queryTableFieldId="12"/>
    <tableColumn id="13" xr3:uid="{022BE298-22B5-43A8-B419-ECC890AEB9C8}" uniqueName="13" name="windspeed" queryTableFieldId="13"/>
    <tableColumn id="14" xr3:uid="{E60B8E92-1A28-4344-ACFD-3F79938F72E2}" uniqueName="14" name="casual" queryTableFieldId="14"/>
    <tableColumn id="15" xr3:uid="{60ABC59C-8C8A-46AC-A60D-B7F5DBAC2B7E}" uniqueName="15" name="registered" queryTableFieldId="15"/>
    <tableColumn id="16" xr3:uid="{901608F3-3659-41CA-8729-2834982B2304}" uniqueName="16" name="cnt" queryTableFieldId="16"/>
    <tableColumn id="17" xr3:uid="{BB93AF46-2952-42A6-9E1B-FB5B20871134}" uniqueName="17" name="atemp.1" queryTableFieldId="17"/>
    <tableColumn id="18" xr3:uid="{550F40EC-5404-4CE8-AFEB-B8FE9D94CC9A}" uniqueName="18" name="hum.1" queryTableFieldId="18"/>
    <tableColumn id="19" xr3:uid="{19D96396-9F05-4D9B-ADEA-A8048058E3B3}" uniqueName="19" name="windspeed.1" queryTableFieldId="19"/>
    <tableColumn id="20" xr3:uid="{7F583ACC-976E-483F-802E-1C01287E8D86}" uniqueName="20" name="casual.1" queryTableFieldId="20"/>
    <tableColumn id="21" xr3:uid="{F66185E3-BD4A-420E-B64E-613ED3A1FDD0}" uniqueName="21" name="registered.1" queryTableFieldId="21"/>
    <tableColumn id="22" xr3:uid="{0F34A5CB-9CC0-47BA-90BD-3418E445851C}" uniqueName="22" name="cnt.1" queryTableFieldId="2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58051E-C03E-4340-A312-8646D3AD8B29}" name="tblKPIs" displayName="tblKPIs" ref="A4:B8">
  <autoFilter ref="A4:B8" xr:uid="{9D58051E-C03E-4340-A312-8646D3AD8B29}"/>
  <tableColumns count="2">
    <tableColumn id="1" xr3:uid="{D8487FE2-98AC-4EF2-AAF0-D35F61B0AB6C}" name="KPI"/>
    <tableColumn id="2" xr3:uid="{8521AE2C-2CFA-4BDB-904B-C8260E513138}" name="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D09034-3027-4DDC-A30F-4951229F62AF}" name="Table28" displayName="Table28" ref="A14:B38" totalsRowShown="0" headerRowDxfId="7" headerRowBorderDxfId="6">
  <autoFilter ref="A14:B38" xr:uid="{F8D09034-3027-4DDC-A30F-4951229F62AF}"/>
  <tableColumns count="2">
    <tableColumn id="1" xr3:uid="{91E2FA82-F778-4F71-AE96-2DCBF2CD5B3F}" name="Hour" dataDxfId="5"/>
    <tableColumn id="2" xr3:uid="{498A11D9-65F4-48ED-8260-FD4552A13D45}" name="Avg_Rentals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823E0A-1E3E-49FF-A4F8-85BB8BB576A2}" name="tblWeekday" displayName="tblWeekday" ref="D4:F11">
  <autoFilter ref="D4:F11" xr:uid="{02823E0A-1E3E-49FF-A4F8-85BB8BB576A2}"/>
  <tableColumns count="3">
    <tableColumn id="7" xr3:uid="{B0F9218D-63D7-41AD-B963-81B5EBDFE8A3}" name="weekday"/>
    <tableColumn id="8" xr3:uid="{1936A805-3654-42D9-8744-3216070CD8FE}" name="Day"/>
    <tableColumn id="9" xr3:uid="{9BC0F8F6-A54C-4D87-A7BE-FCDAF502806A}" name="Total_Rental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D85234-450F-4383-865C-71C1F5D4A3EB}" name="tblMonth" displayName="tblMonth" ref="H4:I6">
  <autoFilter ref="H4:I6" xr:uid="{57D85234-450F-4383-865C-71C1F5D4A3EB}"/>
  <tableColumns count="2">
    <tableColumn id="11" xr3:uid="{1E3AEFE1-097B-43F7-9B90-1E3AF92C9652}" name="Month"/>
    <tableColumn id="12" xr3:uid="{9F9C2396-E0A1-493A-BB97-8EA44EAF4BB4}" name="Total_Rental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C36452-B2EC-4CD0-BE68-F67C7BE58463}" name="tblWeather" displayName="tblWeather" ref="D14:F18">
  <autoFilter ref="D14:F18" xr:uid="{7BC36452-B2EC-4CD0-BE68-F67C7BE58463}"/>
  <tableColumns count="3">
    <tableColumn id="14" xr3:uid="{6720E5D6-862A-484E-8AED-9BFBAA22B533}" name="weathersit"/>
    <tableColumn id="15" xr3:uid="{90AFB41D-B907-4B58-877F-F398012B1094}" name="Weather" dataDxfId="3"/>
    <tableColumn id="16" xr3:uid="{EEC77594-501A-4825-BC33-437676301B27}" name="Avg_Rentals" dataDxfId="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BEA2D6-57C4-43FC-9AA0-5AE1D523EA5C}" name="tblTemp" displayName="tblTemp" ref="H14:I17">
  <autoFilter ref="H14:I17" xr:uid="{90BEA2D6-57C4-43FC-9AA0-5AE1D523EA5C}"/>
  <tableColumns count="2">
    <tableColumn id="18" xr3:uid="{81FF4DE5-4038-4D75-9C92-80AB8C592380}" name="Temp_Band" dataDxfId="1"/>
    <tableColumn id="19" xr3:uid="{726B2ED9-8FAC-464E-B55D-3A7658B1624C}" name="Avg_Rentals" dataDxfId="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AA6496A-23D4-4A37-B031-05D3845BD595}" name="tblCasRegMonth" displayName="tblCasRegMonth" ref="D21:F23">
  <autoFilter ref="D21:F23" xr:uid="{4AA6496A-23D4-4A37-B031-05D3845BD595}"/>
  <tableColumns count="3">
    <tableColumn id="21" xr3:uid="{EFF5A25E-63FA-4F59-B1D4-7986916EA902}" name="Month"/>
    <tableColumn id="22" xr3:uid="{59994D4D-227A-4C7C-9650-EA9BD3BE7BA3}" name="Casual"/>
    <tableColumn id="23" xr3:uid="{EEE7D012-C2E3-462E-B167-2C82F3923C80}" name="Registe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BDAF-73CB-4688-80BD-B0795620EED4}">
  <sheetPr>
    <tabColor rgb="FFFFFF00"/>
  </sheetPr>
  <dimension ref="A1:J611"/>
  <sheetViews>
    <sheetView topLeftCell="A588" workbookViewId="0">
      <selection sqref="A1:XFD1048576"/>
    </sheetView>
  </sheetViews>
  <sheetFormatPr defaultRowHeight="14.4" x14ac:dyDescent="0.3"/>
  <cols>
    <col min="2" max="2" width="10.33203125" bestFit="1" customWidth="1"/>
    <col min="3" max="3" width="9.109375" customWidth="1"/>
    <col min="7" max="7" width="9.109375" customWidth="1"/>
    <col min="8" max="8" width="10.44140625" customWidth="1"/>
    <col min="9" max="9" width="12" customWidth="1"/>
  </cols>
  <sheetData>
    <row r="1" spans="1:10" ht="15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ht="15" thickBot="1" x14ac:dyDescent="0.35">
      <c r="A2" s="7">
        <v>1</v>
      </c>
      <c r="B2" s="3">
        <v>40544</v>
      </c>
      <c r="C2" s="1">
        <v>1</v>
      </c>
      <c r="D2" s="1">
        <v>0</v>
      </c>
      <c r="E2" s="1">
        <v>1</v>
      </c>
      <c r="F2" s="1">
        <v>0</v>
      </c>
      <c r="G2" s="4" t="b">
        <v>0</v>
      </c>
      <c r="H2" s="1">
        <v>6</v>
      </c>
      <c r="I2" s="1">
        <v>1</v>
      </c>
      <c r="J2" s="8">
        <v>0.24</v>
      </c>
    </row>
    <row r="3" spans="1:10" ht="15" thickBot="1" x14ac:dyDescent="0.35">
      <c r="A3" s="7">
        <v>2</v>
      </c>
      <c r="B3" s="3">
        <v>40544</v>
      </c>
      <c r="C3" s="1">
        <v>1</v>
      </c>
      <c r="D3" s="1">
        <v>0</v>
      </c>
      <c r="E3" s="1">
        <v>1</v>
      </c>
      <c r="F3" s="1">
        <v>1</v>
      </c>
      <c r="G3" s="4" t="b">
        <v>0</v>
      </c>
      <c r="H3" s="1">
        <v>6</v>
      </c>
      <c r="I3" s="1">
        <v>1</v>
      </c>
      <c r="J3" s="8">
        <v>0.22</v>
      </c>
    </row>
    <row r="4" spans="1:10" ht="15" thickBot="1" x14ac:dyDescent="0.35">
      <c r="A4" s="7">
        <v>3</v>
      </c>
      <c r="B4" s="3">
        <v>40544</v>
      </c>
      <c r="C4" s="1">
        <v>1</v>
      </c>
      <c r="D4" s="1">
        <v>0</v>
      </c>
      <c r="E4" s="1">
        <v>1</v>
      </c>
      <c r="F4" s="1">
        <v>2</v>
      </c>
      <c r="G4" s="4" t="b">
        <v>0</v>
      </c>
      <c r="H4" s="1">
        <v>6</v>
      </c>
      <c r="I4" s="1">
        <v>1</v>
      </c>
      <c r="J4" s="8">
        <v>0.22</v>
      </c>
    </row>
    <row r="5" spans="1:10" ht="15" thickBot="1" x14ac:dyDescent="0.35">
      <c r="A5" s="7">
        <v>4</v>
      </c>
      <c r="B5" s="3">
        <v>40544</v>
      </c>
      <c r="C5" s="1">
        <v>1</v>
      </c>
      <c r="D5" s="1">
        <v>0</v>
      </c>
      <c r="E5" s="1">
        <v>1</v>
      </c>
      <c r="F5" s="1">
        <v>3</v>
      </c>
      <c r="G5" s="4" t="b">
        <v>0</v>
      </c>
      <c r="H5" s="1">
        <v>6</v>
      </c>
      <c r="I5" s="1">
        <v>1</v>
      </c>
      <c r="J5" s="8">
        <v>0.24</v>
      </c>
    </row>
    <row r="6" spans="1:10" ht="15" thickBot="1" x14ac:dyDescent="0.35">
      <c r="A6" s="7">
        <v>5</v>
      </c>
      <c r="B6" s="3">
        <v>40544</v>
      </c>
      <c r="C6" s="1">
        <v>1</v>
      </c>
      <c r="D6" s="1">
        <v>0</v>
      </c>
      <c r="E6" s="1">
        <v>1</v>
      </c>
      <c r="F6" s="1">
        <v>4</v>
      </c>
      <c r="G6" s="4" t="b">
        <v>0</v>
      </c>
      <c r="H6" s="1">
        <v>6</v>
      </c>
      <c r="I6" s="1">
        <v>1</v>
      </c>
      <c r="J6" s="8">
        <v>0.24</v>
      </c>
    </row>
    <row r="7" spans="1:10" ht="15" thickBot="1" x14ac:dyDescent="0.35">
      <c r="A7" s="7">
        <v>6</v>
      </c>
      <c r="B7" s="3">
        <v>40544</v>
      </c>
      <c r="C7" s="1">
        <v>1</v>
      </c>
      <c r="D7" s="1">
        <v>0</v>
      </c>
      <c r="E7" s="1">
        <v>1</v>
      </c>
      <c r="F7" s="1">
        <v>5</v>
      </c>
      <c r="G7" s="4" t="b">
        <v>0</v>
      </c>
      <c r="H7" s="1">
        <v>6</v>
      </c>
      <c r="I7" s="1">
        <v>2</v>
      </c>
      <c r="J7" s="8">
        <v>0.24</v>
      </c>
    </row>
    <row r="8" spans="1:10" ht="15" thickBot="1" x14ac:dyDescent="0.35">
      <c r="A8" s="7">
        <v>7</v>
      </c>
      <c r="B8" s="3">
        <v>40544</v>
      </c>
      <c r="C8" s="1">
        <v>1</v>
      </c>
      <c r="D8" s="1">
        <v>0</v>
      </c>
      <c r="E8" s="1">
        <v>1</v>
      </c>
      <c r="F8" s="1">
        <v>6</v>
      </c>
      <c r="G8" s="4" t="b">
        <v>0</v>
      </c>
      <c r="H8" s="1">
        <v>6</v>
      </c>
      <c r="I8" s="1">
        <v>1</v>
      </c>
      <c r="J8" s="8">
        <v>0.22</v>
      </c>
    </row>
    <row r="9" spans="1:10" ht="15" thickBot="1" x14ac:dyDescent="0.35">
      <c r="A9" s="7">
        <v>8</v>
      </c>
      <c r="B9" s="3">
        <v>40544</v>
      </c>
      <c r="C9" s="1">
        <v>1</v>
      </c>
      <c r="D9" s="1">
        <v>0</v>
      </c>
      <c r="E9" s="1">
        <v>1</v>
      </c>
      <c r="F9" s="1">
        <v>7</v>
      </c>
      <c r="G9" s="4" t="b">
        <v>0</v>
      </c>
      <c r="H9" s="1">
        <v>6</v>
      </c>
      <c r="I9" s="1">
        <v>1</v>
      </c>
      <c r="J9" s="8">
        <v>0.2</v>
      </c>
    </row>
    <row r="10" spans="1:10" ht="15" thickBot="1" x14ac:dyDescent="0.35">
      <c r="A10" s="7">
        <v>9</v>
      </c>
      <c r="B10" s="3">
        <v>40544</v>
      </c>
      <c r="C10" s="1">
        <v>1</v>
      </c>
      <c r="D10" s="1">
        <v>0</v>
      </c>
      <c r="E10" s="1">
        <v>1</v>
      </c>
      <c r="F10" s="1">
        <v>8</v>
      </c>
      <c r="G10" s="4" t="b">
        <v>0</v>
      </c>
      <c r="H10" s="1">
        <v>6</v>
      </c>
      <c r="I10" s="1">
        <v>1</v>
      </c>
      <c r="J10" s="8">
        <v>0.24</v>
      </c>
    </row>
    <row r="11" spans="1:10" ht="15" thickBot="1" x14ac:dyDescent="0.35">
      <c r="A11" s="7">
        <v>10</v>
      </c>
      <c r="B11" s="3">
        <v>40544</v>
      </c>
      <c r="C11" s="1">
        <v>1</v>
      </c>
      <c r="D11" s="1">
        <v>0</v>
      </c>
      <c r="E11" s="1">
        <v>1</v>
      </c>
      <c r="F11" s="1">
        <v>9</v>
      </c>
      <c r="G11" s="4" t="b">
        <v>0</v>
      </c>
      <c r="H11" s="1">
        <v>6</v>
      </c>
      <c r="I11" s="1">
        <v>1</v>
      </c>
      <c r="J11" s="8">
        <v>0.32</v>
      </c>
    </row>
    <row r="12" spans="1:10" ht="15" thickBot="1" x14ac:dyDescent="0.35">
      <c r="A12" s="7">
        <v>11</v>
      </c>
      <c r="B12" s="3">
        <v>40544</v>
      </c>
      <c r="C12" s="1">
        <v>1</v>
      </c>
      <c r="D12" s="1">
        <v>0</v>
      </c>
      <c r="E12" s="1">
        <v>1</v>
      </c>
      <c r="F12" s="1">
        <v>10</v>
      </c>
      <c r="G12" s="4" t="b">
        <v>0</v>
      </c>
      <c r="H12" s="1">
        <v>6</v>
      </c>
      <c r="I12" s="1">
        <v>1</v>
      </c>
      <c r="J12" s="8">
        <v>0.38</v>
      </c>
    </row>
    <row r="13" spans="1:10" ht="15" thickBot="1" x14ac:dyDescent="0.35">
      <c r="A13" s="7">
        <v>12</v>
      </c>
      <c r="B13" s="3">
        <v>40544</v>
      </c>
      <c r="C13" s="1">
        <v>1</v>
      </c>
      <c r="D13" s="1">
        <v>0</v>
      </c>
      <c r="E13" s="1">
        <v>1</v>
      </c>
      <c r="F13" s="1">
        <v>11</v>
      </c>
      <c r="G13" s="4" t="b">
        <v>0</v>
      </c>
      <c r="H13" s="1">
        <v>6</v>
      </c>
      <c r="I13" s="1">
        <v>1</v>
      </c>
      <c r="J13" s="8">
        <v>0.36</v>
      </c>
    </row>
    <row r="14" spans="1:10" ht="15" thickBot="1" x14ac:dyDescent="0.35">
      <c r="A14" s="7">
        <v>13</v>
      </c>
      <c r="B14" s="3">
        <v>40544</v>
      </c>
      <c r="C14" s="1">
        <v>1</v>
      </c>
      <c r="D14" s="1">
        <v>0</v>
      </c>
      <c r="E14" s="1">
        <v>1</v>
      </c>
      <c r="F14" s="1">
        <v>12</v>
      </c>
      <c r="G14" s="4" t="b">
        <v>0</v>
      </c>
      <c r="H14" s="1">
        <v>6</v>
      </c>
      <c r="I14" s="1">
        <v>1</v>
      </c>
      <c r="J14" s="8">
        <v>0.42</v>
      </c>
    </row>
    <row r="15" spans="1:10" ht="15" thickBot="1" x14ac:dyDescent="0.35">
      <c r="A15" s="7">
        <v>14</v>
      </c>
      <c r="B15" s="3">
        <v>40544</v>
      </c>
      <c r="C15" s="1">
        <v>1</v>
      </c>
      <c r="D15" s="1">
        <v>0</v>
      </c>
      <c r="E15" s="1">
        <v>1</v>
      </c>
      <c r="F15" s="1">
        <v>13</v>
      </c>
      <c r="G15" s="4" t="b">
        <v>0</v>
      </c>
      <c r="H15" s="1">
        <v>6</v>
      </c>
      <c r="I15" s="1">
        <v>2</v>
      </c>
      <c r="J15" s="8">
        <v>0.46</v>
      </c>
    </row>
    <row r="16" spans="1:10" ht="15" thickBot="1" x14ac:dyDescent="0.35">
      <c r="A16" s="7">
        <v>15</v>
      </c>
      <c r="B16" s="3">
        <v>40544</v>
      </c>
      <c r="C16" s="1">
        <v>1</v>
      </c>
      <c r="D16" s="1">
        <v>0</v>
      </c>
      <c r="E16" s="1">
        <v>1</v>
      </c>
      <c r="F16" s="1">
        <v>14</v>
      </c>
      <c r="G16" s="4" t="b">
        <v>0</v>
      </c>
      <c r="H16" s="1">
        <v>6</v>
      </c>
      <c r="I16" s="1">
        <v>2</v>
      </c>
      <c r="J16" s="8">
        <v>0.46</v>
      </c>
    </row>
    <row r="17" spans="1:10" ht="15" thickBot="1" x14ac:dyDescent="0.35">
      <c r="A17" s="7">
        <v>16</v>
      </c>
      <c r="B17" s="3">
        <v>40544</v>
      </c>
      <c r="C17" s="1">
        <v>1</v>
      </c>
      <c r="D17" s="1">
        <v>0</v>
      </c>
      <c r="E17" s="1">
        <v>1</v>
      </c>
      <c r="F17" s="1">
        <v>15</v>
      </c>
      <c r="G17" s="4" t="b">
        <v>0</v>
      </c>
      <c r="H17" s="1">
        <v>6</v>
      </c>
      <c r="I17" s="1">
        <v>2</v>
      </c>
      <c r="J17" s="8">
        <v>0.44</v>
      </c>
    </row>
    <row r="18" spans="1:10" ht="15" thickBot="1" x14ac:dyDescent="0.35">
      <c r="A18" s="7">
        <v>17</v>
      </c>
      <c r="B18" s="3">
        <v>40544</v>
      </c>
      <c r="C18" s="1">
        <v>1</v>
      </c>
      <c r="D18" s="1">
        <v>0</v>
      </c>
      <c r="E18" s="1">
        <v>1</v>
      </c>
      <c r="F18" s="1">
        <v>16</v>
      </c>
      <c r="G18" s="4" t="b">
        <v>0</v>
      </c>
      <c r="H18" s="1">
        <v>6</v>
      </c>
      <c r="I18" s="1">
        <v>2</v>
      </c>
      <c r="J18" s="8">
        <v>0.42</v>
      </c>
    </row>
    <row r="19" spans="1:10" ht="15" thickBot="1" x14ac:dyDescent="0.35">
      <c r="A19" s="7">
        <v>18</v>
      </c>
      <c r="B19" s="3">
        <v>40544</v>
      </c>
      <c r="C19" s="1">
        <v>1</v>
      </c>
      <c r="D19" s="1">
        <v>0</v>
      </c>
      <c r="E19" s="1">
        <v>1</v>
      </c>
      <c r="F19" s="1">
        <v>17</v>
      </c>
      <c r="G19" s="4" t="b">
        <v>0</v>
      </c>
      <c r="H19" s="1">
        <v>6</v>
      </c>
      <c r="I19" s="1">
        <v>2</v>
      </c>
      <c r="J19" s="8">
        <v>0.44</v>
      </c>
    </row>
    <row r="20" spans="1:10" ht="15" thickBot="1" x14ac:dyDescent="0.35">
      <c r="A20" s="7">
        <v>19</v>
      </c>
      <c r="B20" s="3">
        <v>40544</v>
      </c>
      <c r="C20" s="1">
        <v>1</v>
      </c>
      <c r="D20" s="1">
        <v>0</v>
      </c>
      <c r="E20" s="1">
        <v>1</v>
      </c>
      <c r="F20" s="1">
        <v>18</v>
      </c>
      <c r="G20" s="4" t="b">
        <v>0</v>
      </c>
      <c r="H20" s="1">
        <v>6</v>
      </c>
      <c r="I20" s="1">
        <v>3</v>
      </c>
      <c r="J20" s="8">
        <v>0.42</v>
      </c>
    </row>
    <row r="21" spans="1:10" ht="15" thickBot="1" x14ac:dyDescent="0.35">
      <c r="A21" s="7">
        <v>20</v>
      </c>
      <c r="B21" s="3">
        <v>40544</v>
      </c>
      <c r="C21" s="1">
        <v>1</v>
      </c>
      <c r="D21" s="1">
        <v>0</v>
      </c>
      <c r="E21" s="1">
        <v>1</v>
      </c>
      <c r="F21" s="1">
        <v>19</v>
      </c>
      <c r="G21" s="4" t="b">
        <v>0</v>
      </c>
      <c r="H21" s="1">
        <v>6</v>
      </c>
      <c r="I21" s="1">
        <v>3</v>
      </c>
      <c r="J21" s="8">
        <v>0.42</v>
      </c>
    </row>
    <row r="22" spans="1:10" ht="15" thickBot="1" x14ac:dyDescent="0.35">
      <c r="A22" s="7">
        <v>21</v>
      </c>
      <c r="B22" s="3">
        <v>40544</v>
      </c>
      <c r="C22" s="1">
        <v>1</v>
      </c>
      <c r="D22" s="1">
        <v>0</v>
      </c>
      <c r="E22" s="1">
        <v>1</v>
      </c>
      <c r="F22" s="1">
        <v>20</v>
      </c>
      <c r="G22" s="4" t="b">
        <v>0</v>
      </c>
      <c r="H22" s="1">
        <v>6</v>
      </c>
      <c r="I22" s="1">
        <v>2</v>
      </c>
      <c r="J22" s="8">
        <v>0.4</v>
      </c>
    </row>
    <row r="23" spans="1:10" ht="15" thickBot="1" x14ac:dyDescent="0.35">
      <c r="A23" s="7">
        <v>22</v>
      </c>
      <c r="B23" s="3">
        <v>40544</v>
      </c>
      <c r="C23" s="1">
        <v>1</v>
      </c>
      <c r="D23" s="1">
        <v>0</v>
      </c>
      <c r="E23" s="1">
        <v>1</v>
      </c>
      <c r="F23" s="1">
        <v>21</v>
      </c>
      <c r="G23" s="4" t="b">
        <v>0</v>
      </c>
      <c r="H23" s="1">
        <v>6</v>
      </c>
      <c r="I23" s="1">
        <v>2</v>
      </c>
      <c r="J23" s="8">
        <v>0.4</v>
      </c>
    </row>
    <row r="24" spans="1:10" ht="15" thickBot="1" x14ac:dyDescent="0.35">
      <c r="A24" s="7">
        <v>23</v>
      </c>
      <c r="B24" s="3">
        <v>40544</v>
      </c>
      <c r="C24" s="1">
        <v>1</v>
      </c>
      <c r="D24" s="1">
        <v>0</v>
      </c>
      <c r="E24" s="1">
        <v>1</v>
      </c>
      <c r="F24" s="1">
        <v>22</v>
      </c>
      <c r="G24" s="4" t="b">
        <v>0</v>
      </c>
      <c r="H24" s="1">
        <v>6</v>
      </c>
      <c r="I24" s="1">
        <v>2</v>
      </c>
      <c r="J24" s="8">
        <v>0.4</v>
      </c>
    </row>
    <row r="25" spans="1:10" ht="15" thickBot="1" x14ac:dyDescent="0.35">
      <c r="A25" s="7">
        <v>24</v>
      </c>
      <c r="B25" s="3">
        <v>40544</v>
      </c>
      <c r="C25" s="1">
        <v>1</v>
      </c>
      <c r="D25" s="1">
        <v>0</v>
      </c>
      <c r="E25" s="1">
        <v>1</v>
      </c>
      <c r="F25" s="1">
        <v>23</v>
      </c>
      <c r="G25" s="4" t="b">
        <v>0</v>
      </c>
      <c r="H25" s="1">
        <v>6</v>
      </c>
      <c r="I25" s="1">
        <v>2</v>
      </c>
      <c r="J25" s="8">
        <v>0.46</v>
      </c>
    </row>
    <row r="26" spans="1:10" ht="15" thickBot="1" x14ac:dyDescent="0.35">
      <c r="A26" s="7">
        <v>25</v>
      </c>
      <c r="B26" s="3">
        <v>40545</v>
      </c>
      <c r="C26" s="1">
        <v>1</v>
      </c>
      <c r="D26" s="1">
        <v>0</v>
      </c>
      <c r="E26" s="1">
        <v>1</v>
      </c>
      <c r="F26" s="1">
        <v>0</v>
      </c>
      <c r="G26" s="4" t="b">
        <v>0</v>
      </c>
      <c r="H26" s="1">
        <v>0</v>
      </c>
      <c r="I26" s="1">
        <v>2</v>
      </c>
      <c r="J26" s="8">
        <v>0.46</v>
      </c>
    </row>
    <row r="27" spans="1:10" ht="15" thickBot="1" x14ac:dyDescent="0.35">
      <c r="A27" s="7">
        <v>26</v>
      </c>
      <c r="B27" s="3">
        <v>40545</v>
      </c>
      <c r="C27" s="1">
        <v>1</v>
      </c>
      <c r="D27" s="1">
        <v>0</v>
      </c>
      <c r="E27" s="1">
        <v>1</v>
      </c>
      <c r="F27" s="1">
        <v>1</v>
      </c>
      <c r="G27" s="4" t="b">
        <v>0</v>
      </c>
      <c r="H27" s="1">
        <v>0</v>
      </c>
      <c r="I27" s="1">
        <v>2</v>
      </c>
      <c r="J27" s="8">
        <v>0.44</v>
      </c>
    </row>
    <row r="28" spans="1:10" ht="15" thickBot="1" x14ac:dyDescent="0.35">
      <c r="A28" s="7">
        <v>27</v>
      </c>
      <c r="B28" s="3">
        <v>40545</v>
      </c>
      <c r="C28" s="1">
        <v>1</v>
      </c>
      <c r="D28" s="1">
        <v>0</v>
      </c>
      <c r="E28" s="1">
        <v>1</v>
      </c>
      <c r="F28" s="1">
        <v>2</v>
      </c>
      <c r="G28" s="4" t="b">
        <v>0</v>
      </c>
      <c r="H28" s="1">
        <v>0</v>
      </c>
      <c r="I28" s="1">
        <v>2</v>
      </c>
      <c r="J28" s="8">
        <v>0.42</v>
      </c>
    </row>
    <row r="29" spans="1:10" ht="15" thickBot="1" x14ac:dyDescent="0.35">
      <c r="A29" s="7">
        <v>28</v>
      </c>
      <c r="B29" s="3">
        <v>40545</v>
      </c>
      <c r="C29" s="1">
        <v>1</v>
      </c>
      <c r="D29" s="1">
        <v>0</v>
      </c>
      <c r="E29" s="1">
        <v>1</v>
      </c>
      <c r="F29" s="1">
        <v>3</v>
      </c>
      <c r="G29" s="4" t="b">
        <v>0</v>
      </c>
      <c r="H29" s="1">
        <v>0</v>
      </c>
      <c r="I29" s="1">
        <v>2</v>
      </c>
      <c r="J29" s="8">
        <v>0.46</v>
      </c>
    </row>
    <row r="30" spans="1:10" ht="15" thickBot="1" x14ac:dyDescent="0.35">
      <c r="A30" s="7">
        <v>29</v>
      </c>
      <c r="B30" s="3">
        <v>40545</v>
      </c>
      <c r="C30" s="1">
        <v>1</v>
      </c>
      <c r="D30" s="1">
        <v>0</v>
      </c>
      <c r="E30" s="1">
        <v>1</v>
      </c>
      <c r="F30" s="1">
        <v>4</v>
      </c>
      <c r="G30" s="4" t="b">
        <v>0</v>
      </c>
      <c r="H30" s="1">
        <v>0</v>
      </c>
      <c r="I30" s="1">
        <v>2</v>
      </c>
      <c r="J30" s="8">
        <v>0.46</v>
      </c>
    </row>
    <row r="31" spans="1:10" ht="15" thickBot="1" x14ac:dyDescent="0.35">
      <c r="A31" s="7">
        <v>30</v>
      </c>
      <c r="B31" s="3">
        <v>40545</v>
      </c>
      <c r="C31" s="1">
        <v>1</v>
      </c>
      <c r="D31" s="1">
        <v>0</v>
      </c>
      <c r="E31" s="1">
        <v>1</v>
      </c>
      <c r="F31" s="1">
        <v>6</v>
      </c>
      <c r="G31" s="4" t="b">
        <v>0</v>
      </c>
      <c r="H31" s="1">
        <v>0</v>
      </c>
      <c r="I31" s="1">
        <v>3</v>
      </c>
      <c r="J31" s="8">
        <v>0.42</v>
      </c>
    </row>
    <row r="32" spans="1:10" ht="15" thickBot="1" x14ac:dyDescent="0.35">
      <c r="A32" s="7">
        <v>31</v>
      </c>
      <c r="B32" s="3">
        <v>40545</v>
      </c>
      <c r="C32" s="1">
        <v>1</v>
      </c>
      <c r="D32" s="1">
        <v>0</v>
      </c>
      <c r="E32" s="1">
        <v>1</v>
      </c>
      <c r="F32" s="1">
        <v>7</v>
      </c>
      <c r="G32" s="4" t="b">
        <v>0</v>
      </c>
      <c r="H32" s="1">
        <v>0</v>
      </c>
      <c r="I32" s="1">
        <v>2</v>
      </c>
      <c r="J32" s="8">
        <v>0.4</v>
      </c>
    </row>
    <row r="33" spans="1:10" ht="15" thickBot="1" x14ac:dyDescent="0.35">
      <c r="A33" s="7">
        <v>32</v>
      </c>
      <c r="B33" s="3">
        <v>40545</v>
      </c>
      <c r="C33" s="1">
        <v>1</v>
      </c>
      <c r="D33" s="1">
        <v>0</v>
      </c>
      <c r="E33" s="1">
        <v>1</v>
      </c>
      <c r="F33" s="1">
        <v>8</v>
      </c>
      <c r="G33" s="4" t="b">
        <v>0</v>
      </c>
      <c r="H33" s="1">
        <v>0</v>
      </c>
      <c r="I33" s="1">
        <v>3</v>
      </c>
      <c r="J33" s="8">
        <v>0.4</v>
      </c>
    </row>
    <row r="34" spans="1:10" ht="15" thickBot="1" x14ac:dyDescent="0.35">
      <c r="A34" s="7">
        <v>33</v>
      </c>
      <c r="B34" s="3">
        <v>40545</v>
      </c>
      <c r="C34" s="1">
        <v>1</v>
      </c>
      <c r="D34" s="1">
        <v>0</v>
      </c>
      <c r="E34" s="1">
        <v>1</v>
      </c>
      <c r="F34" s="1">
        <v>9</v>
      </c>
      <c r="G34" s="4" t="b">
        <v>0</v>
      </c>
      <c r="H34" s="1">
        <v>0</v>
      </c>
      <c r="I34" s="1">
        <v>2</v>
      </c>
      <c r="J34" s="8">
        <v>0.38</v>
      </c>
    </row>
    <row r="35" spans="1:10" ht="15" thickBot="1" x14ac:dyDescent="0.35">
      <c r="A35" s="7">
        <v>34</v>
      </c>
      <c r="B35" s="3">
        <v>40545</v>
      </c>
      <c r="C35" s="1">
        <v>1</v>
      </c>
      <c r="D35" s="1">
        <v>0</v>
      </c>
      <c r="E35" s="1">
        <v>1</v>
      </c>
      <c r="F35" s="1">
        <v>10</v>
      </c>
      <c r="G35" s="4" t="b">
        <v>0</v>
      </c>
      <c r="H35" s="1">
        <v>0</v>
      </c>
      <c r="I35" s="1">
        <v>2</v>
      </c>
      <c r="J35" s="8">
        <v>0.36</v>
      </c>
    </row>
    <row r="36" spans="1:10" ht="15" thickBot="1" x14ac:dyDescent="0.35">
      <c r="A36" s="7">
        <v>35</v>
      </c>
      <c r="B36" s="3">
        <v>40545</v>
      </c>
      <c r="C36" s="1">
        <v>1</v>
      </c>
      <c r="D36" s="1">
        <v>0</v>
      </c>
      <c r="E36" s="1">
        <v>1</v>
      </c>
      <c r="F36" s="1">
        <v>11</v>
      </c>
      <c r="G36" s="4" t="b">
        <v>0</v>
      </c>
      <c r="H36" s="1">
        <v>0</v>
      </c>
      <c r="I36" s="1">
        <v>2</v>
      </c>
      <c r="J36" s="8">
        <v>0.36</v>
      </c>
    </row>
    <row r="37" spans="1:10" ht="15" thickBot="1" x14ac:dyDescent="0.35">
      <c r="A37" s="7">
        <v>36</v>
      </c>
      <c r="B37" s="3">
        <v>40545</v>
      </c>
      <c r="C37" s="1">
        <v>1</v>
      </c>
      <c r="D37" s="1">
        <v>0</v>
      </c>
      <c r="E37" s="1">
        <v>1</v>
      </c>
      <c r="F37" s="1">
        <v>12</v>
      </c>
      <c r="G37" s="4" t="b">
        <v>0</v>
      </c>
      <c r="H37" s="1">
        <v>0</v>
      </c>
      <c r="I37" s="1">
        <v>2</v>
      </c>
      <c r="J37" s="8">
        <v>0.36</v>
      </c>
    </row>
    <row r="38" spans="1:10" ht="15" thickBot="1" x14ac:dyDescent="0.35">
      <c r="A38" s="7">
        <v>37</v>
      </c>
      <c r="B38" s="3">
        <v>40545</v>
      </c>
      <c r="C38" s="1">
        <v>1</v>
      </c>
      <c r="D38" s="1">
        <v>0</v>
      </c>
      <c r="E38" s="1">
        <v>1</v>
      </c>
      <c r="F38" s="1">
        <v>13</v>
      </c>
      <c r="G38" s="4" t="b">
        <v>0</v>
      </c>
      <c r="H38" s="1">
        <v>0</v>
      </c>
      <c r="I38" s="1">
        <v>2</v>
      </c>
      <c r="J38" s="8">
        <v>0.36</v>
      </c>
    </row>
    <row r="39" spans="1:10" ht="15" thickBot="1" x14ac:dyDescent="0.35">
      <c r="A39" s="7">
        <v>38</v>
      </c>
      <c r="B39" s="3">
        <v>40545</v>
      </c>
      <c r="C39" s="1">
        <v>1</v>
      </c>
      <c r="D39" s="1">
        <v>0</v>
      </c>
      <c r="E39" s="1">
        <v>1</v>
      </c>
      <c r="F39" s="1">
        <v>14</v>
      </c>
      <c r="G39" s="4" t="b">
        <v>0</v>
      </c>
      <c r="H39" s="1">
        <v>0</v>
      </c>
      <c r="I39" s="1">
        <v>3</v>
      </c>
      <c r="J39" s="8">
        <v>0.36</v>
      </c>
    </row>
    <row r="40" spans="1:10" ht="15" thickBot="1" x14ac:dyDescent="0.35">
      <c r="A40" s="7">
        <v>39</v>
      </c>
      <c r="B40" s="3">
        <v>40545</v>
      </c>
      <c r="C40" s="1">
        <v>1</v>
      </c>
      <c r="D40" s="1">
        <v>0</v>
      </c>
      <c r="E40" s="1">
        <v>1</v>
      </c>
      <c r="F40" s="1">
        <v>15</v>
      </c>
      <c r="G40" s="4" t="b">
        <v>0</v>
      </c>
      <c r="H40" s="1">
        <v>0</v>
      </c>
      <c r="I40" s="1">
        <v>3</v>
      </c>
      <c r="J40" s="8">
        <v>0.34</v>
      </c>
    </row>
    <row r="41" spans="1:10" ht="15" thickBot="1" x14ac:dyDescent="0.35">
      <c r="A41" s="7">
        <v>40</v>
      </c>
      <c r="B41" s="3">
        <v>40545</v>
      </c>
      <c r="C41" s="1">
        <v>1</v>
      </c>
      <c r="D41" s="1">
        <v>0</v>
      </c>
      <c r="E41" s="1">
        <v>1</v>
      </c>
      <c r="F41" s="1">
        <v>16</v>
      </c>
      <c r="G41" s="4" t="b">
        <v>0</v>
      </c>
      <c r="H41" s="1">
        <v>0</v>
      </c>
      <c r="I41" s="1">
        <v>3</v>
      </c>
      <c r="J41" s="8">
        <v>0.34</v>
      </c>
    </row>
    <row r="42" spans="1:10" ht="15" thickBot="1" x14ac:dyDescent="0.35">
      <c r="A42" s="7">
        <v>41</v>
      </c>
      <c r="B42" s="3">
        <v>40545</v>
      </c>
      <c r="C42" s="1">
        <v>1</v>
      </c>
      <c r="D42" s="1">
        <v>0</v>
      </c>
      <c r="E42" s="1">
        <v>1</v>
      </c>
      <c r="F42" s="1">
        <v>17</v>
      </c>
      <c r="G42" s="4" t="b">
        <v>0</v>
      </c>
      <c r="H42" s="1">
        <v>0</v>
      </c>
      <c r="I42" s="1">
        <v>1</v>
      </c>
      <c r="J42" s="8">
        <v>0.34</v>
      </c>
    </row>
    <row r="43" spans="1:10" ht="15" thickBot="1" x14ac:dyDescent="0.35">
      <c r="A43" s="7">
        <v>42</v>
      </c>
      <c r="B43" s="3">
        <v>40545</v>
      </c>
      <c r="C43" s="1">
        <v>1</v>
      </c>
      <c r="D43" s="1">
        <v>0</v>
      </c>
      <c r="E43" s="1">
        <v>1</v>
      </c>
      <c r="F43" s="1">
        <v>18</v>
      </c>
      <c r="G43" s="4" t="b">
        <v>0</v>
      </c>
      <c r="H43" s="1">
        <v>0</v>
      </c>
      <c r="I43" s="1">
        <v>2</v>
      </c>
      <c r="J43" s="8">
        <v>0.36</v>
      </c>
    </row>
    <row r="44" spans="1:10" ht="15" thickBot="1" x14ac:dyDescent="0.35">
      <c r="A44" s="7">
        <v>43</v>
      </c>
      <c r="B44" s="3">
        <v>40545</v>
      </c>
      <c r="C44" s="1">
        <v>1</v>
      </c>
      <c r="D44" s="1">
        <v>0</v>
      </c>
      <c r="E44" s="1">
        <v>1</v>
      </c>
      <c r="F44" s="1">
        <v>19</v>
      </c>
      <c r="G44" s="4" t="b">
        <v>0</v>
      </c>
      <c r="H44" s="1">
        <v>0</v>
      </c>
      <c r="I44" s="1">
        <v>1</v>
      </c>
      <c r="J44" s="8">
        <v>0.32</v>
      </c>
    </row>
    <row r="45" spans="1:10" ht="15" thickBot="1" x14ac:dyDescent="0.35">
      <c r="A45" s="7">
        <v>44</v>
      </c>
      <c r="B45" s="3">
        <v>40545</v>
      </c>
      <c r="C45" s="1">
        <v>1</v>
      </c>
      <c r="D45" s="1">
        <v>0</v>
      </c>
      <c r="E45" s="1">
        <v>1</v>
      </c>
      <c r="F45" s="1">
        <v>20</v>
      </c>
      <c r="G45" s="4" t="b">
        <v>0</v>
      </c>
      <c r="H45" s="1">
        <v>0</v>
      </c>
      <c r="I45" s="1">
        <v>1</v>
      </c>
      <c r="J45" s="8">
        <v>0.3</v>
      </c>
    </row>
    <row r="46" spans="1:10" ht="15" thickBot="1" x14ac:dyDescent="0.35">
      <c r="A46" s="7">
        <v>45</v>
      </c>
      <c r="B46" s="3">
        <v>40545</v>
      </c>
      <c r="C46" s="1">
        <v>1</v>
      </c>
      <c r="D46" s="1">
        <v>0</v>
      </c>
      <c r="E46" s="1">
        <v>1</v>
      </c>
      <c r="F46" s="1">
        <v>21</v>
      </c>
      <c r="G46" s="4" t="b">
        <v>0</v>
      </c>
      <c r="H46" s="1">
        <v>0</v>
      </c>
      <c r="I46" s="1">
        <v>1</v>
      </c>
      <c r="J46" s="8">
        <v>0.26</v>
      </c>
    </row>
    <row r="47" spans="1:10" ht="15" thickBot="1" x14ac:dyDescent="0.35">
      <c r="A47" s="7">
        <v>46</v>
      </c>
      <c r="B47" s="3">
        <v>40545</v>
      </c>
      <c r="C47" s="1">
        <v>1</v>
      </c>
      <c r="D47" s="1">
        <v>0</v>
      </c>
      <c r="E47" s="1">
        <v>1</v>
      </c>
      <c r="F47" s="1">
        <v>22</v>
      </c>
      <c r="G47" s="4" t="b">
        <v>0</v>
      </c>
      <c r="H47" s="1">
        <v>0</v>
      </c>
      <c r="I47" s="1">
        <v>1</v>
      </c>
      <c r="J47" s="8">
        <v>0.24</v>
      </c>
    </row>
    <row r="48" spans="1:10" ht="15" thickBot="1" x14ac:dyDescent="0.35">
      <c r="A48" s="7">
        <v>47</v>
      </c>
      <c r="B48" s="3">
        <v>40545</v>
      </c>
      <c r="C48" s="1">
        <v>1</v>
      </c>
      <c r="D48" s="1">
        <v>0</v>
      </c>
      <c r="E48" s="1">
        <v>1</v>
      </c>
      <c r="F48" s="1">
        <v>23</v>
      </c>
      <c r="G48" s="4" t="b">
        <v>0</v>
      </c>
      <c r="H48" s="1">
        <v>0</v>
      </c>
      <c r="I48" s="1">
        <v>1</v>
      </c>
      <c r="J48" s="8">
        <v>0.22</v>
      </c>
    </row>
    <row r="49" spans="1:10" ht="15" thickBot="1" x14ac:dyDescent="0.35">
      <c r="A49" s="7">
        <v>48</v>
      </c>
      <c r="B49" s="3">
        <v>40546</v>
      </c>
      <c r="C49" s="1">
        <v>1</v>
      </c>
      <c r="D49" s="1">
        <v>0</v>
      </c>
      <c r="E49" s="1">
        <v>1</v>
      </c>
      <c r="F49" s="1">
        <v>0</v>
      </c>
      <c r="G49" s="4" t="b">
        <v>0</v>
      </c>
      <c r="H49" s="1">
        <v>1</v>
      </c>
      <c r="I49" s="1">
        <v>1</v>
      </c>
      <c r="J49" s="8">
        <v>0.22</v>
      </c>
    </row>
    <row r="50" spans="1:10" ht="15" thickBot="1" x14ac:dyDescent="0.35">
      <c r="A50" s="7">
        <v>49</v>
      </c>
      <c r="B50" s="3">
        <v>40546</v>
      </c>
      <c r="C50" s="1">
        <v>1</v>
      </c>
      <c r="D50" s="1">
        <v>0</v>
      </c>
      <c r="E50" s="1">
        <v>1</v>
      </c>
      <c r="F50" s="1">
        <v>1</v>
      </c>
      <c r="G50" s="4" t="b">
        <v>0</v>
      </c>
      <c r="H50" s="1">
        <v>1</v>
      </c>
      <c r="I50" s="1">
        <v>1</v>
      </c>
      <c r="J50" s="8">
        <v>0.2</v>
      </c>
    </row>
    <row r="51" spans="1:10" ht="15" thickBot="1" x14ac:dyDescent="0.35">
      <c r="A51" s="7">
        <v>50</v>
      </c>
      <c r="B51" s="3">
        <v>40546</v>
      </c>
      <c r="C51" s="1">
        <v>1</v>
      </c>
      <c r="D51" s="1">
        <v>0</v>
      </c>
      <c r="E51" s="1">
        <v>1</v>
      </c>
      <c r="F51" s="1">
        <v>4</v>
      </c>
      <c r="G51" s="4" t="b">
        <v>0</v>
      </c>
      <c r="H51" s="1">
        <v>1</v>
      </c>
      <c r="I51" s="1">
        <v>1</v>
      </c>
      <c r="J51" s="8">
        <v>0.16</v>
      </c>
    </row>
    <row r="52" spans="1:10" ht="15" thickBot="1" x14ac:dyDescent="0.35">
      <c r="A52" s="7">
        <v>51</v>
      </c>
      <c r="B52" s="3">
        <v>40546</v>
      </c>
      <c r="C52" s="1">
        <v>1</v>
      </c>
      <c r="D52" s="1">
        <v>0</v>
      </c>
      <c r="E52" s="1">
        <v>1</v>
      </c>
      <c r="F52" s="1">
        <v>5</v>
      </c>
      <c r="G52" s="4" t="b">
        <v>0</v>
      </c>
      <c r="H52" s="1">
        <v>1</v>
      </c>
      <c r="I52" s="1">
        <v>1</v>
      </c>
      <c r="J52" s="8">
        <v>0.16</v>
      </c>
    </row>
    <row r="53" spans="1:10" ht="15" thickBot="1" x14ac:dyDescent="0.35">
      <c r="A53" s="7">
        <v>52</v>
      </c>
      <c r="B53" s="3">
        <v>40546</v>
      </c>
      <c r="C53" s="1">
        <v>1</v>
      </c>
      <c r="D53" s="1">
        <v>0</v>
      </c>
      <c r="E53" s="1">
        <v>1</v>
      </c>
      <c r="F53" s="1">
        <v>6</v>
      </c>
      <c r="G53" s="4" t="b">
        <v>0</v>
      </c>
      <c r="H53" s="1">
        <v>1</v>
      </c>
      <c r="I53" s="1">
        <v>1</v>
      </c>
      <c r="J53" s="8">
        <v>0.14000000000000001</v>
      </c>
    </row>
    <row r="54" spans="1:10" ht="15" thickBot="1" x14ac:dyDescent="0.35">
      <c r="A54" s="7">
        <v>53</v>
      </c>
      <c r="B54" s="3">
        <v>40546</v>
      </c>
      <c r="C54" s="1">
        <v>1</v>
      </c>
      <c r="D54" s="1">
        <v>0</v>
      </c>
      <c r="E54" s="1">
        <v>1</v>
      </c>
      <c r="F54" s="1">
        <v>7</v>
      </c>
      <c r="G54" s="4" t="b">
        <v>0</v>
      </c>
      <c r="H54" s="1">
        <v>1</v>
      </c>
      <c r="I54" s="1">
        <v>1</v>
      </c>
      <c r="J54" s="8">
        <v>0.14000000000000001</v>
      </c>
    </row>
    <row r="55" spans="1:10" ht="15" thickBot="1" x14ac:dyDescent="0.35">
      <c r="A55" s="7">
        <v>54</v>
      </c>
      <c r="B55" s="3">
        <v>40546</v>
      </c>
      <c r="C55" s="1">
        <v>1</v>
      </c>
      <c r="D55" s="1">
        <v>0</v>
      </c>
      <c r="E55" s="1">
        <v>1</v>
      </c>
      <c r="F55" s="1">
        <v>8</v>
      </c>
      <c r="G55" s="4" t="b">
        <v>0</v>
      </c>
      <c r="H55" s="1">
        <v>1</v>
      </c>
      <c r="I55" s="1">
        <v>1</v>
      </c>
      <c r="J55" s="8">
        <v>0.14000000000000001</v>
      </c>
    </row>
    <row r="56" spans="1:10" ht="15" thickBot="1" x14ac:dyDescent="0.35">
      <c r="A56" s="7">
        <v>55</v>
      </c>
      <c r="B56" s="3">
        <v>40546</v>
      </c>
      <c r="C56" s="1">
        <v>1</v>
      </c>
      <c r="D56" s="1">
        <v>0</v>
      </c>
      <c r="E56" s="1">
        <v>1</v>
      </c>
      <c r="F56" s="1">
        <v>9</v>
      </c>
      <c r="G56" s="4" t="b">
        <v>0</v>
      </c>
      <c r="H56" s="1">
        <v>1</v>
      </c>
      <c r="I56" s="1">
        <v>1</v>
      </c>
      <c r="J56" s="8">
        <v>0.16</v>
      </c>
    </row>
    <row r="57" spans="1:10" ht="15" thickBot="1" x14ac:dyDescent="0.35">
      <c r="A57" s="7">
        <v>56</v>
      </c>
      <c r="B57" s="3">
        <v>40546</v>
      </c>
      <c r="C57" s="1">
        <v>1</v>
      </c>
      <c r="D57" s="1">
        <v>0</v>
      </c>
      <c r="E57" s="1">
        <v>1</v>
      </c>
      <c r="F57" s="1">
        <v>10</v>
      </c>
      <c r="G57" s="4" t="b">
        <v>0</v>
      </c>
      <c r="H57" s="1">
        <v>1</v>
      </c>
      <c r="I57" s="1">
        <v>1</v>
      </c>
      <c r="J57" s="8">
        <v>0.18</v>
      </c>
    </row>
    <row r="58" spans="1:10" ht="15" thickBot="1" x14ac:dyDescent="0.35">
      <c r="A58" s="7">
        <v>57</v>
      </c>
      <c r="B58" s="3">
        <v>40546</v>
      </c>
      <c r="C58" s="1">
        <v>1</v>
      </c>
      <c r="D58" s="1">
        <v>0</v>
      </c>
      <c r="E58" s="1">
        <v>1</v>
      </c>
      <c r="F58" s="1">
        <v>11</v>
      </c>
      <c r="G58" s="4" t="b">
        <v>0</v>
      </c>
      <c r="H58" s="1">
        <v>1</v>
      </c>
      <c r="I58" s="1">
        <v>1</v>
      </c>
      <c r="J58" s="8">
        <v>0.2</v>
      </c>
    </row>
    <row r="59" spans="1:10" ht="15" thickBot="1" x14ac:dyDescent="0.35">
      <c r="A59" s="7">
        <v>58</v>
      </c>
      <c r="B59" s="3">
        <v>40546</v>
      </c>
      <c r="C59" s="1">
        <v>1</v>
      </c>
      <c r="D59" s="1">
        <v>0</v>
      </c>
      <c r="E59" s="1">
        <v>1</v>
      </c>
      <c r="F59" s="1">
        <v>12</v>
      </c>
      <c r="G59" s="4" t="b">
        <v>0</v>
      </c>
      <c r="H59" s="1">
        <v>1</v>
      </c>
      <c r="I59" s="1">
        <v>1</v>
      </c>
      <c r="J59" s="8">
        <v>0.22</v>
      </c>
    </row>
    <row r="60" spans="1:10" ht="15" thickBot="1" x14ac:dyDescent="0.35">
      <c r="A60" s="7">
        <v>59</v>
      </c>
      <c r="B60" s="3">
        <v>40546</v>
      </c>
      <c r="C60" s="1">
        <v>1</v>
      </c>
      <c r="D60" s="1">
        <v>0</v>
      </c>
      <c r="E60" s="1">
        <v>1</v>
      </c>
      <c r="F60" s="1">
        <v>13</v>
      </c>
      <c r="G60" s="4" t="b">
        <v>0</v>
      </c>
      <c r="H60" s="1">
        <v>1</v>
      </c>
      <c r="I60" s="1">
        <v>1</v>
      </c>
      <c r="J60" s="8">
        <v>0.24</v>
      </c>
    </row>
    <row r="61" spans="1:10" ht="15" thickBot="1" x14ac:dyDescent="0.35">
      <c r="A61" s="7">
        <v>60</v>
      </c>
      <c r="B61" s="3">
        <v>40546</v>
      </c>
      <c r="C61" s="1">
        <v>1</v>
      </c>
      <c r="D61" s="1">
        <v>0</v>
      </c>
      <c r="E61" s="1">
        <v>1</v>
      </c>
      <c r="F61" s="1">
        <v>14</v>
      </c>
      <c r="G61" s="4" t="b">
        <v>0</v>
      </c>
      <c r="H61" s="1">
        <v>1</v>
      </c>
      <c r="I61" s="1">
        <v>1</v>
      </c>
      <c r="J61" s="8">
        <v>0.26</v>
      </c>
    </row>
    <row r="62" spans="1:10" ht="15" thickBot="1" x14ac:dyDescent="0.35">
      <c r="A62" s="7">
        <v>61</v>
      </c>
      <c r="B62" s="3">
        <v>40546</v>
      </c>
      <c r="C62" s="1">
        <v>1</v>
      </c>
      <c r="D62" s="1">
        <v>0</v>
      </c>
      <c r="E62" s="1">
        <v>1</v>
      </c>
      <c r="F62" s="1">
        <v>15</v>
      </c>
      <c r="G62" s="4" t="b">
        <v>0</v>
      </c>
      <c r="H62" s="1">
        <v>1</v>
      </c>
      <c r="I62" s="1">
        <v>1</v>
      </c>
      <c r="J62" s="8">
        <v>0.26</v>
      </c>
    </row>
    <row r="63" spans="1:10" ht="15" thickBot="1" x14ac:dyDescent="0.35">
      <c r="A63" s="7">
        <v>62</v>
      </c>
      <c r="B63" s="3">
        <v>40546</v>
      </c>
      <c r="C63" s="1">
        <v>1</v>
      </c>
      <c r="D63" s="1">
        <v>0</v>
      </c>
      <c r="E63" s="1">
        <v>1</v>
      </c>
      <c r="F63" s="1">
        <v>16</v>
      </c>
      <c r="G63" s="4" t="b">
        <v>0</v>
      </c>
      <c r="H63" s="1">
        <v>1</v>
      </c>
      <c r="I63" s="1">
        <v>1</v>
      </c>
      <c r="J63" s="8">
        <v>0.26</v>
      </c>
    </row>
    <row r="64" spans="1:10" ht="15" thickBot="1" x14ac:dyDescent="0.35">
      <c r="A64" s="7">
        <v>63</v>
      </c>
      <c r="B64" s="3">
        <v>40546</v>
      </c>
      <c r="C64" s="1">
        <v>1</v>
      </c>
      <c r="D64" s="1">
        <v>0</v>
      </c>
      <c r="E64" s="1">
        <v>1</v>
      </c>
      <c r="F64" s="1">
        <v>17</v>
      </c>
      <c r="G64" s="4" t="b">
        <v>0</v>
      </c>
      <c r="H64" s="1">
        <v>1</v>
      </c>
      <c r="I64" s="1">
        <v>1</v>
      </c>
      <c r="J64" s="8">
        <v>0.24</v>
      </c>
    </row>
    <row r="65" spans="1:10" ht="15" thickBot="1" x14ac:dyDescent="0.35">
      <c r="A65" s="7">
        <v>64</v>
      </c>
      <c r="B65" s="3">
        <v>40546</v>
      </c>
      <c r="C65" s="1">
        <v>1</v>
      </c>
      <c r="D65" s="1">
        <v>0</v>
      </c>
      <c r="E65" s="1">
        <v>1</v>
      </c>
      <c r="F65" s="1">
        <v>18</v>
      </c>
      <c r="G65" s="4" t="b">
        <v>0</v>
      </c>
      <c r="H65" s="1">
        <v>1</v>
      </c>
      <c r="I65" s="1">
        <v>1</v>
      </c>
      <c r="J65" s="8">
        <v>0.24</v>
      </c>
    </row>
    <row r="66" spans="1:10" ht="15" thickBot="1" x14ac:dyDescent="0.35">
      <c r="A66" s="7">
        <v>65</v>
      </c>
      <c r="B66" s="3">
        <v>40546</v>
      </c>
      <c r="C66" s="1">
        <v>1</v>
      </c>
      <c r="D66" s="1">
        <v>0</v>
      </c>
      <c r="E66" s="1">
        <v>1</v>
      </c>
      <c r="F66" s="1">
        <v>19</v>
      </c>
      <c r="G66" s="4" t="b">
        <v>0</v>
      </c>
      <c r="H66" s="1">
        <v>1</v>
      </c>
      <c r="I66" s="1">
        <v>1</v>
      </c>
      <c r="J66" s="8">
        <v>0.2</v>
      </c>
    </row>
    <row r="67" spans="1:10" ht="15" thickBot="1" x14ac:dyDescent="0.35">
      <c r="A67" s="7">
        <v>66</v>
      </c>
      <c r="B67" s="3">
        <v>40546</v>
      </c>
      <c r="C67" s="1">
        <v>1</v>
      </c>
      <c r="D67" s="1">
        <v>0</v>
      </c>
      <c r="E67" s="1">
        <v>1</v>
      </c>
      <c r="F67" s="1">
        <v>20</v>
      </c>
      <c r="G67" s="4" t="b">
        <v>0</v>
      </c>
      <c r="H67" s="1">
        <v>1</v>
      </c>
      <c r="I67" s="1">
        <v>1</v>
      </c>
      <c r="J67" s="8">
        <v>0.2</v>
      </c>
    </row>
    <row r="68" spans="1:10" ht="15" thickBot="1" x14ac:dyDescent="0.35">
      <c r="A68" s="7">
        <v>67</v>
      </c>
      <c r="B68" s="3">
        <v>40546</v>
      </c>
      <c r="C68" s="1">
        <v>1</v>
      </c>
      <c r="D68" s="1">
        <v>0</v>
      </c>
      <c r="E68" s="1">
        <v>1</v>
      </c>
      <c r="F68" s="1">
        <v>21</v>
      </c>
      <c r="G68" s="4" t="b">
        <v>0</v>
      </c>
      <c r="H68" s="1">
        <v>1</v>
      </c>
      <c r="I68" s="1">
        <v>1</v>
      </c>
      <c r="J68" s="8">
        <v>0.18</v>
      </c>
    </row>
    <row r="69" spans="1:10" ht="15" thickBot="1" x14ac:dyDescent="0.35">
      <c r="A69" s="7">
        <v>68</v>
      </c>
      <c r="B69" s="3">
        <v>40546</v>
      </c>
      <c r="C69" s="1">
        <v>1</v>
      </c>
      <c r="D69" s="1">
        <v>0</v>
      </c>
      <c r="E69" s="1">
        <v>1</v>
      </c>
      <c r="F69" s="1">
        <v>22</v>
      </c>
      <c r="G69" s="4" t="b">
        <v>0</v>
      </c>
      <c r="H69" s="1">
        <v>1</v>
      </c>
      <c r="I69" s="1">
        <v>1</v>
      </c>
      <c r="J69" s="8">
        <v>0.14000000000000001</v>
      </c>
    </row>
    <row r="70" spans="1:10" ht="15" thickBot="1" x14ac:dyDescent="0.35">
      <c r="A70" s="7">
        <v>69</v>
      </c>
      <c r="B70" s="3">
        <v>40546</v>
      </c>
      <c r="C70" s="1">
        <v>1</v>
      </c>
      <c r="D70" s="1">
        <v>0</v>
      </c>
      <c r="E70" s="1">
        <v>1</v>
      </c>
      <c r="F70" s="1">
        <v>23</v>
      </c>
      <c r="G70" s="4" t="b">
        <v>0</v>
      </c>
      <c r="H70" s="1">
        <v>1</v>
      </c>
      <c r="I70" s="1">
        <v>1</v>
      </c>
      <c r="J70" s="8">
        <v>0.18</v>
      </c>
    </row>
    <row r="71" spans="1:10" ht="15" thickBot="1" x14ac:dyDescent="0.35">
      <c r="A71" s="7">
        <v>70</v>
      </c>
      <c r="B71" s="3">
        <v>40547</v>
      </c>
      <c r="C71" s="1">
        <v>1</v>
      </c>
      <c r="D71" s="1">
        <v>0</v>
      </c>
      <c r="E71" s="1">
        <v>1</v>
      </c>
      <c r="F71" s="1">
        <v>0</v>
      </c>
      <c r="G71" s="4" t="b">
        <v>0</v>
      </c>
      <c r="H71" s="1">
        <v>2</v>
      </c>
      <c r="I71" s="1">
        <v>1</v>
      </c>
      <c r="J71" s="8">
        <v>0.16</v>
      </c>
    </row>
    <row r="72" spans="1:10" ht="15" thickBot="1" x14ac:dyDescent="0.35">
      <c r="A72" s="7">
        <v>71</v>
      </c>
      <c r="B72" s="3">
        <v>40547</v>
      </c>
      <c r="C72" s="1">
        <v>1</v>
      </c>
      <c r="D72" s="1">
        <v>0</v>
      </c>
      <c r="E72" s="1">
        <v>1</v>
      </c>
      <c r="F72" s="1">
        <v>1</v>
      </c>
      <c r="G72" s="4" t="b">
        <v>0</v>
      </c>
      <c r="H72" s="1">
        <v>2</v>
      </c>
      <c r="I72" s="1">
        <v>1</v>
      </c>
      <c r="J72" s="8">
        <v>0.16</v>
      </c>
    </row>
    <row r="73" spans="1:10" ht="15" thickBot="1" x14ac:dyDescent="0.35">
      <c r="A73" s="7">
        <v>72</v>
      </c>
      <c r="B73" s="3">
        <v>40547</v>
      </c>
      <c r="C73" s="1">
        <v>1</v>
      </c>
      <c r="D73" s="1">
        <v>0</v>
      </c>
      <c r="E73" s="1">
        <v>1</v>
      </c>
      <c r="F73" s="1">
        <v>2</v>
      </c>
      <c r="G73" s="4" t="b">
        <v>0</v>
      </c>
      <c r="H73" s="1">
        <v>2</v>
      </c>
      <c r="I73" s="1">
        <v>1</v>
      </c>
      <c r="J73" s="8">
        <v>0.14000000000000001</v>
      </c>
    </row>
    <row r="74" spans="1:10" ht="15" thickBot="1" x14ac:dyDescent="0.35">
      <c r="A74" s="7">
        <v>73</v>
      </c>
      <c r="B74" s="3">
        <v>40547</v>
      </c>
      <c r="C74" s="1">
        <v>1</v>
      </c>
      <c r="D74" s="1">
        <v>0</v>
      </c>
      <c r="E74" s="1">
        <v>1</v>
      </c>
      <c r="F74" s="1">
        <v>4</v>
      </c>
      <c r="G74" s="4" t="b">
        <v>0</v>
      </c>
      <c r="H74" s="1">
        <v>2</v>
      </c>
      <c r="I74" s="1">
        <v>1</v>
      </c>
      <c r="J74" s="8">
        <v>0.14000000000000001</v>
      </c>
    </row>
    <row r="75" spans="1:10" ht="15" thickBot="1" x14ac:dyDescent="0.35">
      <c r="A75" s="7">
        <v>74</v>
      </c>
      <c r="B75" s="3">
        <v>40547</v>
      </c>
      <c r="C75" s="1">
        <v>1</v>
      </c>
      <c r="D75" s="1">
        <v>0</v>
      </c>
      <c r="E75" s="1">
        <v>1</v>
      </c>
      <c r="F75" s="1">
        <v>5</v>
      </c>
      <c r="G75" s="4" t="b">
        <v>0</v>
      </c>
      <c r="H75" s="1">
        <v>2</v>
      </c>
      <c r="I75" s="1">
        <v>1</v>
      </c>
      <c r="J75" s="8">
        <v>0.12</v>
      </c>
    </row>
    <row r="76" spans="1:10" ht="15" thickBot="1" x14ac:dyDescent="0.35">
      <c r="A76" s="7">
        <v>75</v>
      </c>
      <c r="B76" s="3">
        <v>40547</v>
      </c>
      <c r="C76" s="1">
        <v>1</v>
      </c>
      <c r="D76" s="1">
        <v>0</v>
      </c>
      <c r="E76" s="1">
        <v>1</v>
      </c>
      <c r="F76" s="1">
        <v>6</v>
      </c>
      <c r="G76" s="4" t="b">
        <v>0</v>
      </c>
      <c r="H76" s="1">
        <v>2</v>
      </c>
      <c r="I76" s="1">
        <v>1</v>
      </c>
      <c r="J76" s="8">
        <v>0.12</v>
      </c>
    </row>
    <row r="77" spans="1:10" ht="15" thickBot="1" x14ac:dyDescent="0.35">
      <c r="A77" s="7">
        <v>76</v>
      </c>
      <c r="B77" s="3">
        <v>40547</v>
      </c>
      <c r="C77" s="1">
        <v>1</v>
      </c>
      <c r="D77" s="1">
        <v>0</v>
      </c>
      <c r="E77" s="1">
        <v>1</v>
      </c>
      <c r="F77" s="1">
        <v>7</v>
      </c>
      <c r="G77" s="4" t="b">
        <v>0</v>
      </c>
      <c r="H77" s="1">
        <v>2</v>
      </c>
      <c r="I77" s="1">
        <v>1</v>
      </c>
      <c r="J77" s="8">
        <v>0.12</v>
      </c>
    </row>
    <row r="78" spans="1:10" ht="15" thickBot="1" x14ac:dyDescent="0.35">
      <c r="A78" s="7">
        <v>77</v>
      </c>
      <c r="B78" s="3">
        <v>40547</v>
      </c>
      <c r="C78" s="1">
        <v>1</v>
      </c>
      <c r="D78" s="1">
        <v>0</v>
      </c>
      <c r="E78" s="1">
        <v>1</v>
      </c>
      <c r="F78" s="1">
        <v>8</v>
      </c>
      <c r="G78" s="4" t="b">
        <v>0</v>
      </c>
      <c r="H78" s="1">
        <v>2</v>
      </c>
      <c r="I78" s="1">
        <v>1</v>
      </c>
      <c r="J78" s="8">
        <v>0.14000000000000001</v>
      </c>
    </row>
    <row r="79" spans="1:10" ht="15" thickBot="1" x14ac:dyDescent="0.35">
      <c r="A79" s="7">
        <v>78</v>
      </c>
      <c r="B79" s="3">
        <v>40547</v>
      </c>
      <c r="C79" s="1">
        <v>1</v>
      </c>
      <c r="D79" s="1">
        <v>0</v>
      </c>
      <c r="E79" s="1">
        <v>1</v>
      </c>
      <c r="F79" s="1">
        <v>9</v>
      </c>
      <c r="G79" s="4" t="b">
        <v>0</v>
      </c>
      <c r="H79" s="1">
        <v>2</v>
      </c>
      <c r="I79" s="1">
        <v>1</v>
      </c>
      <c r="J79" s="8">
        <v>0.16</v>
      </c>
    </row>
    <row r="80" spans="1:10" ht="15" thickBot="1" x14ac:dyDescent="0.35">
      <c r="A80" s="7">
        <v>79</v>
      </c>
      <c r="B80" s="3">
        <v>40547</v>
      </c>
      <c r="C80" s="1">
        <v>1</v>
      </c>
      <c r="D80" s="1">
        <v>0</v>
      </c>
      <c r="E80" s="1">
        <v>1</v>
      </c>
      <c r="F80" s="1">
        <v>10</v>
      </c>
      <c r="G80" s="4" t="b">
        <v>0</v>
      </c>
      <c r="H80" s="1">
        <v>2</v>
      </c>
      <c r="I80" s="1">
        <v>2</v>
      </c>
      <c r="J80" s="8">
        <v>0.16</v>
      </c>
    </row>
    <row r="81" spans="1:10" ht="15" thickBot="1" x14ac:dyDescent="0.35">
      <c r="A81" s="7">
        <v>80</v>
      </c>
      <c r="B81" s="3">
        <v>40547</v>
      </c>
      <c r="C81" s="1">
        <v>1</v>
      </c>
      <c r="D81" s="1">
        <v>0</v>
      </c>
      <c r="E81" s="1">
        <v>1</v>
      </c>
      <c r="F81" s="1">
        <v>11</v>
      </c>
      <c r="G81" s="4" t="b">
        <v>0</v>
      </c>
      <c r="H81" s="1">
        <v>2</v>
      </c>
      <c r="I81" s="1">
        <v>1</v>
      </c>
      <c r="J81" s="8">
        <v>0.22</v>
      </c>
    </row>
    <row r="82" spans="1:10" ht="15" thickBot="1" x14ac:dyDescent="0.35">
      <c r="A82" s="7">
        <v>81</v>
      </c>
      <c r="B82" s="3">
        <v>40547</v>
      </c>
      <c r="C82" s="1">
        <v>1</v>
      </c>
      <c r="D82" s="1">
        <v>0</v>
      </c>
      <c r="E82" s="1">
        <v>1</v>
      </c>
      <c r="F82" s="1">
        <v>12</v>
      </c>
      <c r="G82" s="4" t="b">
        <v>0</v>
      </c>
      <c r="H82" s="1">
        <v>2</v>
      </c>
      <c r="I82" s="1">
        <v>1</v>
      </c>
      <c r="J82" s="8">
        <v>0.22</v>
      </c>
    </row>
    <row r="83" spans="1:10" ht="15" thickBot="1" x14ac:dyDescent="0.35">
      <c r="A83" s="7">
        <v>82</v>
      </c>
      <c r="B83" s="3">
        <v>40547</v>
      </c>
      <c r="C83" s="1">
        <v>1</v>
      </c>
      <c r="D83" s="1">
        <v>0</v>
      </c>
      <c r="E83" s="1">
        <v>1</v>
      </c>
      <c r="F83" s="1">
        <v>13</v>
      </c>
      <c r="G83" s="4" t="b">
        <v>0</v>
      </c>
      <c r="H83" s="1">
        <v>2</v>
      </c>
      <c r="I83" s="1">
        <v>1</v>
      </c>
      <c r="J83" s="8">
        <v>0.24</v>
      </c>
    </row>
    <row r="84" spans="1:10" ht="15" thickBot="1" x14ac:dyDescent="0.35">
      <c r="A84" s="7">
        <v>83</v>
      </c>
      <c r="B84" s="3">
        <v>40547</v>
      </c>
      <c r="C84" s="1">
        <v>1</v>
      </c>
      <c r="D84" s="1">
        <v>0</v>
      </c>
      <c r="E84" s="1">
        <v>1</v>
      </c>
      <c r="F84" s="1">
        <v>14</v>
      </c>
      <c r="G84" s="4" t="b">
        <v>0</v>
      </c>
      <c r="H84" s="1">
        <v>2</v>
      </c>
      <c r="I84" s="1">
        <v>1</v>
      </c>
      <c r="J84" s="8">
        <v>0.26</v>
      </c>
    </row>
    <row r="85" spans="1:10" ht="15" thickBot="1" x14ac:dyDescent="0.35">
      <c r="A85" s="7">
        <v>84</v>
      </c>
      <c r="B85" s="3">
        <v>40547</v>
      </c>
      <c r="C85" s="1">
        <v>1</v>
      </c>
      <c r="D85" s="1">
        <v>0</v>
      </c>
      <c r="E85" s="1">
        <v>1</v>
      </c>
      <c r="F85" s="1">
        <v>15</v>
      </c>
      <c r="G85" s="4" t="b">
        <v>0</v>
      </c>
      <c r="H85" s="1">
        <v>2</v>
      </c>
      <c r="I85" s="1">
        <v>1</v>
      </c>
      <c r="J85" s="8">
        <v>0.28000000000000003</v>
      </c>
    </row>
    <row r="86" spans="1:10" ht="15" thickBot="1" x14ac:dyDescent="0.35">
      <c r="A86" s="7">
        <v>85</v>
      </c>
      <c r="B86" s="3">
        <v>40547</v>
      </c>
      <c r="C86" s="1">
        <v>1</v>
      </c>
      <c r="D86" s="1">
        <v>0</v>
      </c>
      <c r="E86" s="1">
        <v>1</v>
      </c>
      <c r="F86" s="1">
        <v>16</v>
      </c>
      <c r="G86" s="4" t="b">
        <v>0</v>
      </c>
      <c r="H86" s="1">
        <v>2</v>
      </c>
      <c r="I86" s="1">
        <v>1</v>
      </c>
      <c r="J86" s="8">
        <v>0.3</v>
      </c>
    </row>
    <row r="87" spans="1:10" ht="15" thickBot="1" x14ac:dyDescent="0.35">
      <c r="A87" s="7">
        <v>86</v>
      </c>
      <c r="B87" s="3">
        <v>40547</v>
      </c>
      <c r="C87" s="1">
        <v>1</v>
      </c>
      <c r="D87" s="1">
        <v>0</v>
      </c>
      <c r="E87" s="1">
        <v>1</v>
      </c>
      <c r="F87" s="1">
        <v>17</v>
      </c>
      <c r="G87" s="4" t="b">
        <v>0</v>
      </c>
      <c r="H87" s="1">
        <v>2</v>
      </c>
      <c r="I87" s="1">
        <v>1</v>
      </c>
      <c r="J87" s="8">
        <v>0.28000000000000003</v>
      </c>
    </row>
    <row r="88" spans="1:10" ht="15" thickBot="1" x14ac:dyDescent="0.35">
      <c r="A88" s="7">
        <v>87</v>
      </c>
      <c r="B88" s="3">
        <v>40547</v>
      </c>
      <c r="C88" s="1">
        <v>1</v>
      </c>
      <c r="D88" s="1">
        <v>0</v>
      </c>
      <c r="E88" s="1">
        <v>1</v>
      </c>
      <c r="F88" s="1">
        <v>18</v>
      </c>
      <c r="G88" s="4" t="b">
        <v>0</v>
      </c>
      <c r="H88" s="1">
        <v>2</v>
      </c>
      <c r="I88" s="1">
        <v>1</v>
      </c>
      <c r="J88" s="8">
        <v>0.26</v>
      </c>
    </row>
    <row r="89" spans="1:10" ht="15" thickBot="1" x14ac:dyDescent="0.35">
      <c r="A89" s="7">
        <v>88</v>
      </c>
      <c r="B89" s="3">
        <v>40547</v>
      </c>
      <c r="C89" s="1">
        <v>1</v>
      </c>
      <c r="D89" s="1">
        <v>0</v>
      </c>
      <c r="E89" s="1">
        <v>1</v>
      </c>
      <c r="F89" s="1">
        <v>19</v>
      </c>
      <c r="G89" s="4" t="b">
        <v>0</v>
      </c>
      <c r="H89" s="1">
        <v>2</v>
      </c>
      <c r="I89" s="1">
        <v>1</v>
      </c>
      <c r="J89" s="8">
        <v>0.24</v>
      </c>
    </row>
    <row r="90" spans="1:10" ht="15" thickBot="1" x14ac:dyDescent="0.35">
      <c r="A90" s="7">
        <v>89</v>
      </c>
      <c r="B90" s="3">
        <v>40547</v>
      </c>
      <c r="C90" s="1">
        <v>1</v>
      </c>
      <c r="D90" s="1">
        <v>0</v>
      </c>
      <c r="E90" s="1">
        <v>1</v>
      </c>
      <c r="F90" s="1">
        <v>20</v>
      </c>
      <c r="G90" s="4" t="b">
        <v>0</v>
      </c>
      <c r="H90" s="1">
        <v>2</v>
      </c>
      <c r="I90" s="1">
        <v>1</v>
      </c>
      <c r="J90" s="8">
        <v>0.24</v>
      </c>
    </row>
    <row r="91" spans="1:10" ht="15" thickBot="1" x14ac:dyDescent="0.35">
      <c r="A91" s="7">
        <v>90</v>
      </c>
      <c r="B91" s="3">
        <v>40547</v>
      </c>
      <c r="C91" s="1">
        <v>1</v>
      </c>
      <c r="D91" s="1">
        <v>0</v>
      </c>
      <c r="E91" s="1">
        <v>1</v>
      </c>
      <c r="F91" s="1">
        <v>21</v>
      </c>
      <c r="G91" s="4" t="b">
        <v>0</v>
      </c>
      <c r="H91" s="1">
        <v>2</v>
      </c>
      <c r="I91" s="1">
        <v>1</v>
      </c>
      <c r="J91" s="8">
        <v>0.22</v>
      </c>
    </row>
    <row r="92" spans="1:10" ht="15" thickBot="1" x14ac:dyDescent="0.35">
      <c r="A92" s="7">
        <v>91</v>
      </c>
      <c r="B92" s="3">
        <v>40547</v>
      </c>
      <c r="C92" s="1">
        <v>1</v>
      </c>
      <c r="D92" s="1">
        <v>0</v>
      </c>
      <c r="E92" s="1">
        <v>1</v>
      </c>
      <c r="F92" s="1">
        <v>22</v>
      </c>
      <c r="G92" s="4" t="b">
        <v>0</v>
      </c>
      <c r="H92" s="1">
        <v>2</v>
      </c>
      <c r="I92" s="1">
        <v>1</v>
      </c>
      <c r="J92" s="8">
        <v>0.22</v>
      </c>
    </row>
    <row r="93" spans="1:10" ht="15" thickBot="1" x14ac:dyDescent="0.35">
      <c r="A93" s="7">
        <v>92</v>
      </c>
      <c r="B93" s="3">
        <v>40547</v>
      </c>
      <c r="C93" s="1">
        <v>1</v>
      </c>
      <c r="D93" s="1">
        <v>0</v>
      </c>
      <c r="E93" s="1">
        <v>1</v>
      </c>
      <c r="F93" s="1">
        <v>23</v>
      </c>
      <c r="G93" s="4" t="b">
        <v>0</v>
      </c>
      <c r="H93" s="1">
        <v>2</v>
      </c>
      <c r="I93" s="1">
        <v>1</v>
      </c>
      <c r="J93" s="8">
        <v>0.2</v>
      </c>
    </row>
    <row r="94" spans="1:10" ht="15" thickBot="1" x14ac:dyDescent="0.35">
      <c r="A94" s="7">
        <v>93</v>
      </c>
      <c r="B94" s="3">
        <v>40548</v>
      </c>
      <c r="C94" s="1">
        <v>1</v>
      </c>
      <c r="D94" s="1">
        <v>0</v>
      </c>
      <c r="E94" s="1">
        <v>1</v>
      </c>
      <c r="F94" s="1">
        <v>0</v>
      </c>
      <c r="G94" s="4" t="b">
        <v>0</v>
      </c>
      <c r="H94" s="1">
        <v>3</v>
      </c>
      <c r="I94" s="1">
        <v>1</v>
      </c>
      <c r="J94" s="8">
        <v>0.2</v>
      </c>
    </row>
    <row r="95" spans="1:10" ht="15" thickBot="1" x14ac:dyDescent="0.35">
      <c r="A95" s="7">
        <v>94</v>
      </c>
      <c r="B95" s="3">
        <v>40548</v>
      </c>
      <c r="C95" s="1">
        <v>1</v>
      </c>
      <c r="D95" s="1">
        <v>0</v>
      </c>
      <c r="E95" s="1">
        <v>1</v>
      </c>
      <c r="F95" s="1">
        <v>1</v>
      </c>
      <c r="G95" s="4" t="b">
        <v>0</v>
      </c>
      <c r="H95" s="1">
        <v>3</v>
      </c>
      <c r="I95" s="1">
        <v>1</v>
      </c>
      <c r="J95" s="8">
        <v>0.16</v>
      </c>
    </row>
    <row r="96" spans="1:10" ht="15" thickBot="1" x14ac:dyDescent="0.35">
      <c r="A96" s="7">
        <v>95</v>
      </c>
      <c r="B96" s="3">
        <v>40548</v>
      </c>
      <c r="C96" s="1">
        <v>1</v>
      </c>
      <c r="D96" s="1">
        <v>0</v>
      </c>
      <c r="E96" s="1">
        <v>1</v>
      </c>
      <c r="F96" s="1">
        <v>2</v>
      </c>
      <c r="G96" s="4" t="b">
        <v>0</v>
      </c>
      <c r="H96" s="1">
        <v>3</v>
      </c>
      <c r="I96" s="1">
        <v>1</v>
      </c>
      <c r="J96" s="8">
        <v>0.16</v>
      </c>
    </row>
    <row r="97" spans="1:10" ht="15" thickBot="1" x14ac:dyDescent="0.35">
      <c r="A97" s="7">
        <v>96</v>
      </c>
      <c r="B97" s="3">
        <v>40548</v>
      </c>
      <c r="C97" s="1">
        <v>1</v>
      </c>
      <c r="D97" s="1">
        <v>0</v>
      </c>
      <c r="E97" s="1">
        <v>1</v>
      </c>
      <c r="F97" s="1">
        <v>4</v>
      </c>
      <c r="G97" s="4" t="b">
        <v>0</v>
      </c>
      <c r="H97" s="1">
        <v>3</v>
      </c>
      <c r="I97" s="1">
        <v>1</v>
      </c>
      <c r="J97" s="8">
        <v>0.24</v>
      </c>
    </row>
    <row r="98" spans="1:10" ht="15" thickBot="1" x14ac:dyDescent="0.35">
      <c r="A98" s="7">
        <v>97</v>
      </c>
      <c r="B98" s="3">
        <v>40548</v>
      </c>
      <c r="C98" s="1">
        <v>1</v>
      </c>
      <c r="D98" s="1">
        <v>0</v>
      </c>
      <c r="E98" s="1">
        <v>1</v>
      </c>
      <c r="F98" s="1">
        <v>5</v>
      </c>
      <c r="G98" s="4" t="b">
        <v>0</v>
      </c>
      <c r="H98" s="1">
        <v>3</v>
      </c>
      <c r="I98" s="1">
        <v>1</v>
      </c>
      <c r="J98" s="8">
        <v>0.22</v>
      </c>
    </row>
    <row r="99" spans="1:10" ht="15" thickBot="1" x14ac:dyDescent="0.35">
      <c r="A99" s="7">
        <v>98</v>
      </c>
      <c r="B99" s="3">
        <v>40548</v>
      </c>
      <c r="C99" s="1">
        <v>1</v>
      </c>
      <c r="D99" s="1">
        <v>0</v>
      </c>
      <c r="E99" s="1">
        <v>1</v>
      </c>
      <c r="F99" s="1">
        <v>6</v>
      </c>
      <c r="G99" s="4" t="b">
        <v>0</v>
      </c>
      <c r="H99" s="1">
        <v>3</v>
      </c>
      <c r="I99" s="1">
        <v>1</v>
      </c>
      <c r="J99" s="8">
        <v>0.2</v>
      </c>
    </row>
    <row r="100" spans="1:10" ht="15" thickBot="1" x14ac:dyDescent="0.35">
      <c r="A100" s="7">
        <v>99</v>
      </c>
      <c r="B100" s="3">
        <v>40548</v>
      </c>
      <c r="C100" s="1">
        <v>1</v>
      </c>
      <c r="D100" s="1">
        <v>0</v>
      </c>
      <c r="E100" s="1">
        <v>1</v>
      </c>
      <c r="F100" s="1">
        <v>7</v>
      </c>
      <c r="G100" s="4" t="b">
        <v>0</v>
      </c>
      <c r="H100" s="1">
        <v>3</v>
      </c>
      <c r="I100" s="1">
        <v>1</v>
      </c>
      <c r="J100" s="8">
        <v>0.18</v>
      </c>
    </row>
    <row r="101" spans="1:10" ht="15" thickBot="1" x14ac:dyDescent="0.35">
      <c r="A101" s="7">
        <v>100</v>
      </c>
      <c r="B101" s="3">
        <v>40548</v>
      </c>
      <c r="C101" s="1">
        <v>1</v>
      </c>
      <c r="D101" s="1">
        <v>0</v>
      </c>
      <c r="E101" s="1">
        <v>1</v>
      </c>
      <c r="F101" s="1">
        <v>8</v>
      </c>
      <c r="G101" s="4" t="b">
        <v>0</v>
      </c>
      <c r="H101" s="1">
        <v>3</v>
      </c>
      <c r="I101" s="1">
        <v>1</v>
      </c>
      <c r="J101" s="8">
        <v>0.2</v>
      </c>
    </row>
    <row r="102" spans="1:10" ht="15" thickBot="1" x14ac:dyDescent="0.35">
      <c r="A102" s="7">
        <v>101</v>
      </c>
      <c r="B102" s="3">
        <v>40548</v>
      </c>
      <c r="C102" s="1">
        <v>1</v>
      </c>
      <c r="D102" s="1">
        <v>0</v>
      </c>
      <c r="E102" s="1">
        <v>1</v>
      </c>
      <c r="F102" s="1">
        <v>9</v>
      </c>
      <c r="G102" s="4" t="b">
        <v>0</v>
      </c>
      <c r="H102" s="1">
        <v>3</v>
      </c>
      <c r="I102" s="1">
        <v>1</v>
      </c>
      <c r="J102" s="8">
        <v>0.22</v>
      </c>
    </row>
    <row r="103" spans="1:10" ht="15" thickBot="1" x14ac:dyDescent="0.35">
      <c r="A103" s="7">
        <v>102</v>
      </c>
      <c r="B103" s="3">
        <v>40548</v>
      </c>
      <c r="C103" s="1">
        <v>1</v>
      </c>
      <c r="D103" s="1">
        <v>0</v>
      </c>
      <c r="E103" s="1">
        <v>1</v>
      </c>
      <c r="F103" s="1">
        <v>10</v>
      </c>
      <c r="G103" s="4" t="b">
        <v>0</v>
      </c>
      <c r="H103" s="1">
        <v>3</v>
      </c>
      <c r="I103" s="1">
        <v>1</v>
      </c>
      <c r="J103" s="8">
        <v>0.22</v>
      </c>
    </row>
    <row r="104" spans="1:10" ht="15" thickBot="1" x14ac:dyDescent="0.35">
      <c r="A104" s="7">
        <v>103</v>
      </c>
      <c r="B104" s="3">
        <v>40548</v>
      </c>
      <c r="C104" s="1">
        <v>1</v>
      </c>
      <c r="D104" s="1">
        <v>0</v>
      </c>
      <c r="E104" s="1">
        <v>1</v>
      </c>
      <c r="F104" s="1">
        <v>11</v>
      </c>
      <c r="G104" s="4" t="b">
        <v>0</v>
      </c>
      <c r="H104" s="1">
        <v>3</v>
      </c>
      <c r="I104" s="1">
        <v>1</v>
      </c>
      <c r="J104" s="8">
        <v>0.26</v>
      </c>
    </row>
    <row r="105" spans="1:10" ht="15" thickBot="1" x14ac:dyDescent="0.35">
      <c r="A105" s="7">
        <v>104</v>
      </c>
      <c r="B105" s="3">
        <v>40548</v>
      </c>
      <c r="C105" s="1">
        <v>1</v>
      </c>
      <c r="D105" s="1">
        <v>0</v>
      </c>
      <c r="E105" s="1">
        <v>1</v>
      </c>
      <c r="F105" s="1">
        <v>12</v>
      </c>
      <c r="G105" s="4" t="b">
        <v>0</v>
      </c>
      <c r="H105" s="1">
        <v>3</v>
      </c>
      <c r="I105" s="1">
        <v>1</v>
      </c>
      <c r="J105" s="8">
        <v>0.26</v>
      </c>
    </row>
    <row r="106" spans="1:10" ht="15" thickBot="1" x14ac:dyDescent="0.35">
      <c r="A106" s="7">
        <v>105</v>
      </c>
      <c r="B106" s="3">
        <v>40548</v>
      </c>
      <c r="C106" s="1">
        <v>1</v>
      </c>
      <c r="D106" s="1">
        <v>0</v>
      </c>
      <c r="E106" s="1">
        <v>1</v>
      </c>
      <c r="F106" s="1">
        <v>13</v>
      </c>
      <c r="G106" s="4" t="b">
        <v>0</v>
      </c>
      <c r="H106" s="1">
        <v>3</v>
      </c>
      <c r="I106" s="1">
        <v>1</v>
      </c>
      <c r="J106" s="8">
        <v>0.28000000000000003</v>
      </c>
    </row>
    <row r="107" spans="1:10" ht="15" thickBot="1" x14ac:dyDescent="0.35">
      <c r="A107" s="7">
        <v>106</v>
      </c>
      <c r="B107" s="3">
        <v>40548</v>
      </c>
      <c r="C107" s="1">
        <v>1</v>
      </c>
      <c r="D107" s="1">
        <v>0</v>
      </c>
      <c r="E107" s="1">
        <v>1</v>
      </c>
      <c r="F107" s="1">
        <v>14</v>
      </c>
      <c r="G107" s="4" t="b">
        <v>0</v>
      </c>
      <c r="H107" s="1">
        <v>3</v>
      </c>
      <c r="I107" s="1">
        <v>1</v>
      </c>
      <c r="J107" s="8">
        <v>0.3</v>
      </c>
    </row>
    <row r="108" spans="1:10" ht="15" thickBot="1" x14ac:dyDescent="0.35">
      <c r="A108" s="7">
        <v>107</v>
      </c>
      <c r="B108" s="3">
        <v>40548</v>
      </c>
      <c r="C108" s="1">
        <v>1</v>
      </c>
      <c r="D108" s="1">
        <v>0</v>
      </c>
      <c r="E108" s="1">
        <v>1</v>
      </c>
      <c r="F108" s="1">
        <v>15</v>
      </c>
      <c r="G108" s="4" t="b">
        <v>0</v>
      </c>
      <c r="H108" s="1">
        <v>3</v>
      </c>
      <c r="I108" s="1">
        <v>1</v>
      </c>
      <c r="J108" s="8">
        <v>0.3</v>
      </c>
    </row>
    <row r="109" spans="1:10" ht="15" thickBot="1" x14ac:dyDescent="0.35">
      <c r="A109" s="7">
        <v>108</v>
      </c>
      <c r="B109" s="3">
        <v>40548</v>
      </c>
      <c r="C109" s="1">
        <v>1</v>
      </c>
      <c r="D109" s="1">
        <v>0</v>
      </c>
      <c r="E109" s="1">
        <v>1</v>
      </c>
      <c r="F109" s="1">
        <v>16</v>
      </c>
      <c r="G109" s="4" t="b">
        <v>0</v>
      </c>
      <c r="H109" s="1">
        <v>3</v>
      </c>
      <c r="I109" s="1">
        <v>1</v>
      </c>
      <c r="J109" s="8">
        <v>0.3</v>
      </c>
    </row>
    <row r="110" spans="1:10" ht="15" thickBot="1" x14ac:dyDescent="0.35">
      <c r="A110" s="7">
        <v>109</v>
      </c>
      <c r="B110" s="3">
        <v>40548</v>
      </c>
      <c r="C110" s="1">
        <v>1</v>
      </c>
      <c r="D110" s="1">
        <v>0</v>
      </c>
      <c r="E110" s="1">
        <v>1</v>
      </c>
      <c r="F110" s="1">
        <v>17</v>
      </c>
      <c r="G110" s="4" t="b">
        <v>0</v>
      </c>
      <c r="H110" s="1">
        <v>3</v>
      </c>
      <c r="I110" s="1">
        <v>1</v>
      </c>
      <c r="J110" s="8">
        <v>0.24</v>
      </c>
    </row>
    <row r="111" spans="1:10" ht="15" thickBot="1" x14ac:dyDescent="0.35">
      <c r="A111" s="7">
        <v>110</v>
      </c>
      <c r="B111" s="3">
        <v>40548</v>
      </c>
      <c r="C111" s="1">
        <v>1</v>
      </c>
      <c r="D111" s="1">
        <v>0</v>
      </c>
      <c r="E111" s="1">
        <v>1</v>
      </c>
      <c r="F111" s="1">
        <v>18</v>
      </c>
      <c r="G111" s="4" t="b">
        <v>0</v>
      </c>
      <c r="H111" s="1">
        <v>3</v>
      </c>
      <c r="I111" s="1">
        <v>1</v>
      </c>
      <c r="J111" s="8">
        <v>0.24</v>
      </c>
    </row>
    <row r="112" spans="1:10" ht="15" thickBot="1" x14ac:dyDescent="0.35">
      <c r="A112" s="7">
        <v>111</v>
      </c>
      <c r="B112" s="3">
        <v>40548</v>
      </c>
      <c r="C112" s="1">
        <v>1</v>
      </c>
      <c r="D112" s="1">
        <v>0</v>
      </c>
      <c r="E112" s="1">
        <v>1</v>
      </c>
      <c r="F112" s="1">
        <v>19</v>
      </c>
      <c r="G112" s="4" t="b">
        <v>0</v>
      </c>
      <c r="H112" s="1">
        <v>3</v>
      </c>
      <c r="I112" s="1">
        <v>1</v>
      </c>
      <c r="J112" s="8">
        <v>0.24</v>
      </c>
    </row>
    <row r="113" spans="1:10" ht="15" thickBot="1" x14ac:dyDescent="0.35">
      <c r="A113" s="7">
        <v>112</v>
      </c>
      <c r="B113" s="3">
        <v>40548</v>
      </c>
      <c r="C113" s="1">
        <v>1</v>
      </c>
      <c r="D113" s="1">
        <v>0</v>
      </c>
      <c r="E113" s="1">
        <v>1</v>
      </c>
      <c r="F113" s="1">
        <v>20</v>
      </c>
      <c r="G113" s="4" t="b">
        <v>0</v>
      </c>
      <c r="H113" s="1">
        <v>3</v>
      </c>
      <c r="I113" s="1">
        <v>1</v>
      </c>
      <c r="J113" s="8">
        <v>0.22</v>
      </c>
    </row>
    <row r="114" spans="1:10" ht="15" thickBot="1" x14ac:dyDescent="0.35">
      <c r="A114" s="7">
        <v>113</v>
      </c>
      <c r="B114" s="3">
        <v>40548</v>
      </c>
      <c r="C114" s="1">
        <v>1</v>
      </c>
      <c r="D114" s="1">
        <v>0</v>
      </c>
      <c r="E114" s="1">
        <v>1</v>
      </c>
      <c r="F114" s="1">
        <v>21</v>
      </c>
      <c r="G114" s="4" t="b">
        <v>0</v>
      </c>
      <c r="H114" s="1">
        <v>3</v>
      </c>
      <c r="I114" s="1">
        <v>1</v>
      </c>
      <c r="J114" s="8">
        <v>0.2</v>
      </c>
    </row>
    <row r="115" spans="1:10" ht="15" thickBot="1" x14ac:dyDescent="0.35">
      <c r="A115" s="7">
        <v>114</v>
      </c>
      <c r="B115" s="3">
        <v>40548</v>
      </c>
      <c r="C115" s="1">
        <v>1</v>
      </c>
      <c r="D115" s="1">
        <v>0</v>
      </c>
      <c r="E115" s="1">
        <v>1</v>
      </c>
      <c r="F115" s="1">
        <v>22</v>
      </c>
      <c r="G115" s="4" t="b">
        <v>0</v>
      </c>
      <c r="H115" s="1">
        <v>3</v>
      </c>
      <c r="I115" s="1">
        <v>1</v>
      </c>
      <c r="J115" s="8">
        <v>0.18</v>
      </c>
    </row>
    <row r="116" spans="1:10" ht="15" thickBot="1" x14ac:dyDescent="0.35">
      <c r="A116" s="7">
        <v>115</v>
      </c>
      <c r="B116" s="3">
        <v>40548</v>
      </c>
      <c r="C116" s="1">
        <v>1</v>
      </c>
      <c r="D116" s="1">
        <v>0</v>
      </c>
      <c r="E116" s="1">
        <v>1</v>
      </c>
      <c r="F116" s="1">
        <v>23</v>
      </c>
      <c r="G116" s="4" t="b">
        <v>0</v>
      </c>
      <c r="H116" s="1">
        <v>3</v>
      </c>
      <c r="I116" s="1">
        <v>1</v>
      </c>
      <c r="J116" s="8">
        <v>0.2</v>
      </c>
    </row>
    <row r="117" spans="1:10" ht="15" thickBot="1" x14ac:dyDescent="0.35">
      <c r="A117" s="7">
        <v>116</v>
      </c>
      <c r="B117" s="3">
        <v>40549</v>
      </c>
      <c r="C117" s="1">
        <v>1</v>
      </c>
      <c r="D117" s="1">
        <v>0</v>
      </c>
      <c r="E117" s="1">
        <v>1</v>
      </c>
      <c r="F117" s="1">
        <v>0</v>
      </c>
      <c r="G117" s="4" t="b">
        <v>0</v>
      </c>
      <c r="H117" s="1">
        <v>4</v>
      </c>
      <c r="I117" s="1">
        <v>1</v>
      </c>
      <c r="J117" s="8">
        <v>0.18</v>
      </c>
    </row>
    <row r="118" spans="1:10" ht="15" thickBot="1" x14ac:dyDescent="0.35">
      <c r="A118" s="7">
        <v>117</v>
      </c>
      <c r="B118" s="3">
        <v>40549</v>
      </c>
      <c r="C118" s="1">
        <v>1</v>
      </c>
      <c r="D118" s="1">
        <v>0</v>
      </c>
      <c r="E118" s="1">
        <v>1</v>
      </c>
      <c r="F118" s="1">
        <v>1</v>
      </c>
      <c r="G118" s="4" t="b">
        <v>0</v>
      </c>
      <c r="H118" s="1">
        <v>4</v>
      </c>
      <c r="I118" s="1">
        <v>1</v>
      </c>
      <c r="J118" s="8">
        <v>0.16</v>
      </c>
    </row>
    <row r="119" spans="1:10" ht="15" thickBot="1" x14ac:dyDescent="0.35">
      <c r="A119" s="7">
        <v>118</v>
      </c>
      <c r="B119" s="3">
        <v>40549</v>
      </c>
      <c r="C119" s="1">
        <v>1</v>
      </c>
      <c r="D119" s="1">
        <v>0</v>
      </c>
      <c r="E119" s="1">
        <v>1</v>
      </c>
      <c r="F119" s="1">
        <v>2</v>
      </c>
      <c r="G119" s="4" t="b">
        <v>0</v>
      </c>
      <c r="H119" s="1">
        <v>4</v>
      </c>
      <c r="I119" s="1">
        <v>1</v>
      </c>
      <c r="J119" s="8">
        <v>0.16</v>
      </c>
    </row>
    <row r="120" spans="1:10" ht="15" thickBot="1" x14ac:dyDescent="0.35">
      <c r="A120" s="7">
        <v>119</v>
      </c>
      <c r="B120" s="3">
        <v>40549</v>
      </c>
      <c r="C120" s="1">
        <v>1</v>
      </c>
      <c r="D120" s="1">
        <v>0</v>
      </c>
      <c r="E120" s="1">
        <v>1</v>
      </c>
      <c r="F120" s="1">
        <v>4</v>
      </c>
      <c r="G120" s="4" t="b">
        <v>0</v>
      </c>
      <c r="H120" s="1">
        <v>4</v>
      </c>
      <c r="I120" s="1">
        <v>2</v>
      </c>
      <c r="J120" s="8">
        <v>0.16</v>
      </c>
    </row>
    <row r="121" spans="1:10" ht="15" thickBot="1" x14ac:dyDescent="0.35">
      <c r="A121" s="7">
        <v>120</v>
      </c>
      <c r="B121" s="3">
        <v>40549</v>
      </c>
      <c r="C121" s="1">
        <v>1</v>
      </c>
      <c r="D121" s="1">
        <v>0</v>
      </c>
      <c r="E121" s="1">
        <v>1</v>
      </c>
      <c r="F121" s="1">
        <v>5</v>
      </c>
      <c r="G121" s="4" t="b">
        <v>0</v>
      </c>
      <c r="H121" s="1">
        <v>4</v>
      </c>
      <c r="I121" s="1">
        <v>2</v>
      </c>
      <c r="J121" s="8">
        <v>0.14000000000000001</v>
      </c>
    </row>
    <row r="122" spans="1:10" ht="15" thickBot="1" x14ac:dyDescent="0.35">
      <c r="A122" s="7">
        <v>121</v>
      </c>
      <c r="B122" s="3">
        <v>40549</v>
      </c>
      <c r="C122" s="1">
        <v>1</v>
      </c>
      <c r="D122" s="1">
        <v>0</v>
      </c>
      <c r="E122" s="1">
        <v>1</v>
      </c>
      <c r="F122" s="1">
        <v>6</v>
      </c>
      <c r="G122" s="4" t="b">
        <v>0</v>
      </c>
      <c r="H122" s="1">
        <v>4</v>
      </c>
      <c r="I122" s="1">
        <v>2</v>
      </c>
      <c r="J122" s="8">
        <v>0.14000000000000001</v>
      </c>
    </row>
    <row r="123" spans="1:10" ht="15" thickBot="1" x14ac:dyDescent="0.35">
      <c r="A123" s="7">
        <v>122</v>
      </c>
      <c r="B123" s="3">
        <v>40549</v>
      </c>
      <c r="C123" s="1">
        <v>1</v>
      </c>
      <c r="D123" s="1">
        <v>0</v>
      </c>
      <c r="E123" s="1">
        <v>1</v>
      </c>
      <c r="F123" s="1">
        <v>7</v>
      </c>
      <c r="G123" s="4" t="b">
        <v>0</v>
      </c>
      <c r="H123" s="1">
        <v>4</v>
      </c>
      <c r="I123" s="1">
        <v>2</v>
      </c>
      <c r="J123" s="8">
        <v>0.16</v>
      </c>
    </row>
    <row r="124" spans="1:10" ht="15" thickBot="1" x14ac:dyDescent="0.35">
      <c r="A124" s="7">
        <v>123</v>
      </c>
      <c r="B124" s="3">
        <v>40549</v>
      </c>
      <c r="C124" s="1">
        <v>1</v>
      </c>
      <c r="D124" s="1">
        <v>0</v>
      </c>
      <c r="E124" s="1">
        <v>1</v>
      </c>
      <c r="F124" s="1">
        <v>8</v>
      </c>
      <c r="G124" s="4" t="b">
        <v>0</v>
      </c>
      <c r="H124" s="1">
        <v>4</v>
      </c>
      <c r="I124" s="1">
        <v>1</v>
      </c>
      <c r="J124" s="8">
        <v>0.16</v>
      </c>
    </row>
    <row r="125" spans="1:10" ht="15" thickBot="1" x14ac:dyDescent="0.35">
      <c r="A125" s="7">
        <v>124</v>
      </c>
      <c r="B125" s="3">
        <v>40549</v>
      </c>
      <c r="C125" s="1">
        <v>1</v>
      </c>
      <c r="D125" s="1">
        <v>0</v>
      </c>
      <c r="E125" s="1">
        <v>1</v>
      </c>
      <c r="F125" s="1">
        <v>9</v>
      </c>
      <c r="G125" s="4" t="b">
        <v>0</v>
      </c>
      <c r="H125" s="1">
        <v>4</v>
      </c>
      <c r="I125" s="1">
        <v>2</v>
      </c>
      <c r="J125" s="8">
        <v>0.18</v>
      </c>
    </row>
    <row r="126" spans="1:10" ht="15" thickBot="1" x14ac:dyDescent="0.35">
      <c r="A126" s="7">
        <v>125</v>
      </c>
      <c r="B126" s="3">
        <v>40549</v>
      </c>
      <c r="C126" s="1">
        <v>1</v>
      </c>
      <c r="D126" s="1">
        <v>0</v>
      </c>
      <c r="E126" s="1">
        <v>1</v>
      </c>
      <c r="F126" s="1">
        <v>10</v>
      </c>
      <c r="G126" s="4" t="b">
        <v>0</v>
      </c>
      <c r="H126" s="1">
        <v>4</v>
      </c>
      <c r="I126" s="1">
        <v>1</v>
      </c>
      <c r="J126" s="8">
        <v>0.2</v>
      </c>
    </row>
    <row r="127" spans="1:10" ht="15" thickBot="1" x14ac:dyDescent="0.35">
      <c r="A127" s="7">
        <v>126</v>
      </c>
      <c r="B127" s="3">
        <v>40549</v>
      </c>
      <c r="C127" s="1">
        <v>1</v>
      </c>
      <c r="D127" s="1">
        <v>0</v>
      </c>
      <c r="E127" s="1">
        <v>1</v>
      </c>
      <c r="F127" s="1">
        <v>11</v>
      </c>
      <c r="G127" s="4" t="b">
        <v>0</v>
      </c>
      <c r="H127" s="1">
        <v>4</v>
      </c>
      <c r="I127" s="1">
        <v>1</v>
      </c>
      <c r="J127" s="8">
        <v>0.22</v>
      </c>
    </row>
    <row r="128" spans="1:10" ht="15" thickBot="1" x14ac:dyDescent="0.35">
      <c r="A128" s="7">
        <v>127</v>
      </c>
      <c r="B128" s="3">
        <v>40549</v>
      </c>
      <c r="C128" s="1">
        <v>1</v>
      </c>
      <c r="D128" s="1">
        <v>0</v>
      </c>
      <c r="E128" s="1">
        <v>1</v>
      </c>
      <c r="F128" s="1">
        <v>12</v>
      </c>
      <c r="G128" s="4" t="b">
        <v>0</v>
      </c>
      <c r="H128" s="1">
        <v>4</v>
      </c>
      <c r="I128" s="1">
        <v>1</v>
      </c>
      <c r="J128" s="8">
        <v>0.26</v>
      </c>
    </row>
    <row r="129" spans="1:10" ht="15" thickBot="1" x14ac:dyDescent="0.35">
      <c r="A129" s="7">
        <v>128</v>
      </c>
      <c r="B129" s="3">
        <v>40549</v>
      </c>
      <c r="C129" s="1">
        <v>1</v>
      </c>
      <c r="D129" s="1">
        <v>0</v>
      </c>
      <c r="E129" s="1">
        <v>1</v>
      </c>
      <c r="F129" s="1">
        <v>13</v>
      </c>
      <c r="G129" s="4" t="b">
        <v>0</v>
      </c>
      <c r="H129" s="1">
        <v>4</v>
      </c>
      <c r="I129" s="1">
        <v>1</v>
      </c>
      <c r="J129" s="8">
        <v>0.26</v>
      </c>
    </row>
    <row r="130" spans="1:10" ht="15" thickBot="1" x14ac:dyDescent="0.35">
      <c r="A130" s="7">
        <v>129</v>
      </c>
      <c r="B130" s="3">
        <v>40549</v>
      </c>
      <c r="C130" s="1">
        <v>1</v>
      </c>
      <c r="D130" s="1">
        <v>0</v>
      </c>
      <c r="E130" s="1">
        <v>1</v>
      </c>
      <c r="F130" s="1">
        <v>14</v>
      </c>
      <c r="G130" s="4" t="b">
        <v>0</v>
      </c>
      <c r="H130" s="1">
        <v>4</v>
      </c>
      <c r="I130" s="1">
        <v>1</v>
      </c>
      <c r="J130" s="8">
        <v>0.28000000000000003</v>
      </c>
    </row>
    <row r="131" spans="1:10" ht="15" thickBot="1" x14ac:dyDescent="0.35">
      <c r="A131" s="7">
        <v>130</v>
      </c>
      <c r="B131" s="3">
        <v>40549</v>
      </c>
      <c r="C131" s="1">
        <v>1</v>
      </c>
      <c r="D131" s="1">
        <v>0</v>
      </c>
      <c r="E131" s="1">
        <v>1</v>
      </c>
      <c r="F131" s="1">
        <v>15</v>
      </c>
      <c r="G131" s="4" t="b">
        <v>0</v>
      </c>
      <c r="H131" s="1">
        <v>4</v>
      </c>
      <c r="I131" s="1">
        <v>1</v>
      </c>
      <c r="J131" s="8">
        <v>0.28000000000000003</v>
      </c>
    </row>
    <row r="132" spans="1:10" ht="15" thickBot="1" x14ac:dyDescent="0.35">
      <c r="A132" s="7">
        <v>131</v>
      </c>
      <c r="B132" s="3">
        <v>40549</v>
      </c>
      <c r="C132" s="1">
        <v>1</v>
      </c>
      <c r="D132" s="1">
        <v>0</v>
      </c>
      <c r="E132" s="1">
        <v>1</v>
      </c>
      <c r="F132" s="1">
        <v>16</v>
      </c>
      <c r="G132" s="4" t="b">
        <v>0</v>
      </c>
      <c r="H132" s="1">
        <v>4</v>
      </c>
      <c r="I132" s="1">
        <v>1</v>
      </c>
      <c r="J132" s="8">
        <v>0.26</v>
      </c>
    </row>
    <row r="133" spans="1:10" ht="15" thickBot="1" x14ac:dyDescent="0.35">
      <c r="A133" s="7">
        <v>132</v>
      </c>
      <c r="B133" s="3">
        <v>40549</v>
      </c>
      <c r="C133" s="1">
        <v>1</v>
      </c>
      <c r="D133" s="1">
        <v>0</v>
      </c>
      <c r="E133" s="1">
        <v>1</v>
      </c>
      <c r="F133" s="1">
        <v>17</v>
      </c>
      <c r="G133" s="4" t="b">
        <v>0</v>
      </c>
      <c r="H133" s="1">
        <v>4</v>
      </c>
      <c r="I133" s="1">
        <v>1</v>
      </c>
      <c r="J133" s="8">
        <v>0.22</v>
      </c>
    </row>
    <row r="134" spans="1:10" ht="15" thickBot="1" x14ac:dyDescent="0.35">
      <c r="A134" s="7">
        <v>133</v>
      </c>
      <c r="B134" s="3">
        <v>40549</v>
      </c>
      <c r="C134" s="1">
        <v>1</v>
      </c>
      <c r="D134" s="1">
        <v>0</v>
      </c>
      <c r="E134" s="1">
        <v>1</v>
      </c>
      <c r="F134" s="1">
        <v>18</v>
      </c>
      <c r="G134" s="4" t="b">
        <v>0</v>
      </c>
      <c r="H134" s="1">
        <v>4</v>
      </c>
      <c r="I134" s="1">
        <v>1</v>
      </c>
      <c r="J134" s="8">
        <v>0.22</v>
      </c>
    </row>
    <row r="135" spans="1:10" ht="15" thickBot="1" x14ac:dyDescent="0.35">
      <c r="A135" s="7">
        <v>134</v>
      </c>
      <c r="B135" s="3">
        <v>40549</v>
      </c>
      <c r="C135" s="1">
        <v>1</v>
      </c>
      <c r="D135" s="1">
        <v>0</v>
      </c>
      <c r="E135" s="1">
        <v>1</v>
      </c>
      <c r="F135" s="1">
        <v>19</v>
      </c>
      <c r="G135" s="4" t="b">
        <v>0</v>
      </c>
      <c r="H135" s="1">
        <v>4</v>
      </c>
      <c r="I135" s="1">
        <v>1</v>
      </c>
      <c r="J135" s="8">
        <v>0.22</v>
      </c>
    </row>
    <row r="136" spans="1:10" ht="15" thickBot="1" x14ac:dyDescent="0.35">
      <c r="A136" s="7">
        <v>135</v>
      </c>
      <c r="B136" s="3">
        <v>40549</v>
      </c>
      <c r="C136" s="1">
        <v>1</v>
      </c>
      <c r="D136" s="1">
        <v>0</v>
      </c>
      <c r="E136" s="1">
        <v>1</v>
      </c>
      <c r="F136" s="1">
        <v>20</v>
      </c>
      <c r="G136" s="4" t="b">
        <v>0</v>
      </c>
      <c r="H136" s="1">
        <v>4</v>
      </c>
      <c r="I136" s="1">
        <v>1</v>
      </c>
      <c r="J136" s="8">
        <v>0.2</v>
      </c>
    </row>
    <row r="137" spans="1:10" ht="15" thickBot="1" x14ac:dyDescent="0.35">
      <c r="A137" s="7">
        <v>136</v>
      </c>
      <c r="B137" s="3">
        <v>40549</v>
      </c>
      <c r="C137" s="1">
        <v>1</v>
      </c>
      <c r="D137" s="1">
        <v>0</v>
      </c>
      <c r="E137" s="1">
        <v>1</v>
      </c>
      <c r="F137" s="1">
        <v>21</v>
      </c>
      <c r="G137" s="4" t="b">
        <v>0</v>
      </c>
      <c r="H137" s="1">
        <v>4</v>
      </c>
      <c r="I137" s="1">
        <v>2</v>
      </c>
      <c r="J137" s="8">
        <v>0.22</v>
      </c>
    </row>
    <row r="138" spans="1:10" ht="15" thickBot="1" x14ac:dyDescent="0.35">
      <c r="A138" s="7">
        <v>137</v>
      </c>
      <c r="B138" s="3">
        <v>40549</v>
      </c>
      <c r="C138" s="1">
        <v>1</v>
      </c>
      <c r="D138" s="1">
        <v>0</v>
      </c>
      <c r="E138" s="1">
        <v>1</v>
      </c>
      <c r="F138" s="1">
        <v>22</v>
      </c>
      <c r="G138" s="4" t="b">
        <v>0</v>
      </c>
      <c r="H138" s="1">
        <v>4</v>
      </c>
      <c r="I138" s="1">
        <v>2</v>
      </c>
      <c r="J138" s="8">
        <v>0.22</v>
      </c>
    </row>
    <row r="139" spans="1:10" ht="15" thickBot="1" x14ac:dyDescent="0.35">
      <c r="A139" s="7">
        <v>138</v>
      </c>
      <c r="B139" s="3">
        <v>40549</v>
      </c>
      <c r="C139" s="1">
        <v>1</v>
      </c>
      <c r="D139" s="1">
        <v>0</v>
      </c>
      <c r="E139" s="1">
        <v>1</v>
      </c>
      <c r="F139" s="1">
        <v>23</v>
      </c>
      <c r="G139" s="4" t="b">
        <v>0</v>
      </c>
      <c r="H139" s="1">
        <v>4</v>
      </c>
      <c r="I139" s="1">
        <v>2</v>
      </c>
      <c r="J139" s="8">
        <v>0.2</v>
      </c>
    </row>
    <row r="140" spans="1:10" ht="15" thickBot="1" x14ac:dyDescent="0.35">
      <c r="A140" s="7">
        <v>139</v>
      </c>
      <c r="B140" s="3">
        <v>40550</v>
      </c>
      <c r="C140" s="1">
        <v>1</v>
      </c>
      <c r="D140" s="1">
        <v>0</v>
      </c>
      <c r="E140" s="1">
        <v>1</v>
      </c>
      <c r="F140" s="1">
        <v>0</v>
      </c>
      <c r="G140" s="4" t="b">
        <v>0</v>
      </c>
      <c r="H140" s="1">
        <v>5</v>
      </c>
      <c r="I140" s="1">
        <v>2</v>
      </c>
      <c r="J140" s="8">
        <v>0.2</v>
      </c>
    </row>
    <row r="141" spans="1:10" ht="15" thickBot="1" x14ac:dyDescent="0.35">
      <c r="A141" s="7">
        <v>140</v>
      </c>
      <c r="B141" s="3">
        <v>40550</v>
      </c>
      <c r="C141" s="1">
        <v>1</v>
      </c>
      <c r="D141" s="1">
        <v>0</v>
      </c>
      <c r="E141" s="1">
        <v>1</v>
      </c>
      <c r="F141" s="1">
        <v>1</v>
      </c>
      <c r="G141" s="4" t="b">
        <v>0</v>
      </c>
      <c r="H141" s="1">
        <v>5</v>
      </c>
      <c r="I141" s="1">
        <v>2</v>
      </c>
      <c r="J141" s="8">
        <v>0.2</v>
      </c>
    </row>
    <row r="142" spans="1:10" ht="15" thickBot="1" x14ac:dyDescent="0.35">
      <c r="A142" s="7">
        <v>141</v>
      </c>
      <c r="B142" s="3">
        <v>40550</v>
      </c>
      <c r="C142" s="1">
        <v>1</v>
      </c>
      <c r="D142" s="1">
        <v>0</v>
      </c>
      <c r="E142" s="1">
        <v>1</v>
      </c>
      <c r="F142" s="1">
        <v>2</v>
      </c>
      <c r="G142" s="4" t="b">
        <v>0</v>
      </c>
      <c r="H142" s="1">
        <v>5</v>
      </c>
      <c r="I142" s="1">
        <v>2</v>
      </c>
      <c r="J142" s="8">
        <v>0.2</v>
      </c>
    </row>
    <row r="143" spans="1:10" ht="15" thickBot="1" x14ac:dyDescent="0.35">
      <c r="A143" s="7">
        <v>142</v>
      </c>
      <c r="B143" s="3">
        <v>40550</v>
      </c>
      <c r="C143" s="1">
        <v>1</v>
      </c>
      <c r="D143" s="1">
        <v>0</v>
      </c>
      <c r="E143" s="1">
        <v>1</v>
      </c>
      <c r="F143" s="1">
        <v>4</v>
      </c>
      <c r="G143" s="4" t="b">
        <v>0</v>
      </c>
      <c r="H143" s="1">
        <v>5</v>
      </c>
      <c r="I143" s="1">
        <v>2</v>
      </c>
      <c r="J143" s="8">
        <v>0.2</v>
      </c>
    </row>
    <row r="144" spans="1:10" ht="15" thickBot="1" x14ac:dyDescent="0.35">
      <c r="A144" s="7">
        <v>143</v>
      </c>
      <c r="B144" s="3">
        <v>40550</v>
      </c>
      <c r="C144" s="1">
        <v>1</v>
      </c>
      <c r="D144" s="1">
        <v>0</v>
      </c>
      <c r="E144" s="1">
        <v>1</v>
      </c>
      <c r="F144" s="1">
        <v>5</v>
      </c>
      <c r="G144" s="4" t="b">
        <v>0</v>
      </c>
      <c r="H144" s="1">
        <v>5</v>
      </c>
      <c r="I144" s="1">
        <v>3</v>
      </c>
      <c r="J144" s="8">
        <v>0.22</v>
      </c>
    </row>
    <row r="145" spans="1:10" ht="15" thickBot="1" x14ac:dyDescent="0.35">
      <c r="A145" s="7">
        <v>144</v>
      </c>
      <c r="B145" s="3">
        <v>40550</v>
      </c>
      <c r="C145" s="1">
        <v>1</v>
      </c>
      <c r="D145" s="1">
        <v>0</v>
      </c>
      <c r="E145" s="1">
        <v>1</v>
      </c>
      <c r="F145" s="1">
        <v>6</v>
      </c>
      <c r="G145" s="4" t="b">
        <v>0</v>
      </c>
      <c r="H145" s="1">
        <v>5</v>
      </c>
      <c r="I145" s="1">
        <v>2</v>
      </c>
      <c r="J145" s="8">
        <v>0.2</v>
      </c>
    </row>
    <row r="146" spans="1:10" ht="15" thickBot="1" x14ac:dyDescent="0.35">
      <c r="A146" s="7">
        <v>145</v>
      </c>
      <c r="B146" s="3">
        <v>40550</v>
      </c>
      <c r="C146" s="1">
        <v>1</v>
      </c>
      <c r="D146" s="1">
        <v>0</v>
      </c>
      <c r="E146" s="1">
        <v>1</v>
      </c>
      <c r="F146" s="1">
        <v>7</v>
      </c>
      <c r="G146" s="4" t="b">
        <v>0</v>
      </c>
      <c r="H146" s="1">
        <v>5</v>
      </c>
      <c r="I146" s="1">
        <v>1</v>
      </c>
      <c r="J146" s="8">
        <v>0.2</v>
      </c>
    </row>
    <row r="147" spans="1:10" ht="15" thickBot="1" x14ac:dyDescent="0.35">
      <c r="A147" s="7">
        <v>146</v>
      </c>
      <c r="B147" s="3">
        <v>40550</v>
      </c>
      <c r="C147" s="1">
        <v>1</v>
      </c>
      <c r="D147" s="1">
        <v>0</v>
      </c>
      <c r="E147" s="1">
        <v>1</v>
      </c>
      <c r="F147" s="1">
        <v>8</v>
      </c>
      <c r="G147" s="4" t="b">
        <v>0</v>
      </c>
      <c r="H147" s="1">
        <v>5</v>
      </c>
      <c r="I147" s="1">
        <v>1</v>
      </c>
      <c r="J147" s="8">
        <v>0.2</v>
      </c>
    </row>
    <row r="148" spans="1:10" ht="15" thickBot="1" x14ac:dyDescent="0.35">
      <c r="A148" s="7">
        <v>147</v>
      </c>
      <c r="B148" s="3">
        <v>40550</v>
      </c>
      <c r="C148" s="1">
        <v>1</v>
      </c>
      <c r="D148" s="1">
        <v>0</v>
      </c>
      <c r="E148" s="1">
        <v>1</v>
      </c>
      <c r="F148" s="1">
        <v>9</v>
      </c>
      <c r="G148" s="4" t="b">
        <v>0</v>
      </c>
      <c r="H148" s="1">
        <v>5</v>
      </c>
      <c r="I148" s="1">
        <v>1</v>
      </c>
      <c r="J148" s="8">
        <v>0.2</v>
      </c>
    </row>
    <row r="149" spans="1:10" ht="15" thickBot="1" x14ac:dyDescent="0.35">
      <c r="A149" s="7">
        <v>148</v>
      </c>
      <c r="B149" s="3">
        <v>40550</v>
      </c>
      <c r="C149" s="1">
        <v>1</v>
      </c>
      <c r="D149" s="1">
        <v>0</v>
      </c>
      <c r="E149" s="1">
        <v>1</v>
      </c>
      <c r="F149" s="1">
        <v>10</v>
      </c>
      <c r="G149" s="4" t="b">
        <v>0</v>
      </c>
      <c r="H149" s="1">
        <v>5</v>
      </c>
      <c r="I149" s="1">
        <v>1</v>
      </c>
      <c r="J149" s="8">
        <v>0.22</v>
      </c>
    </row>
    <row r="150" spans="1:10" ht="15" thickBot="1" x14ac:dyDescent="0.35">
      <c r="A150" s="7">
        <v>149</v>
      </c>
      <c r="B150" s="3">
        <v>40550</v>
      </c>
      <c r="C150" s="1">
        <v>1</v>
      </c>
      <c r="D150" s="1">
        <v>0</v>
      </c>
      <c r="E150" s="1">
        <v>1</v>
      </c>
      <c r="F150" s="1">
        <v>11</v>
      </c>
      <c r="G150" s="4" t="b">
        <v>0</v>
      </c>
      <c r="H150" s="1">
        <v>5</v>
      </c>
      <c r="I150" s="1">
        <v>2</v>
      </c>
      <c r="J150" s="8">
        <v>0.2</v>
      </c>
    </row>
    <row r="151" spans="1:10" ht="15" thickBot="1" x14ac:dyDescent="0.35">
      <c r="A151" s="7">
        <v>150</v>
      </c>
      <c r="B151" s="3">
        <v>40550</v>
      </c>
      <c r="C151" s="1">
        <v>1</v>
      </c>
      <c r="D151" s="1">
        <v>0</v>
      </c>
      <c r="E151" s="1">
        <v>1</v>
      </c>
      <c r="F151" s="1">
        <v>12</v>
      </c>
      <c r="G151" s="4" t="b">
        <v>0</v>
      </c>
      <c r="H151" s="1">
        <v>5</v>
      </c>
      <c r="I151" s="1">
        <v>2</v>
      </c>
      <c r="J151" s="8">
        <v>0.2</v>
      </c>
    </row>
    <row r="152" spans="1:10" ht="15" thickBot="1" x14ac:dyDescent="0.35">
      <c r="A152" s="7">
        <v>151</v>
      </c>
      <c r="B152" s="3">
        <v>40550</v>
      </c>
      <c r="C152" s="1">
        <v>1</v>
      </c>
      <c r="D152" s="1">
        <v>0</v>
      </c>
      <c r="E152" s="1">
        <v>1</v>
      </c>
      <c r="F152" s="1">
        <v>13</v>
      </c>
      <c r="G152" s="4" t="b">
        <v>0</v>
      </c>
      <c r="H152" s="1">
        <v>5</v>
      </c>
      <c r="I152" s="1">
        <v>2</v>
      </c>
      <c r="J152" s="8">
        <v>0.2</v>
      </c>
    </row>
    <row r="153" spans="1:10" ht="15" thickBot="1" x14ac:dyDescent="0.35">
      <c r="A153" s="7">
        <v>152</v>
      </c>
      <c r="B153" s="3">
        <v>40550</v>
      </c>
      <c r="C153" s="1">
        <v>1</v>
      </c>
      <c r="D153" s="1">
        <v>0</v>
      </c>
      <c r="E153" s="1">
        <v>1</v>
      </c>
      <c r="F153" s="1">
        <v>14</v>
      </c>
      <c r="G153" s="4" t="b">
        <v>0</v>
      </c>
      <c r="H153" s="1">
        <v>5</v>
      </c>
      <c r="I153" s="1">
        <v>2</v>
      </c>
      <c r="J153" s="8">
        <v>0.2</v>
      </c>
    </row>
    <row r="154" spans="1:10" ht="15" thickBot="1" x14ac:dyDescent="0.35">
      <c r="A154" s="7">
        <v>153</v>
      </c>
      <c r="B154" s="3">
        <v>40550</v>
      </c>
      <c r="C154" s="1">
        <v>1</v>
      </c>
      <c r="D154" s="1">
        <v>0</v>
      </c>
      <c r="E154" s="1">
        <v>1</v>
      </c>
      <c r="F154" s="1">
        <v>15</v>
      </c>
      <c r="G154" s="4" t="b">
        <v>0</v>
      </c>
      <c r="H154" s="1">
        <v>5</v>
      </c>
      <c r="I154" s="1">
        <v>2</v>
      </c>
      <c r="J154" s="8">
        <v>0.2</v>
      </c>
    </row>
    <row r="155" spans="1:10" ht="15" thickBot="1" x14ac:dyDescent="0.35">
      <c r="A155" s="7">
        <v>154</v>
      </c>
      <c r="B155" s="3">
        <v>40550</v>
      </c>
      <c r="C155" s="1">
        <v>1</v>
      </c>
      <c r="D155" s="1">
        <v>0</v>
      </c>
      <c r="E155" s="1">
        <v>1</v>
      </c>
      <c r="F155" s="1">
        <v>16</v>
      </c>
      <c r="G155" s="4" t="b">
        <v>0</v>
      </c>
      <c r="H155" s="1">
        <v>5</v>
      </c>
      <c r="I155" s="1">
        <v>2</v>
      </c>
      <c r="J155" s="8">
        <v>0.2</v>
      </c>
    </row>
    <row r="156" spans="1:10" ht="15" thickBot="1" x14ac:dyDescent="0.35">
      <c r="A156" s="7">
        <v>155</v>
      </c>
      <c r="B156" s="3">
        <v>40550</v>
      </c>
      <c r="C156" s="1">
        <v>1</v>
      </c>
      <c r="D156" s="1">
        <v>0</v>
      </c>
      <c r="E156" s="1">
        <v>1</v>
      </c>
      <c r="F156" s="1">
        <v>17</v>
      </c>
      <c r="G156" s="4" t="b">
        <v>0</v>
      </c>
      <c r="H156" s="1">
        <v>5</v>
      </c>
      <c r="I156" s="1">
        <v>2</v>
      </c>
      <c r="J156" s="8">
        <v>0.2</v>
      </c>
    </row>
    <row r="157" spans="1:10" ht="15" thickBot="1" x14ac:dyDescent="0.35">
      <c r="A157" s="7">
        <v>156</v>
      </c>
      <c r="B157" s="3">
        <v>40550</v>
      </c>
      <c r="C157" s="1">
        <v>1</v>
      </c>
      <c r="D157" s="1">
        <v>0</v>
      </c>
      <c r="E157" s="1">
        <v>1</v>
      </c>
      <c r="F157" s="1">
        <v>18</v>
      </c>
      <c r="G157" s="4" t="b">
        <v>0</v>
      </c>
      <c r="H157" s="1">
        <v>5</v>
      </c>
      <c r="I157" s="1">
        <v>1</v>
      </c>
      <c r="J157" s="8">
        <v>0.2</v>
      </c>
    </row>
    <row r="158" spans="1:10" ht="15" thickBot="1" x14ac:dyDescent="0.35">
      <c r="A158" s="7">
        <v>157</v>
      </c>
      <c r="B158" s="3">
        <v>40550</v>
      </c>
      <c r="C158" s="1">
        <v>1</v>
      </c>
      <c r="D158" s="1">
        <v>0</v>
      </c>
      <c r="E158" s="1">
        <v>1</v>
      </c>
      <c r="F158" s="1">
        <v>19</v>
      </c>
      <c r="G158" s="4" t="b">
        <v>0</v>
      </c>
      <c r="H158" s="1">
        <v>5</v>
      </c>
      <c r="I158" s="1">
        <v>1</v>
      </c>
      <c r="J158" s="8">
        <v>0.16</v>
      </c>
    </row>
    <row r="159" spans="1:10" ht="15" thickBot="1" x14ac:dyDescent="0.35">
      <c r="A159" s="7">
        <v>158</v>
      </c>
      <c r="B159" s="3">
        <v>40550</v>
      </c>
      <c r="C159" s="1">
        <v>1</v>
      </c>
      <c r="D159" s="1">
        <v>0</v>
      </c>
      <c r="E159" s="1">
        <v>1</v>
      </c>
      <c r="F159" s="1">
        <v>20</v>
      </c>
      <c r="G159" s="4" t="b">
        <v>0</v>
      </c>
      <c r="H159" s="1">
        <v>5</v>
      </c>
      <c r="I159" s="1">
        <v>1</v>
      </c>
      <c r="J159" s="8">
        <v>0.18</v>
      </c>
    </row>
    <row r="160" spans="1:10" ht="15" thickBot="1" x14ac:dyDescent="0.35">
      <c r="A160" s="7">
        <v>159</v>
      </c>
      <c r="B160" s="3">
        <v>40550</v>
      </c>
      <c r="C160" s="1">
        <v>1</v>
      </c>
      <c r="D160" s="1">
        <v>0</v>
      </c>
      <c r="E160" s="1">
        <v>1</v>
      </c>
      <c r="F160" s="1">
        <v>21</v>
      </c>
      <c r="G160" s="4" t="b">
        <v>0</v>
      </c>
      <c r="H160" s="1">
        <v>5</v>
      </c>
      <c r="I160" s="1">
        <v>1</v>
      </c>
      <c r="J160" s="8">
        <v>0.18</v>
      </c>
    </row>
    <row r="161" spans="1:10" ht="15" thickBot="1" x14ac:dyDescent="0.35">
      <c r="A161" s="7">
        <v>160</v>
      </c>
      <c r="B161" s="3">
        <v>40550</v>
      </c>
      <c r="C161" s="1">
        <v>1</v>
      </c>
      <c r="D161" s="1">
        <v>0</v>
      </c>
      <c r="E161" s="1">
        <v>1</v>
      </c>
      <c r="F161" s="1">
        <v>22</v>
      </c>
      <c r="G161" s="4" t="b">
        <v>0</v>
      </c>
      <c r="H161" s="1">
        <v>5</v>
      </c>
      <c r="I161" s="1">
        <v>2</v>
      </c>
      <c r="J161" s="8">
        <v>0.18</v>
      </c>
    </row>
    <row r="162" spans="1:10" ht="15" thickBot="1" x14ac:dyDescent="0.35">
      <c r="A162" s="7">
        <v>161</v>
      </c>
      <c r="B162" s="3">
        <v>40550</v>
      </c>
      <c r="C162" s="1">
        <v>1</v>
      </c>
      <c r="D162" s="1">
        <v>0</v>
      </c>
      <c r="E162" s="1">
        <v>1</v>
      </c>
      <c r="F162" s="1">
        <v>23</v>
      </c>
      <c r="G162" s="4" t="b">
        <v>0</v>
      </c>
      <c r="H162" s="1">
        <v>5</v>
      </c>
      <c r="I162" s="1">
        <v>2</v>
      </c>
      <c r="J162" s="8">
        <v>0.18</v>
      </c>
    </row>
    <row r="163" spans="1:10" ht="15" thickBot="1" x14ac:dyDescent="0.35">
      <c r="A163" s="7">
        <v>162</v>
      </c>
      <c r="B163" s="3">
        <v>40551</v>
      </c>
      <c r="C163" s="1">
        <v>1</v>
      </c>
      <c r="D163" s="1">
        <v>0</v>
      </c>
      <c r="E163" s="1">
        <v>1</v>
      </c>
      <c r="F163" s="1">
        <v>0</v>
      </c>
      <c r="G163" s="4" t="b">
        <v>0</v>
      </c>
      <c r="H163" s="1">
        <v>6</v>
      </c>
      <c r="I163" s="1">
        <v>2</v>
      </c>
      <c r="J163" s="8">
        <v>0.18</v>
      </c>
    </row>
    <row r="164" spans="1:10" ht="15" thickBot="1" x14ac:dyDescent="0.35">
      <c r="A164" s="7">
        <v>163</v>
      </c>
      <c r="B164" s="3">
        <v>40551</v>
      </c>
      <c r="C164" s="1">
        <v>1</v>
      </c>
      <c r="D164" s="1">
        <v>0</v>
      </c>
      <c r="E164" s="1">
        <v>1</v>
      </c>
      <c r="F164" s="1">
        <v>1</v>
      </c>
      <c r="G164" s="4" t="b">
        <v>0</v>
      </c>
      <c r="H164" s="1">
        <v>6</v>
      </c>
      <c r="I164" s="1">
        <v>2</v>
      </c>
      <c r="J164" s="8">
        <v>0.18</v>
      </c>
    </row>
    <row r="165" spans="1:10" ht="15" thickBot="1" x14ac:dyDescent="0.35">
      <c r="A165" s="7">
        <v>164</v>
      </c>
      <c r="B165" s="3">
        <v>40551</v>
      </c>
      <c r="C165" s="1">
        <v>1</v>
      </c>
      <c r="D165" s="1">
        <v>0</v>
      </c>
      <c r="E165" s="1">
        <v>1</v>
      </c>
      <c r="F165" s="1">
        <v>2</v>
      </c>
      <c r="G165" s="4" t="b">
        <v>0</v>
      </c>
      <c r="H165" s="1">
        <v>6</v>
      </c>
      <c r="I165" s="1">
        <v>2</v>
      </c>
      <c r="J165" s="8">
        <v>0.18</v>
      </c>
    </row>
    <row r="166" spans="1:10" ht="15" thickBot="1" x14ac:dyDescent="0.35">
      <c r="A166" s="7">
        <v>165</v>
      </c>
      <c r="B166" s="3">
        <v>40551</v>
      </c>
      <c r="C166" s="1">
        <v>1</v>
      </c>
      <c r="D166" s="1">
        <v>0</v>
      </c>
      <c r="E166" s="1">
        <v>1</v>
      </c>
      <c r="F166" s="1">
        <v>3</v>
      </c>
      <c r="G166" s="4" t="b">
        <v>0</v>
      </c>
      <c r="H166" s="1">
        <v>6</v>
      </c>
      <c r="I166" s="1">
        <v>3</v>
      </c>
      <c r="J166" s="8">
        <v>0.18</v>
      </c>
    </row>
    <row r="167" spans="1:10" ht="15" thickBot="1" x14ac:dyDescent="0.35">
      <c r="A167" s="7">
        <v>166</v>
      </c>
      <c r="B167" s="3">
        <v>40551</v>
      </c>
      <c r="C167" s="1">
        <v>1</v>
      </c>
      <c r="D167" s="1">
        <v>0</v>
      </c>
      <c r="E167" s="1">
        <v>1</v>
      </c>
      <c r="F167" s="1">
        <v>4</v>
      </c>
      <c r="G167" s="4" t="b">
        <v>0</v>
      </c>
      <c r="H167" s="1">
        <v>6</v>
      </c>
      <c r="I167" s="1">
        <v>3</v>
      </c>
      <c r="J167" s="8">
        <v>0.18</v>
      </c>
    </row>
    <row r="168" spans="1:10" ht="15" thickBot="1" x14ac:dyDescent="0.35">
      <c r="A168" s="7">
        <v>167</v>
      </c>
      <c r="B168" s="3">
        <v>40551</v>
      </c>
      <c r="C168" s="1">
        <v>1</v>
      </c>
      <c r="D168" s="1">
        <v>0</v>
      </c>
      <c r="E168" s="1">
        <v>1</v>
      </c>
      <c r="F168" s="1">
        <v>5</v>
      </c>
      <c r="G168" s="4" t="b">
        <v>0</v>
      </c>
      <c r="H168" s="1">
        <v>6</v>
      </c>
      <c r="I168" s="1">
        <v>2</v>
      </c>
      <c r="J168" s="8">
        <v>0.16</v>
      </c>
    </row>
    <row r="169" spans="1:10" ht="15" thickBot="1" x14ac:dyDescent="0.35">
      <c r="A169" s="7">
        <v>168</v>
      </c>
      <c r="B169" s="3">
        <v>40551</v>
      </c>
      <c r="C169" s="1">
        <v>1</v>
      </c>
      <c r="D169" s="1">
        <v>0</v>
      </c>
      <c r="E169" s="1">
        <v>1</v>
      </c>
      <c r="F169" s="1">
        <v>6</v>
      </c>
      <c r="G169" s="4" t="b">
        <v>0</v>
      </c>
      <c r="H169" s="1">
        <v>6</v>
      </c>
      <c r="I169" s="1">
        <v>2</v>
      </c>
      <c r="J169" s="8">
        <v>0.16</v>
      </c>
    </row>
    <row r="170" spans="1:10" ht="15" thickBot="1" x14ac:dyDescent="0.35">
      <c r="A170" s="7">
        <v>169</v>
      </c>
      <c r="B170" s="3">
        <v>40551</v>
      </c>
      <c r="C170" s="1">
        <v>1</v>
      </c>
      <c r="D170" s="1">
        <v>0</v>
      </c>
      <c r="E170" s="1">
        <v>1</v>
      </c>
      <c r="F170" s="1">
        <v>7</v>
      </c>
      <c r="G170" s="4" t="b">
        <v>0</v>
      </c>
      <c r="H170" s="1">
        <v>6</v>
      </c>
      <c r="I170" s="1">
        <v>2</v>
      </c>
      <c r="J170" s="8">
        <v>0.16</v>
      </c>
    </row>
    <row r="171" spans="1:10" ht="15" thickBot="1" x14ac:dyDescent="0.35">
      <c r="A171" s="7">
        <v>170</v>
      </c>
      <c r="B171" s="3">
        <v>40551</v>
      </c>
      <c r="C171" s="1">
        <v>1</v>
      </c>
      <c r="D171" s="1">
        <v>0</v>
      </c>
      <c r="E171" s="1">
        <v>1</v>
      </c>
      <c r="F171" s="1">
        <v>8</v>
      </c>
      <c r="G171" s="4" t="b">
        <v>0</v>
      </c>
      <c r="H171" s="1">
        <v>6</v>
      </c>
      <c r="I171" s="1">
        <v>3</v>
      </c>
      <c r="J171" s="8">
        <v>0.16</v>
      </c>
    </row>
    <row r="172" spans="1:10" ht="15" thickBot="1" x14ac:dyDescent="0.35">
      <c r="A172" s="7">
        <v>171</v>
      </c>
      <c r="B172" s="3">
        <v>40551</v>
      </c>
      <c r="C172" s="1">
        <v>1</v>
      </c>
      <c r="D172" s="1">
        <v>0</v>
      </c>
      <c r="E172" s="1">
        <v>1</v>
      </c>
      <c r="F172" s="1">
        <v>9</v>
      </c>
      <c r="G172" s="4" t="b">
        <v>0</v>
      </c>
      <c r="H172" s="1">
        <v>6</v>
      </c>
      <c r="I172" s="1">
        <v>3</v>
      </c>
      <c r="J172" s="8">
        <v>0.16</v>
      </c>
    </row>
    <row r="173" spans="1:10" ht="15" thickBot="1" x14ac:dyDescent="0.35">
      <c r="A173" s="7">
        <v>172</v>
      </c>
      <c r="B173" s="3">
        <v>40551</v>
      </c>
      <c r="C173" s="1">
        <v>1</v>
      </c>
      <c r="D173" s="1">
        <v>0</v>
      </c>
      <c r="E173" s="1">
        <v>1</v>
      </c>
      <c r="F173" s="1">
        <v>10</v>
      </c>
      <c r="G173" s="4" t="b">
        <v>0</v>
      </c>
      <c r="H173" s="1">
        <v>6</v>
      </c>
      <c r="I173" s="1">
        <v>2</v>
      </c>
      <c r="J173" s="8">
        <v>0.18</v>
      </c>
    </row>
    <row r="174" spans="1:10" ht="15" thickBot="1" x14ac:dyDescent="0.35">
      <c r="A174" s="7">
        <v>173</v>
      </c>
      <c r="B174" s="3">
        <v>40551</v>
      </c>
      <c r="C174" s="1">
        <v>1</v>
      </c>
      <c r="D174" s="1">
        <v>0</v>
      </c>
      <c r="E174" s="1">
        <v>1</v>
      </c>
      <c r="F174" s="1">
        <v>11</v>
      </c>
      <c r="G174" s="4" t="b">
        <v>0</v>
      </c>
      <c r="H174" s="1">
        <v>6</v>
      </c>
      <c r="I174" s="1">
        <v>2</v>
      </c>
      <c r="J174" s="8">
        <v>0.2</v>
      </c>
    </row>
    <row r="175" spans="1:10" ht="15" thickBot="1" x14ac:dyDescent="0.35">
      <c r="A175" s="7">
        <v>174</v>
      </c>
      <c r="B175" s="3">
        <v>40551</v>
      </c>
      <c r="C175" s="1">
        <v>1</v>
      </c>
      <c r="D175" s="1">
        <v>0</v>
      </c>
      <c r="E175" s="1">
        <v>1</v>
      </c>
      <c r="F175" s="1">
        <v>12</v>
      </c>
      <c r="G175" s="4" t="b">
        <v>0</v>
      </c>
      <c r="H175" s="1">
        <v>6</v>
      </c>
      <c r="I175" s="1">
        <v>2</v>
      </c>
      <c r="J175" s="8">
        <v>0.2</v>
      </c>
    </row>
    <row r="176" spans="1:10" ht="15" thickBot="1" x14ac:dyDescent="0.35">
      <c r="A176" s="7">
        <v>175</v>
      </c>
      <c r="B176" s="3">
        <v>40551</v>
      </c>
      <c r="C176" s="1">
        <v>1</v>
      </c>
      <c r="D176" s="1">
        <v>0</v>
      </c>
      <c r="E176" s="1">
        <v>1</v>
      </c>
      <c r="F176" s="1">
        <v>13</v>
      </c>
      <c r="G176" s="4" t="b">
        <v>0</v>
      </c>
      <c r="H176" s="1">
        <v>6</v>
      </c>
      <c r="I176" s="1">
        <v>1</v>
      </c>
      <c r="J176" s="8">
        <v>0.2</v>
      </c>
    </row>
    <row r="177" spans="1:10" ht="15" thickBot="1" x14ac:dyDescent="0.35">
      <c r="A177" s="7">
        <v>176</v>
      </c>
      <c r="B177" s="3">
        <v>40551</v>
      </c>
      <c r="C177" s="1">
        <v>1</v>
      </c>
      <c r="D177" s="1">
        <v>0</v>
      </c>
      <c r="E177" s="1">
        <v>1</v>
      </c>
      <c r="F177" s="1">
        <v>14</v>
      </c>
      <c r="G177" s="4" t="b">
        <v>0</v>
      </c>
      <c r="H177" s="1">
        <v>6</v>
      </c>
      <c r="I177" s="1">
        <v>1</v>
      </c>
      <c r="J177" s="8">
        <v>0.2</v>
      </c>
    </row>
    <row r="178" spans="1:10" ht="15" thickBot="1" x14ac:dyDescent="0.35">
      <c r="A178" s="7">
        <v>177</v>
      </c>
      <c r="B178" s="3">
        <v>40551</v>
      </c>
      <c r="C178" s="1">
        <v>1</v>
      </c>
      <c r="D178" s="1">
        <v>0</v>
      </c>
      <c r="E178" s="1">
        <v>1</v>
      </c>
      <c r="F178" s="1">
        <v>15</v>
      </c>
      <c r="G178" s="4" t="b">
        <v>0</v>
      </c>
      <c r="H178" s="1">
        <v>6</v>
      </c>
      <c r="I178" s="1">
        <v>1</v>
      </c>
      <c r="J178" s="8">
        <v>0.2</v>
      </c>
    </row>
    <row r="179" spans="1:10" ht="15" thickBot="1" x14ac:dyDescent="0.35">
      <c r="A179" s="7">
        <v>178</v>
      </c>
      <c r="B179" s="3">
        <v>40551</v>
      </c>
      <c r="C179" s="1">
        <v>1</v>
      </c>
      <c r="D179" s="1">
        <v>0</v>
      </c>
      <c r="E179" s="1">
        <v>1</v>
      </c>
      <c r="F179" s="1">
        <v>16</v>
      </c>
      <c r="G179" s="4" t="b">
        <v>0</v>
      </c>
      <c r="H179" s="1">
        <v>6</v>
      </c>
      <c r="I179" s="1">
        <v>1</v>
      </c>
      <c r="J179" s="8">
        <v>0.18</v>
      </c>
    </row>
    <row r="180" spans="1:10" ht="15" thickBot="1" x14ac:dyDescent="0.35">
      <c r="A180" s="7">
        <v>179</v>
      </c>
      <c r="B180" s="3">
        <v>40551</v>
      </c>
      <c r="C180" s="1">
        <v>1</v>
      </c>
      <c r="D180" s="1">
        <v>0</v>
      </c>
      <c r="E180" s="1">
        <v>1</v>
      </c>
      <c r="F180" s="1">
        <v>17</v>
      </c>
      <c r="G180" s="4" t="b">
        <v>0</v>
      </c>
      <c r="H180" s="1">
        <v>6</v>
      </c>
      <c r="I180" s="1">
        <v>1</v>
      </c>
      <c r="J180" s="8">
        <v>0.16</v>
      </c>
    </row>
    <row r="181" spans="1:10" ht="15" thickBot="1" x14ac:dyDescent="0.35">
      <c r="A181" s="7">
        <v>180</v>
      </c>
      <c r="B181" s="3">
        <v>40551</v>
      </c>
      <c r="C181" s="1">
        <v>1</v>
      </c>
      <c r="D181" s="1">
        <v>0</v>
      </c>
      <c r="E181" s="1">
        <v>1</v>
      </c>
      <c r="F181" s="1">
        <v>18</v>
      </c>
      <c r="G181" s="4" t="b">
        <v>0</v>
      </c>
      <c r="H181" s="1">
        <v>6</v>
      </c>
      <c r="I181" s="1">
        <v>1</v>
      </c>
      <c r="J181" s="8">
        <v>0.14000000000000001</v>
      </c>
    </row>
    <row r="182" spans="1:10" ht="15" thickBot="1" x14ac:dyDescent="0.35">
      <c r="A182" s="7">
        <v>181</v>
      </c>
      <c r="B182" s="3">
        <v>40551</v>
      </c>
      <c r="C182" s="1">
        <v>1</v>
      </c>
      <c r="D182" s="1">
        <v>0</v>
      </c>
      <c r="E182" s="1">
        <v>1</v>
      </c>
      <c r="F182" s="1">
        <v>19</v>
      </c>
      <c r="G182" s="4" t="b">
        <v>0</v>
      </c>
      <c r="H182" s="1">
        <v>6</v>
      </c>
      <c r="I182" s="1">
        <v>1</v>
      </c>
      <c r="J182" s="8">
        <v>0.14000000000000001</v>
      </c>
    </row>
    <row r="183" spans="1:10" ht="15" thickBot="1" x14ac:dyDescent="0.35">
      <c r="A183" s="7">
        <v>182</v>
      </c>
      <c r="B183" s="3">
        <v>40551</v>
      </c>
      <c r="C183" s="1">
        <v>1</v>
      </c>
      <c r="D183" s="1">
        <v>0</v>
      </c>
      <c r="E183" s="1">
        <v>1</v>
      </c>
      <c r="F183" s="1">
        <v>20</v>
      </c>
      <c r="G183" s="4" t="b">
        <v>0</v>
      </c>
      <c r="H183" s="1">
        <v>6</v>
      </c>
      <c r="I183" s="1">
        <v>1</v>
      </c>
      <c r="J183" s="8">
        <v>0.12</v>
      </c>
    </row>
    <row r="184" spans="1:10" ht="15" thickBot="1" x14ac:dyDescent="0.35">
      <c r="A184" s="7">
        <v>183</v>
      </c>
      <c r="B184" s="3">
        <v>40551</v>
      </c>
      <c r="C184" s="1">
        <v>1</v>
      </c>
      <c r="D184" s="1">
        <v>0</v>
      </c>
      <c r="E184" s="1">
        <v>1</v>
      </c>
      <c r="F184" s="1">
        <v>21</v>
      </c>
      <c r="G184" s="4" t="b">
        <v>0</v>
      </c>
      <c r="H184" s="1">
        <v>6</v>
      </c>
      <c r="I184" s="1">
        <v>1</v>
      </c>
      <c r="J184" s="8">
        <v>0.12</v>
      </c>
    </row>
    <row r="185" spans="1:10" ht="15" thickBot="1" x14ac:dyDescent="0.35">
      <c r="A185" s="7">
        <v>184</v>
      </c>
      <c r="B185" s="3">
        <v>40551</v>
      </c>
      <c r="C185" s="1">
        <v>1</v>
      </c>
      <c r="D185" s="1">
        <v>0</v>
      </c>
      <c r="E185" s="1">
        <v>1</v>
      </c>
      <c r="F185" s="1">
        <v>22</v>
      </c>
      <c r="G185" s="4" t="b">
        <v>0</v>
      </c>
      <c r="H185" s="1">
        <v>6</v>
      </c>
      <c r="I185" s="1">
        <v>1</v>
      </c>
      <c r="J185" s="8">
        <v>0.12</v>
      </c>
    </row>
    <row r="186" spans="1:10" ht="15" thickBot="1" x14ac:dyDescent="0.35">
      <c r="A186" s="7">
        <v>185</v>
      </c>
      <c r="B186" s="3">
        <v>40551</v>
      </c>
      <c r="C186" s="1">
        <v>1</v>
      </c>
      <c r="D186" s="1">
        <v>0</v>
      </c>
      <c r="E186" s="1">
        <v>1</v>
      </c>
      <c r="F186" s="1">
        <v>23</v>
      </c>
      <c r="G186" s="4" t="b">
        <v>0</v>
      </c>
      <c r="H186" s="1">
        <v>6</v>
      </c>
      <c r="I186" s="1">
        <v>1</v>
      </c>
      <c r="J186" s="8">
        <v>0.1</v>
      </c>
    </row>
    <row r="187" spans="1:10" ht="15" thickBot="1" x14ac:dyDescent="0.35">
      <c r="A187" s="7">
        <v>186</v>
      </c>
      <c r="B187" s="3">
        <v>40552</v>
      </c>
      <c r="C187" s="1">
        <v>1</v>
      </c>
      <c r="D187" s="1">
        <v>0</v>
      </c>
      <c r="E187" s="1">
        <v>1</v>
      </c>
      <c r="F187" s="1">
        <v>0</v>
      </c>
      <c r="G187" s="4" t="b">
        <v>0</v>
      </c>
      <c r="H187" s="1">
        <v>0</v>
      </c>
      <c r="I187" s="1">
        <v>1</v>
      </c>
      <c r="J187" s="8">
        <v>0.1</v>
      </c>
    </row>
    <row r="188" spans="1:10" ht="15" thickBot="1" x14ac:dyDescent="0.35">
      <c r="A188" s="7">
        <v>187</v>
      </c>
      <c r="B188" s="3">
        <v>40552</v>
      </c>
      <c r="C188" s="1">
        <v>1</v>
      </c>
      <c r="D188" s="1">
        <v>0</v>
      </c>
      <c r="E188" s="1">
        <v>1</v>
      </c>
      <c r="F188" s="1">
        <v>1</v>
      </c>
      <c r="G188" s="4" t="b">
        <v>0</v>
      </c>
      <c r="H188" s="1">
        <v>0</v>
      </c>
      <c r="I188" s="1">
        <v>1</v>
      </c>
      <c r="J188" s="8">
        <v>0.1</v>
      </c>
    </row>
    <row r="189" spans="1:10" ht="15" thickBot="1" x14ac:dyDescent="0.35">
      <c r="A189" s="7">
        <v>188</v>
      </c>
      <c r="B189" s="3">
        <v>40552</v>
      </c>
      <c r="C189" s="1">
        <v>1</v>
      </c>
      <c r="D189" s="1">
        <v>0</v>
      </c>
      <c r="E189" s="1">
        <v>1</v>
      </c>
      <c r="F189" s="1">
        <v>2</v>
      </c>
      <c r="G189" s="4" t="b">
        <v>0</v>
      </c>
      <c r="H189" s="1">
        <v>0</v>
      </c>
      <c r="I189" s="1">
        <v>1</v>
      </c>
      <c r="J189" s="8">
        <v>0.1</v>
      </c>
    </row>
    <row r="190" spans="1:10" ht="15" thickBot="1" x14ac:dyDescent="0.35">
      <c r="A190" s="7">
        <v>189</v>
      </c>
      <c r="B190" s="3">
        <v>40552</v>
      </c>
      <c r="C190" s="1">
        <v>1</v>
      </c>
      <c r="D190" s="1">
        <v>0</v>
      </c>
      <c r="E190" s="1">
        <v>1</v>
      </c>
      <c r="F190" s="1">
        <v>3</v>
      </c>
      <c r="G190" s="4" t="b">
        <v>0</v>
      </c>
      <c r="H190" s="1">
        <v>0</v>
      </c>
      <c r="I190" s="1">
        <v>1</v>
      </c>
      <c r="J190" s="8">
        <v>0.1</v>
      </c>
    </row>
    <row r="191" spans="1:10" ht="15" thickBot="1" x14ac:dyDescent="0.35">
      <c r="A191" s="7">
        <v>190</v>
      </c>
      <c r="B191" s="3">
        <v>40552</v>
      </c>
      <c r="C191" s="1">
        <v>1</v>
      </c>
      <c r="D191" s="1">
        <v>0</v>
      </c>
      <c r="E191" s="1">
        <v>1</v>
      </c>
      <c r="F191" s="1">
        <v>4</v>
      </c>
      <c r="G191" s="4" t="b">
        <v>0</v>
      </c>
      <c r="H191" s="1">
        <v>0</v>
      </c>
      <c r="I191" s="1">
        <v>1</v>
      </c>
      <c r="J191" s="8">
        <v>0.08</v>
      </c>
    </row>
    <row r="192" spans="1:10" ht="15" thickBot="1" x14ac:dyDescent="0.35">
      <c r="A192" s="7">
        <v>191</v>
      </c>
      <c r="B192" s="3">
        <v>40552</v>
      </c>
      <c r="C192" s="1">
        <v>1</v>
      </c>
      <c r="D192" s="1">
        <v>0</v>
      </c>
      <c r="E192" s="1">
        <v>1</v>
      </c>
      <c r="F192" s="1">
        <v>5</v>
      </c>
      <c r="G192" s="4" t="b">
        <v>0</v>
      </c>
      <c r="H192" s="1">
        <v>0</v>
      </c>
      <c r="I192" s="1">
        <v>1</v>
      </c>
      <c r="J192" s="8">
        <v>0.08</v>
      </c>
    </row>
    <row r="193" spans="1:10" ht="15" thickBot="1" x14ac:dyDescent="0.35">
      <c r="A193" s="7">
        <v>192</v>
      </c>
      <c r="B193" s="3">
        <v>40552</v>
      </c>
      <c r="C193" s="1">
        <v>1</v>
      </c>
      <c r="D193" s="1">
        <v>0</v>
      </c>
      <c r="E193" s="1">
        <v>1</v>
      </c>
      <c r="F193" s="1">
        <v>6</v>
      </c>
      <c r="G193" s="4" t="b">
        <v>0</v>
      </c>
      <c r="H193" s="1">
        <v>0</v>
      </c>
      <c r="I193" s="1">
        <v>1</v>
      </c>
      <c r="J193" s="8">
        <v>0.1</v>
      </c>
    </row>
    <row r="194" spans="1:10" ht="15" thickBot="1" x14ac:dyDescent="0.35">
      <c r="A194" s="7">
        <v>193</v>
      </c>
      <c r="B194" s="3">
        <v>40552</v>
      </c>
      <c r="C194" s="1">
        <v>1</v>
      </c>
      <c r="D194" s="1">
        <v>0</v>
      </c>
      <c r="E194" s="1">
        <v>1</v>
      </c>
      <c r="F194" s="1">
        <v>7</v>
      </c>
      <c r="G194" s="4" t="b">
        <v>0</v>
      </c>
      <c r="H194" s="1">
        <v>0</v>
      </c>
      <c r="I194" s="1">
        <v>1</v>
      </c>
      <c r="J194" s="8">
        <v>0.08</v>
      </c>
    </row>
    <row r="195" spans="1:10" ht="15" thickBot="1" x14ac:dyDescent="0.35">
      <c r="A195" s="7">
        <v>194</v>
      </c>
      <c r="B195" s="3">
        <v>40552</v>
      </c>
      <c r="C195" s="1">
        <v>1</v>
      </c>
      <c r="D195" s="1">
        <v>0</v>
      </c>
      <c r="E195" s="1">
        <v>1</v>
      </c>
      <c r="F195" s="1">
        <v>8</v>
      </c>
      <c r="G195" s="4" t="b">
        <v>0</v>
      </c>
      <c r="H195" s="1">
        <v>0</v>
      </c>
      <c r="I195" s="1">
        <v>1</v>
      </c>
      <c r="J195" s="8">
        <v>0.1</v>
      </c>
    </row>
    <row r="196" spans="1:10" ht="15" thickBot="1" x14ac:dyDescent="0.35">
      <c r="A196" s="7">
        <v>195</v>
      </c>
      <c r="B196" s="3">
        <v>40552</v>
      </c>
      <c r="C196" s="1">
        <v>1</v>
      </c>
      <c r="D196" s="1">
        <v>0</v>
      </c>
      <c r="E196" s="1">
        <v>1</v>
      </c>
      <c r="F196" s="1">
        <v>9</v>
      </c>
      <c r="G196" s="4" t="b">
        <v>0</v>
      </c>
      <c r="H196" s="1">
        <v>0</v>
      </c>
      <c r="I196" s="1">
        <v>1</v>
      </c>
      <c r="J196" s="8">
        <v>0.12</v>
      </c>
    </row>
    <row r="197" spans="1:10" ht="15" thickBot="1" x14ac:dyDescent="0.35">
      <c r="A197" s="7">
        <v>196</v>
      </c>
      <c r="B197" s="3">
        <v>40552</v>
      </c>
      <c r="C197" s="1">
        <v>1</v>
      </c>
      <c r="D197" s="1">
        <v>0</v>
      </c>
      <c r="E197" s="1">
        <v>1</v>
      </c>
      <c r="F197" s="1">
        <v>10</v>
      </c>
      <c r="G197" s="4" t="b">
        <v>0</v>
      </c>
      <c r="H197" s="1">
        <v>0</v>
      </c>
      <c r="I197" s="1">
        <v>1</v>
      </c>
      <c r="J197" s="8">
        <v>0.14000000000000001</v>
      </c>
    </row>
    <row r="198" spans="1:10" ht="15" thickBot="1" x14ac:dyDescent="0.35">
      <c r="A198" s="7">
        <v>197</v>
      </c>
      <c r="B198" s="3">
        <v>40552</v>
      </c>
      <c r="C198" s="1">
        <v>1</v>
      </c>
      <c r="D198" s="1">
        <v>0</v>
      </c>
      <c r="E198" s="1">
        <v>1</v>
      </c>
      <c r="F198" s="1">
        <v>11</v>
      </c>
      <c r="G198" s="4" t="b">
        <v>0</v>
      </c>
      <c r="H198" s="1">
        <v>0</v>
      </c>
      <c r="I198" s="1">
        <v>1</v>
      </c>
      <c r="J198" s="8">
        <v>0.16</v>
      </c>
    </row>
    <row r="199" spans="1:10" ht="15" thickBot="1" x14ac:dyDescent="0.35">
      <c r="A199" s="7">
        <v>198</v>
      </c>
      <c r="B199" s="3">
        <v>40552</v>
      </c>
      <c r="C199" s="1">
        <v>1</v>
      </c>
      <c r="D199" s="1">
        <v>0</v>
      </c>
      <c r="E199" s="1">
        <v>1</v>
      </c>
      <c r="F199" s="1">
        <v>12</v>
      </c>
      <c r="G199" s="4" t="b">
        <v>0</v>
      </c>
      <c r="H199" s="1">
        <v>0</v>
      </c>
      <c r="I199" s="1">
        <v>1</v>
      </c>
      <c r="J199" s="8">
        <v>0.18</v>
      </c>
    </row>
    <row r="200" spans="1:10" ht="15" thickBot="1" x14ac:dyDescent="0.35">
      <c r="A200" s="7">
        <v>199</v>
      </c>
      <c r="B200" s="3">
        <v>40552</v>
      </c>
      <c r="C200" s="1">
        <v>1</v>
      </c>
      <c r="D200" s="1">
        <v>0</v>
      </c>
      <c r="E200" s="1">
        <v>1</v>
      </c>
      <c r="F200" s="1">
        <v>13</v>
      </c>
      <c r="G200" s="4" t="b">
        <v>0</v>
      </c>
      <c r="H200" s="1">
        <v>0</v>
      </c>
      <c r="I200" s="1">
        <v>1</v>
      </c>
      <c r="J200" s="8">
        <v>0.2</v>
      </c>
    </row>
    <row r="201" spans="1:10" ht="15" thickBot="1" x14ac:dyDescent="0.35">
      <c r="A201" s="7">
        <v>200</v>
      </c>
      <c r="B201" s="3">
        <v>40552</v>
      </c>
      <c r="C201" s="1">
        <v>1</v>
      </c>
      <c r="D201" s="1">
        <v>0</v>
      </c>
      <c r="E201" s="1">
        <v>1</v>
      </c>
      <c r="F201" s="1">
        <v>14</v>
      </c>
      <c r="G201" s="4" t="b">
        <v>0</v>
      </c>
      <c r="H201" s="1">
        <v>0</v>
      </c>
      <c r="I201" s="1">
        <v>1</v>
      </c>
      <c r="J201" s="8">
        <v>0.22</v>
      </c>
    </row>
    <row r="202" spans="1:10" ht="15" thickBot="1" x14ac:dyDescent="0.35">
      <c r="A202" s="7">
        <v>201</v>
      </c>
      <c r="B202" s="3">
        <v>40552</v>
      </c>
      <c r="C202" s="1">
        <v>1</v>
      </c>
      <c r="D202" s="1">
        <v>0</v>
      </c>
      <c r="E202" s="1">
        <v>1</v>
      </c>
      <c r="F202" s="1">
        <v>15</v>
      </c>
      <c r="G202" s="4" t="b">
        <v>0</v>
      </c>
      <c r="H202" s="1">
        <v>0</v>
      </c>
      <c r="I202" s="1">
        <v>1</v>
      </c>
      <c r="J202" s="8">
        <v>0.22</v>
      </c>
    </row>
    <row r="203" spans="1:10" ht="15" thickBot="1" x14ac:dyDescent="0.35">
      <c r="A203" s="7">
        <v>202</v>
      </c>
      <c r="B203" s="3">
        <v>40552</v>
      </c>
      <c r="C203" s="1">
        <v>1</v>
      </c>
      <c r="D203" s="1">
        <v>0</v>
      </c>
      <c r="E203" s="1">
        <v>1</v>
      </c>
      <c r="F203" s="1">
        <v>16</v>
      </c>
      <c r="G203" s="4" t="b">
        <v>0</v>
      </c>
      <c r="H203" s="1">
        <v>0</v>
      </c>
      <c r="I203" s="1">
        <v>1</v>
      </c>
      <c r="J203" s="8">
        <v>0.2</v>
      </c>
    </row>
    <row r="204" spans="1:10" ht="15" thickBot="1" x14ac:dyDescent="0.35">
      <c r="A204" s="7">
        <v>203</v>
      </c>
      <c r="B204" s="3">
        <v>40552</v>
      </c>
      <c r="C204" s="1">
        <v>1</v>
      </c>
      <c r="D204" s="1">
        <v>0</v>
      </c>
      <c r="E204" s="1">
        <v>1</v>
      </c>
      <c r="F204" s="1">
        <v>17</v>
      </c>
      <c r="G204" s="4" t="b">
        <v>0</v>
      </c>
      <c r="H204" s="1">
        <v>0</v>
      </c>
      <c r="I204" s="1">
        <v>1</v>
      </c>
      <c r="J204" s="8">
        <v>0.18</v>
      </c>
    </row>
    <row r="205" spans="1:10" ht="15" thickBot="1" x14ac:dyDescent="0.35">
      <c r="A205" s="7">
        <v>204</v>
      </c>
      <c r="B205" s="3">
        <v>40552</v>
      </c>
      <c r="C205" s="1">
        <v>1</v>
      </c>
      <c r="D205" s="1">
        <v>0</v>
      </c>
      <c r="E205" s="1">
        <v>1</v>
      </c>
      <c r="F205" s="1">
        <v>18</v>
      </c>
      <c r="G205" s="4" t="b">
        <v>0</v>
      </c>
      <c r="H205" s="1">
        <v>0</v>
      </c>
      <c r="I205" s="1">
        <v>1</v>
      </c>
      <c r="J205" s="8">
        <v>0.16</v>
      </c>
    </row>
    <row r="206" spans="1:10" ht="15" thickBot="1" x14ac:dyDescent="0.35">
      <c r="A206" s="7">
        <v>205</v>
      </c>
      <c r="B206" s="3">
        <v>40552</v>
      </c>
      <c r="C206" s="1">
        <v>1</v>
      </c>
      <c r="D206" s="1">
        <v>0</v>
      </c>
      <c r="E206" s="1">
        <v>1</v>
      </c>
      <c r="F206" s="1">
        <v>19</v>
      </c>
      <c r="G206" s="4" t="b">
        <v>0</v>
      </c>
      <c r="H206" s="1">
        <v>0</v>
      </c>
      <c r="I206" s="1">
        <v>1</v>
      </c>
      <c r="J206" s="8">
        <v>0.16</v>
      </c>
    </row>
    <row r="207" spans="1:10" ht="15" thickBot="1" x14ac:dyDescent="0.35">
      <c r="A207" s="7">
        <v>206</v>
      </c>
      <c r="B207" s="3">
        <v>40552</v>
      </c>
      <c r="C207" s="1">
        <v>1</v>
      </c>
      <c r="D207" s="1">
        <v>0</v>
      </c>
      <c r="E207" s="1">
        <v>1</v>
      </c>
      <c r="F207" s="1">
        <v>20</v>
      </c>
      <c r="G207" s="4" t="b">
        <v>0</v>
      </c>
      <c r="H207" s="1">
        <v>0</v>
      </c>
      <c r="I207" s="1">
        <v>1</v>
      </c>
      <c r="J207" s="8">
        <v>0.14000000000000001</v>
      </c>
    </row>
    <row r="208" spans="1:10" ht="15" thickBot="1" x14ac:dyDescent="0.35">
      <c r="A208" s="7">
        <v>207</v>
      </c>
      <c r="B208" s="3">
        <v>40552</v>
      </c>
      <c r="C208" s="1">
        <v>1</v>
      </c>
      <c r="D208" s="1">
        <v>0</v>
      </c>
      <c r="E208" s="1">
        <v>1</v>
      </c>
      <c r="F208" s="1">
        <v>21</v>
      </c>
      <c r="G208" s="4" t="b">
        <v>0</v>
      </c>
      <c r="H208" s="1">
        <v>0</v>
      </c>
      <c r="I208" s="1">
        <v>1</v>
      </c>
      <c r="J208" s="8">
        <v>0.14000000000000001</v>
      </c>
    </row>
    <row r="209" spans="1:10" ht="15" thickBot="1" x14ac:dyDescent="0.35">
      <c r="A209" s="7">
        <v>208</v>
      </c>
      <c r="B209" s="3">
        <v>40552</v>
      </c>
      <c r="C209" s="1">
        <v>1</v>
      </c>
      <c r="D209" s="1">
        <v>0</v>
      </c>
      <c r="E209" s="1">
        <v>1</v>
      </c>
      <c r="F209" s="1">
        <v>22</v>
      </c>
      <c r="G209" s="4" t="b">
        <v>0</v>
      </c>
      <c r="H209" s="1">
        <v>0</v>
      </c>
      <c r="I209" s="1">
        <v>1</v>
      </c>
      <c r="J209" s="8">
        <v>0.14000000000000001</v>
      </c>
    </row>
    <row r="210" spans="1:10" ht="15" thickBot="1" x14ac:dyDescent="0.35">
      <c r="A210" s="7">
        <v>209</v>
      </c>
      <c r="B210" s="3">
        <v>40552</v>
      </c>
      <c r="C210" s="1">
        <v>1</v>
      </c>
      <c r="D210" s="1">
        <v>0</v>
      </c>
      <c r="E210" s="1">
        <v>1</v>
      </c>
      <c r="F210" s="1">
        <v>23</v>
      </c>
      <c r="G210" s="4" t="b">
        <v>0</v>
      </c>
      <c r="H210" s="1">
        <v>0</v>
      </c>
      <c r="I210" s="1">
        <v>1</v>
      </c>
      <c r="J210" s="8">
        <v>0.12</v>
      </c>
    </row>
    <row r="211" spans="1:10" ht="15" thickBot="1" x14ac:dyDescent="0.35">
      <c r="A211" s="7">
        <v>210</v>
      </c>
      <c r="B211" s="3">
        <v>40553</v>
      </c>
      <c r="C211" s="1">
        <v>1</v>
      </c>
      <c r="D211" s="1">
        <v>0</v>
      </c>
      <c r="E211" s="1">
        <v>1</v>
      </c>
      <c r="F211" s="1">
        <v>0</v>
      </c>
      <c r="G211" s="4" t="b">
        <v>0</v>
      </c>
      <c r="H211" s="1">
        <v>1</v>
      </c>
      <c r="I211" s="1">
        <v>1</v>
      </c>
      <c r="J211" s="8">
        <v>0.12</v>
      </c>
    </row>
    <row r="212" spans="1:10" ht="15" thickBot="1" x14ac:dyDescent="0.35">
      <c r="A212" s="7">
        <v>211</v>
      </c>
      <c r="B212" s="3">
        <v>40553</v>
      </c>
      <c r="C212" s="1">
        <v>1</v>
      </c>
      <c r="D212" s="1">
        <v>0</v>
      </c>
      <c r="E212" s="1">
        <v>1</v>
      </c>
      <c r="F212" s="1">
        <v>1</v>
      </c>
      <c r="G212" s="4" t="b">
        <v>0</v>
      </c>
      <c r="H212" s="1">
        <v>1</v>
      </c>
      <c r="I212" s="1">
        <v>1</v>
      </c>
      <c r="J212" s="8">
        <v>0.12</v>
      </c>
    </row>
    <row r="213" spans="1:10" ht="15" thickBot="1" x14ac:dyDescent="0.35">
      <c r="A213" s="7">
        <v>212</v>
      </c>
      <c r="B213" s="3">
        <v>40553</v>
      </c>
      <c r="C213" s="1">
        <v>1</v>
      </c>
      <c r="D213" s="1">
        <v>0</v>
      </c>
      <c r="E213" s="1">
        <v>1</v>
      </c>
      <c r="F213" s="1">
        <v>2</v>
      </c>
      <c r="G213" s="4" t="b">
        <v>0</v>
      </c>
      <c r="H213" s="1">
        <v>1</v>
      </c>
      <c r="I213" s="1">
        <v>1</v>
      </c>
      <c r="J213" s="8">
        <v>0.12</v>
      </c>
    </row>
    <row r="214" spans="1:10" ht="15" thickBot="1" x14ac:dyDescent="0.35">
      <c r="A214" s="7">
        <v>213</v>
      </c>
      <c r="B214" s="3">
        <v>40553</v>
      </c>
      <c r="C214" s="1">
        <v>1</v>
      </c>
      <c r="D214" s="1">
        <v>0</v>
      </c>
      <c r="E214" s="1">
        <v>1</v>
      </c>
      <c r="F214" s="1">
        <v>3</v>
      </c>
      <c r="G214" s="4" t="b">
        <v>0</v>
      </c>
      <c r="H214" s="1">
        <v>1</v>
      </c>
      <c r="I214" s="1">
        <v>1</v>
      </c>
      <c r="J214" s="8">
        <v>0.12</v>
      </c>
    </row>
    <row r="215" spans="1:10" ht="15" thickBot="1" x14ac:dyDescent="0.35">
      <c r="A215" s="7">
        <v>214</v>
      </c>
      <c r="B215" s="3">
        <v>40553</v>
      </c>
      <c r="C215" s="1">
        <v>1</v>
      </c>
      <c r="D215" s="1">
        <v>0</v>
      </c>
      <c r="E215" s="1">
        <v>1</v>
      </c>
      <c r="F215" s="1">
        <v>4</v>
      </c>
      <c r="G215" s="4" t="b">
        <v>0</v>
      </c>
      <c r="H215" s="1">
        <v>1</v>
      </c>
      <c r="I215" s="1">
        <v>1</v>
      </c>
      <c r="J215" s="8">
        <v>0.1</v>
      </c>
    </row>
    <row r="216" spans="1:10" ht="15" thickBot="1" x14ac:dyDescent="0.35">
      <c r="A216" s="7">
        <v>215</v>
      </c>
      <c r="B216" s="3">
        <v>40553</v>
      </c>
      <c r="C216" s="1">
        <v>1</v>
      </c>
      <c r="D216" s="1">
        <v>0</v>
      </c>
      <c r="E216" s="1">
        <v>1</v>
      </c>
      <c r="F216" s="1">
        <v>5</v>
      </c>
      <c r="G216" s="4" t="b">
        <v>0</v>
      </c>
      <c r="H216" s="1">
        <v>1</v>
      </c>
      <c r="I216" s="1">
        <v>1</v>
      </c>
      <c r="J216" s="8">
        <v>0.1</v>
      </c>
    </row>
    <row r="217" spans="1:10" ht="15" thickBot="1" x14ac:dyDescent="0.35">
      <c r="A217" s="7">
        <v>216</v>
      </c>
      <c r="B217" s="3">
        <v>40553</v>
      </c>
      <c r="C217" s="1">
        <v>1</v>
      </c>
      <c r="D217" s="1">
        <v>0</v>
      </c>
      <c r="E217" s="1">
        <v>1</v>
      </c>
      <c r="F217" s="1">
        <v>6</v>
      </c>
      <c r="G217" s="4" t="b">
        <v>0</v>
      </c>
      <c r="H217" s="1">
        <v>1</v>
      </c>
      <c r="I217" s="1">
        <v>1</v>
      </c>
      <c r="J217" s="8">
        <v>0.12</v>
      </c>
    </row>
    <row r="218" spans="1:10" ht="15" thickBot="1" x14ac:dyDescent="0.35">
      <c r="A218" s="7">
        <v>217</v>
      </c>
      <c r="B218" s="3">
        <v>40553</v>
      </c>
      <c r="C218" s="1">
        <v>1</v>
      </c>
      <c r="D218" s="1">
        <v>0</v>
      </c>
      <c r="E218" s="1">
        <v>1</v>
      </c>
      <c r="F218" s="1">
        <v>7</v>
      </c>
      <c r="G218" s="4" t="b">
        <v>0</v>
      </c>
      <c r="H218" s="1">
        <v>1</v>
      </c>
      <c r="I218" s="1">
        <v>1</v>
      </c>
      <c r="J218" s="8">
        <v>0.12</v>
      </c>
    </row>
    <row r="219" spans="1:10" ht="15" thickBot="1" x14ac:dyDescent="0.35">
      <c r="A219" s="7">
        <v>218</v>
      </c>
      <c r="B219" s="3">
        <v>40553</v>
      </c>
      <c r="C219" s="1">
        <v>1</v>
      </c>
      <c r="D219" s="1">
        <v>0</v>
      </c>
      <c r="E219" s="1">
        <v>1</v>
      </c>
      <c r="F219" s="1">
        <v>8</v>
      </c>
      <c r="G219" s="4" t="b">
        <v>0</v>
      </c>
      <c r="H219" s="1">
        <v>1</v>
      </c>
      <c r="I219" s="1">
        <v>2</v>
      </c>
      <c r="J219" s="8">
        <v>0.12</v>
      </c>
    </row>
    <row r="220" spans="1:10" ht="15" thickBot="1" x14ac:dyDescent="0.35">
      <c r="A220" s="7">
        <v>219</v>
      </c>
      <c r="B220" s="3">
        <v>40553</v>
      </c>
      <c r="C220" s="1">
        <v>1</v>
      </c>
      <c r="D220" s="1">
        <v>0</v>
      </c>
      <c r="E220" s="1">
        <v>1</v>
      </c>
      <c r="F220" s="1">
        <v>9</v>
      </c>
      <c r="G220" s="4" t="b">
        <v>0</v>
      </c>
      <c r="H220" s="1">
        <v>1</v>
      </c>
      <c r="I220" s="1">
        <v>2</v>
      </c>
      <c r="J220" s="8">
        <v>0.14000000000000001</v>
      </c>
    </row>
    <row r="221" spans="1:10" ht="15" thickBot="1" x14ac:dyDescent="0.35">
      <c r="A221" s="7">
        <v>220</v>
      </c>
      <c r="B221" s="3">
        <v>40553</v>
      </c>
      <c r="C221" s="1">
        <v>1</v>
      </c>
      <c r="D221" s="1">
        <v>0</v>
      </c>
      <c r="E221" s="1">
        <v>1</v>
      </c>
      <c r="F221" s="1">
        <v>10</v>
      </c>
      <c r="G221" s="4" t="b">
        <v>0</v>
      </c>
      <c r="H221" s="1">
        <v>1</v>
      </c>
      <c r="I221" s="1">
        <v>2</v>
      </c>
      <c r="J221" s="8">
        <v>0.14000000000000001</v>
      </c>
    </row>
    <row r="222" spans="1:10" ht="15" thickBot="1" x14ac:dyDescent="0.35">
      <c r="A222" s="7">
        <v>221</v>
      </c>
      <c r="B222" s="3">
        <v>40553</v>
      </c>
      <c r="C222" s="1">
        <v>1</v>
      </c>
      <c r="D222" s="1">
        <v>0</v>
      </c>
      <c r="E222" s="1">
        <v>1</v>
      </c>
      <c r="F222" s="1">
        <v>11</v>
      </c>
      <c r="G222" s="4" t="b">
        <v>0</v>
      </c>
      <c r="H222" s="1">
        <v>1</v>
      </c>
      <c r="I222" s="1">
        <v>2</v>
      </c>
      <c r="J222" s="8">
        <v>0.16</v>
      </c>
    </row>
    <row r="223" spans="1:10" ht="15" thickBot="1" x14ac:dyDescent="0.35">
      <c r="A223" s="7">
        <v>222</v>
      </c>
      <c r="B223" s="3">
        <v>40553</v>
      </c>
      <c r="C223" s="1">
        <v>1</v>
      </c>
      <c r="D223" s="1">
        <v>0</v>
      </c>
      <c r="E223" s="1">
        <v>1</v>
      </c>
      <c r="F223" s="1">
        <v>12</v>
      </c>
      <c r="G223" s="4" t="b">
        <v>0</v>
      </c>
      <c r="H223" s="1">
        <v>1</v>
      </c>
      <c r="I223" s="1">
        <v>2</v>
      </c>
      <c r="J223" s="8">
        <v>0.2</v>
      </c>
    </row>
    <row r="224" spans="1:10" ht="15" thickBot="1" x14ac:dyDescent="0.35">
      <c r="A224" s="7">
        <v>223</v>
      </c>
      <c r="B224" s="3">
        <v>40553</v>
      </c>
      <c r="C224" s="1">
        <v>1</v>
      </c>
      <c r="D224" s="1">
        <v>0</v>
      </c>
      <c r="E224" s="1">
        <v>1</v>
      </c>
      <c r="F224" s="1">
        <v>13</v>
      </c>
      <c r="G224" s="4" t="b">
        <v>0</v>
      </c>
      <c r="H224" s="1">
        <v>1</v>
      </c>
      <c r="I224" s="1">
        <v>2</v>
      </c>
      <c r="J224" s="8">
        <v>0.2</v>
      </c>
    </row>
    <row r="225" spans="1:10" ht="15" thickBot="1" x14ac:dyDescent="0.35">
      <c r="A225" s="7">
        <v>224</v>
      </c>
      <c r="B225" s="3">
        <v>40553</v>
      </c>
      <c r="C225" s="1">
        <v>1</v>
      </c>
      <c r="D225" s="1">
        <v>0</v>
      </c>
      <c r="E225" s="1">
        <v>1</v>
      </c>
      <c r="F225" s="1">
        <v>14</v>
      </c>
      <c r="G225" s="4" t="b">
        <v>0</v>
      </c>
      <c r="H225" s="1">
        <v>1</v>
      </c>
      <c r="I225" s="1">
        <v>2</v>
      </c>
      <c r="J225" s="8">
        <v>0.2</v>
      </c>
    </row>
    <row r="226" spans="1:10" ht="15" thickBot="1" x14ac:dyDescent="0.35">
      <c r="A226" s="7">
        <v>225</v>
      </c>
      <c r="B226" s="3">
        <v>40553</v>
      </c>
      <c r="C226" s="1">
        <v>1</v>
      </c>
      <c r="D226" s="1">
        <v>0</v>
      </c>
      <c r="E226" s="1">
        <v>1</v>
      </c>
      <c r="F226" s="1">
        <v>15</v>
      </c>
      <c r="G226" s="4" t="b">
        <v>0</v>
      </c>
      <c r="H226" s="1">
        <v>1</v>
      </c>
      <c r="I226" s="1">
        <v>2</v>
      </c>
      <c r="J226" s="8">
        <v>0.2</v>
      </c>
    </row>
    <row r="227" spans="1:10" ht="15" thickBot="1" x14ac:dyDescent="0.35">
      <c r="A227" s="7">
        <v>226</v>
      </c>
      <c r="B227" s="3">
        <v>40553</v>
      </c>
      <c r="C227" s="1">
        <v>1</v>
      </c>
      <c r="D227" s="1">
        <v>0</v>
      </c>
      <c r="E227" s="1">
        <v>1</v>
      </c>
      <c r="F227" s="1">
        <v>16</v>
      </c>
      <c r="G227" s="4" t="b">
        <v>0</v>
      </c>
      <c r="H227" s="1">
        <v>1</v>
      </c>
      <c r="I227" s="1">
        <v>1</v>
      </c>
      <c r="J227" s="8">
        <v>0.2</v>
      </c>
    </row>
    <row r="228" spans="1:10" ht="15" thickBot="1" x14ac:dyDescent="0.35">
      <c r="A228" s="7">
        <v>227</v>
      </c>
      <c r="B228" s="3">
        <v>40553</v>
      </c>
      <c r="C228" s="1">
        <v>1</v>
      </c>
      <c r="D228" s="1">
        <v>0</v>
      </c>
      <c r="E228" s="1">
        <v>1</v>
      </c>
      <c r="F228" s="1">
        <v>17</v>
      </c>
      <c r="G228" s="4" t="b">
        <v>0</v>
      </c>
      <c r="H228" s="1">
        <v>1</v>
      </c>
      <c r="I228" s="1">
        <v>1</v>
      </c>
      <c r="J228" s="8">
        <v>0.2</v>
      </c>
    </row>
    <row r="229" spans="1:10" ht="15" thickBot="1" x14ac:dyDescent="0.35">
      <c r="A229" s="7">
        <v>228</v>
      </c>
      <c r="B229" s="3">
        <v>40553</v>
      </c>
      <c r="C229" s="1">
        <v>1</v>
      </c>
      <c r="D229" s="1">
        <v>0</v>
      </c>
      <c r="E229" s="1">
        <v>1</v>
      </c>
      <c r="F229" s="1">
        <v>18</v>
      </c>
      <c r="G229" s="4" t="b">
        <v>0</v>
      </c>
      <c r="H229" s="1">
        <v>1</v>
      </c>
      <c r="I229" s="1">
        <v>1</v>
      </c>
      <c r="J229" s="8">
        <v>0.2</v>
      </c>
    </row>
    <row r="230" spans="1:10" ht="15" thickBot="1" x14ac:dyDescent="0.35">
      <c r="A230" s="7">
        <v>229</v>
      </c>
      <c r="B230" s="3">
        <v>40553</v>
      </c>
      <c r="C230" s="1">
        <v>1</v>
      </c>
      <c r="D230" s="1">
        <v>0</v>
      </c>
      <c r="E230" s="1">
        <v>1</v>
      </c>
      <c r="F230" s="1">
        <v>19</v>
      </c>
      <c r="G230" s="4" t="b">
        <v>0</v>
      </c>
      <c r="H230" s="1">
        <v>1</v>
      </c>
      <c r="I230" s="1">
        <v>1</v>
      </c>
      <c r="J230" s="8">
        <v>0.16</v>
      </c>
    </row>
    <row r="231" spans="1:10" ht="15" thickBot="1" x14ac:dyDescent="0.35">
      <c r="A231" s="7">
        <v>230</v>
      </c>
      <c r="B231" s="3">
        <v>40553</v>
      </c>
      <c r="C231" s="1">
        <v>1</v>
      </c>
      <c r="D231" s="1">
        <v>0</v>
      </c>
      <c r="E231" s="1">
        <v>1</v>
      </c>
      <c r="F231" s="1">
        <v>20</v>
      </c>
      <c r="G231" s="4" t="b">
        <v>0</v>
      </c>
      <c r="H231" s="1">
        <v>1</v>
      </c>
      <c r="I231" s="1">
        <v>1</v>
      </c>
      <c r="J231" s="8">
        <v>0.16</v>
      </c>
    </row>
    <row r="232" spans="1:10" ht="15" thickBot="1" x14ac:dyDescent="0.35">
      <c r="A232" s="7">
        <v>231</v>
      </c>
      <c r="B232" s="3">
        <v>40553</v>
      </c>
      <c r="C232" s="1">
        <v>1</v>
      </c>
      <c r="D232" s="1">
        <v>0</v>
      </c>
      <c r="E232" s="1">
        <v>1</v>
      </c>
      <c r="F232" s="1">
        <v>21</v>
      </c>
      <c r="G232" s="4" t="b">
        <v>0</v>
      </c>
      <c r="H232" s="1">
        <v>1</v>
      </c>
      <c r="I232" s="1">
        <v>1</v>
      </c>
      <c r="J232" s="8">
        <v>0.14000000000000001</v>
      </c>
    </row>
    <row r="233" spans="1:10" ht="15" thickBot="1" x14ac:dyDescent="0.35">
      <c r="A233" s="7">
        <v>232</v>
      </c>
      <c r="B233" s="3">
        <v>40553</v>
      </c>
      <c r="C233" s="1">
        <v>1</v>
      </c>
      <c r="D233" s="1">
        <v>0</v>
      </c>
      <c r="E233" s="1">
        <v>1</v>
      </c>
      <c r="F233" s="1">
        <v>22</v>
      </c>
      <c r="G233" s="4" t="b">
        <v>0</v>
      </c>
      <c r="H233" s="1">
        <v>1</v>
      </c>
      <c r="I233" s="1">
        <v>1</v>
      </c>
      <c r="J233" s="8">
        <v>0.14000000000000001</v>
      </c>
    </row>
    <row r="234" spans="1:10" ht="15" thickBot="1" x14ac:dyDescent="0.35">
      <c r="A234" s="7">
        <v>233</v>
      </c>
      <c r="B234" s="3">
        <v>40553</v>
      </c>
      <c r="C234" s="1">
        <v>1</v>
      </c>
      <c r="D234" s="1">
        <v>0</v>
      </c>
      <c r="E234" s="1">
        <v>1</v>
      </c>
      <c r="F234" s="1">
        <v>23</v>
      </c>
      <c r="G234" s="4" t="b">
        <v>0</v>
      </c>
      <c r="H234" s="1">
        <v>1</v>
      </c>
      <c r="I234" s="1">
        <v>1</v>
      </c>
      <c r="J234" s="8">
        <v>0.14000000000000001</v>
      </c>
    </row>
    <row r="235" spans="1:10" ht="15" thickBot="1" x14ac:dyDescent="0.35">
      <c r="A235" s="7">
        <v>234</v>
      </c>
      <c r="B235" s="3">
        <v>40554</v>
      </c>
      <c r="C235" s="1">
        <v>1</v>
      </c>
      <c r="D235" s="1">
        <v>0</v>
      </c>
      <c r="E235" s="1">
        <v>1</v>
      </c>
      <c r="F235" s="1">
        <v>0</v>
      </c>
      <c r="G235" s="4" t="b">
        <v>0</v>
      </c>
      <c r="H235" s="1">
        <v>2</v>
      </c>
      <c r="I235" s="1">
        <v>1</v>
      </c>
      <c r="J235" s="8">
        <v>0.14000000000000001</v>
      </c>
    </row>
    <row r="236" spans="1:10" ht="15" thickBot="1" x14ac:dyDescent="0.35">
      <c r="A236" s="7">
        <v>235</v>
      </c>
      <c r="B236" s="3">
        <v>40554</v>
      </c>
      <c r="C236" s="1">
        <v>1</v>
      </c>
      <c r="D236" s="1">
        <v>0</v>
      </c>
      <c r="E236" s="1">
        <v>1</v>
      </c>
      <c r="F236" s="1">
        <v>1</v>
      </c>
      <c r="G236" s="4" t="b">
        <v>0</v>
      </c>
      <c r="H236" s="1">
        <v>2</v>
      </c>
      <c r="I236" s="1">
        <v>1</v>
      </c>
      <c r="J236" s="8">
        <v>0.14000000000000001</v>
      </c>
    </row>
    <row r="237" spans="1:10" ht="15" thickBot="1" x14ac:dyDescent="0.35">
      <c r="A237" s="7">
        <v>236</v>
      </c>
      <c r="B237" s="3">
        <v>40554</v>
      </c>
      <c r="C237" s="1">
        <v>1</v>
      </c>
      <c r="D237" s="1">
        <v>0</v>
      </c>
      <c r="E237" s="1">
        <v>1</v>
      </c>
      <c r="F237" s="1">
        <v>2</v>
      </c>
      <c r="G237" s="4" t="b">
        <v>0</v>
      </c>
      <c r="H237" s="1">
        <v>2</v>
      </c>
      <c r="I237" s="1">
        <v>2</v>
      </c>
      <c r="J237" s="8">
        <v>0.16</v>
      </c>
    </row>
    <row r="238" spans="1:10" ht="15" thickBot="1" x14ac:dyDescent="0.35">
      <c r="A238" s="7">
        <v>237</v>
      </c>
      <c r="B238" s="3">
        <v>40554</v>
      </c>
      <c r="C238" s="1">
        <v>1</v>
      </c>
      <c r="D238" s="1">
        <v>0</v>
      </c>
      <c r="E238" s="1">
        <v>1</v>
      </c>
      <c r="F238" s="1">
        <v>5</v>
      </c>
      <c r="G238" s="4" t="b">
        <v>0</v>
      </c>
      <c r="H238" s="1">
        <v>2</v>
      </c>
      <c r="I238" s="1">
        <v>2</v>
      </c>
      <c r="J238" s="8">
        <v>0.16</v>
      </c>
    </row>
    <row r="239" spans="1:10" ht="15" thickBot="1" x14ac:dyDescent="0.35">
      <c r="A239" s="7">
        <v>238</v>
      </c>
      <c r="B239" s="3">
        <v>40554</v>
      </c>
      <c r="C239" s="1">
        <v>1</v>
      </c>
      <c r="D239" s="1">
        <v>0</v>
      </c>
      <c r="E239" s="1">
        <v>1</v>
      </c>
      <c r="F239" s="1">
        <v>6</v>
      </c>
      <c r="G239" s="4" t="b">
        <v>0</v>
      </c>
      <c r="H239" s="1">
        <v>2</v>
      </c>
      <c r="I239" s="1">
        <v>2</v>
      </c>
      <c r="J239" s="8">
        <v>0.16</v>
      </c>
    </row>
    <row r="240" spans="1:10" ht="15" thickBot="1" x14ac:dyDescent="0.35">
      <c r="A240" s="7">
        <v>239</v>
      </c>
      <c r="B240" s="3">
        <v>40554</v>
      </c>
      <c r="C240" s="1">
        <v>1</v>
      </c>
      <c r="D240" s="1">
        <v>0</v>
      </c>
      <c r="E240" s="1">
        <v>1</v>
      </c>
      <c r="F240" s="1">
        <v>7</v>
      </c>
      <c r="G240" s="4" t="b">
        <v>0</v>
      </c>
      <c r="H240" s="1">
        <v>2</v>
      </c>
      <c r="I240" s="1">
        <v>2</v>
      </c>
      <c r="J240" s="8">
        <v>0.16</v>
      </c>
    </row>
    <row r="241" spans="1:10" ht="15" thickBot="1" x14ac:dyDescent="0.35">
      <c r="A241" s="7">
        <v>240</v>
      </c>
      <c r="B241" s="3">
        <v>40554</v>
      </c>
      <c r="C241" s="1">
        <v>1</v>
      </c>
      <c r="D241" s="1">
        <v>0</v>
      </c>
      <c r="E241" s="1">
        <v>1</v>
      </c>
      <c r="F241" s="1">
        <v>8</v>
      </c>
      <c r="G241" s="4" t="b">
        <v>0</v>
      </c>
      <c r="H241" s="1">
        <v>2</v>
      </c>
      <c r="I241" s="1">
        <v>2</v>
      </c>
      <c r="J241" s="8">
        <v>0.18</v>
      </c>
    </row>
    <row r="242" spans="1:10" ht="15" thickBot="1" x14ac:dyDescent="0.35">
      <c r="A242" s="7">
        <v>241</v>
      </c>
      <c r="B242" s="3">
        <v>40554</v>
      </c>
      <c r="C242" s="1">
        <v>1</v>
      </c>
      <c r="D242" s="1">
        <v>0</v>
      </c>
      <c r="E242" s="1">
        <v>1</v>
      </c>
      <c r="F242" s="1">
        <v>9</v>
      </c>
      <c r="G242" s="4" t="b">
        <v>0</v>
      </c>
      <c r="H242" s="1">
        <v>2</v>
      </c>
      <c r="I242" s="1">
        <v>2</v>
      </c>
      <c r="J242" s="8">
        <v>0.18</v>
      </c>
    </row>
    <row r="243" spans="1:10" ht="15" thickBot="1" x14ac:dyDescent="0.35">
      <c r="A243" s="7">
        <v>242</v>
      </c>
      <c r="B243" s="3">
        <v>40554</v>
      </c>
      <c r="C243" s="1">
        <v>1</v>
      </c>
      <c r="D243" s="1">
        <v>0</v>
      </c>
      <c r="E243" s="1">
        <v>1</v>
      </c>
      <c r="F243" s="1">
        <v>10</v>
      </c>
      <c r="G243" s="4" t="b">
        <v>0</v>
      </c>
      <c r="H243" s="1">
        <v>2</v>
      </c>
      <c r="I243" s="1">
        <v>2</v>
      </c>
      <c r="J243" s="8">
        <v>0.2</v>
      </c>
    </row>
    <row r="244" spans="1:10" ht="15" thickBot="1" x14ac:dyDescent="0.35">
      <c r="A244" s="7">
        <v>243</v>
      </c>
      <c r="B244" s="3">
        <v>40554</v>
      </c>
      <c r="C244" s="1">
        <v>1</v>
      </c>
      <c r="D244" s="1">
        <v>0</v>
      </c>
      <c r="E244" s="1">
        <v>1</v>
      </c>
      <c r="F244" s="1">
        <v>11</v>
      </c>
      <c r="G244" s="4" t="b">
        <v>0</v>
      </c>
      <c r="H244" s="1">
        <v>2</v>
      </c>
      <c r="I244" s="1">
        <v>2</v>
      </c>
      <c r="J244" s="8">
        <v>0.2</v>
      </c>
    </row>
    <row r="245" spans="1:10" ht="15" thickBot="1" x14ac:dyDescent="0.35">
      <c r="A245" s="7">
        <v>244</v>
      </c>
      <c r="B245" s="3">
        <v>40554</v>
      </c>
      <c r="C245" s="1">
        <v>1</v>
      </c>
      <c r="D245" s="1">
        <v>0</v>
      </c>
      <c r="E245" s="1">
        <v>1</v>
      </c>
      <c r="F245" s="1">
        <v>12</v>
      </c>
      <c r="G245" s="4" t="b">
        <v>0</v>
      </c>
      <c r="H245" s="1">
        <v>2</v>
      </c>
      <c r="I245" s="1">
        <v>2</v>
      </c>
      <c r="J245" s="8">
        <v>0.2</v>
      </c>
    </row>
    <row r="246" spans="1:10" ht="15" thickBot="1" x14ac:dyDescent="0.35">
      <c r="A246" s="7">
        <v>245</v>
      </c>
      <c r="B246" s="3">
        <v>40554</v>
      </c>
      <c r="C246" s="1">
        <v>1</v>
      </c>
      <c r="D246" s="1">
        <v>0</v>
      </c>
      <c r="E246" s="1">
        <v>1</v>
      </c>
      <c r="F246" s="1">
        <v>13</v>
      </c>
      <c r="G246" s="4" t="b">
        <v>0</v>
      </c>
      <c r="H246" s="1">
        <v>2</v>
      </c>
      <c r="I246" s="1">
        <v>2</v>
      </c>
      <c r="J246" s="8">
        <v>0.2</v>
      </c>
    </row>
    <row r="247" spans="1:10" ht="15" thickBot="1" x14ac:dyDescent="0.35">
      <c r="A247" s="7">
        <v>246</v>
      </c>
      <c r="B247" s="3">
        <v>40554</v>
      </c>
      <c r="C247" s="1">
        <v>1</v>
      </c>
      <c r="D247" s="1">
        <v>0</v>
      </c>
      <c r="E247" s="1">
        <v>1</v>
      </c>
      <c r="F247" s="1">
        <v>14</v>
      </c>
      <c r="G247" s="4" t="b">
        <v>0</v>
      </c>
      <c r="H247" s="1">
        <v>2</v>
      </c>
      <c r="I247" s="1">
        <v>2</v>
      </c>
      <c r="J247" s="8">
        <v>0.2</v>
      </c>
    </row>
    <row r="248" spans="1:10" ht="15" thickBot="1" x14ac:dyDescent="0.35">
      <c r="A248" s="7">
        <v>247</v>
      </c>
      <c r="B248" s="3">
        <v>40554</v>
      </c>
      <c r="C248" s="1">
        <v>1</v>
      </c>
      <c r="D248" s="1">
        <v>0</v>
      </c>
      <c r="E248" s="1">
        <v>1</v>
      </c>
      <c r="F248" s="1">
        <v>15</v>
      </c>
      <c r="G248" s="4" t="b">
        <v>0</v>
      </c>
      <c r="H248" s="1">
        <v>2</v>
      </c>
      <c r="I248" s="1">
        <v>2</v>
      </c>
      <c r="J248" s="8">
        <v>0.16</v>
      </c>
    </row>
    <row r="249" spans="1:10" ht="15" thickBot="1" x14ac:dyDescent="0.35">
      <c r="A249" s="7">
        <v>248</v>
      </c>
      <c r="B249" s="3">
        <v>40554</v>
      </c>
      <c r="C249" s="1">
        <v>1</v>
      </c>
      <c r="D249" s="1">
        <v>0</v>
      </c>
      <c r="E249" s="1">
        <v>1</v>
      </c>
      <c r="F249" s="1">
        <v>16</v>
      </c>
      <c r="G249" s="4" t="b">
        <v>0</v>
      </c>
      <c r="H249" s="1">
        <v>2</v>
      </c>
      <c r="I249" s="1">
        <v>2</v>
      </c>
      <c r="J249" s="8">
        <v>0.16</v>
      </c>
    </row>
    <row r="250" spans="1:10" ht="15" thickBot="1" x14ac:dyDescent="0.35">
      <c r="A250" s="7">
        <v>249</v>
      </c>
      <c r="B250" s="3">
        <v>40554</v>
      </c>
      <c r="C250" s="1">
        <v>1</v>
      </c>
      <c r="D250" s="1">
        <v>0</v>
      </c>
      <c r="E250" s="1">
        <v>1</v>
      </c>
      <c r="F250" s="1">
        <v>17</v>
      </c>
      <c r="G250" s="4" t="b">
        <v>0</v>
      </c>
      <c r="H250" s="1">
        <v>2</v>
      </c>
      <c r="I250" s="1">
        <v>2</v>
      </c>
      <c r="J250" s="8">
        <v>0.16</v>
      </c>
    </row>
    <row r="251" spans="1:10" ht="15" thickBot="1" x14ac:dyDescent="0.35">
      <c r="A251" s="7">
        <v>250</v>
      </c>
      <c r="B251" s="3">
        <v>40554</v>
      </c>
      <c r="C251" s="1">
        <v>1</v>
      </c>
      <c r="D251" s="1">
        <v>0</v>
      </c>
      <c r="E251" s="1">
        <v>1</v>
      </c>
      <c r="F251" s="1">
        <v>18</v>
      </c>
      <c r="G251" s="4" t="b">
        <v>0</v>
      </c>
      <c r="H251" s="1">
        <v>2</v>
      </c>
      <c r="I251" s="1">
        <v>3</v>
      </c>
      <c r="J251" s="8">
        <v>0.16</v>
      </c>
    </row>
    <row r="252" spans="1:10" ht="15" thickBot="1" x14ac:dyDescent="0.35">
      <c r="A252" s="7">
        <v>251</v>
      </c>
      <c r="B252" s="3">
        <v>40554</v>
      </c>
      <c r="C252" s="1">
        <v>1</v>
      </c>
      <c r="D252" s="1">
        <v>0</v>
      </c>
      <c r="E252" s="1">
        <v>1</v>
      </c>
      <c r="F252" s="1">
        <v>19</v>
      </c>
      <c r="G252" s="4" t="b">
        <v>0</v>
      </c>
      <c r="H252" s="1">
        <v>2</v>
      </c>
      <c r="I252" s="1">
        <v>3</v>
      </c>
      <c r="J252" s="8">
        <v>0.16</v>
      </c>
    </row>
    <row r="253" spans="1:10" ht="15" thickBot="1" x14ac:dyDescent="0.35">
      <c r="A253" s="7">
        <v>252</v>
      </c>
      <c r="B253" s="3">
        <v>40554</v>
      </c>
      <c r="C253" s="1">
        <v>1</v>
      </c>
      <c r="D253" s="1">
        <v>0</v>
      </c>
      <c r="E253" s="1">
        <v>1</v>
      </c>
      <c r="F253" s="1">
        <v>20</v>
      </c>
      <c r="G253" s="4" t="b">
        <v>0</v>
      </c>
      <c r="H253" s="1">
        <v>2</v>
      </c>
      <c r="I253" s="1">
        <v>3</v>
      </c>
      <c r="J253" s="8">
        <v>0.16</v>
      </c>
    </row>
    <row r="254" spans="1:10" ht="15" thickBot="1" x14ac:dyDescent="0.35">
      <c r="A254" s="7">
        <v>253</v>
      </c>
      <c r="B254" s="3">
        <v>40554</v>
      </c>
      <c r="C254" s="1">
        <v>1</v>
      </c>
      <c r="D254" s="1">
        <v>0</v>
      </c>
      <c r="E254" s="1">
        <v>1</v>
      </c>
      <c r="F254" s="1">
        <v>21</v>
      </c>
      <c r="G254" s="4" t="b">
        <v>0</v>
      </c>
      <c r="H254" s="1">
        <v>2</v>
      </c>
      <c r="I254" s="1">
        <v>3</v>
      </c>
      <c r="J254" s="8">
        <v>0.16</v>
      </c>
    </row>
    <row r="255" spans="1:10" ht="15" thickBot="1" x14ac:dyDescent="0.35">
      <c r="A255" s="7">
        <v>254</v>
      </c>
      <c r="B255" s="3">
        <v>40554</v>
      </c>
      <c r="C255" s="1">
        <v>1</v>
      </c>
      <c r="D255" s="1">
        <v>0</v>
      </c>
      <c r="E255" s="1">
        <v>1</v>
      </c>
      <c r="F255" s="1">
        <v>22</v>
      </c>
      <c r="G255" s="4" t="b">
        <v>0</v>
      </c>
      <c r="H255" s="1">
        <v>2</v>
      </c>
      <c r="I255" s="1">
        <v>3</v>
      </c>
      <c r="J255" s="8">
        <v>0.16</v>
      </c>
    </row>
    <row r="256" spans="1:10" ht="15" thickBot="1" x14ac:dyDescent="0.35">
      <c r="A256" s="7">
        <v>255</v>
      </c>
      <c r="B256" s="3">
        <v>40554</v>
      </c>
      <c r="C256" s="1">
        <v>1</v>
      </c>
      <c r="D256" s="1">
        <v>0</v>
      </c>
      <c r="E256" s="1">
        <v>1</v>
      </c>
      <c r="F256" s="1">
        <v>23</v>
      </c>
      <c r="G256" s="4" t="b">
        <v>0</v>
      </c>
      <c r="H256" s="1">
        <v>2</v>
      </c>
      <c r="I256" s="1">
        <v>3</v>
      </c>
      <c r="J256" s="8">
        <v>0.16</v>
      </c>
    </row>
    <row r="257" spans="1:10" ht="15" thickBot="1" x14ac:dyDescent="0.35">
      <c r="A257" s="7">
        <v>256</v>
      </c>
      <c r="B257" s="3">
        <v>40555</v>
      </c>
      <c r="C257" s="1">
        <v>1</v>
      </c>
      <c r="D257" s="1">
        <v>0</v>
      </c>
      <c r="E257" s="1">
        <v>1</v>
      </c>
      <c r="F257" s="1">
        <v>0</v>
      </c>
      <c r="G257" s="4" t="b">
        <v>0</v>
      </c>
      <c r="H257" s="1">
        <v>3</v>
      </c>
      <c r="I257" s="1">
        <v>2</v>
      </c>
      <c r="J257" s="8">
        <v>0.16</v>
      </c>
    </row>
    <row r="258" spans="1:10" ht="15" thickBot="1" x14ac:dyDescent="0.35">
      <c r="A258" s="7">
        <v>257</v>
      </c>
      <c r="B258" s="3">
        <v>40555</v>
      </c>
      <c r="C258" s="1">
        <v>1</v>
      </c>
      <c r="D258" s="1">
        <v>0</v>
      </c>
      <c r="E258" s="1">
        <v>1</v>
      </c>
      <c r="F258" s="1">
        <v>1</v>
      </c>
      <c r="G258" s="4" t="b">
        <v>0</v>
      </c>
      <c r="H258" s="1">
        <v>3</v>
      </c>
      <c r="I258" s="1">
        <v>2</v>
      </c>
      <c r="J258" s="8">
        <v>0.16</v>
      </c>
    </row>
    <row r="259" spans="1:10" ht="15" thickBot="1" x14ac:dyDescent="0.35">
      <c r="A259" s="7">
        <v>258</v>
      </c>
      <c r="B259" s="3">
        <v>40555</v>
      </c>
      <c r="C259" s="1">
        <v>1</v>
      </c>
      <c r="D259" s="1">
        <v>0</v>
      </c>
      <c r="E259" s="1">
        <v>1</v>
      </c>
      <c r="F259" s="1">
        <v>2</v>
      </c>
      <c r="G259" s="4" t="b">
        <v>0</v>
      </c>
      <c r="H259" s="1">
        <v>3</v>
      </c>
      <c r="I259" s="1">
        <v>1</v>
      </c>
      <c r="J259" s="8">
        <v>0.14000000000000001</v>
      </c>
    </row>
    <row r="260" spans="1:10" ht="15" thickBot="1" x14ac:dyDescent="0.35">
      <c r="A260" s="7">
        <v>259</v>
      </c>
      <c r="B260" s="3">
        <v>40555</v>
      </c>
      <c r="C260" s="1">
        <v>1</v>
      </c>
      <c r="D260" s="1">
        <v>0</v>
      </c>
      <c r="E260" s="1">
        <v>1</v>
      </c>
      <c r="F260" s="1">
        <v>5</v>
      </c>
      <c r="G260" s="4" t="b">
        <v>0</v>
      </c>
      <c r="H260" s="1">
        <v>3</v>
      </c>
      <c r="I260" s="1">
        <v>1</v>
      </c>
      <c r="J260" s="8">
        <v>0.14000000000000001</v>
      </c>
    </row>
    <row r="261" spans="1:10" ht="15" thickBot="1" x14ac:dyDescent="0.35">
      <c r="A261" s="7">
        <v>260</v>
      </c>
      <c r="B261" s="3">
        <v>40555</v>
      </c>
      <c r="C261" s="1">
        <v>1</v>
      </c>
      <c r="D261" s="1">
        <v>0</v>
      </c>
      <c r="E261" s="1">
        <v>1</v>
      </c>
      <c r="F261" s="1">
        <v>6</v>
      </c>
      <c r="G261" s="4" t="b">
        <v>0</v>
      </c>
      <c r="H261" s="1">
        <v>3</v>
      </c>
      <c r="I261" s="1">
        <v>1</v>
      </c>
      <c r="J261" s="8">
        <v>0.12</v>
      </c>
    </row>
    <row r="262" spans="1:10" ht="15" thickBot="1" x14ac:dyDescent="0.35">
      <c r="A262" s="7">
        <v>261</v>
      </c>
      <c r="B262" s="3">
        <v>40555</v>
      </c>
      <c r="C262" s="1">
        <v>1</v>
      </c>
      <c r="D262" s="1">
        <v>0</v>
      </c>
      <c r="E262" s="1">
        <v>1</v>
      </c>
      <c r="F262" s="1">
        <v>7</v>
      </c>
      <c r="G262" s="4" t="b">
        <v>0</v>
      </c>
      <c r="H262" s="1">
        <v>3</v>
      </c>
      <c r="I262" s="1">
        <v>1</v>
      </c>
      <c r="J262" s="8">
        <v>0.14000000000000001</v>
      </c>
    </row>
    <row r="263" spans="1:10" ht="15" thickBot="1" x14ac:dyDescent="0.35">
      <c r="A263" s="7">
        <v>262</v>
      </c>
      <c r="B263" s="3">
        <v>40555</v>
      </c>
      <c r="C263" s="1">
        <v>1</v>
      </c>
      <c r="D263" s="1">
        <v>0</v>
      </c>
      <c r="E263" s="1">
        <v>1</v>
      </c>
      <c r="F263" s="1">
        <v>8</v>
      </c>
      <c r="G263" s="4" t="b">
        <v>0</v>
      </c>
      <c r="H263" s="1">
        <v>3</v>
      </c>
      <c r="I263" s="1">
        <v>1</v>
      </c>
      <c r="J263" s="8">
        <v>0.16</v>
      </c>
    </row>
    <row r="264" spans="1:10" ht="15" thickBot="1" x14ac:dyDescent="0.35">
      <c r="A264" s="7">
        <v>263</v>
      </c>
      <c r="B264" s="3">
        <v>40555</v>
      </c>
      <c r="C264" s="1">
        <v>1</v>
      </c>
      <c r="D264" s="1">
        <v>0</v>
      </c>
      <c r="E264" s="1">
        <v>1</v>
      </c>
      <c r="F264" s="1">
        <v>9</v>
      </c>
      <c r="G264" s="4" t="b">
        <v>0</v>
      </c>
      <c r="H264" s="1">
        <v>3</v>
      </c>
      <c r="I264" s="1">
        <v>1</v>
      </c>
      <c r="J264" s="8">
        <v>0.16</v>
      </c>
    </row>
    <row r="265" spans="1:10" ht="15" thickBot="1" x14ac:dyDescent="0.35">
      <c r="A265" s="7">
        <v>264</v>
      </c>
      <c r="B265" s="3">
        <v>40555</v>
      </c>
      <c r="C265" s="1">
        <v>1</v>
      </c>
      <c r="D265" s="1">
        <v>0</v>
      </c>
      <c r="E265" s="1">
        <v>1</v>
      </c>
      <c r="F265" s="1">
        <v>10</v>
      </c>
      <c r="G265" s="4" t="b">
        <v>0</v>
      </c>
      <c r="H265" s="1">
        <v>3</v>
      </c>
      <c r="I265" s="1">
        <v>1</v>
      </c>
      <c r="J265" s="8">
        <v>0.18</v>
      </c>
    </row>
    <row r="266" spans="1:10" ht="15" thickBot="1" x14ac:dyDescent="0.35">
      <c r="A266" s="7">
        <v>265</v>
      </c>
      <c r="B266" s="3">
        <v>40555</v>
      </c>
      <c r="C266" s="1">
        <v>1</v>
      </c>
      <c r="D266" s="1">
        <v>0</v>
      </c>
      <c r="E266" s="1">
        <v>1</v>
      </c>
      <c r="F266" s="1">
        <v>11</v>
      </c>
      <c r="G266" s="4" t="b">
        <v>0</v>
      </c>
      <c r="H266" s="1">
        <v>3</v>
      </c>
      <c r="I266" s="1">
        <v>1</v>
      </c>
      <c r="J266" s="8">
        <v>0.2</v>
      </c>
    </row>
    <row r="267" spans="1:10" ht="15" thickBot="1" x14ac:dyDescent="0.35">
      <c r="A267" s="7">
        <v>266</v>
      </c>
      <c r="B267" s="3">
        <v>40555</v>
      </c>
      <c r="C267" s="1">
        <v>1</v>
      </c>
      <c r="D267" s="1">
        <v>0</v>
      </c>
      <c r="E267" s="1">
        <v>1</v>
      </c>
      <c r="F267" s="1">
        <v>12</v>
      </c>
      <c r="G267" s="4" t="b">
        <v>0</v>
      </c>
      <c r="H267" s="1">
        <v>3</v>
      </c>
      <c r="I267" s="1">
        <v>1</v>
      </c>
      <c r="J267" s="8">
        <v>0.2</v>
      </c>
    </row>
    <row r="268" spans="1:10" ht="15" thickBot="1" x14ac:dyDescent="0.35">
      <c r="A268" s="7">
        <v>267</v>
      </c>
      <c r="B268" s="3">
        <v>40555</v>
      </c>
      <c r="C268" s="1">
        <v>1</v>
      </c>
      <c r="D268" s="1">
        <v>0</v>
      </c>
      <c r="E268" s="1">
        <v>1</v>
      </c>
      <c r="F268" s="1">
        <v>13</v>
      </c>
      <c r="G268" s="4" t="b">
        <v>0</v>
      </c>
      <c r="H268" s="1">
        <v>3</v>
      </c>
      <c r="I268" s="1">
        <v>1</v>
      </c>
      <c r="J268" s="8">
        <v>0.22</v>
      </c>
    </row>
    <row r="269" spans="1:10" ht="15" thickBot="1" x14ac:dyDescent="0.35">
      <c r="A269" s="7">
        <v>268</v>
      </c>
      <c r="B269" s="3">
        <v>40555</v>
      </c>
      <c r="C269" s="1">
        <v>1</v>
      </c>
      <c r="D269" s="1">
        <v>0</v>
      </c>
      <c r="E269" s="1">
        <v>1</v>
      </c>
      <c r="F269" s="1">
        <v>14</v>
      </c>
      <c r="G269" s="4" t="b">
        <v>0</v>
      </c>
      <c r="H269" s="1">
        <v>3</v>
      </c>
      <c r="I269" s="1">
        <v>1</v>
      </c>
      <c r="J269" s="8">
        <v>0.2</v>
      </c>
    </row>
    <row r="270" spans="1:10" ht="15" thickBot="1" x14ac:dyDescent="0.35">
      <c r="A270" s="7">
        <v>269</v>
      </c>
      <c r="B270" s="3">
        <v>40555</v>
      </c>
      <c r="C270" s="1">
        <v>1</v>
      </c>
      <c r="D270" s="1">
        <v>0</v>
      </c>
      <c r="E270" s="1">
        <v>1</v>
      </c>
      <c r="F270" s="1">
        <v>15</v>
      </c>
      <c r="G270" s="4" t="b">
        <v>0</v>
      </c>
      <c r="H270" s="1">
        <v>3</v>
      </c>
      <c r="I270" s="1">
        <v>1</v>
      </c>
      <c r="J270" s="8">
        <v>0.2</v>
      </c>
    </row>
    <row r="271" spans="1:10" ht="15" thickBot="1" x14ac:dyDescent="0.35">
      <c r="A271" s="7">
        <v>270</v>
      </c>
      <c r="B271" s="3">
        <v>40555</v>
      </c>
      <c r="C271" s="1">
        <v>1</v>
      </c>
      <c r="D271" s="1">
        <v>0</v>
      </c>
      <c r="E271" s="1">
        <v>1</v>
      </c>
      <c r="F271" s="1">
        <v>16</v>
      </c>
      <c r="G271" s="4" t="b">
        <v>0</v>
      </c>
      <c r="H271" s="1">
        <v>3</v>
      </c>
      <c r="I271" s="1">
        <v>1</v>
      </c>
      <c r="J271" s="8">
        <v>0.22</v>
      </c>
    </row>
    <row r="272" spans="1:10" ht="15" thickBot="1" x14ac:dyDescent="0.35">
      <c r="A272" s="7">
        <v>271</v>
      </c>
      <c r="B272" s="3">
        <v>40555</v>
      </c>
      <c r="C272" s="1">
        <v>1</v>
      </c>
      <c r="D272" s="1">
        <v>0</v>
      </c>
      <c r="E272" s="1">
        <v>1</v>
      </c>
      <c r="F272" s="1">
        <v>17</v>
      </c>
      <c r="G272" s="4" t="b">
        <v>0</v>
      </c>
      <c r="H272" s="1">
        <v>3</v>
      </c>
      <c r="I272" s="1">
        <v>1</v>
      </c>
      <c r="J272" s="8">
        <v>0.2</v>
      </c>
    </row>
    <row r="273" spans="1:10" ht="15" thickBot="1" x14ac:dyDescent="0.35">
      <c r="A273" s="7">
        <v>272</v>
      </c>
      <c r="B273" s="3">
        <v>40555</v>
      </c>
      <c r="C273" s="1">
        <v>1</v>
      </c>
      <c r="D273" s="1">
        <v>0</v>
      </c>
      <c r="E273" s="1">
        <v>1</v>
      </c>
      <c r="F273" s="1">
        <v>18</v>
      </c>
      <c r="G273" s="4" t="b">
        <v>0</v>
      </c>
      <c r="H273" s="1">
        <v>3</v>
      </c>
      <c r="I273" s="1">
        <v>1</v>
      </c>
      <c r="J273" s="8">
        <v>0.2</v>
      </c>
    </row>
    <row r="274" spans="1:10" ht="15" thickBot="1" x14ac:dyDescent="0.35">
      <c r="A274" s="7">
        <v>273</v>
      </c>
      <c r="B274" s="3">
        <v>40555</v>
      </c>
      <c r="C274" s="1">
        <v>1</v>
      </c>
      <c r="D274" s="1">
        <v>0</v>
      </c>
      <c r="E274" s="1">
        <v>1</v>
      </c>
      <c r="F274" s="1">
        <v>19</v>
      </c>
      <c r="G274" s="4" t="b">
        <v>0</v>
      </c>
      <c r="H274" s="1">
        <v>3</v>
      </c>
      <c r="I274" s="1">
        <v>1</v>
      </c>
      <c r="J274" s="8">
        <v>0.18</v>
      </c>
    </row>
    <row r="275" spans="1:10" ht="15" thickBot="1" x14ac:dyDescent="0.35">
      <c r="A275" s="7">
        <v>274</v>
      </c>
      <c r="B275" s="3">
        <v>40555</v>
      </c>
      <c r="C275" s="1">
        <v>1</v>
      </c>
      <c r="D275" s="1">
        <v>0</v>
      </c>
      <c r="E275" s="1">
        <v>1</v>
      </c>
      <c r="F275" s="1">
        <v>20</v>
      </c>
      <c r="G275" s="4" t="b">
        <v>0</v>
      </c>
      <c r="H275" s="1">
        <v>3</v>
      </c>
      <c r="I275" s="1">
        <v>1</v>
      </c>
      <c r="J275" s="8">
        <v>0.16</v>
      </c>
    </row>
    <row r="276" spans="1:10" ht="15" thickBot="1" x14ac:dyDescent="0.35">
      <c r="A276" s="7">
        <v>275</v>
      </c>
      <c r="B276" s="3">
        <v>40555</v>
      </c>
      <c r="C276" s="1">
        <v>1</v>
      </c>
      <c r="D276" s="1">
        <v>0</v>
      </c>
      <c r="E276" s="1">
        <v>1</v>
      </c>
      <c r="F276" s="1">
        <v>21</v>
      </c>
      <c r="G276" s="4" t="b">
        <v>0</v>
      </c>
      <c r="H276" s="1">
        <v>3</v>
      </c>
      <c r="I276" s="1">
        <v>1</v>
      </c>
      <c r="J276" s="8">
        <v>0.16</v>
      </c>
    </row>
    <row r="277" spans="1:10" ht="15" thickBot="1" x14ac:dyDescent="0.35">
      <c r="A277" s="7">
        <v>276</v>
      </c>
      <c r="B277" s="3">
        <v>40555</v>
      </c>
      <c r="C277" s="1">
        <v>1</v>
      </c>
      <c r="D277" s="1">
        <v>0</v>
      </c>
      <c r="E277" s="1">
        <v>1</v>
      </c>
      <c r="F277" s="1">
        <v>22</v>
      </c>
      <c r="G277" s="4" t="b">
        <v>0</v>
      </c>
      <c r="H277" s="1">
        <v>3</v>
      </c>
      <c r="I277" s="1">
        <v>1</v>
      </c>
      <c r="J277" s="8">
        <v>0.16</v>
      </c>
    </row>
    <row r="278" spans="1:10" ht="15" thickBot="1" x14ac:dyDescent="0.35">
      <c r="A278" s="7">
        <v>277</v>
      </c>
      <c r="B278" s="3">
        <v>40555</v>
      </c>
      <c r="C278" s="1">
        <v>1</v>
      </c>
      <c r="D278" s="1">
        <v>0</v>
      </c>
      <c r="E278" s="1">
        <v>1</v>
      </c>
      <c r="F278" s="1">
        <v>23</v>
      </c>
      <c r="G278" s="4" t="b">
        <v>0</v>
      </c>
      <c r="H278" s="1">
        <v>3</v>
      </c>
      <c r="I278" s="1">
        <v>1</v>
      </c>
      <c r="J278" s="8">
        <v>0.14000000000000001</v>
      </c>
    </row>
    <row r="279" spans="1:10" ht="15" thickBot="1" x14ac:dyDescent="0.35">
      <c r="A279" s="7">
        <v>278</v>
      </c>
      <c r="B279" s="3">
        <v>40556</v>
      </c>
      <c r="C279" s="1">
        <v>1</v>
      </c>
      <c r="D279" s="1">
        <v>0</v>
      </c>
      <c r="E279" s="1">
        <v>1</v>
      </c>
      <c r="F279" s="1">
        <v>0</v>
      </c>
      <c r="G279" s="4" t="b">
        <v>0</v>
      </c>
      <c r="H279" s="1">
        <v>4</v>
      </c>
      <c r="I279" s="1">
        <v>1</v>
      </c>
      <c r="J279" s="8">
        <v>0.14000000000000001</v>
      </c>
    </row>
    <row r="280" spans="1:10" ht="15" thickBot="1" x14ac:dyDescent="0.35">
      <c r="A280" s="7">
        <v>279</v>
      </c>
      <c r="B280" s="3">
        <v>40556</v>
      </c>
      <c r="C280" s="1">
        <v>1</v>
      </c>
      <c r="D280" s="1">
        <v>0</v>
      </c>
      <c r="E280" s="1">
        <v>1</v>
      </c>
      <c r="F280" s="1">
        <v>1</v>
      </c>
      <c r="G280" s="4" t="b">
        <v>0</v>
      </c>
      <c r="H280" s="1">
        <v>4</v>
      </c>
      <c r="I280" s="1">
        <v>1</v>
      </c>
      <c r="J280" s="8">
        <v>0.14000000000000001</v>
      </c>
    </row>
    <row r="281" spans="1:10" ht="15" thickBot="1" x14ac:dyDescent="0.35">
      <c r="A281" s="7">
        <v>280</v>
      </c>
      <c r="B281" s="3">
        <v>40556</v>
      </c>
      <c r="C281" s="1">
        <v>1</v>
      </c>
      <c r="D281" s="1">
        <v>0</v>
      </c>
      <c r="E281" s="1">
        <v>1</v>
      </c>
      <c r="F281" s="1">
        <v>2</v>
      </c>
      <c r="G281" s="4" t="b">
        <v>0</v>
      </c>
      <c r="H281" s="1">
        <v>4</v>
      </c>
      <c r="I281" s="1">
        <v>1</v>
      </c>
      <c r="J281" s="8">
        <v>0.14000000000000001</v>
      </c>
    </row>
    <row r="282" spans="1:10" ht="15" thickBot="1" x14ac:dyDescent="0.35">
      <c r="A282" s="7">
        <v>281</v>
      </c>
      <c r="B282" s="3">
        <v>40556</v>
      </c>
      <c r="C282" s="1">
        <v>1</v>
      </c>
      <c r="D282" s="1">
        <v>0</v>
      </c>
      <c r="E282" s="1">
        <v>1</v>
      </c>
      <c r="F282" s="1">
        <v>3</v>
      </c>
      <c r="G282" s="4" t="b">
        <v>0</v>
      </c>
      <c r="H282" s="1">
        <v>4</v>
      </c>
      <c r="I282" s="1">
        <v>1</v>
      </c>
      <c r="J282" s="8">
        <v>0.14000000000000001</v>
      </c>
    </row>
    <row r="283" spans="1:10" ht="15" thickBot="1" x14ac:dyDescent="0.35">
      <c r="A283" s="7">
        <v>282</v>
      </c>
      <c r="B283" s="3">
        <v>40556</v>
      </c>
      <c r="C283" s="1">
        <v>1</v>
      </c>
      <c r="D283" s="1">
        <v>0</v>
      </c>
      <c r="E283" s="1">
        <v>1</v>
      </c>
      <c r="F283" s="1">
        <v>4</v>
      </c>
      <c r="G283" s="4" t="b">
        <v>0</v>
      </c>
      <c r="H283" s="1">
        <v>4</v>
      </c>
      <c r="I283" s="1">
        <v>1</v>
      </c>
      <c r="J283" s="8">
        <v>0.14000000000000001</v>
      </c>
    </row>
    <row r="284" spans="1:10" ht="15" thickBot="1" x14ac:dyDescent="0.35">
      <c r="A284" s="7">
        <v>283</v>
      </c>
      <c r="B284" s="3">
        <v>40556</v>
      </c>
      <c r="C284" s="1">
        <v>1</v>
      </c>
      <c r="D284" s="1">
        <v>0</v>
      </c>
      <c r="E284" s="1">
        <v>1</v>
      </c>
      <c r="F284" s="1">
        <v>5</v>
      </c>
      <c r="G284" s="4" t="b">
        <v>0</v>
      </c>
      <c r="H284" s="1">
        <v>4</v>
      </c>
      <c r="I284" s="1">
        <v>1</v>
      </c>
      <c r="J284" s="8">
        <v>0.14000000000000001</v>
      </c>
    </row>
    <row r="285" spans="1:10" ht="15" thickBot="1" x14ac:dyDescent="0.35">
      <c r="A285" s="7">
        <v>284</v>
      </c>
      <c r="B285" s="3">
        <v>40556</v>
      </c>
      <c r="C285" s="1">
        <v>1</v>
      </c>
      <c r="D285" s="1">
        <v>0</v>
      </c>
      <c r="E285" s="1">
        <v>1</v>
      </c>
      <c r="F285" s="1">
        <v>6</v>
      </c>
      <c r="G285" s="4" t="b">
        <v>0</v>
      </c>
      <c r="H285" s="1">
        <v>4</v>
      </c>
      <c r="I285" s="1">
        <v>1</v>
      </c>
      <c r="J285" s="8">
        <v>0.12</v>
      </c>
    </row>
    <row r="286" spans="1:10" ht="15" thickBot="1" x14ac:dyDescent="0.35">
      <c r="A286" s="7">
        <v>285</v>
      </c>
      <c r="B286" s="3">
        <v>40556</v>
      </c>
      <c r="C286" s="1">
        <v>1</v>
      </c>
      <c r="D286" s="1">
        <v>0</v>
      </c>
      <c r="E286" s="1">
        <v>1</v>
      </c>
      <c r="F286" s="1">
        <v>7</v>
      </c>
      <c r="G286" s="4" t="b">
        <v>0</v>
      </c>
      <c r="H286" s="1">
        <v>4</v>
      </c>
      <c r="I286" s="1">
        <v>1</v>
      </c>
      <c r="J286" s="8">
        <v>0.12</v>
      </c>
    </row>
    <row r="287" spans="1:10" ht="15" thickBot="1" x14ac:dyDescent="0.35">
      <c r="A287" s="7">
        <v>286</v>
      </c>
      <c r="B287" s="3">
        <v>40556</v>
      </c>
      <c r="C287" s="1">
        <v>1</v>
      </c>
      <c r="D287" s="1">
        <v>0</v>
      </c>
      <c r="E287" s="1">
        <v>1</v>
      </c>
      <c r="F287" s="1">
        <v>8</v>
      </c>
      <c r="G287" s="4" t="b">
        <v>0</v>
      </c>
      <c r="H287" s="1">
        <v>4</v>
      </c>
      <c r="I287" s="1">
        <v>1</v>
      </c>
      <c r="J287" s="8">
        <v>0.14000000000000001</v>
      </c>
    </row>
    <row r="288" spans="1:10" ht="15" thickBot="1" x14ac:dyDescent="0.35">
      <c r="A288" s="7">
        <v>287</v>
      </c>
      <c r="B288" s="3">
        <v>40556</v>
      </c>
      <c r="C288" s="1">
        <v>1</v>
      </c>
      <c r="D288" s="1">
        <v>0</v>
      </c>
      <c r="E288" s="1">
        <v>1</v>
      </c>
      <c r="F288" s="1">
        <v>9</v>
      </c>
      <c r="G288" s="4" t="b">
        <v>0</v>
      </c>
      <c r="H288" s="1">
        <v>4</v>
      </c>
      <c r="I288" s="1">
        <v>1</v>
      </c>
      <c r="J288" s="8">
        <v>0.14000000000000001</v>
      </c>
    </row>
    <row r="289" spans="1:10" ht="15" thickBot="1" x14ac:dyDescent="0.35">
      <c r="A289" s="7">
        <v>288</v>
      </c>
      <c r="B289" s="3">
        <v>40556</v>
      </c>
      <c r="C289" s="1">
        <v>1</v>
      </c>
      <c r="D289" s="1">
        <v>0</v>
      </c>
      <c r="E289" s="1">
        <v>1</v>
      </c>
      <c r="F289" s="1">
        <v>10</v>
      </c>
      <c r="G289" s="4" t="b">
        <v>0</v>
      </c>
      <c r="H289" s="1">
        <v>4</v>
      </c>
      <c r="I289" s="1">
        <v>2</v>
      </c>
      <c r="J289" s="8">
        <v>0.16</v>
      </c>
    </row>
    <row r="290" spans="1:10" ht="15" thickBot="1" x14ac:dyDescent="0.35">
      <c r="A290" s="7">
        <v>289</v>
      </c>
      <c r="B290" s="3">
        <v>40556</v>
      </c>
      <c r="C290" s="1">
        <v>1</v>
      </c>
      <c r="D290" s="1">
        <v>0</v>
      </c>
      <c r="E290" s="1">
        <v>1</v>
      </c>
      <c r="F290" s="1">
        <v>11</v>
      </c>
      <c r="G290" s="4" t="b">
        <v>0</v>
      </c>
      <c r="H290" s="1">
        <v>4</v>
      </c>
      <c r="I290" s="1">
        <v>2</v>
      </c>
      <c r="J290" s="8">
        <v>0.2</v>
      </c>
    </row>
    <row r="291" spans="1:10" ht="15" thickBot="1" x14ac:dyDescent="0.35">
      <c r="A291" s="7">
        <v>290</v>
      </c>
      <c r="B291" s="3">
        <v>40556</v>
      </c>
      <c r="C291" s="1">
        <v>1</v>
      </c>
      <c r="D291" s="1">
        <v>0</v>
      </c>
      <c r="E291" s="1">
        <v>1</v>
      </c>
      <c r="F291" s="1">
        <v>12</v>
      </c>
      <c r="G291" s="4" t="b">
        <v>0</v>
      </c>
      <c r="H291" s="1">
        <v>4</v>
      </c>
      <c r="I291" s="1">
        <v>1</v>
      </c>
      <c r="J291" s="8">
        <v>0.2</v>
      </c>
    </row>
    <row r="292" spans="1:10" ht="15" thickBot="1" x14ac:dyDescent="0.35">
      <c r="A292" s="7">
        <v>291</v>
      </c>
      <c r="B292" s="3">
        <v>40556</v>
      </c>
      <c r="C292" s="1">
        <v>1</v>
      </c>
      <c r="D292" s="1">
        <v>0</v>
      </c>
      <c r="E292" s="1">
        <v>1</v>
      </c>
      <c r="F292" s="1">
        <v>13</v>
      </c>
      <c r="G292" s="4" t="b">
        <v>0</v>
      </c>
      <c r="H292" s="1">
        <v>4</v>
      </c>
      <c r="I292" s="1">
        <v>1</v>
      </c>
      <c r="J292" s="8">
        <v>0.22</v>
      </c>
    </row>
    <row r="293" spans="1:10" ht="15" thickBot="1" x14ac:dyDescent="0.35">
      <c r="A293" s="7">
        <v>292</v>
      </c>
      <c r="B293" s="3">
        <v>40556</v>
      </c>
      <c r="C293" s="1">
        <v>1</v>
      </c>
      <c r="D293" s="1">
        <v>0</v>
      </c>
      <c r="E293" s="1">
        <v>1</v>
      </c>
      <c r="F293" s="1">
        <v>14</v>
      </c>
      <c r="G293" s="4" t="b">
        <v>0</v>
      </c>
      <c r="H293" s="1">
        <v>4</v>
      </c>
      <c r="I293" s="1">
        <v>1</v>
      </c>
      <c r="J293" s="8">
        <v>0.22</v>
      </c>
    </row>
    <row r="294" spans="1:10" ht="15" thickBot="1" x14ac:dyDescent="0.35">
      <c r="A294" s="7">
        <v>293</v>
      </c>
      <c r="B294" s="3">
        <v>40556</v>
      </c>
      <c r="C294" s="1">
        <v>1</v>
      </c>
      <c r="D294" s="1">
        <v>0</v>
      </c>
      <c r="E294" s="1">
        <v>1</v>
      </c>
      <c r="F294" s="1">
        <v>15</v>
      </c>
      <c r="G294" s="4" t="b">
        <v>0</v>
      </c>
      <c r="H294" s="1">
        <v>4</v>
      </c>
      <c r="I294" s="1">
        <v>1</v>
      </c>
      <c r="J294" s="8">
        <v>0.24</v>
      </c>
    </row>
    <row r="295" spans="1:10" ht="15" thickBot="1" x14ac:dyDescent="0.35">
      <c r="A295" s="7">
        <v>294</v>
      </c>
      <c r="B295" s="3">
        <v>40556</v>
      </c>
      <c r="C295" s="1">
        <v>1</v>
      </c>
      <c r="D295" s="1">
        <v>0</v>
      </c>
      <c r="E295" s="1">
        <v>1</v>
      </c>
      <c r="F295" s="1">
        <v>16</v>
      </c>
      <c r="G295" s="4" t="b">
        <v>0</v>
      </c>
      <c r="H295" s="1">
        <v>4</v>
      </c>
      <c r="I295" s="1">
        <v>1</v>
      </c>
      <c r="J295" s="8">
        <v>0.24</v>
      </c>
    </row>
    <row r="296" spans="1:10" ht="15" thickBot="1" x14ac:dyDescent="0.35">
      <c r="A296" s="7">
        <v>295</v>
      </c>
      <c r="B296" s="3">
        <v>40556</v>
      </c>
      <c r="C296" s="1">
        <v>1</v>
      </c>
      <c r="D296" s="1">
        <v>0</v>
      </c>
      <c r="E296" s="1">
        <v>1</v>
      </c>
      <c r="F296" s="1">
        <v>17</v>
      </c>
      <c r="G296" s="4" t="b">
        <v>0</v>
      </c>
      <c r="H296" s="1">
        <v>4</v>
      </c>
      <c r="I296" s="1">
        <v>1</v>
      </c>
      <c r="J296" s="8">
        <v>0.2</v>
      </c>
    </row>
    <row r="297" spans="1:10" ht="15" thickBot="1" x14ac:dyDescent="0.35">
      <c r="A297" s="7">
        <v>296</v>
      </c>
      <c r="B297" s="3">
        <v>40556</v>
      </c>
      <c r="C297" s="1">
        <v>1</v>
      </c>
      <c r="D297" s="1">
        <v>0</v>
      </c>
      <c r="E297" s="1">
        <v>1</v>
      </c>
      <c r="F297" s="1">
        <v>18</v>
      </c>
      <c r="G297" s="4" t="b">
        <v>0</v>
      </c>
      <c r="H297" s="1">
        <v>4</v>
      </c>
      <c r="I297" s="1">
        <v>1</v>
      </c>
      <c r="J297" s="8">
        <v>0.2</v>
      </c>
    </row>
    <row r="298" spans="1:10" ht="15" thickBot="1" x14ac:dyDescent="0.35">
      <c r="A298" s="7">
        <v>297</v>
      </c>
      <c r="B298" s="3">
        <v>40556</v>
      </c>
      <c r="C298" s="1">
        <v>1</v>
      </c>
      <c r="D298" s="1">
        <v>0</v>
      </c>
      <c r="E298" s="1">
        <v>1</v>
      </c>
      <c r="F298" s="1">
        <v>19</v>
      </c>
      <c r="G298" s="4" t="b">
        <v>0</v>
      </c>
      <c r="H298" s="1">
        <v>4</v>
      </c>
      <c r="I298" s="1">
        <v>1</v>
      </c>
      <c r="J298" s="8">
        <v>0.16</v>
      </c>
    </row>
    <row r="299" spans="1:10" ht="15" thickBot="1" x14ac:dyDescent="0.35">
      <c r="A299" s="7">
        <v>298</v>
      </c>
      <c r="B299" s="3">
        <v>40556</v>
      </c>
      <c r="C299" s="1">
        <v>1</v>
      </c>
      <c r="D299" s="1">
        <v>0</v>
      </c>
      <c r="E299" s="1">
        <v>1</v>
      </c>
      <c r="F299" s="1">
        <v>20</v>
      </c>
      <c r="G299" s="4" t="b">
        <v>0</v>
      </c>
      <c r="H299" s="1">
        <v>4</v>
      </c>
      <c r="I299" s="1">
        <v>1</v>
      </c>
      <c r="J299" s="8">
        <v>0.16</v>
      </c>
    </row>
    <row r="300" spans="1:10" ht="15" thickBot="1" x14ac:dyDescent="0.35">
      <c r="A300" s="7">
        <v>299</v>
      </c>
      <c r="B300" s="3">
        <v>40556</v>
      </c>
      <c r="C300" s="1">
        <v>1</v>
      </c>
      <c r="D300" s="1">
        <v>0</v>
      </c>
      <c r="E300" s="1">
        <v>1</v>
      </c>
      <c r="F300" s="1">
        <v>21</v>
      </c>
      <c r="G300" s="4" t="b">
        <v>0</v>
      </c>
      <c r="H300" s="1">
        <v>4</v>
      </c>
      <c r="I300" s="1">
        <v>1</v>
      </c>
      <c r="J300" s="8">
        <v>0.14000000000000001</v>
      </c>
    </row>
    <row r="301" spans="1:10" ht="15" thickBot="1" x14ac:dyDescent="0.35">
      <c r="A301" s="7">
        <v>300</v>
      </c>
      <c r="B301" s="3">
        <v>40556</v>
      </c>
      <c r="C301" s="1">
        <v>1</v>
      </c>
      <c r="D301" s="1">
        <v>0</v>
      </c>
      <c r="E301" s="1">
        <v>1</v>
      </c>
      <c r="F301" s="1">
        <v>22</v>
      </c>
      <c r="G301" s="4" t="b">
        <v>0</v>
      </c>
      <c r="H301" s="1">
        <v>4</v>
      </c>
      <c r="I301" s="1">
        <v>1</v>
      </c>
      <c r="J301" s="8">
        <v>0.14000000000000001</v>
      </c>
    </row>
    <row r="302" spans="1:10" ht="15" thickBot="1" x14ac:dyDescent="0.35">
      <c r="A302" s="7">
        <v>301</v>
      </c>
      <c r="B302" s="3">
        <v>40556</v>
      </c>
      <c r="C302" s="1">
        <v>1</v>
      </c>
      <c r="D302" s="1">
        <v>0</v>
      </c>
      <c r="E302" s="1">
        <v>1</v>
      </c>
      <c r="F302" s="1">
        <v>23</v>
      </c>
      <c r="G302" s="4" t="b">
        <v>0</v>
      </c>
      <c r="H302" s="1">
        <v>4</v>
      </c>
      <c r="I302" s="1">
        <v>1</v>
      </c>
      <c r="J302" s="8">
        <v>0.12</v>
      </c>
    </row>
    <row r="303" spans="1:10" ht="15" thickBot="1" x14ac:dyDescent="0.35">
      <c r="A303" s="7">
        <v>302</v>
      </c>
      <c r="B303" s="3">
        <v>40557</v>
      </c>
      <c r="C303" s="1">
        <v>1</v>
      </c>
      <c r="D303" s="1">
        <v>0</v>
      </c>
      <c r="E303" s="1">
        <v>1</v>
      </c>
      <c r="F303" s="1">
        <v>0</v>
      </c>
      <c r="G303" s="4" t="b">
        <v>0</v>
      </c>
      <c r="H303" s="1">
        <v>5</v>
      </c>
      <c r="I303" s="1">
        <v>1</v>
      </c>
      <c r="J303" s="8">
        <v>0.12</v>
      </c>
    </row>
    <row r="304" spans="1:10" ht="15" thickBot="1" x14ac:dyDescent="0.35">
      <c r="A304" s="7">
        <v>303</v>
      </c>
      <c r="B304" s="3">
        <v>40557</v>
      </c>
      <c r="C304" s="1">
        <v>1</v>
      </c>
      <c r="D304" s="1">
        <v>0</v>
      </c>
      <c r="E304" s="1">
        <v>1</v>
      </c>
      <c r="F304" s="1">
        <v>1</v>
      </c>
      <c r="G304" s="4" t="b">
        <v>0</v>
      </c>
      <c r="H304" s="1">
        <v>5</v>
      </c>
      <c r="I304" s="1">
        <v>1</v>
      </c>
      <c r="J304" s="8">
        <v>0.1</v>
      </c>
    </row>
    <row r="305" spans="1:10" ht="15" thickBot="1" x14ac:dyDescent="0.35">
      <c r="A305" s="7">
        <v>304</v>
      </c>
      <c r="B305" s="3">
        <v>40557</v>
      </c>
      <c r="C305" s="1">
        <v>1</v>
      </c>
      <c r="D305" s="1">
        <v>0</v>
      </c>
      <c r="E305" s="1">
        <v>1</v>
      </c>
      <c r="F305" s="1">
        <v>2</v>
      </c>
      <c r="G305" s="4" t="b">
        <v>0</v>
      </c>
      <c r="H305" s="1">
        <v>5</v>
      </c>
      <c r="I305" s="1">
        <v>1</v>
      </c>
      <c r="J305" s="8">
        <v>0.1</v>
      </c>
    </row>
    <row r="306" spans="1:10" ht="15" thickBot="1" x14ac:dyDescent="0.35">
      <c r="A306" s="7">
        <v>305</v>
      </c>
      <c r="B306" s="3">
        <v>40557</v>
      </c>
      <c r="C306" s="1">
        <v>1</v>
      </c>
      <c r="D306" s="1">
        <v>0</v>
      </c>
      <c r="E306" s="1">
        <v>1</v>
      </c>
      <c r="F306" s="1">
        <v>3</v>
      </c>
      <c r="G306" s="4" t="b">
        <v>0</v>
      </c>
      <c r="H306" s="1">
        <v>5</v>
      </c>
      <c r="I306" s="1">
        <v>1</v>
      </c>
      <c r="J306" s="8">
        <v>0.1</v>
      </c>
    </row>
    <row r="307" spans="1:10" ht="15" thickBot="1" x14ac:dyDescent="0.35">
      <c r="A307" s="7">
        <v>306</v>
      </c>
      <c r="B307" s="3">
        <v>40557</v>
      </c>
      <c r="C307" s="1">
        <v>1</v>
      </c>
      <c r="D307" s="1">
        <v>0</v>
      </c>
      <c r="E307" s="1">
        <v>1</v>
      </c>
      <c r="F307" s="1">
        <v>5</v>
      </c>
      <c r="G307" s="4" t="b">
        <v>0</v>
      </c>
      <c r="H307" s="1">
        <v>5</v>
      </c>
      <c r="I307" s="1">
        <v>1</v>
      </c>
      <c r="J307" s="8">
        <v>0.1</v>
      </c>
    </row>
    <row r="308" spans="1:10" ht="15" thickBot="1" x14ac:dyDescent="0.35">
      <c r="A308" s="7">
        <v>307</v>
      </c>
      <c r="B308" s="3">
        <v>40557</v>
      </c>
      <c r="C308" s="1">
        <v>1</v>
      </c>
      <c r="D308" s="1">
        <v>0</v>
      </c>
      <c r="E308" s="1">
        <v>1</v>
      </c>
      <c r="F308" s="1">
        <v>6</v>
      </c>
      <c r="G308" s="4" t="b">
        <v>0</v>
      </c>
      <c r="H308" s="1">
        <v>5</v>
      </c>
      <c r="I308" s="1">
        <v>1</v>
      </c>
      <c r="J308" s="8">
        <v>0.1</v>
      </c>
    </row>
    <row r="309" spans="1:10" ht="15" thickBot="1" x14ac:dyDescent="0.35">
      <c r="A309" s="7">
        <v>308</v>
      </c>
      <c r="B309" s="3">
        <v>40557</v>
      </c>
      <c r="C309" s="1">
        <v>1</v>
      </c>
      <c r="D309" s="1">
        <v>0</v>
      </c>
      <c r="E309" s="1">
        <v>1</v>
      </c>
      <c r="F309" s="1">
        <v>7</v>
      </c>
      <c r="G309" s="4" t="b">
        <v>0</v>
      </c>
      <c r="H309" s="1">
        <v>5</v>
      </c>
      <c r="I309" s="1">
        <v>1</v>
      </c>
      <c r="J309" s="8">
        <v>0.1</v>
      </c>
    </row>
    <row r="310" spans="1:10" ht="15" thickBot="1" x14ac:dyDescent="0.35">
      <c r="A310" s="7">
        <v>309</v>
      </c>
      <c r="B310" s="3">
        <v>40557</v>
      </c>
      <c r="C310" s="1">
        <v>1</v>
      </c>
      <c r="D310" s="1">
        <v>0</v>
      </c>
      <c r="E310" s="1">
        <v>1</v>
      </c>
      <c r="F310" s="1">
        <v>8</v>
      </c>
      <c r="G310" s="4" t="b">
        <v>0</v>
      </c>
      <c r="H310" s="1">
        <v>5</v>
      </c>
      <c r="I310" s="1">
        <v>1</v>
      </c>
      <c r="J310" s="8">
        <v>0.12</v>
      </c>
    </row>
    <row r="311" spans="1:10" ht="15" thickBot="1" x14ac:dyDescent="0.35">
      <c r="A311" s="7">
        <v>310</v>
      </c>
      <c r="B311" s="3">
        <v>40557</v>
      </c>
      <c r="C311" s="1">
        <v>1</v>
      </c>
      <c r="D311" s="1">
        <v>0</v>
      </c>
      <c r="E311" s="1">
        <v>1</v>
      </c>
      <c r="F311" s="1">
        <v>9</v>
      </c>
      <c r="G311" s="4" t="b">
        <v>0</v>
      </c>
      <c r="H311" s="1">
        <v>5</v>
      </c>
      <c r="I311" s="1">
        <v>1</v>
      </c>
      <c r="J311" s="8">
        <v>0.14000000000000001</v>
      </c>
    </row>
    <row r="312" spans="1:10" ht="15" thickBot="1" x14ac:dyDescent="0.35">
      <c r="A312" s="7">
        <v>311</v>
      </c>
      <c r="B312" s="3">
        <v>40557</v>
      </c>
      <c r="C312" s="1">
        <v>1</v>
      </c>
      <c r="D312" s="1">
        <v>0</v>
      </c>
      <c r="E312" s="1">
        <v>1</v>
      </c>
      <c r="F312" s="1">
        <v>10</v>
      </c>
      <c r="G312" s="4" t="b">
        <v>0</v>
      </c>
      <c r="H312" s="1">
        <v>5</v>
      </c>
      <c r="I312" s="1">
        <v>1</v>
      </c>
      <c r="J312" s="8">
        <v>0.18</v>
      </c>
    </row>
    <row r="313" spans="1:10" ht="15" thickBot="1" x14ac:dyDescent="0.35">
      <c r="A313" s="7">
        <v>312</v>
      </c>
      <c r="B313" s="3">
        <v>40557</v>
      </c>
      <c r="C313" s="1">
        <v>1</v>
      </c>
      <c r="D313" s="1">
        <v>0</v>
      </c>
      <c r="E313" s="1">
        <v>1</v>
      </c>
      <c r="F313" s="1">
        <v>11</v>
      </c>
      <c r="G313" s="4" t="b">
        <v>0</v>
      </c>
      <c r="H313" s="1">
        <v>5</v>
      </c>
      <c r="I313" s="1">
        <v>1</v>
      </c>
      <c r="J313" s="8">
        <v>0.18</v>
      </c>
    </row>
    <row r="314" spans="1:10" ht="15" thickBot="1" x14ac:dyDescent="0.35">
      <c r="A314" s="7">
        <v>313</v>
      </c>
      <c r="B314" s="3">
        <v>40557</v>
      </c>
      <c r="C314" s="1">
        <v>1</v>
      </c>
      <c r="D314" s="1">
        <v>0</v>
      </c>
      <c r="E314" s="1">
        <v>1</v>
      </c>
      <c r="F314" s="1">
        <v>12</v>
      </c>
      <c r="G314" s="4" t="b">
        <v>0</v>
      </c>
      <c r="H314" s="1">
        <v>5</v>
      </c>
      <c r="I314" s="1">
        <v>1</v>
      </c>
      <c r="J314" s="8">
        <v>0.2</v>
      </c>
    </row>
    <row r="315" spans="1:10" ht="15" thickBot="1" x14ac:dyDescent="0.35">
      <c r="A315" s="7">
        <v>314</v>
      </c>
      <c r="B315" s="3">
        <v>40557</v>
      </c>
      <c r="C315" s="1">
        <v>1</v>
      </c>
      <c r="D315" s="1">
        <v>0</v>
      </c>
      <c r="E315" s="1">
        <v>1</v>
      </c>
      <c r="F315" s="1">
        <v>13</v>
      </c>
      <c r="G315" s="4" t="b">
        <v>0</v>
      </c>
      <c r="H315" s="1">
        <v>5</v>
      </c>
      <c r="I315" s="1">
        <v>1</v>
      </c>
      <c r="J315" s="8">
        <v>0.22</v>
      </c>
    </row>
    <row r="316" spans="1:10" ht="15" thickBot="1" x14ac:dyDescent="0.35">
      <c r="A316" s="7">
        <v>315</v>
      </c>
      <c r="B316" s="3">
        <v>40557</v>
      </c>
      <c r="C316" s="1">
        <v>1</v>
      </c>
      <c r="D316" s="1">
        <v>0</v>
      </c>
      <c r="E316" s="1">
        <v>1</v>
      </c>
      <c r="F316" s="1">
        <v>14</v>
      </c>
      <c r="G316" s="4" t="b">
        <v>0</v>
      </c>
      <c r="H316" s="1">
        <v>5</v>
      </c>
      <c r="I316" s="1">
        <v>1</v>
      </c>
      <c r="J316" s="8">
        <v>0.22</v>
      </c>
    </row>
    <row r="317" spans="1:10" ht="15" thickBot="1" x14ac:dyDescent="0.35">
      <c r="A317" s="7">
        <v>316</v>
      </c>
      <c r="B317" s="3">
        <v>40557</v>
      </c>
      <c r="C317" s="1">
        <v>1</v>
      </c>
      <c r="D317" s="1">
        <v>0</v>
      </c>
      <c r="E317" s="1">
        <v>1</v>
      </c>
      <c r="F317" s="1">
        <v>15</v>
      </c>
      <c r="G317" s="4" t="b">
        <v>0</v>
      </c>
      <c r="H317" s="1">
        <v>5</v>
      </c>
      <c r="I317" s="1">
        <v>1</v>
      </c>
      <c r="J317" s="8">
        <v>0.24</v>
      </c>
    </row>
    <row r="318" spans="1:10" ht="15" thickBot="1" x14ac:dyDescent="0.35">
      <c r="A318" s="7">
        <v>317</v>
      </c>
      <c r="B318" s="3">
        <v>40557</v>
      </c>
      <c r="C318" s="1">
        <v>1</v>
      </c>
      <c r="D318" s="1">
        <v>0</v>
      </c>
      <c r="E318" s="1">
        <v>1</v>
      </c>
      <c r="F318" s="1">
        <v>16</v>
      </c>
      <c r="G318" s="4" t="b">
        <v>0</v>
      </c>
      <c r="H318" s="1">
        <v>5</v>
      </c>
      <c r="I318" s="1">
        <v>1</v>
      </c>
      <c r="J318" s="8">
        <v>0.22</v>
      </c>
    </row>
    <row r="319" spans="1:10" ht="15" thickBot="1" x14ac:dyDescent="0.35">
      <c r="A319" s="7">
        <v>318</v>
      </c>
      <c r="B319" s="3">
        <v>40557</v>
      </c>
      <c r="C319" s="1">
        <v>1</v>
      </c>
      <c r="D319" s="1">
        <v>0</v>
      </c>
      <c r="E319" s="1">
        <v>1</v>
      </c>
      <c r="F319" s="1">
        <v>17</v>
      </c>
      <c r="G319" s="4" t="b">
        <v>0</v>
      </c>
      <c r="H319" s="1">
        <v>5</v>
      </c>
      <c r="I319" s="1">
        <v>1</v>
      </c>
      <c r="J319" s="8">
        <v>0.22</v>
      </c>
    </row>
    <row r="320" spans="1:10" ht="15" thickBot="1" x14ac:dyDescent="0.35">
      <c r="A320" s="7">
        <v>319</v>
      </c>
      <c r="B320" s="3">
        <v>40557</v>
      </c>
      <c r="C320" s="1">
        <v>1</v>
      </c>
      <c r="D320" s="1">
        <v>0</v>
      </c>
      <c r="E320" s="1">
        <v>1</v>
      </c>
      <c r="F320" s="1">
        <v>18</v>
      </c>
      <c r="G320" s="4" t="b">
        <v>0</v>
      </c>
      <c r="H320" s="1">
        <v>5</v>
      </c>
      <c r="I320" s="1">
        <v>1</v>
      </c>
      <c r="J320" s="8">
        <v>0.2</v>
      </c>
    </row>
    <row r="321" spans="1:10" ht="15" thickBot="1" x14ac:dyDescent="0.35">
      <c r="A321" s="7">
        <v>320</v>
      </c>
      <c r="B321" s="3">
        <v>40557</v>
      </c>
      <c r="C321" s="1">
        <v>1</v>
      </c>
      <c r="D321" s="1">
        <v>0</v>
      </c>
      <c r="E321" s="1">
        <v>1</v>
      </c>
      <c r="F321" s="1">
        <v>19</v>
      </c>
      <c r="G321" s="4" t="b">
        <v>0</v>
      </c>
      <c r="H321" s="1">
        <v>5</v>
      </c>
      <c r="I321" s="1">
        <v>1</v>
      </c>
      <c r="J321" s="8">
        <v>0.16</v>
      </c>
    </row>
    <row r="322" spans="1:10" ht="15" thickBot="1" x14ac:dyDescent="0.35">
      <c r="A322" s="7">
        <v>321</v>
      </c>
      <c r="B322" s="3">
        <v>40557</v>
      </c>
      <c r="C322" s="1">
        <v>1</v>
      </c>
      <c r="D322" s="1">
        <v>0</v>
      </c>
      <c r="E322" s="1">
        <v>1</v>
      </c>
      <c r="F322" s="1">
        <v>20</v>
      </c>
      <c r="G322" s="4" t="b">
        <v>0</v>
      </c>
      <c r="H322" s="1">
        <v>5</v>
      </c>
      <c r="I322" s="1">
        <v>1</v>
      </c>
      <c r="J322" s="8">
        <v>0.18</v>
      </c>
    </row>
    <row r="323" spans="1:10" ht="15" thickBot="1" x14ac:dyDescent="0.35">
      <c r="A323" s="7">
        <v>322</v>
      </c>
      <c r="B323" s="3">
        <v>40557</v>
      </c>
      <c r="C323" s="1">
        <v>1</v>
      </c>
      <c r="D323" s="1">
        <v>0</v>
      </c>
      <c r="E323" s="1">
        <v>1</v>
      </c>
      <c r="F323" s="1">
        <v>21</v>
      </c>
      <c r="G323" s="4" t="b">
        <v>0</v>
      </c>
      <c r="H323" s="1">
        <v>5</v>
      </c>
      <c r="I323" s="1">
        <v>1</v>
      </c>
      <c r="J323" s="8">
        <v>0.16</v>
      </c>
    </row>
    <row r="324" spans="1:10" ht="15" thickBot="1" x14ac:dyDescent="0.35">
      <c r="A324" s="7">
        <v>323</v>
      </c>
      <c r="B324" s="3">
        <v>40557</v>
      </c>
      <c r="C324" s="1">
        <v>1</v>
      </c>
      <c r="D324" s="1">
        <v>0</v>
      </c>
      <c r="E324" s="1">
        <v>1</v>
      </c>
      <c r="F324" s="1">
        <v>22</v>
      </c>
      <c r="G324" s="4" t="b">
        <v>0</v>
      </c>
      <c r="H324" s="1">
        <v>5</v>
      </c>
      <c r="I324" s="1">
        <v>2</v>
      </c>
      <c r="J324" s="8">
        <v>0.16</v>
      </c>
    </row>
    <row r="325" spans="1:10" ht="15" thickBot="1" x14ac:dyDescent="0.35">
      <c r="A325" s="7">
        <v>324</v>
      </c>
      <c r="B325" s="3">
        <v>40557</v>
      </c>
      <c r="C325" s="1">
        <v>1</v>
      </c>
      <c r="D325" s="1">
        <v>0</v>
      </c>
      <c r="E325" s="1">
        <v>1</v>
      </c>
      <c r="F325" s="1">
        <v>23</v>
      </c>
      <c r="G325" s="4" t="b">
        <v>0</v>
      </c>
      <c r="H325" s="1">
        <v>5</v>
      </c>
      <c r="I325" s="1">
        <v>2</v>
      </c>
      <c r="J325" s="8">
        <v>0.18</v>
      </c>
    </row>
    <row r="326" spans="1:10" ht="15" thickBot="1" x14ac:dyDescent="0.35">
      <c r="A326" s="7">
        <v>325</v>
      </c>
      <c r="B326" s="3">
        <v>40558</v>
      </c>
      <c r="C326" s="1">
        <v>1</v>
      </c>
      <c r="D326" s="1">
        <v>0</v>
      </c>
      <c r="E326" s="1">
        <v>1</v>
      </c>
      <c r="F326" s="1">
        <v>0</v>
      </c>
      <c r="G326" s="4" t="b">
        <v>0</v>
      </c>
      <c r="H326" s="1">
        <v>6</v>
      </c>
      <c r="I326" s="1">
        <v>1</v>
      </c>
      <c r="J326" s="8">
        <v>0.18</v>
      </c>
    </row>
    <row r="327" spans="1:10" ht="15" thickBot="1" x14ac:dyDescent="0.35">
      <c r="A327" s="7">
        <v>326</v>
      </c>
      <c r="B327" s="3">
        <v>40558</v>
      </c>
      <c r="C327" s="1">
        <v>1</v>
      </c>
      <c r="D327" s="1">
        <v>0</v>
      </c>
      <c r="E327" s="1">
        <v>1</v>
      </c>
      <c r="F327" s="1">
        <v>1</v>
      </c>
      <c r="G327" s="4" t="b">
        <v>0</v>
      </c>
      <c r="H327" s="1">
        <v>6</v>
      </c>
      <c r="I327" s="1">
        <v>2</v>
      </c>
      <c r="J327" s="8">
        <v>0.16</v>
      </c>
    </row>
    <row r="328" spans="1:10" ht="15" thickBot="1" x14ac:dyDescent="0.35">
      <c r="A328" s="7">
        <v>327</v>
      </c>
      <c r="B328" s="3">
        <v>40558</v>
      </c>
      <c r="C328" s="1">
        <v>1</v>
      </c>
      <c r="D328" s="1">
        <v>0</v>
      </c>
      <c r="E328" s="1">
        <v>1</v>
      </c>
      <c r="F328" s="1">
        <v>2</v>
      </c>
      <c r="G328" s="4" t="b">
        <v>0</v>
      </c>
      <c r="H328" s="1">
        <v>6</v>
      </c>
      <c r="I328" s="1">
        <v>2</v>
      </c>
      <c r="J328" s="8">
        <v>0.16</v>
      </c>
    </row>
    <row r="329" spans="1:10" ht="15" thickBot="1" x14ac:dyDescent="0.35">
      <c r="A329" s="7">
        <v>328</v>
      </c>
      <c r="B329" s="3">
        <v>40558</v>
      </c>
      <c r="C329" s="1">
        <v>1</v>
      </c>
      <c r="D329" s="1">
        <v>0</v>
      </c>
      <c r="E329" s="1">
        <v>1</v>
      </c>
      <c r="F329" s="1">
        <v>3</v>
      </c>
      <c r="G329" s="4" t="b">
        <v>0</v>
      </c>
      <c r="H329" s="1">
        <v>6</v>
      </c>
      <c r="I329" s="1">
        <v>2</v>
      </c>
      <c r="J329" s="8">
        <v>0.16</v>
      </c>
    </row>
    <row r="330" spans="1:10" ht="15" thickBot="1" x14ac:dyDescent="0.35">
      <c r="A330" s="7">
        <v>329</v>
      </c>
      <c r="B330" s="3">
        <v>40558</v>
      </c>
      <c r="C330" s="1">
        <v>1</v>
      </c>
      <c r="D330" s="1">
        <v>0</v>
      </c>
      <c r="E330" s="1">
        <v>1</v>
      </c>
      <c r="F330" s="1">
        <v>4</v>
      </c>
      <c r="G330" s="4" t="b">
        <v>0</v>
      </c>
      <c r="H330" s="1">
        <v>6</v>
      </c>
      <c r="I330" s="1">
        <v>2</v>
      </c>
      <c r="J330" s="8">
        <v>0.16</v>
      </c>
    </row>
    <row r="331" spans="1:10" ht="15" thickBot="1" x14ac:dyDescent="0.35">
      <c r="A331" s="7">
        <v>330</v>
      </c>
      <c r="B331" s="3">
        <v>40558</v>
      </c>
      <c r="C331" s="1">
        <v>1</v>
      </c>
      <c r="D331" s="1">
        <v>0</v>
      </c>
      <c r="E331" s="1">
        <v>1</v>
      </c>
      <c r="F331" s="1">
        <v>5</v>
      </c>
      <c r="G331" s="4" t="b">
        <v>0</v>
      </c>
      <c r="H331" s="1">
        <v>6</v>
      </c>
      <c r="I331" s="1">
        <v>1</v>
      </c>
      <c r="J331" s="8">
        <v>0.16</v>
      </c>
    </row>
    <row r="332" spans="1:10" ht="15" thickBot="1" x14ac:dyDescent="0.35">
      <c r="A332" s="7">
        <v>331</v>
      </c>
      <c r="B332" s="3">
        <v>40558</v>
      </c>
      <c r="C332" s="1">
        <v>1</v>
      </c>
      <c r="D332" s="1">
        <v>0</v>
      </c>
      <c r="E332" s="1">
        <v>1</v>
      </c>
      <c r="F332" s="1">
        <v>6</v>
      </c>
      <c r="G332" s="4" t="b">
        <v>0</v>
      </c>
      <c r="H332" s="1">
        <v>6</v>
      </c>
      <c r="I332" s="1">
        <v>1</v>
      </c>
      <c r="J332" s="8">
        <v>0.14000000000000001</v>
      </c>
    </row>
    <row r="333" spans="1:10" ht="15" thickBot="1" x14ac:dyDescent="0.35">
      <c r="A333" s="7">
        <v>332</v>
      </c>
      <c r="B333" s="3">
        <v>40558</v>
      </c>
      <c r="C333" s="1">
        <v>1</v>
      </c>
      <c r="D333" s="1">
        <v>0</v>
      </c>
      <c r="E333" s="1">
        <v>1</v>
      </c>
      <c r="F333" s="1">
        <v>7</v>
      </c>
      <c r="G333" s="4" t="b">
        <v>0</v>
      </c>
      <c r="H333" s="1">
        <v>6</v>
      </c>
      <c r="I333" s="1">
        <v>1</v>
      </c>
      <c r="J333" s="8">
        <v>0.14000000000000001</v>
      </c>
    </row>
    <row r="334" spans="1:10" ht="15" thickBot="1" x14ac:dyDescent="0.35">
      <c r="A334" s="7">
        <v>333</v>
      </c>
      <c r="B334" s="3">
        <v>40558</v>
      </c>
      <c r="C334" s="1">
        <v>1</v>
      </c>
      <c r="D334" s="1">
        <v>0</v>
      </c>
      <c r="E334" s="1">
        <v>1</v>
      </c>
      <c r="F334" s="1">
        <v>8</v>
      </c>
      <c r="G334" s="4" t="b">
        <v>0</v>
      </c>
      <c r="H334" s="1">
        <v>6</v>
      </c>
      <c r="I334" s="1">
        <v>1</v>
      </c>
      <c r="J334" s="8">
        <v>0.14000000000000001</v>
      </c>
    </row>
    <row r="335" spans="1:10" ht="15" thickBot="1" x14ac:dyDescent="0.35">
      <c r="A335" s="7">
        <v>334</v>
      </c>
      <c r="B335" s="3">
        <v>40558</v>
      </c>
      <c r="C335" s="1">
        <v>1</v>
      </c>
      <c r="D335" s="1">
        <v>0</v>
      </c>
      <c r="E335" s="1">
        <v>1</v>
      </c>
      <c r="F335" s="1">
        <v>9</v>
      </c>
      <c r="G335" s="4" t="b">
        <v>0</v>
      </c>
      <c r="H335" s="1">
        <v>6</v>
      </c>
      <c r="I335" s="1">
        <v>1</v>
      </c>
      <c r="J335" s="8">
        <v>0.16</v>
      </c>
    </row>
    <row r="336" spans="1:10" ht="15" thickBot="1" x14ac:dyDescent="0.35">
      <c r="A336" s="7">
        <v>335</v>
      </c>
      <c r="B336" s="3">
        <v>40558</v>
      </c>
      <c r="C336" s="1">
        <v>1</v>
      </c>
      <c r="D336" s="1">
        <v>0</v>
      </c>
      <c r="E336" s="1">
        <v>1</v>
      </c>
      <c r="F336" s="1">
        <v>10</v>
      </c>
      <c r="G336" s="4" t="b">
        <v>0</v>
      </c>
      <c r="H336" s="1">
        <v>6</v>
      </c>
      <c r="I336" s="1">
        <v>1</v>
      </c>
      <c r="J336" s="8">
        <v>0.18</v>
      </c>
    </row>
    <row r="337" spans="1:10" ht="15" thickBot="1" x14ac:dyDescent="0.35">
      <c r="A337" s="7">
        <v>336</v>
      </c>
      <c r="B337" s="3">
        <v>40558</v>
      </c>
      <c r="C337" s="1">
        <v>1</v>
      </c>
      <c r="D337" s="1">
        <v>0</v>
      </c>
      <c r="E337" s="1">
        <v>1</v>
      </c>
      <c r="F337" s="1">
        <v>11</v>
      </c>
      <c r="G337" s="4" t="b">
        <v>0</v>
      </c>
      <c r="H337" s="1">
        <v>6</v>
      </c>
      <c r="I337" s="1">
        <v>1</v>
      </c>
      <c r="J337" s="8">
        <v>0.2</v>
      </c>
    </row>
    <row r="338" spans="1:10" ht="15" thickBot="1" x14ac:dyDescent="0.35">
      <c r="A338" s="7">
        <v>337</v>
      </c>
      <c r="B338" s="3">
        <v>40558</v>
      </c>
      <c r="C338" s="1">
        <v>1</v>
      </c>
      <c r="D338" s="1">
        <v>0</v>
      </c>
      <c r="E338" s="1">
        <v>1</v>
      </c>
      <c r="F338" s="1">
        <v>12</v>
      </c>
      <c r="G338" s="4" t="b">
        <v>0</v>
      </c>
      <c r="H338" s="1">
        <v>6</v>
      </c>
      <c r="I338" s="1">
        <v>1</v>
      </c>
      <c r="J338" s="8">
        <v>0.24</v>
      </c>
    </row>
    <row r="339" spans="1:10" ht="15" thickBot="1" x14ac:dyDescent="0.35">
      <c r="A339" s="7">
        <v>338</v>
      </c>
      <c r="B339" s="3">
        <v>40558</v>
      </c>
      <c r="C339" s="1">
        <v>1</v>
      </c>
      <c r="D339" s="1">
        <v>0</v>
      </c>
      <c r="E339" s="1">
        <v>1</v>
      </c>
      <c r="F339" s="1">
        <v>13</v>
      </c>
      <c r="G339" s="4" t="b">
        <v>0</v>
      </c>
      <c r="H339" s="1">
        <v>6</v>
      </c>
      <c r="I339" s="1">
        <v>1</v>
      </c>
      <c r="J339" s="8">
        <v>0.28000000000000003</v>
      </c>
    </row>
    <row r="340" spans="1:10" ht="15" thickBot="1" x14ac:dyDescent="0.35">
      <c r="A340" s="7">
        <v>339</v>
      </c>
      <c r="B340" s="3">
        <v>40558</v>
      </c>
      <c r="C340" s="1">
        <v>1</v>
      </c>
      <c r="D340" s="1">
        <v>0</v>
      </c>
      <c r="E340" s="1">
        <v>1</v>
      </c>
      <c r="F340" s="1">
        <v>14</v>
      </c>
      <c r="G340" s="4" t="b">
        <v>0</v>
      </c>
      <c r="H340" s="1">
        <v>6</v>
      </c>
      <c r="I340" s="1">
        <v>1</v>
      </c>
      <c r="J340" s="8">
        <v>0.3</v>
      </c>
    </row>
    <row r="341" spans="1:10" ht="15" thickBot="1" x14ac:dyDescent="0.35">
      <c r="A341" s="7">
        <v>340</v>
      </c>
      <c r="B341" s="3">
        <v>40558</v>
      </c>
      <c r="C341" s="1">
        <v>1</v>
      </c>
      <c r="D341" s="1">
        <v>0</v>
      </c>
      <c r="E341" s="1">
        <v>1</v>
      </c>
      <c r="F341" s="1">
        <v>15</v>
      </c>
      <c r="G341" s="4" t="b">
        <v>0</v>
      </c>
      <c r="H341" s="1">
        <v>6</v>
      </c>
      <c r="I341" s="1">
        <v>2</v>
      </c>
      <c r="J341" s="8">
        <v>0.32</v>
      </c>
    </row>
    <row r="342" spans="1:10" ht="15" thickBot="1" x14ac:dyDescent="0.35">
      <c r="A342" s="7">
        <v>341</v>
      </c>
      <c r="B342" s="3">
        <v>40558</v>
      </c>
      <c r="C342" s="1">
        <v>1</v>
      </c>
      <c r="D342" s="1">
        <v>0</v>
      </c>
      <c r="E342" s="1">
        <v>1</v>
      </c>
      <c r="F342" s="1">
        <v>16</v>
      </c>
      <c r="G342" s="4" t="b">
        <v>0</v>
      </c>
      <c r="H342" s="1">
        <v>6</v>
      </c>
      <c r="I342" s="1">
        <v>2</v>
      </c>
      <c r="J342" s="8">
        <v>0.34</v>
      </c>
    </row>
    <row r="343" spans="1:10" ht="15" thickBot="1" x14ac:dyDescent="0.35">
      <c r="A343" s="7">
        <v>342</v>
      </c>
      <c r="B343" s="3">
        <v>40558</v>
      </c>
      <c r="C343" s="1">
        <v>1</v>
      </c>
      <c r="D343" s="1">
        <v>0</v>
      </c>
      <c r="E343" s="1">
        <v>1</v>
      </c>
      <c r="F343" s="1">
        <v>17</v>
      </c>
      <c r="G343" s="4" t="b">
        <v>0</v>
      </c>
      <c r="H343" s="1">
        <v>6</v>
      </c>
      <c r="I343" s="1">
        <v>2</v>
      </c>
      <c r="J343" s="8">
        <v>0.32</v>
      </c>
    </row>
    <row r="344" spans="1:10" ht="15" thickBot="1" x14ac:dyDescent="0.35">
      <c r="A344" s="7">
        <v>343</v>
      </c>
      <c r="B344" s="3">
        <v>40558</v>
      </c>
      <c r="C344" s="1">
        <v>1</v>
      </c>
      <c r="D344" s="1">
        <v>0</v>
      </c>
      <c r="E344" s="1">
        <v>1</v>
      </c>
      <c r="F344" s="1">
        <v>18</v>
      </c>
      <c r="G344" s="4" t="b">
        <v>0</v>
      </c>
      <c r="H344" s="1">
        <v>6</v>
      </c>
      <c r="I344" s="1">
        <v>2</v>
      </c>
      <c r="J344" s="8">
        <v>0.3</v>
      </c>
    </row>
    <row r="345" spans="1:10" ht="15" thickBot="1" x14ac:dyDescent="0.35">
      <c r="A345" s="7">
        <v>344</v>
      </c>
      <c r="B345" s="3">
        <v>40558</v>
      </c>
      <c r="C345" s="1">
        <v>1</v>
      </c>
      <c r="D345" s="1">
        <v>0</v>
      </c>
      <c r="E345" s="1">
        <v>1</v>
      </c>
      <c r="F345" s="1">
        <v>19</v>
      </c>
      <c r="G345" s="4" t="b">
        <v>0</v>
      </c>
      <c r="H345" s="1">
        <v>6</v>
      </c>
      <c r="I345" s="1">
        <v>2</v>
      </c>
      <c r="J345" s="8">
        <v>0.32</v>
      </c>
    </row>
    <row r="346" spans="1:10" ht="15" thickBot="1" x14ac:dyDescent="0.35">
      <c r="A346" s="7">
        <v>345</v>
      </c>
      <c r="B346" s="3">
        <v>40558</v>
      </c>
      <c r="C346" s="1">
        <v>1</v>
      </c>
      <c r="D346" s="1">
        <v>0</v>
      </c>
      <c r="E346" s="1">
        <v>1</v>
      </c>
      <c r="F346" s="1">
        <v>20</v>
      </c>
      <c r="G346" s="4" t="b">
        <v>0</v>
      </c>
      <c r="H346" s="1">
        <v>6</v>
      </c>
      <c r="I346" s="1">
        <v>2</v>
      </c>
      <c r="J346" s="8">
        <v>0.32</v>
      </c>
    </row>
    <row r="347" spans="1:10" ht="15" thickBot="1" x14ac:dyDescent="0.35">
      <c r="A347" s="7">
        <v>346</v>
      </c>
      <c r="B347" s="3">
        <v>40558</v>
      </c>
      <c r="C347" s="1">
        <v>1</v>
      </c>
      <c r="D347" s="1">
        <v>0</v>
      </c>
      <c r="E347" s="1">
        <v>1</v>
      </c>
      <c r="F347" s="1">
        <v>21</v>
      </c>
      <c r="G347" s="4" t="b">
        <v>0</v>
      </c>
      <c r="H347" s="1">
        <v>6</v>
      </c>
      <c r="I347" s="1">
        <v>2</v>
      </c>
      <c r="J347" s="8">
        <v>0.32</v>
      </c>
    </row>
    <row r="348" spans="1:10" ht="15" thickBot="1" x14ac:dyDescent="0.35">
      <c r="A348" s="7">
        <v>347</v>
      </c>
      <c r="B348" s="3">
        <v>40558</v>
      </c>
      <c r="C348" s="1">
        <v>1</v>
      </c>
      <c r="D348" s="1">
        <v>0</v>
      </c>
      <c r="E348" s="1">
        <v>1</v>
      </c>
      <c r="F348" s="1">
        <v>22</v>
      </c>
      <c r="G348" s="4" t="b">
        <v>0</v>
      </c>
      <c r="H348" s="1">
        <v>6</v>
      </c>
      <c r="I348" s="1">
        <v>2</v>
      </c>
      <c r="J348" s="8">
        <v>0.3</v>
      </c>
    </row>
    <row r="349" spans="1:10" ht="15" thickBot="1" x14ac:dyDescent="0.35">
      <c r="A349" s="7">
        <v>348</v>
      </c>
      <c r="B349" s="3">
        <v>40558</v>
      </c>
      <c r="C349" s="1">
        <v>1</v>
      </c>
      <c r="D349" s="1">
        <v>0</v>
      </c>
      <c r="E349" s="1">
        <v>1</v>
      </c>
      <c r="F349" s="1">
        <v>23</v>
      </c>
      <c r="G349" s="4" t="b">
        <v>0</v>
      </c>
      <c r="H349" s="1">
        <v>6</v>
      </c>
      <c r="I349" s="1">
        <v>1</v>
      </c>
      <c r="J349" s="8">
        <v>0.3</v>
      </c>
    </row>
    <row r="350" spans="1:10" ht="15" thickBot="1" x14ac:dyDescent="0.35">
      <c r="A350" s="7">
        <v>349</v>
      </c>
      <c r="B350" s="3">
        <v>40559</v>
      </c>
      <c r="C350" s="1">
        <v>1</v>
      </c>
      <c r="D350" s="1">
        <v>0</v>
      </c>
      <c r="E350" s="1">
        <v>1</v>
      </c>
      <c r="F350" s="1">
        <v>0</v>
      </c>
      <c r="G350" s="4" t="b">
        <v>0</v>
      </c>
      <c r="H350" s="1">
        <v>0</v>
      </c>
      <c r="I350" s="1">
        <v>1</v>
      </c>
      <c r="J350" s="8">
        <v>0.26</v>
      </c>
    </row>
    <row r="351" spans="1:10" ht="15" thickBot="1" x14ac:dyDescent="0.35">
      <c r="A351" s="7">
        <v>350</v>
      </c>
      <c r="B351" s="3">
        <v>40559</v>
      </c>
      <c r="C351" s="1">
        <v>1</v>
      </c>
      <c r="D351" s="1">
        <v>0</v>
      </c>
      <c r="E351" s="1">
        <v>1</v>
      </c>
      <c r="F351" s="1">
        <v>1</v>
      </c>
      <c r="G351" s="4" t="b">
        <v>0</v>
      </c>
      <c r="H351" s="1">
        <v>0</v>
      </c>
      <c r="I351" s="1">
        <v>1</v>
      </c>
      <c r="J351" s="8">
        <v>0.26</v>
      </c>
    </row>
    <row r="352" spans="1:10" ht="15" thickBot="1" x14ac:dyDescent="0.35">
      <c r="A352" s="7">
        <v>351</v>
      </c>
      <c r="B352" s="3">
        <v>40559</v>
      </c>
      <c r="C352" s="1">
        <v>1</v>
      </c>
      <c r="D352" s="1">
        <v>0</v>
      </c>
      <c r="E352" s="1">
        <v>1</v>
      </c>
      <c r="F352" s="1">
        <v>2</v>
      </c>
      <c r="G352" s="4" t="b">
        <v>0</v>
      </c>
      <c r="H352" s="1">
        <v>0</v>
      </c>
      <c r="I352" s="1">
        <v>1</v>
      </c>
      <c r="J352" s="8">
        <v>0.26</v>
      </c>
    </row>
    <row r="353" spans="1:10" ht="15" thickBot="1" x14ac:dyDescent="0.35">
      <c r="A353" s="7">
        <v>352</v>
      </c>
      <c r="B353" s="3">
        <v>40559</v>
      </c>
      <c r="C353" s="1">
        <v>1</v>
      </c>
      <c r="D353" s="1">
        <v>0</v>
      </c>
      <c r="E353" s="1">
        <v>1</v>
      </c>
      <c r="F353" s="1">
        <v>3</v>
      </c>
      <c r="G353" s="4" t="b">
        <v>0</v>
      </c>
      <c r="H353" s="1">
        <v>0</v>
      </c>
      <c r="I353" s="1">
        <v>1</v>
      </c>
      <c r="J353" s="8">
        <v>0.22</v>
      </c>
    </row>
    <row r="354" spans="1:10" ht="15" thickBot="1" x14ac:dyDescent="0.35">
      <c r="A354" s="7">
        <v>353</v>
      </c>
      <c r="B354" s="3">
        <v>40559</v>
      </c>
      <c r="C354" s="1">
        <v>1</v>
      </c>
      <c r="D354" s="1">
        <v>0</v>
      </c>
      <c r="E354" s="1">
        <v>1</v>
      </c>
      <c r="F354" s="1">
        <v>4</v>
      </c>
      <c r="G354" s="4" t="b">
        <v>0</v>
      </c>
      <c r="H354" s="1">
        <v>0</v>
      </c>
      <c r="I354" s="1">
        <v>1</v>
      </c>
      <c r="J354" s="8">
        <v>0.26</v>
      </c>
    </row>
    <row r="355" spans="1:10" ht="15" thickBot="1" x14ac:dyDescent="0.35">
      <c r="A355" s="7">
        <v>354</v>
      </c>
      <c r="B355" s="3">
        <v>40559</v>
      </c>
      <c r="C355" s="1">
        <v>1</v>
      </c>
      <c r="D355" s="1">
        <v>0</v>
      </c>
      <c r="E355" s="1">
        <v>1</v>
      </c>
      <c r="F355" s="1">
        <v>5</v>
      </c>
      <c r="G355" s="4" t="b">
        <v>0</v>
      </c>
      <c r="H355" s="1">
        <v>0</v>
      </c>
      <c r="I355" s="1">
        <v>2</v>
      </c>
      <c r="J355" s="8">
        <v>0.26</v>
      </c>
    </row>
    <row r="356" spans="1:10" ht="15" thickBot="1" x14ac:dyDescent="0.35">
      <c r="A356" s="7">
        <v>355</v>
      </c>
      <c r="B356" s="3">
        <v>40559</v>
      </c>
      <c r="C356" s="1">
        <v>1</v>
      </c>
      <c r="D356" s="1">
        <v>0</v>
      </c>
      <c r="E356" s="1">
        <v>1</v>
      </c>
      <c r="F356" s="1">
        <v>6</v>
      </c>
      <c r="G356" s="4" t="b">
        <v>0</v>
      </c>
      <c r="H356" s="1">
        <v>0</v>
      </c>
      <c r="I356" s="1">
        <v>2</v>
      </c>
      <c r="J356" s="8">
        <v>0.26</v>
      </c>
    </row>
    <row r="357" spans="1:10" ht="15" thickBot="1" x14ac:dyDescent="0.35">
      <c r="A357" s="7">
        <v>356</v>
      </c>
      <c r="B357" s="3">
        <v>40559</v>
      </c>
      <c r="C357" s="1">
        <v>1</v>
      </c>
      <c r="D357" s="1">
        <v>0</v>
      </c>
      <c r="E357" s="1">
        <v>1</v>
      </c>
      <c r="F357" s="1">
        <v>7</v>
      </c>
      <c r="G357" s="4" t="b">
        <v>0</v>
      </c>
      <c r="H357" s="1">
        <v>0</v>
      </c>
      <c r="I357" s="1">
        <v>2</v>
      </c>
      <c r="J357" s="8">
        <v>0.24</v>
      </c>
    </row>
    <row r="358" spans="1:10" ht="15" thickBot="1" x14ac:dyDescent="0.35">
      <c r="A358" s="7">
        <v>357</v>
      </c>
      <c r="B358" s="3">
        <v>40559</v>
      </c>
      <c r="C358" s="1">
        <v>1</v>
      </c>
      <c r="D358" s="1">
        <v>0</v>
      </c>
      <c r="E358" s="1">
        <v>1</v>
      </c>
      <c r="F358" s="1">
        <v>8</v>
      </c>
      <c r="G358" s="4" t="b">
        <v>0</v>
      </c>
      <c r="H358" s="1">
        <v>0</v>
      </c>
      <c r="I358" s="1">
        <v>1</v>
      </c>
      <c r="J358" s="8">
        <v>0.22</v>
      </c>
    </row>
    <row r="359" spans="1:10" ht="15" thickBot="1" x14ac:dyDescent="0.35">
      <c r="A359" s="7">
        <v>358</v>
      </c>
      <c r="B359" s="3">
        <v>40559</v>
      </c>
      <c r="C359" s="1">
        <v>1</v>
      </c>
      <c r="D359" s="1">
        <v>0</v>
      </c>
      <c r="E359" s="1">
        <v>1</v>
      </c>
      <c r="F359" s="1">
        <v>9</v>
      </c>
      <c r="G359" s="4" t="b">
        <v>0</v>
      </c>
      <c r="H359" s="1">
        <v>0</v>
      </c>
      <c r="I359" s="1">
        <v>1</v>
      </c>
      <c r="J359" s="8">
        <v>0.22</v>
      </c>
    </row>
    <row r="360" spans="1:10" ht="15" thickBot="1" x14ac:dyDescent="0.35">
      <c r="A360" s="7">
        <v>359</v>
      </c>
      <c r="B360" s="3">
        <v>40559</v>
      </c>
      <c r="C360" s="1">
        <v>1</v>
      </c>
      <c r="D360" s="1">
        <v>0</v>
      </c>
      <c r="E360" s="1">
        <v>1</v>
      </c>
      <c r="F360" s="1">
        <v>10</v>
      </c>
      <c r="G360" s="4" t="b">
        <v>0</v>
      </c>
      <c r="H360" s="1">
        <v>0</v>
      </c>
      <c r="I360" s="1">
        <v>1</v>
      </c>
      <c r="J360" s="8">
        <v>0.22</v>
      </c>
    </row>
    <row r="361" spans="1:10" ht="15" thickBot="1" x14ac:dyDescent="0.35">
      <c r="A361" s="7">
        <v>360</v>
      </c>
      <c r="B361" s="3">
        <v>40559</v>
      </c>
      <c r="C361" s="1">
        <v>1</v>
      </c>
      <c r="D361" s="1">
        <v>0</v>
      </c>
      <c r="E361" s="1">
        <v>1</v>
      </c>
      <c r="F361" s="1">
        <v>11</v>
      </c>
      <c r="G361" s="4" t="b">
        <v>0</v>
      </c>
      <c r="H361" s="1">
        <v>0</v>
      </c>
      <c r="I361" s="1">
        <v>1</v>
      </c>
      <c r="J361" s="8">
        <v>0.24</v>
      </c>
    </row>
    <row r="362" spans="1:10" ht="15" thickBot="1" x14ac:dyDescent="0.35">
      <c r="A362" s="7">
        <v>361</v>
      </c>
      <c r="B362" s="3">
        <v>40559</v>
      </c>
      <c r="C362" s="1">
        <v>1</v>
      </c>
      <c r="D362" s="1">
        <v>0</v>
      </c>
      <c r="E362" s="1">
        <v>1</v>
      </c>
      <c r="F362" s="1">
        <v>12</v>
      </c>
      <c r="G362" s="4" t="b">
        <v>0</v>
      </c>
      <c r="H362" s="1">
        <v>0</v>
      </c>
      <c r="I362" s="1">
        <v>1</v>
      </c>
      <c r="J362" s="8">
        <v>0.24</v>
      </c>
    </row>
    <row r="363" spans="1:10" ht="15" thickBot="1" x14ac:dyDescent="0.35">
      <c r="A363" s="7">
        <v>362</v>
      </c>
      <c r="B363" s="3">
        <v>40559</v>
      </c>
      <c r="C363" s="1">
        <v>1</v>
      </c>
      <c r="D363" s="1">
        <v>0</v>
      </c>
      <c r="E363" s="1">
        <v>1</v>
      </c>
      <c r="F363" s="1">
        <v>13</v>
      </c>
      <c r="G363" s="4" t="b">
        <v>0</v>
      </c>
      <c r="H363" s="1">
        <v>0</v>
      </c>
      <c r="I363" s="1">
        <v>1</v>
      </c>
      <c r="J363" s="8">
        <v>0.26</v>
      </c>
    </row>
    <row r="364" spans="1:10" ht="15" thickBot="1" x14ac:dyDescent="0.35">
      <c r="A364" s="7">
        <v>363</v>
      </c>
      <c r="B364" s="3">
        <v>40559</v>
      </c>
      <c r="C364" s="1">
        <v>1</v>
      </c>
      <c r="D364" s="1">
        <v>0</v>
      </c>
      <c r="E364" s="1">
        <v>1</v>
      </c>
      <c r="F364" s="1">
        <v>14</v>
      </c>
      <c r="G364" s="4" t="b">
        <v>0</v>
      </c>
      <c r="H364" s="1">
        <v>0</v>
      </c>
      <c r="I364" s="1">
        <v>1</v>
      </c>
      <c r="J364" s="8">
        <v>0.28000000000000003</v>
      </c>
    </row>
    <row r="365" spans="1:10" ht="15" thickBot="1" x14ac:dyDescent="0.35">
      <c r="A365" s="7">
        <v>364</v>
      </c>
      <c r="B365" s="3">
        <v>40559</v>
      </c>
      <c r="C365" s="1">
        <v>1</v>
      </c>
      <c r="D365" s="1">
        <v>0</v>
      </c>
      <c r="E365" s="1">
        <v>1</v>
      </c>
      <c r="F365" s="1">
        <v>15</v>
      </c>
      <c r="G365" s="4" t="b">
        <v>0</v>
      </c>
      <c r="H365" s="1">
        <v>0</v>
      </c>
      <c r="I365" s="1">
        <v>1</v>
      </c>
      <c r="J365" s="8">
        <v>0.26</v>
      </c>
    </row>
    <row r="366" spans="1:10" ht="15" thickBot="1" x14ac:dyDescent="0.35">
      <c r="A366" s="7">
        <v>365</v>
      </c>
      <c r="B366" s="3">
        <v>40559</v>
      </c>
      <c r="C366" s="1">
        <v>1</v>
      </c>
      <c r="D366" s="1">
        <v>0</v>
      </c>
      <c r="E366" s="1">
        <v>1</v>
      </c>
      <c r="F366" s="1">
        <v>16</v>
      </c>
      <c r="G366" s="4" t="b">
        <v>0</v>
      </c>
      <c r="H366" s="1">
        <v>0</v>
      </c>
      <c r="I366" s="1">
        <v>1</v>
      </c>
      <c r="J366" s="8">
        <v>0.24</v>
      </c>
    </row>
    <row r="367" spans="1:10" ht="15" thickBot="1" x14ac:dyDescent="0.35">
      <c r="A367" s="7">
        <v>366</v>
      </c>
      <c r="B367" s="3">
        <v>40559</v>
      </c>
      <c r="C367" s="1">
        <v>1</v>
      </c>
      <c r="D367" s="1">
        <v>0</v>
      </c>
      <c r="E367" s="1">
        <v>1</v>
      </c>
      <c r="F367" s="1">
        <v>17</v>
      </c>
      <c r="G367" s="4" t="b">
        <v>0</v>
      </c>
      <c r="H367" s="1">
        <v>0</v>
      </c>
      <c r="I367" s="1">
        <v>1</v>
      </c>
      <c r="J367" s="8">
        <v>0.22</v>
      </c>
    </row>
    <row r="368" spans="1:10" ht="15" thickBot="1" x14ac:dyDescent="0.35">
      <c r="A368" s="7">
        <v>367</v>
      </c>
      <c r="B368" s="3">
        <v>40559</v>
      </c>
      <c r="C368" s="1">
        <v>1</v>
      </c>
      <c r="D368" s="1">
        <v>0</v>
      </c>
      <c r="E368" s="1">
        <v>1</v>
      </c>
      <c r="F368" s="1">
        <v>18</v>
      </c>
      <c r="G368" s="4" t="b">
        <v>0</v>
      </c>
      <c r="H368" s="1">
        <v>0</v>
      </c>
      <c r="I368" s="1">
        <v>1</v>
      </c>
      <c r="J368" s="8">
        <v>0.2</v>
      </c>
    </row>
    <row r="369" spans="1:10" ht="15" thickBot="1" x14ac:dyDescent="0.35">
      <c r="A369" s="7">
        <v>368</v>
      </c>
      <c r="B369" s="3">
        <v>40559</v>
      </c>
      <c r="C369" s="1">
        <v>1</v>
      </c>
      <c r="D369" s="1">
        <v>0</v>
      </c>
      <c r="E369" s="1">
        <v>1</v>
      </c>
      <c r="F369" s="1">
        <v>19</v>
      </c>
      <c r="G369" s="4" t="b">
        <v>0</v>
      </c>
      <c r="H369" s="1">
        <v>0</v>
      </c>
      <c r="I369" s="1">
        <v>1</v>
      </c>
      <c r="J369" s="8">
        <v>0.18</v>
      </c>
    </row>
    <row r="370" spans="1:10" ht="15" thickBot="1" x14ac:dyDescent="0.35">
      <c r="A370" s="7">
        <v>369</v>
      </c>
      <c r="B370" s="3">
        <v>40559</v>
      </c>
      <c r="C370" s="1">
        <v>1</v>
      </c>
      <c r="D370" s="1">
        <v>0</v>
      </c>
      <c r="E370" s="1">
        <v>1</v>
      </c>
      <c r="F370" s="1">
        <v>20</v>
      </c>
      <c r="G370" s="4" t="b">
        <v>0</v>
      </c>
      <c r="H370" s="1">
        <v>0</v>
      </c>
      <c r="I370" s="1">
        <v>1</v>
      </c>
      <c r="J370" s="8">
        <v>0.18</v>
      </c>
    </row>
    <row r="371" spans="1:10" ht="15" thickBot="1" x14ac:dyDescent="0.35">
      <c r="A371" s="7">
        <v>370</v>
      </c>
      <c r="B371" s="3">
        <v>40559</v>
      </c>
      <c r="C371" s="1">
        <v>1</v>
      </c>
      <c r="D371" s="1">
        <v>0</v>
      </c>
      <c r="E371" s="1">
        <v>1</v>
      </c>
      <c r="F371" s="1">
        <v>21</v>
      </c>
      <c r="G371" s="4" t="b">
        <v>0</v>
      </c>
      <c r="H371" s="1">
        <v>0</v>
      </c>
      <c r="I371" s="1">
        <v>1</v>
      </c>
      <c r="J371" s="8">
        <v>0.18</v>
      </c>
    </row>
    <row r="372" spans="1:10" ht="15" thickBot="1" x14ac:dyDescent="0.35">
      <c r="A372" s="7">
        <v>371</v>
      </c>
      <c r="B372" s="3">
        <v>40559</v>
      </c>
      <c r="C372" s="1">
        <v>1</v>
      </c>
      <c r="D372" s="1">
        <v>0</v>
      </c>
      <c r="E372" s="1">
        <v>1</v>
      </c>
      <c r="F372" s="1">
        <v>22</v>
      </c>
      <c r="G372" s="4" t="b">
        <v>0</v>
      </c>
      <c r="H372" s="1">
        <v>0</v>
      </c>
      <c r="I372" s="1">
        <v>2</v>
      </c>
      <c r="J372" s="8">
        <v>0.2</v>
      </c>
    </row>
    <row r="373" spans="1:10" ht="15" thickBot="1" x14ac:dyDescent="0.35">
      <c r="A373" s="7">
        <v>372</v>
      </c>
      <c r="B373" s="3">
        <v>40559</v>
      </c>
      <c r="C373" s="1">
        <v>1</v>
      </c>
      <c r="D373" s="1">
        <v>0</v>
      </c>
      <c r="E373" s="1">
        <v>1</v>
      </c>
      <c r="F373" s="1">
        <v>23</v>
      </c>
      <c r="G373" s="4" t="b">
        <v>0</v>
      </c>
      <c r="H373" s="1">
        <v>0</v>
      </c>
      <c r="I373" s="1">
        <v>2</v>
      </c>
      <c r="J373" s="8">
        <v>0.2</v>
      </c>
    </row>
    <row r="374" spans="1:10" ht="15" thickBot="1" x14ac:dyDescent="0.35">
      <c r="A374" s="7">
        <v>373</v>
      </c>
      <c r="B374" s="3">
        <v>40560</v>
      </c>
      <c r="C374" s="1">
        <v>1</v>
      </c>
      <c r="D374" s="1">
        <v>0</v>
      </c>
      <c r="E374" s="1">
        <v>1</v>
      </c>
      <c r="F374" s="1">
        <v>0</v>
      </c>
      <c r="G374" s="4" t="b">
        <v>1</v>
      </c>
      <c r="H374" s="1">
        <v>1</v>
      </c>
      <c r="I374" s="1">
        <v>2</v>
      </c>
      <c r="J374" s="8">
        <v>0.2</v>
      </c>
    </row>
    <row r="375" spans="1:10" ht="15" thickBot="1" x14ac:dyDescent="0.35">
      <c r="A375" s="7">
        <v>374</v>
      </c>
      <c r="B375" s="3">
        <v>40560</v>
      </c>
      <c r="C375" s="1">
        <v>1</v>
      </c>
      <c r="D375" s="1">
        <v>0</v>
      </c>
      <c r="E375" s="1">
        <v>1</v>
      </c>
      <c r="F375" s="1">
        <v>1</v>
      </c>
      <c r="G375" s="4" t="b">
        <v>1</v>
      </c>
      <c r="H375" s="1">
        <v>1</v>
      </c>
      <c r="I375" s="1">
        <v>2</v>
      </c>
      <c r="J375" s="8">
        <v>0.2</v>
      </c>
    </row>
    <row r="376" spans="1:10" ht="15" thickBot="1" x14ac:dyDescent="0.35">
      <c r="A376" s="7">
        <v>375</v>
      </c>
      <c r="B376" s="3">
        <v>40560</v>
      </c>
      <c r="C376" s="1">
        <v>1</v>
      </c>
      <c r="D376" s="1">
        <v>0</v>
      </c>
      <c r="E376" s="1">
        <v>1</v>
      </c>
      <c r="F376" s="1">
        <v>2</v>
      </c>
      <c r="G376" s="4" t="b">
        <v>1</v>
      </c>
      <c r="H376" s="1">
        <v>1</v>
      </c>
      <c r="I376" s="1">
        <v>2</v>
      </c>
      <c r="J376" s="8">
        <v>0.18</v>
      </c>
    </row>
    <row r="377" spans="1:10" ht="15" thickBot="1" x14ac:dyDescent="0.35">
      <c r="A377" s="7">
        <v>376</v>
      </c>
      <c r="B377" s="3">
        <v>40560</v>
      </c>
      <c r="C377" s="1">
        <v>1</v>
      </c>
      <c r="D377" s="1">
        <v>0</v>
      </c>
      <c r="E377" s="1">
        <v>1</v>
      </c>
      <c r="F377" s="1">
        <v>3</v>
      </c>
      <c r="G377" s="4" t="b">
        <v>1</v>
      </c>
      <c r="H377" s="1">
        <v>1</v>
      </c>
      <c r="I377" s="1">
        <v>2</v>
      </c>
      <c r="J377" s="8">
        <v>0.18</v>
      </c>
    </row>
    <row r="378" spans="1:10" ht="15" thickBot="1" x14ac:dyDescent="0.35">
      <c r="A378" s="7">
        <v>377</v>
      </c>
      <c r="B378" s="3">
        <v>40560</v>
      </c>
      <c r="C378" s="1">
        <v>1</v>
      </c>
      <c r="D378" s="1">
        <v>0</v>
      </c>
      <c r="E378" s="1">
        <v>1</v>
      </c>
      <c r="F378" s="1">
        <v>4</v>
      </c>
      <c r="G378" s="4" t="b">
        <v>1</v>
      </c>
      <c r="H378" s="1">
        <v>1</v>
      </c>
      <c r="I378" s="1">
        <v>2</v>
      </c>
      <c r="J378" s="8">
        <v>0.18</v>
      </c>
    </row>
    <row r="379" spans="1:10" ht="15" thickBot="1" x14ac:dyDescent="0.35">
      <c r="A379" s="7">
        <v>378</v>
      </c>
      <c r="B379" s="3">
        <v>40560</v>
      </c>
      <c r="C379" s="1">
        <v>1</v>
      </c>
      <c r="D379" s="1">
        <v>0</v>
      </c>
      <c r="E379" s="1">
        <v>1</v>
      </c>
      <c r="F379" s="1">
        <v>5</v>
      </c>
      <c r="G379" s="4" t="b">
        <v>1</v>
      </c>
      <c r="H379" s="1">
        <v>1</v>
      </c>
      <c r="I379" s="1">
        <v>2</v>
      </c>
      <c r="J379" s="8">
        <v>0.18</v>
      </c>
    </row>
    <row r="380" spans="1:10" ht="15" thickBot="1" x14ac:dyDescent="0.35">
      <c r="A380" s="7">
        <v>379</v>
      </c>
      <c r="B380" s="3">
        <v>40560</v>
      </c>
      <c r="C380" s="1">
        <v>1</v>
      </c>
      <c r="D380" s="1">
        <v>0</v>
      </c>
      <c r="E380" s="1">
        <v>1</v>
      </c>
      <c r="F380" s="1">
        <v>6</v>
      </c>
      <c r="G380" s="4" t="b">
        <v>1</v>
      </c>
      <c r="H380" s="1">
        <v>1</v>
      </c>
      <c r="I380" s="1">
        <v>2</v>
      </c>
      <c r="J380" s="8">
        <v>0.18</v>
      </c>
    </row>
    <row r="381" spans="1:10" ht="15" thickBot="1" x14ac:dyDescent="0.35">
      <c r="A381" s="7">
        <v>380</v>
      </c>
      <c r="B381" s="3">
        <v>40560</v>
      </c>
      <c r="C381" s="1">
        <v>1</v>
      </c>
      <c r="D381" s="1">
        <v>0</v>
      </c>
      <c r="E381" s="1">
        <v>1</v>
      </c>
      <c r="F381" s="1">
        <v>7</v>
      </c>
      <c r="G381" s="4" t="b">
        <v>1</v>
      </c>
      <c r="H381" s="1">
        <v>1</v>
      </c>
      <c r="I381" s="1">
        <v>2</v>
      </c>
      <c r="J381" s="8">
        <v>0.16</v>
      </c>
    </row>
    <row r="382" spans="1:10" ht="15" thickBot="1" x14ac:dyDescent="0.35">
      <c r="A382" s="7">
        <v>381</v>
      </c>
      <c r="B382" s="3">
        <v>40560</v>
      </c>
      <c r="C382" s="1">
        <v>1</v>
      </c>
      <c r="D382" s="1">
        <v>0</v>
      </c>
      <c r="E382" s="1">
        <v>1</v>
      </c>
      <c r="F382" s="1">
        <v>8</v>
      </c>
      <c r="G382" s="4" t="b">
        <v>1</v>
      </c>
      <c r="H382" s="1">
        <v>1</v>
      </c>
      <c r="I382" s="1">
        <v>2</v>
      </c>
      <c r="J382" s="8">
        <v>0.16</v>
      </c>
    </row>
    <row r="383" spans="1:10" ht="15" thickBot="1" x14ac:dyDescent="0.35">
      <c r="A383" s="7">
        <v>382</v>
      </c>
      <c r="B383" s="3">
        <v>40560</v>
      </c>
      <c r="C383" s="1">
        <v>1</v>
      </c>
      <c r="D383" s="1">
        <v>0</v>
      </c>
      <c r="E383" s="1">
        <v>1</v>
      </c>
      <c r="F383" s="1">
        <v>9</v>
      </c>
      <c r="G383" s="4" t="b">
        <v>1</v>
      </c>
      <c r="H383" s="1">
        <v>1</v>
      </c>
      <c r="I383" s="1">
        <v>2</v>
      </c>
      <c r="J383" s="8">
        <v>0.16</v>
      </c>
    </row>
    <row r="384" spans="1:10" ht="15" thickBot="1" x14ac:dyDescent="0.35">
      <c r="A384" s="7">
        <v>383</v>
      </c>
      <c r="B384" s="3">
        <v>40560</v>
      </c>
      <c r="C384" s="1">
        <v>1</v>
      </c>
      <c r="D384" s="1">
        <v>0</v>
      </c>
      <c r="E384" s="1">
        <v>1</v>
      </c>
      <c r="F384" s="1">
        <v>10</v>
      </c>
      <c r="G384" s="4" t="b">
        <v>1</v>
      </c>
      <c r="H384" s="1">
        <v>1</v>
      </c>
      <c r="I384" s="1">
        <v>2</v>
      </c>
      <c r="J384" s="8">
        <v>0.16</v>
      </c>
    </row>
    <row r="385" spans="1:10" ht="15" thickBot="1" x14ac:dyDescent="0.35">
      <c r="A385" s="7">
        <v>384</v>
      </c>
      <c r="B385" s="3">
        <v>40560</v>
      </c>
      <c r="C385" s="1">
        <v>1</v>
      </c>
      <c r="D385" s="1">
        <v>0</v>
      </c>
      <c r="E385" s="1">
        <v>1</v>
      </c>
      <c r="F385" s="1">
        <v>11</v>
      </c>
      <c r="G385" s="4" t="b">
        <v>1</v>
      </c>
      <c r="H385" s="1">
        <v>1</v>
      </c>
      <c r="I385" s="1">
        <v>2</v>
      </c>
      <c r="J385" s="8">
        <v>0.16</v>
      </c>
    </row>
    <row r="386" spans="1:10" ht="15" thickBot="1" x14ac:dyDescent="0.35">
      <c r="A386" s="7">
        <v>385</v>
      </c>
      <c r="B386" s="3">
        <v>40560</v>
      </c>
      <c r="C386" s="1">
        <v>1</v>
      </c>
      <c r="D386" s="1">
        <v>0</v>
      </c>
      <c r="E386" s="1">
        <v>1</v>
      </c>
      <c r="F386" s="1">
        <v>12</v>
      </c>
      <c r="G386" s="4" t="b">
        <v>1</v>
      </c>
      <c r="H386" s="1">
        <v>1</v>
      </c>
      <c r="I386" s="1">
        <v>2</v>
      </c>
      <c r="J386" s="8">
        <v>0.18</v>
      </c>
    </row>
    <row r="387" spans="1:10" ht="15" thickBot="1" x14ac:dyDescent="0.35">
      <c r="A387" s="7">
        <v>386</v>
      </c>
      <c r="B387" s="3">
        <v>40560</v>
      </c>
      <c r="C387" s="1">
        <v>1</v>
      </c>
      <c r="D387" s="1">
        <v>0</v>
      </c>
      <c r="E387" s="1">
        <v>1</v>
      </c>
      <c r="F387" s="1">
        <v>13</v>
      </c>
      <c r="G387" s="4" t="b">
        <v>1</v>
      </c>
      <c r="H387" s="1">
        <v>1</v>
      </c>
      <c r="I387" s="1">
        <v>2</v>
      </c>
      <c r="J387" s="8">
        <v>0.18</v>
      </c>
    </row>
    <row r="388" spans="1:10" ht="15" thickBot="1" x14ac:dyDescent="0.35">
      <c r="A388" s="7">
        <v>387</v>
      </c>
      <c r="B388" s="3">
        <v>40560</v>
      </c>
      <c r="C388" s="1">
        <v>1</v>
      </c>
      <c r="D388" s="1">
        <v>0</v>
      </c>
      <c r="E388" s="1">
        <v>1</v>
      </c>
      <c r="F388" s="1">
        <v>14</v>
      </c>
      <c r="G388" s="4" t="b">
        <v>1</v>
      </c>
      <c r="H388" s="1">
        <v>1</v>
      </c>
      <c r="I388" s="1">
        <v>2</v>
      </c>
      <c r="J388" s="8">
        <v>0.18</v>
      </c>
    </row>
    <row r="389" spans="1:10" ht="15" thickBot="1" x14ac:dyDescent="0.35">
      <c r="A389" s="7">
        <v>388</v>
      </c>
      <c r="B389" s="3">
        <v>40560</v>
      </c>
      <c r="C389" s="1">
        <v>1</v>
      </c>
      <c r="D389" s="1">
        <v>0</v>
      </c>
      <c r="E389" s="1">
        <v>1</v>
      </c>
      <c r="F389" s="1">
        <v>15</v>
      </c>
      <c r="G389" s="4" t="b">
        <v>1</v>
      </c>
      <c r="H389" s="1">
        <v>1</v>
      </c>
      <c r="I389" s="1">
        <v>2</v>
      </c>
      <c r="J389" s="8">
        <v>0.2</v>
      </c>
    </row>
    <row r="390" spans="1:10" ht="15" thickBot="1" x14ac:dyDescent="0.35">
      <c r="A390" s="7">
        <v>389</v>
      </c>
      <c r="B390" s="3">
        <v>40560</v>
      </c>
      <c r="C390" s="1">
        <v>1</v>
      </c>
      <c r="D390" s="1">
        <v>0</v>
      </c>
      <c r="E390" s="1">
        <v>1</v>
      </c>
      <c r="F390" s="1">
        <v>16</v>
      </c>
      <c r="G390" s="4" t="b">
        <v>1</v>
      </c>
      <c r="H390" s="1">
        <v>1</v>
      </c>
      <c r="I390" s="1">
        <v>2</v>
      </c>
      <c r="J390" s="8">
        <v>0.2</v>
      </c>
    </row>
    <row r="391" spans="1:10" ht="15" thickBot="1" x14ac:dyDescent="0.35">
      <c r="A391" s="7">
        <v>390</v>
      </c>
      <c r="B391" s="3">
        <v>40560</v>
      </c>
      <c r="C391" s="1">
        <v>1</v>
      </c>
      <c r="D391" s="1">
        <v>0</v>
      </c>
      <c r="E391" s="1">
        <v>1</v>
      </c>
      <c r="F391" s="1">
        <v>17</v>
      </c>
      <c r="G391" s="4" t="b">
        <v>1</v>
      </c>
      <c r="H391" s="1">
        <v>1</v>
      </c>
      <c r="I391" s="1">
        <v>1</v>
      </c>
      <c r="J391" s="8">
        <v>0.2</v>
      </c>
    </row>
    <row r="392" spans="1:10" ht="15" thickBot="1" x14ac:dyDescent="0.35">
      <c r="A392" s="7">
        <v>391</v>
      </c>
      <c r="B392" s="3">
        <v>40560</v>
      </c>
      <c r="C392" s="1">
        <v>1</v>
      </c>
      <c r="D392" s="1">
        <v>0</v>
      </c>
      <c r="E392" s="1">
        <v>1</v>
      </c>
      <c r="F392" s="1">
        <v>18</v>
      </c>
      <c r="G392" s="4" t="b">
        <v>1</v>
      </c>
      <c r="H392" s="1">
        <v>1</v>
      </c>
      <c r="I392" s="1">
        <v>2</v>
      </c>
      <c r="J392" s="8">
        <v>0.18</v>
      </c>
    </row>
    <row r="393" spans="1:10" ht="15" thickBot="1" x14ac:dyDescent="0.35">
      <c r="A393" s="7">
        <v>392</v>
      </c>
      <c r="B393" s="3">
        <v>40560</v>
      </c>
      <c r="C393" s="1">
        <v>1</v>
      </c>
      <c r="D393" s="1">
        <v>0</v>
      </c>
      <c r="E393" s="1">
        <v>1</v>
      </c>
      <c r="F393" s="1">
        <v>19</v>
      </c>
      <c r="G393" s="4" t="b">
        <v>1</v>
      </c>
      <c r="H393" s="1">
        <v>1</v>
      </c>
      <c r="I393" s="1">
        <v>3</v>
      </c>
      <c r="J393" s="8">
        <v>0.18</v>
      </c>
    </row>
    <row r="394" spans="1:10" ht="15" thickBot="1" x14ac:dyDescent="0.35">
      <c r="A394" s="7">
        <v>393</v>
      </c>
      <c r="B394" s="3">
        <v>40560</v>
      </c>
      <c r="C394" s="1">
        <v>1</v>
      </c>
      <c r="D394" s="1">
        <v>0</v>
      </c>
      <c r="E394" s="1">
        <v>1</v>
      </c>
      <c r="F394" s="1">
        <v>20</v>
      </c>
      <c r="G394" s="4" t="b">
        <v>1</v>
      </c>
      <c r="H394" s="1">
        <v>1</v>
      </c>
      <c r="I394" s="1">
        <v>3</v>
      </c>
      <c r="J394" s="8">
        <v>0.16</v>
      </c>
    </row>
    <row r="395" spans="1:10" ht="15" thickBot="1" x14ac:dyDescent="0.35">
      <c r="A395" s="7">
        <v>394</v>
      </c>
      <c r="B395" s="3">
        <v>40560</v>
      </c>
      <c r="C395" s="1">
        <v>1</v>
      </c>
      <c r="D395" s="1">
        <v>0</v>
      </c>
      <c r="E395" s="1">
        <v>1</v>
      </c>
      <c r="F395" s="1">
        <v>21</v>
      </c>
      <c r="G395" s="4" t="b">
        <v>1</v>
      </c>
      <c r="H395" s="1">
        <v>1</v>
      </c>
      <c r="I395" s="1">
        <v>3</v>
      </c>
      <c r="J395" s="8">
        <v>0.16</v>
      </c>
    </row>
    <row r="396" spans="1:10" ht="15" thickBot="1" x14ac:dyDescent="0.35">
      <c r="A396" s="7">
        <v>395</v>
      </c>
      <c r="B396" s="3">
        <v>40560</v>
      </c>
      <c r="C396" s="1">
        <v>1</v>
      </c>
      <c r="D396" s="1">
        <v>0</v>
      </c>
      <c r="E396" s="1">
        <v>1</v>
      </c>
      <c r="F396" s="1">
        <v>22</v>
      </c>
      <c r="G396" s="4" t="b">
        <v>1</v>
      </c>
      <c r="H396" s="1">
        <v>1</v>
      </c>
      <c r="I396" s="1">
        <v>3</v>
      </c>
      <c r="J396" s="8">
        <v>0.14000000000000001</v>
      </c>
    </row>
    <row r="397" spans="1:10" ht="15" thickBot="1" x14ac:dyDescent="0.35">
      <c r="A397" s="7">
        <v>396</v>
      </c>
      <c r="B397" s="3">
        <v>40560</v>
      </c>
      <c r="C397" s="1">
        <v>1</v>
      </c>
      <c r="D397" s="1">
        <v>0</v>
      </c>
      <c r="E397" s="1">
        <v>1</v>
      </c>
      <c r="F397" s="1">
        <v>23</v>
      </c>
      <c r="G397" s="4" t="b">
        <v>1</v>
      </c>
      <c r="H397" s="1">
        <v>1</v>
      </c>
      <c r="I397" s="1">
        <v>3</v>
      </c>
      <c r="J397" s="8">
        <v>0.16</v>
      </c>
    </row>
    <row r="398" spans="1:10" ht="15" thickBot="1" x14ac:dyDescent="0.35">
      <c r="A398" s="7">
        <v>397</v>
      </c>
      <c r="B398" s="3">
        <v>40561</v>
      </c>
      <c r="C398" s="1">
        <v>1</v>
      </c>
      <c r="D398" s="1">
        <v>0</v>
      </c>
      <c r="E398" s="1">
        <v>1</v>
      </c>
      <c r="F398" s="1">
        <v>12</v>
      </c>
      <c r="G398" s="4" t="b">
        <v>0</v>
      </c>
      <c r="H398" s="1">
        <v>2</v>
      </c>
      <c r="I398" s="1">
        <v>2</v>
      </c>
      <c r="J398" s="8">
        <v>0.2</v>
      </c>
    </row>
    <row r="399" spans="1:10" ht="15" thickBot="1" x14ac:dyDescent="0.35">
      <c r="A399" s="7">
        <v>398</v>
      </c>
      <c r="B399" s="3">
        <v>40561</v>
      </c>
      <c r="C399" s="1">
        <v>1</v>
      </c>
      <c r="D399" s="1">
        <v>0</v>
      </c>
      <c r="E399" s="1">
        <v>1</v>
      </c>
      <c r="F399" s="1">
        <v>13</v>
      </c>
      <c r="G399" s="4" t="b">
        <v>0</v>
      </c>
      <c r="H399" s="1">
        <v>2</v>
      </c>
      <c r="I399" s="1">
        <v>2</v>
      </c>
      <c r="J399" s="8">
        <v>0.2</v>
      </c>
    </row>
    <row r="400" spans="1:10" ht="15" thickBot="1" x14ac:dyDescent="0.35">
      <c r="A400" s="7">
        <v>399</v>
      </c>
      <c r="B400" s="3">
        <v>40561</v>
      </c>
      <c r="C400" s="1">
        <v>1</v>
      </c>
      <c r="D400" s="1">
        <v>0</v>
      </c>
      <c r="E400" s="1">
        <v>1</v>
      </c>
      <c r="F400" s="1">
        <v>14</v>
      </c>
      <c r="G400" s="4" t="b">
        <v>0</v>
      </c>
      <c r="H400" s="1">
        <v>2</v>
      </c>
      <c r="I400" s="1">
        <v>2</v>
      </c>
      <c r="J400" s="8">
        <v>0.22</v>
      </c>
    </row>
    <row r="401" spans="1:10" ht="15" thickBot="1" x14ac:dyDescent="0.35">
      <c r="A401" s="7">
        <v>400</v>
      </c>
      <c r="B401" s="3">
        <v>40561</v>
      </c>
      <c r="C401" s="1">
        <v>1</v>
      </c>
      <c r="D401" s="1">
        <v>0</v>
      </c>
      <c r="E401" s="1">
        <v>1</v>
      </c>
      <c r="F401" s="1">
        <v>15</v>
      </c>
      <c r="G401" s="4" t="b">
        <v>0</v>
      </c>
      <c r="H401" s="1">
        <v>2</v>
      </c>
      <c r="I401" s="1">
        <v>2</v>
      </c>
      <c r="J401" s="8">
        <v>0.22</v>
      </c>
    </row>
    <row r="402" spans="1:10" ht="15" thickBot="1" x14ac:dyDescent="0.35">
      <c r="A402" s="7">
        <v>401</v>
      </c>
      <c r="B402" s="3">
        <v>40561</v>
      </c>
      <c r="C402" s="1">
        <v>1</v>
      </c>
      <c r="D402" s="1">
        <v>0</v>
      </c>
      <c r="E402" s="1">
        <v>1</v>
      </c>
      <c r="F402" s="1">
        <v>16</v>
      </c>
      <c r="G402" s="4" t="b">
        <v>0</v>
      </c>
      <c r="H402" s="1">
        <v>2</v>
      </c>
      <c r="I402" s="1">
        <v>2</v>
      </c>
      <c r="J402" s="8">
        <v>0.22</v>
      </c>
    </row>
    <row r="403" spans="1:10" ht="15" thickBot="1" x14ac:dyDescent="0.35">
      <c r="A403" s="7">
        <v>402</v>
      </c>
      <c r="B403" s="3">
        <v>40561</v>
      </c>
      <c r="C403" s="1">
        <v>1</v>
      </c>
      <c r="D403" s="1">
        <v>0</v>
      </c>
      <c r="E403" s="1">
        <v>1</v>
      </c>
      <c r="F403" s="1">
        <v>17</v>
      </c>
      <c r="G403" s="4" t="b">
        <v>0</v>
      </c>
      <c r="H403" s="1">
        <v>2</v>
      </c>
      <c r="I403" s="1">
        <v>2</v>
      </c>
      <c r="J403" s="8">
        <v>0.22</v>
      </c>
    </row>
    <row r="404" spans="1:10" ht="15" thickBot="1" x14ac:dyDescent="0.35">
      <c r="A404" s="7">
        <v>403</v>
      </c>
      <c r="B404" s="3">
        <v>40561</v>
      </c>
      <c r="C404" s="1">
        <v>1</v>
      </c>
      <c r="D404" s="1">
        <v>0</v>
      </c>
      <c r="E404" s="1">
        <v>1</v>
      </c>
      <c r="F404" s="1">
        <v>18</v>
      </c>
      <c r="G404" s="4" t="b">
        <v>0</v>
      </c>
      <c r="H404" s="1">
        <v>2</v>
      </c>
      <c r="I404" s="1">
        <v>2</v>
      </c>
      <c r="J404" s="8">
        <v>0.22</v>
      </c>
    </row>
    <row r="405" spans="1:10" ht="15" thickBot="1" x14ac:dyDescent="0.35">
      <c r="A405" s="7">
        <v>404</v>
      </c>
      <c r="B405" s="3">
        <v>40561</v>
      </c>
      <c r="C405" s="1">
        <v>1</v>
      </c>
      <c r="D405" s="1">
        <v>0</v>
      </c>
      <c r="E405" s="1">
        <v>1</v>
      </c>
      <c r="F405" s="1">
        <v>19</v>
      </c>
      <c r="G405" s="4" t="b">
        <v>0</v>
      </c>
      <c r="H405" s="1">
        <v>2</v>
      </c>
      <c r="I405" s="1">
        <v>2</v>
      </c>
      <c r="J405" s="8">
        <v>0.22</v>
      </c>
    </row>
    <row r="406" spans="1:10" ht="15" thickBot="1" x14ac:dyDescent="0.35">
      <c r="A406" s="7">
        <v>405</v>
      </c>
      <c r="B406" s="3">
        <v>40561</v>
      </c>
      <c r="C406" s="1">
        <v>1</v>
      </c>
      <c r="D406" s="1">
        <v>0</v>
      </c>
      <c r="E406" s="1">
        <v>1</v>
      </c>
      <c r="F406" s="1">
        <v>20</v>
      </c>
      <c r="G406" s="4" t="b">
        <v>0</v>
      </c>
      <c r="H406" s="1">
        <v>2</v>
      </c>
      <c r="I406" s="1">
        <v>2</v>
      </c>
      <c r="J406" s="8">
        <v>0.22</v>
      </c>
    </row>
    <row r="407" spans="1:10" ht="15" thickBot="1" x14ac:dyDescent="0.35">
      <c r="A407" s="7">
        <v>406</v>
      </c>
      <c r="B407" s="3">
        <v>40561</v>
      </c>
      <c r="C407" s="1">
        <v>1</v>
      </c>
      <c r="D407" s="1">
        <v>0</v>
      </c>
      <c r="E407" s="1">
        <v>1</v>
      </c>
      <c r="F407" s="1">
        <v>21</v>
      </c>
      <c r="G407" s="4" t="b">
        <v>0</v>
      </c>
      <c r="H407" s="1">
        <v>2</v>
      </c>
      <c r="I407" s="1">
        <v>2</v>
      </c>
      <c r="J407" s="8">
        <v>0.22</v>
      </c>
    </row>
    <row r="408" spans="1:10" ht="15" thickBot="1" x14ac:dyDescent="0.35">
      <c r="A408" s="7">
        <v>407</v>
      </c>
      <c r="B408" s="3">
        <v>40561</v>
      </c>
      <c r="C408" s="1">
        <v>1</v>
      </c>
      <c r="D408" s="1">
        <v>0</v>
      </c>
      <c r="E408" s="1">
        <v>1</v>
      </c>
      <c r="F408" s="1">
        <v>22</v>
      </c>
      <c r="G408" s="4" t="b">
        <v>0</v>
      </c>
      <c r="H408" s="1">
        <v>2</v>
      </c>
      <c r="I408" s="1">
        <v>2</v>
      </c>
      <c r="J408" s="8">
        <v>0.22</v>
      </c>
    </row>
    <row r="409" spans="1:10" ht="15" thickBot="1" x14ac:dyDescent="0.35">
      <c r="A409" s="7">
        <v>408</v>
      </c>
      <c r="B409" s="3">
        <v>40561</v>
      </c>
      <c r="C409" s="1">
        <v>1</v>
      </c>
      <c r="D409" s="1">
        <v>0</v>
      </c>
      <c r="E409" s="1">
        <v>1</v>
      </c>
      <c r="F409" s="1">
        <v>23</v>
      </c>
      <c r="G409" s="4" t="b">
        <v>0</v>
      </c>
      <c r="H409" s="1">
        <v>2</v>
      </c>
      <c r="I409" s="1">
        <v>2</v>
      </c>
      <c r="J409" s="8">
        <v>0.22</v>
      </c>
    </row>
    <row r="410" spans="1:10" ht="15" thickBot="1" x14ac:dyDescent="0.35">
      <c r="A410" s="7">
        <v>409</v>
      </c>
      <c r="B410" s="3">
        <v>40562</v>
      </c>
      <c r="C410" s="1">
        <v>1</v>
      </c>
      <c r="D410" s="1">
        <v>0</v>
      </c>
      <c r="E410" s="1">
        <v>1</v>
      </c>
      <c r="F410" s="1">
        <v>0</v>
      </c>
      <c r="G410" s="4" t="b">
        <v>0</v>
      </c>
      <c r="H410" s="1">
        <v>3</v>
      </c>
      <c r="I410" s="1">
        <v>2</v>
      </c>
      <c r="J410" s="8">
        <v>0.22</v>
      </c>
    </row>
    <row r="411" spans="1:10" ht="15" thickBot="1" x14ac:dyDescent="0.35">
      <c r="A411" s="7">
        <v>410</v>
      </c>
      <c r="B411" s="3">
        <v>40562</v>
      </c>
      <c r="C411" s="1">
        <v>1</v>
      </c>
      <c r="D411" s="1">
        <v>0</v>
      </c>
      <c r="E411" s="1">
        <v>1</v>
      </c>
      <c r="F411" s="1">
        <v>1</v>
      </c>
      <c r="G411" s="4" t="b">
        <v>0</v>
      </c>
      <c r="H411" s="1">
        <v>3</v>
      </c>
      <c r="I411" s="1">
        <v>3</v>
      </c>
      <c r="J411" s="8">
        <v>0.22</v>
      </c>
    </row>
    <row r="412" spans="1:10" ht="15" thickBot="1" x14ac:dyDescent="0.35">
      <c r="A412" s="7">
        <v>411</v>
      </c>
      <c r="B412" s="3">
        <v>40562</v>
      </c>
      <c r="C412" s="1">
        <v>1</v>
      </c>
      <c r="D412" s="1">
        <v>0</v>
      </c>
      <c r="E412" s="1">
        <v>1</v>
      </c>
      <c r="F412" s="1">
        <v>2</v>
      </c>
      <c r="G412" s="4" t="b">
        <v>0</v>
      </c>
      <c r="H412" s="1">
        <v>3</v>
      </c>
      <c r="I412" s="1">
        <v>3</v>
      </c>
      <c r="J412" s="8">
        <v>0.22</v>
      </c>
    </row>
    <row r="413" spans="1:10" ht="15" thickBot="1" x14ac:dyDescent="0.35">
      <c r="A413" s="7">
        <v>412</v>
      </c>
      <c r="B413" s="3">
        <v>40562</v>
      </c>
      <c r="C413" s="1">
        <v>1</v>
      </c>
      <c r="D413" s="1">
        <v>0</v>
      </c>
      <c r="E413" s="1">
        <v>1</v>
      </c>
      <c r="F413" s="1">
        <v>4</v>
      </c>
      <c r="G413" s="4" t="b">
        <v>0</v>
      </c>
      <c r="H413" s="1">
        <v>3</v>
      </c>
      <c r="I413" s="1">
        <v>3</v>
      </c>
      <c r="J413" s="8">
        <v>0.22</v>
      </c>
    </row>
    <row r="414" spans="1:10" ht="15" thickBot="1" x14ac:dyDescent="0.35">
      <c r="A414" s="7">
        <v>413</v>
      </c>
      <c r="B414" s="3">
        <v>40562</v>
      </c>
      <c r="C414" s="1">
        <v>1</v>
      </c>
      <c r="D414" s="1">
        <v>0</v>
      </c>
      <c r="E414" s="1">
        <v>1</v>
      </c>
      <c r="F414" s="1">
        <v>5</v>
      </c>
      <c r="G414" s="4" t="b">
        <v>0</v>
      </c>
      <c r="H414" s="1">
        <v>3</v>
      </c>
      <c r="I414" s="1">
        <v>2</v>
      </c>
      <c r="J414" s="8">
        <v>0.22</v>
      </c>
    </row>
    <row r="415" spans="1:10" ht="15" thickBot="1" x14ac:dyDescent="0.35">
      <c r="A415" s="7">
        <v>414</v>
      </c>
      <c r="B415" s="3">
        <v>40562</v>
      </c>
      <c r="C415" s="1">
        <v>1</v>
      </c>
      <c r="D415" s="1">
        <v>0</v>
      </c>
      <c r="E415" s="1">
        <v>1</v>
      </c>
      <c r="F415" s="1">
        <v>6</v>
      </c>
      <c r="G415" s="4" t="b">
        <v>0</v>
      </c>
      <c r="H415" s="1">
        <v>3</v>
      </c>
      <c r="I415" s="1">
        <v>2</v>
      </c>
      <c r="J415" s="8">
        <v>0.22</v>
      </c>
    </row>
    <row r="416" spans="1:10" ht="15" thickBot="1" x14ac:dyDescent="0.35">
      <c r="A416" s="7">
        <v>415</v>
      </c>
      <c r="B416" s="3">
        <v>40562</v>
      </c>
      <c r="C416" s="1">
        <v>1</v>
      </c>
      <c r="D416" s="1">
        <v>0</v>
      </c>
      <c r="E416" s="1">
        <v>1</v>
      </c>
      <c r="F416" s="1">
        <v>7</v>
      </c>
      <c r="G416" s="4" t="b">
        <v>0</v>
      </c>
      <c r="H416" s="1">
        <v>3</v>
      </c>
      <c r="I416" s="1">
        <v>2</v>
      </c>
      <c r="J416" s="8">
        <v>0.24</v>
      </c>
    </row>
    <row r="417" spans="1:10" ht="15" thickBot="1" x14ac:dyDescent="0.35">
      <c r="A417" s="7">
        <v>416</v>
      </c>
      <c r="B417" s="3">
        <v>40562</v>
      </c>
      <c r="C417" s="1">
        <v>1</v>
      </c>
      <c r="D417" s="1">
        <v>0</v>
      </c>
      <c r="E417" s="1">
        <v>1</v>
      </c>
      <c r="F417" s="1">
        <v>8</v>
      </c>
      <c r="G417" s="4" t="b">
        <v>0</v>
      </c>
      <c r="H417" s="1">
        <v>3</v>
      </c>
      <c r="I417" s="1">
        <v>2</v>
      </c>
      <c r="J417" s="8">
        <v>0.24</v>
      </c>
    </row>
    <row r="418" spans="1:10" ht="15" thickBot="1" x14ac:dyDescent="0.35">
      <c r="A418" s="7">
        <v>417</v>
      </c>
      <c r="B418" s="3">
        <v>40562</v>
      </c>
      <c r="C418" s="1">
        <v>1</v>
      </c>
      <c r="D418" s="1">
        <v>0</v>
      </c>
      <c r="E418" s="1">
        <v>1</v>
      </c>
      <c r="F418" s="1">
        <v>9</v>
      </c>
      <c r="G418" s="4" t="b">
        <v>0</v>
      </c>
      <c r="H418" s="1">
        <v>3</v>
      </c>
      <c r="I418" s="1">
        <v>2</v>
      </c>
      <c r="J418" s="8">
        <v>0.24</v>
      </c>
    </row>
    <row r="419" spans="1:10" ht="15" thickBot="1" x14ac:dyDescent="0.35">
      <c r="A419" s="7">
        <v>418</v>
      </c>
      <c r="B419" s="3">
        <v>40562</v>
      </c>
      <c r="C419" s="1">
        <v>1</v>
      </c>
      <c r="D419" s="1">
        <v>0</v>
      </c>
      <c r="E419" s="1">
        <v>1</v>
      </c>
      <c r="F419" s="1">
        <v>10</v>
      </c>
      <c r="G419" s="4" t="b">
        <v>0</v>
      </c>
      <c r="H419" s="1">
        <v>3</v>
      </c>
      <c r="I419" s="1">
        <v>2</v>
      </c>
      <c r="J419" s="8">
        <v>0.26</v>
      </c>
    </row>
    <row r="420" spans="1:10" ht="15" thickBot="1" x14ac:dyDescent="0.35">
      <c r="A420" s="7">
        <v>419</v>
      </c>
      <c r="B420" s="3">
        <v>40562</v>
      </c>
      <c r="C420" s="1">
        <v>1</v>
      </c>
      <c r="D420" s="1">
        <v>0</v>
      </c>
      <c r="E420" s="1">
        <v>1</v>
      </c>
      <c r="F420" s="1">
        <v>11</v>
      </c>
      <c r="G420" s="4" t="b">
        <v>0</v>
      </c>
      <c r="H420" s="1">
        <v>3</v>
      </c>
      <c r="I420" s="1">
        <v>2</v>
      </c>
      <c r="J420" s="8">
        <v>0.28000000000000003</v>
      </c>
    </row>
    <row r="421" spans="1:10" ht="15" thickBot="1" x14ac:dyDescent="0.35">
      <c r="A421" s="7">
        <v>420</v>
      </c>
      <c r="B421" s="3">
        <v>40562</v>
      </c>
      <c r="C421" s="1">
        <v>1</v>
      </c>
      <c r="D421" s="1">
        <v>0</v>
      </c>
      <c r="E421" s="1">
        <v>1</v>
      </c>
      <c r="F421" s="1">
        <v>12</v>
      </c>
      <c r="G421" s="4" t="b">
        <v>0</v>
      </c>
      <c r="H421" s="1">
        <v>3</v>
      </c>
      <c r="I421" s="1">
        <v>2</v>
      </c>
      <c r="J421" s="8">
        <v>0.3</v>
      </c>
    </row>
    <row r="422" spans="1:10" ht="15" thickBot="1" x14ac:dyDescent="0.35">
      <c r="A422" s="7">
        <v>421</v>
      </c>
      <c r="B422" s="3">
        <v>40562</v>
      </c>
      <c r="C422" s="1">
        <v>1</v>
      </c>
      <c r="D422" s="1">
        <v>0</v>
      </c>
      <c r="E422" s="1">
        <v>1</v>
      </c>
      <c r="F422" s="1">
        <v>13</v>
      </c>
      <c r="G422" s="4" t="b">
        <v>0</v>
      </c>
      <c r="H422" s="1">
        <v>3</v>
      </c>
      <c r="I422" s="1">
        <v>1</v>
      </c>
      <c r="J422" s="8">
        <v>0.4</v>
      </c>
    </row>
    <row r="423" spans="1:10" ht="15" thickBot="1" x14ac:dyDescent="0.35">
      <c r="A423" s="7">
        <v>422</v>
      </c>
      <c r="B423" s="3">
        <v>40562</v>
      </c>
      <c r="C423" s="1">
        <v>1</v>
      </c>
      <c r="D423" s="1">
        <v>0</v>
      </c>
      <c r="E423" s="1">
        <v>1</v>
      </c>
      <c r="F423" s="1">
        <v>14</v>
      </c>
      <c r="G423" s="4" t="b">
        <v>0</v>
      </c>
      <c r="H423" s="1">
        <v>3</v>
      </c>
      <c r="I423" s="1">
        <v>1</v>
      </c>
      <c r="J423" s="8">
        <v>0.4</v>
      </c>
    </row>
    <row r="424" spans="1:10" ht="15" thickBot="1" x14ac:dyDescent="0.35">
      <c r="A424" s="7">
        <v>423</v>
      </c>
      <c r="B424" s="3">
        <v>40562</v>
      </c>
      <c r="C424" s="1">
        <v>1</v>
      </c>
      <c r="D424" s="1">
        <v>0</v>
      </c>
      <c r="E424" s="1">
        <v>1</v>
      </c>
      <c r="F424" s="1">
        <v>15</v>
      </c>
      <c r="G424" s="4" t="b">
        <v>0</v>
      </c>
      <c r="H424" s="1">
        <v>3</v>
      </c>
      <c r="I424" s="1">
        <v>1</v>
      </c>
      <c r="J424" s="8">
        <v>0.4</v>
      </c>
    </row>
    <row r="425" spans="1:10" ht="15" thickBot="1" x14ac:dyDescent="0.35">
      <c r="A425" s="7">
        <v>424</v>
      </c>
      <c r="B425" s="3">
        <v>40562</v>
      </c>
      <c r="C425" s="1">
        <v>1</v>
      </c>
      <c r="D425" s="1">
        <v>0</v>
      </c>
      <c r="E425" s="1">
        <v>1</v>
      </c>
      <c r="F425" s="1">
        <v>16</v>
      </c>
      <c r="G425" s="4" t="b">
        <v>0</v>
      </c>
      <c r="H425" s="1">
        <v>3</v>
      </c>
      <c r="I425" s="1">
        <v>1</v>
      </c>
      <c r="J425" s="8">
        <v>0.38</v>
      </c>
    </row>
    <row r="426" spans="1:10" ht="15" thickBot="1" x14ac:dyDescent="0.35">
      <c r="A426" s="7">
        <v>425</v>
      </c>
      <c r="B426" s="3">
        <v>40562</v>
      </c>
      <c r="C426" s="1">
        <v>1</v>
      </c>
      <c r="D426" s="1">
        <v>0</v>
      </c>
      <c r="E426" s="1">
        <v>1</v>
      </c>
      <c r="F426" s="1">
        <v>17</v>
      </c>
      <c r="G426" s="4" t="b">
        <v>0</v>
      </c>
      <c r="H426" s="1">
        <v>3</v>
      </c>
      <c r="I426" s="1">
        <v>1</v>
      </c>
      <c r="J426" s="8">
        <v>0.36</v>
      </c>
    </row>
    <row r="427" spans="1:10" ht="15" thickBot="1" x14ac:dyDescent="0.35">
      <c r="A427" s="7">
        <v>426</v>
      </c>
      <c r="B427" s="3">
        <v>40562</v>
      </c>
      <c r="C427" s="1">
        <v>1</v>
      </c>
      <c r="D427" s="1">
        <v>0</v>
      </c>
      <c r="E427" s="1">
        <v>1</v>
      </c>
      <c r="F427" s="1">
        <v>18</v>
      </c>
      <c r="G427" s="4" t="b">
        <v>0</v>
      </c>
      <c r="H427" s="1">
        <v>3</v>
      </c>
      <c r="I427" s="1">
        <v>1</v>
      </c>
      <c r="J427" s="8">
        <v>0.34</v>
      </c>
    </row>
    <row r="428" spans="1:10" ht="15" thickBot="1" x14ac:dyDescent="0.35">
      <c r="A428" s="7">
        <v>427</v>
      </c>
      <c r="B428" s="3">
        <v>40562</v>
      </c>
      <c r="C428" s="1">
        <v>1</v>
      </c>
      <c r="D428" s="1">
        <v>0</v>
      </c>
      <c r="E428" s="1">
        <v>1</v>
      </c>
      <c r="F428" s="1">
        <v>19</v>
      </c>
      <c r="G428" s="4" t="b">
        <v>0</v>
      </c>
      <c r="H428" s="1">
        <v>3</v>
      </c>
      <c r="I428" s="1">
        <v>1</v>
      </c>
      <c r="J428" s="8">
        <v>0.32</v>
      </c>
    </row>
    <row r="429" spans="1:10" ht="15" thickBot="1" x14ac:dyDescent="0.35">
      <c r="A429" s="7">
        <v>428</v>
      </c>
      <c r="B429" s="3">
        <v>40562</v>
      </c>
      <c r="C429" s="1">
        <v>1</v>
      </c>
      <c r="D429" s="1">
        <v>0</v>
      </c>
      <c r="E429" s="1">
        <v>1</v>
      </c>
      <c r="F429" s="1">
        <v>20</v>
      </c>
      <c r="G429" s="4" t="b">
        <v>0</v>
      </c>
      <c r="H429" s="1">
        <v>3</v>
      </c>
      <c r="I429" s="1">
        <v>1</v>
      </c>
      <c r="J429" s="8">
        <v>0.32</v>
      </c>
    </row>
    <row r="430" spans="1:10" ht="15" thickBot="1" x14ac:dyDescent="0.35">
      <c r="A430" s="7">
        <v>429</v>
      </c>
      <c r="B430" s="3">
        <v>40562</v>
      </c>
      <c r="C430" s="1">
        <v>1</v>
      </c>
      <c r="D430" s="1">
        <v>0</v>
      </c>
      <c r="E430" s="1">
        <v>1</v>
      </c>
      <c r="F430" s="1">
        <v>21</v>
      </c>
      <c r="G430" s="4" t="b">
        <v>0</v>
      </c>
      <c r="H430" s="1">
        <v>3</v>
      </c>
      <c r="I430" s="1">
        <v>1</v>
      </c>
      <c r="J430" s="8">
        <v>0.32</v>
      </c>
    </row>
    <row r="431" spans="1:10" ht="15" thickBot="1" x14ac:dyDescent="0.35">
      <c r="A431" s="7">
        <v>430</v>
      </c>
      <c r="B431" s="3">
        <v>40562</v>
      </c>
      <c r="C431" s="1">
        <v>1</v>
      </c>
      <c r="D431" s="1">
        <v>0</v>
      </c>
      <c r="E431" s="1">
        <v>1</v>
      </c>
      <c r="F431" s="1">
        <v>22</v>
      </c>
      <c r="G431" s="4" t="b">
        <v>0</v>
      </c>
      <c r="H431" s="1">
        <v>3</v>
      </c>
      <c r="I431" s="1">
        <v>1</v>
      </c>
      <c r="J431" s="8">
        <v>0.3</v>
      </c>
    </row>
    <row r="432" spans="1:10" ht="15" thickBot="1" x14ac:dyDescent="0.35">
      <c r="A432" s="7">
        <v>431</v>
      </c>
      <c r="B432" s="3">
        <v>40562</v>
      </c>
      <c r="C432" s="1">
        <v>1</v>
      </c>
      <c r="D432" s="1">
        <v>0</v>
      </c>
      <c r="E432" s="1">
        <v>1</v>
      </c>
      <c r="F432" s="1">
        <v>23</v>
      </c>
      <c r="G432" s="4" t="b">
        <v>0</v>
      </c>
      <c r="H432" s="1">
        <v>3</v>
      </c>
      <c r="I432" s="1">
        <v>1</v>
      </c>
      <c r="J432" s="8">
        <v>0.3</v>
      </c>
    </row>
    <row r="433" spans="1:10" ht="15" thickBot="1" x14ac:dyDescent="0.35">
      <c r="A433" s="7">
        <v>432</v>
      </c>
      <c r="B433" s="3">
        <v>40563</v>
      </c>
      <c r="C433" s="1">
        <v>1</v>
      </c>
      <c r="D433" s="1">
        <v>0</v>
      </c>
      <c r="E433" s="1">
        <v>1</v>
      </c>
      <c r="F433" s="1">
        <v>0</v>
      </c>
      <c r="G433" s="4" t="b">
        <v>0</v>
      </c>
      <c r="H433" s="1">
        <v>4</v>
      </c>
      <c r="I433" s="1">
        <v>1</v>
      </c>
      <c r="J433" s="8">
        <v>0.26</v>
      </c>
    </row>
    <row r="434" spans="1:10" ht="15" thickBot="1" x14ac:dyDescent="0.35">
      <c r="A434" s="7">
        <v>433</v>
      </c>
      <c r="B434" s="3">
        <v>40563</v>
      </c>
      <c r="C434" s="1">
        <v>1</v>
      </c>
      <c r="D434" s="1">
        <v>0</v>
      </c>
      <c r="E434" s="1">
        <v>1</v>
      </c>
      <c r="F434" s="1">
        <v>1</v>
      </c>
      <c r="G434" s="4" t="b">
        <v>0</v>
      </c>
      <c r="H434" s="1">
        <v>4</v>
      </c>
      <c r="I434" s="1">
        <v>1</v>
      </c>
      <c r="J434" s="8">
        <v>0.26</v>
      </c>
    </row>
    <row r="435" spans="1:10" ht="15" thickBot="1" x14ac:dyDescent="0.35">
      <c r="A435" s="7">
        <v>434</v>
      </c>
      <c r="B435" s="3">
        <v>40563</v>
      </c>
      <c r="C435" s="1">
        <v>1</v>
      </c>
      <c r="D435" s="1">
        <v>0</v>
      </c>
      <c r="E435" s="1">
        <v>1</v>
      </c>
      <c r="F435" s="1">
        <v>2</v>
      </c>
      <c r="G435" s="4" t="b">
        <v>0</v>
      </c>
      <c r="H435" s="1">
        <v>4</v>
      </c>
      <c r="I435" s="1">
        <v>1</v>
      </c>
      <c r="J435" s="8">
        <v>0.26</v>
      </c>
    </row>
    <row r="436" spans="1:10" ht="15" thickBot="1" x14ac:dyDescent="0.35">
      <c r="A436" s="7">
        <v>435</v>
      </c>
      <c r="B436" s="3">
        <v>40563</v>
      </c>
      <c r="C436" s="1">
        <v>1</v>
      </c>
      <c r="D436" s="1">
        <v>0</v>
      </c>
      <c r="E436" s="1">
        <v>1</v>
      </c>
      <c r="F436" s="1">
        <v>3</v>
      </c>
      <c r="G436" s="4" t="b">
        <v>0</v>
      </c>
      <c r="H436" s="1">
        <v>4</v>
      </c>
      <c r="I436" s="1">
        <v>1</v>
      </c>
      <c r="J436" s="8">
        <v>0.26</v>
      </c>
    </row>
    <row r="437" spans="1:10" ht="15" thickBot="1" x14ac:dyDescent="0.35">
      <c r="A437" s="7">
        <v>436</v>
      </c>
      <c r="B437" s="3">
        <v>40563</v>
      </c>
      <c r="C437" s="1">
        <v>1</v>
      </c>
      <c r="D437" s="1">
        <v>0</v>
      </c>
      <c r="E437" s="1">
        <v>1</v>
      </c>
      <c r="F437" s="1">
        <v>4</v>
      </c>
      <c r="G437" s="4" t="b">
        <v>0</v>
      </c>
      <c r="H437" s="1">
        <v>4</v>
      </c>
      <c r="I437" s="1">
        <v>1</v>
      </c>
      <c r="J437" s="8">
        <v>0.26</v>
      </c>
    </row>
    <row r="438" spans="1:10" ht="15" thickBot="1" x14ac:dyDescent="0.35">
      <c r="A438" s="7">
        <v>437</v>
      </c>
      <c r="B438" s="3">
        <v>40563</v>
      </c>
      <c r="C438" s="1">
        <v>1</v>
      </c>
      <c r="D438" s="1">
        <v>0</v>
      </c>
      <c r="E438" s="1">
        <v>1</v>
      </c>
      <c r="F438" s="1">
        <v>5</v>
      </c>
      <c r="G438" s="4" t="b">
        <v>0</v>
      </c>
      <c r="H438" s="1">
        <v>4</v>
      </c>
      <c r="I438" s="1">
        <v>1</v>
      </c>
      <c r="J438" s="8">
        <v>0.24</v>
      </c>
    </row>
    <row r="439" spans="1:10" ht="15" thickBot="1" x14ac:dyDescent="0.35">
      <c r="A439" s="7">
        <v>438</v>
      </c>
      <c r="B439" s="3">
        <v>40563</v>
      </c>
      <c r="C439" s="1">
        <v>1</v>
      </c>
      <c r="D439" s="1">
        <v>0</v>
      </c>
      <c r="E439" s="1">
        <v>1</v>
      </c>
      <c r="F439" s="1">
        <v>6</v>
      </c>
      <c r="G439" s="4" t="b">
        <v>0</v>
      </c>
      <c r="H439" s="1">
        <v>4</v>
      </c>
      <c r="I439" s="1">
        <v>1</v>
      </c>
      <c r="J439" s="8">
        <v>0.22</v>
      </c>
    </row>
    <row r="440" spans="1:10" ht="15" thickBot="1" x14ac:dyDescent="0.35">
      <c r="A440" s="7">
        <v>439</v>
      </c>
      <c r="B440" s="3">
        <v>40563</v>
      </c>
      <c r="C440" s="1">
        <v>1</v>
      </c>
      <c r="D440" s="1">
        <v>0</v>
      </c>
      <c r="E440" s="1">
        <v>1</v>
      </c>
      <c r="F440" s="1">
        <v>7</v>
      </c>
      <c r="G440" s="4" t="b">
        <v>0</v>
      </c>
      <c r="H440" s="1">
        <v>4</v>
      </c>
      <c r="I440" s="1">
        <v>1</v>
      </c>
      <c r="J440" s="8">
        <v>0.22</v>
      </c>
    </row>
    <row r="441" spans="1:10" ht="15" thickBot="1" x14ac:dyDescent="0.35">
      <c r="A441" s="7">
        <v>440</v>
      </c>
      <c r="B441" s="3">
        <v>40563</v>
      </c>
      <c r="C441" s="1">
        <v>1</v>
      </c>
      <c r="D441" s="1">
        <v>0</v>
      </c>
      <c r="E441" s="1">
        <v>1</v>
      </c>
      <c r="F441" s="1">
        <v>8</v>
      </c>
      <c r="G441" s="4" t="b">
        <v>0</v>
      </c>
      <c r="H441" s="1">
        <v>4</v>
      </c>
      <c r="I441" s="1">
        <v>1</v>
      </c>
      <c r="J441" s="8">
        <v>0.22</v>
      </c>
    </row>
    <row r="442" spans="1:10" ht="15" thickBot="1" x14ac:dyDescent="0.35">
      <c r="A442" s="7">
        <v>441</v>
      </c>
      <c r="B442" s="3">
        <v>40563</v>
      </c>
      <c r="C442" s="1">
        <v>1</v>
      </c>
      <c r="D442" s="1">
        <v>0</v>
      </c>
      <c r="E442" s="1">
        <v>1</v>
      </c>
      <c r="F442" s="1">
        <v>9</v>
      </c>
      <c r="G442" s="4" t="b">
        <v>0</v>
      </c>
      <c r="H442" s="1">
        <v>4</v>
      </c>
      <c r="I442" s="1">
        <v>2</v>
      </c>
      <c r="J442" s="8">
        <v>0.24</v>
      </c>
    </row>
    <row r="443" spans="1:10" ht="15" thickBot="1" x14ac:dyDescent="0.35">
      <c r="A443" s="7">
        <v>442</v>
      </c>
      <c r="B443" s="3">
        <v>40563</v>
      </c>
      <c r="C443" s="1">
        <v>1</v>
      </c>
      <c r="D443" s="1">
        <v>0</v>
      </c>
      <c r="E443" s="1">
        <v>1</v>
      </c>
      <c r="F443" s="1">
        <v>10</v>
      </c>
      <c r="G443" s="4" t="b">
        <v>0</v>
      </c>
      <c r="H443" s="1">
        <v>4</v>
      </c>
      <c r="I443" s="1">
        <v>1</v>
      </c>
      <c r="J443" s="8">
        <v>0.26</v>
      </c>
    </row>
    <row r="444" spans="1:10" ht="15" thickBot="1" x14ac:dyDescent="0.35">
      <c r="A444" s="7">
        <v>443</v>
      </c>
      <c r="B444" s="3">
        <v>40563</v>
      </c>
      <c r="C444" s="1">
        <v>1</v>
      </c>
      <c r="D444" s="1">
        <v>0</v>
      </c>
      <c r="E444" s="1">
        <v>1</v>
      </c>
      <c r="F444" s="1">
        <v>11</v>
      </c>
      <c r="G444" s="4" t="b">
        <v>0</v>
      </c>
      <c r="H444" s="1">
        <v>4</v>
      </c>
      <c r="I444" s="1">
        <v>2</v>
      </c>
      <c r="J444" s="8">
        <v>0.28000000000000003</v>
      </c>
    </row>
    <row r="445" spans="1:10" ht="15" thickBot="1" x14ac:dyDescent="0.35">
      <c r="A445" s="7">
        <v>444</v>
      </c>
      <c r="B445" s="3">
        <v>40563</v>
      </c>
      <c r="C445" s="1">
        <v>1</v>
      </c>
      <c r="D445" s="1">
        <v>0</v>
      </c>
      <c r="E445" s="1">
        <v>1</v>
      </c>
      <c r="F445" s="1">
        <v>12</v>
      </c>
      <c r="G445" s="4" t="b">
        <v>0</v>
      </c>
      <c r="H445" s="1">
        <v>4</v>
      </c>
      <c r="I445" s="1">
        <v>2</v>
      </c>
      <c r="J445" s="8">
        <v>0.3</v>
      </c>
    </row>
    <row r="446" spans="1:10" ht="15" thickBot="1" x14ac:dyDescent="0.35">
      <c r="A446" s="7">
        <v>445</v>
      </c>
      <c r="B446" s="3">
        <v>40563</v>
      </c>
      <c r="C446" s="1">
        <v>1</v>
      </c>
      <c r="D446" s="1">
        <v>0</v>
      </c>
      <c r="E446" s="1">
        <v>1</v>
      </c>
      <c r="F446" s="1">
        <v>13</v>
      </c>
      <c r="G446" s="4" t="b">
        <v>0</v>
      </c>
      <c r="H446" s="1">
        <v>4</v>
      </c>
      <c r="I446" s="1">
        <v>2</v>
      </c>
      <c r="J446" s="8">
        <v>0.28000000000000003</v>
      </c>
    </row>
    <row r="447" spans="1:10" ht="15" thickBot="1" x14ac:dyDescent="0.35">
      <c r="A447" s="7">
        <v>446</v>
      </c>
      <c r="B447" s="3">
        <v>40563</v>
      </c>
      <c r="C447" s="1">
        <v>1</v>
      </c>
      <c r="D447" s="1">
        <v>0</v>
      </c>
      <c r="E447" s="1">
        <v>1</v>
      </c>
      <c r="F447" s="1">
        <v>14</v>
      </c>
      <c r="G447" s="4" t="b">
        <v>0</v>
      </c>
      <c r="H447" s="1">
        <v>4</v>
      </c>
      <c r="I447" s="1">
        <v>2</v>
      </c>
      <c r="J447" s="8">
        <v>0.3</v>
      </c>
    </row>
    <row r="448" spans="1:10" ht="15" thickBot="1" x14ac:dyDescent="0.35">
      <c r="A448" s="7">
        <v>447</v>
      </c>
      <c r="B448" s="3">
        <v>40563</v>
      </c>
      <c r="C448" s="1">
        <v>1</v>
      </c>
      <c r="D448" s="1">
        <v>0</v>
      </c>
      <c r="E448" s="1">
        <v>1</v>
      </c>
      <c r="F448" s="1">
        <v>15</v>
      </c>
      <c r="G448" s="4" t="b">
        <v>0</v>
      </c>
      <c r="H448" s="1">
        <v>4</v>
      </c>
      <c r="I448" s="1">
        <v>2</v>
      </c>
      <c r="J448" s="8">
        <v>0.32</v>
      </c>
    </row>
    <row r="449" spans="1:10" ht="15" thickBot="1" x14ac:dyDescent="0.35">
      <c r="A449" s="7">
        <v>448</v>
      </c>
      <c r="B449" s="3">
        <v>40563</v>
      </c>
      <c r="C449" s="1">
        <v>1</v>
      </c>
      <c r="D449" s="1">
        <v>0</v>
      </c>
      <c r="E449" s="1">
        <v>1</v>
      </c>
      <c r="F449" s="1">
        <v>16</v>
      </c>
      <c r="G449" s="4" t="b">
        <v>0</v>
      </c>
      <c r="H449" s="1">
        <v>4</v>
      </c>
      <c r="I449" s="1">
        <v>2</v>
      </c>
      <c r="J449" s="8">
        <v>0.3</v>
      </c>
    </row>
    <row r="450" spans="1:10" ht="15" thickBot="1" x14ac:dyDescent="0.35">
      <c r="A450" s="7">
        <v>449</v>
      </c>
      <c r="B450" s="3">
        <v>40563</v>
      </c>
      <c r="C450" s="1">
        <v>1</v>
      </c>
      <c r="D450" s="1">
        <v>0</v>
      </c>
      <c r="E450" s="1">
        <v>1</v>
      </c>
      <c r="F450" s="1">
        <v>17</v>
      </c>
      <c r="G450" s="4" t="b">
        <v>0</v>
      </c>
      <c r="H450" s="1">
        <v>4</v>
      </c>
      <c r="I450" s="1">
        <v>2</v>
      </c>
      <c r="J450" s="8">
        <v>0.3</v>
      </c>
    </row>
    <row r="451" spans="1:10" ht="15" thickBot="1" x14ac:dyDescent="0.35">
      <c r="A451" s="7">
        <v>450</v>
      </c>
      <c r="B451" s="3">
        <v>40563</v>
      </c>
      <c r="C451" s="1">
        <v>1</v>
      </c>
      <c r="D451" s="1">
        <v>0</v>
      </c>
      <c r="E451" s="1">
        <v>1</v>
      </c>
      <c r="F451" s="1">
        <v>18</v>
      </c>
      <c r="G451" s="4" t="b">
        <v>0</v>
      </c>
      <c r="H451" s="1">
        <v>4</v>
      </c>
      <c r="I451" s="1">
        <v>2</v>
      </c>
      <c r="J451" s="8">
        <v>0.26</v>
      </c>
    </row>
    <row r="452" spans="1:10" ht="15" thickBot="1" x14ac:dyDescent="0.35">
      <c r="A452" s="7">
        <v>451</v>
      </c>
      <c r="B452" s="3">
        <v>40563</v>
      </c>
      <c r="C452" s="1">
        <v>1</v>
      </c>
      <c r="D452" s="1">
        <v>0</v>
      </c>
      <c r="E452" s="1">
        <v>1</v>
      </c>
      <c r="F452" s="1">
        <v>19</v>
      </c>
      <c r="G452" s="4" t="b">
        <v>0</v>
      </c>
      <c r="H452" s="1">
        <v>4</v>
      </c>
      <c r="I452" s="1">
        <v>1</v>
      </c>
      <c r="J452" s="8">
        <v>0.26</v>
      </c>
    </row>
    <row r="453" spans="1:10" ht="15" thickBot="1" x14ac:dyDescent="0.35">
      <c r="A453" s="7">
        <v>452</v>
      </c>
      <c r="B453" s="3">
        <v>40563</v>
      </c>
      <c r="C453" s="1">
        <v>1</v>
      </c>
      <c r="D453" s="1">
        <v>0</v>
      </c>
      <c r="E453" s="1">
        <v>1</v>
      </c>
      <c r="F453" s="1">
        <v>20</v>
      </c>
      <c r="G453" s="4" t="b">
        <v>0</v>
      </c>
      <c r="H453" s="1">
        <v>4</v>
      </c>
      <c r="I453" s="1">
        <v>2</v>
      </c>
      <c r="J453" s="8">
        <v>0.26</v>
      </c>
    </row>
    <row r="454" spans="1:10" ht="15" thickBot="1" x14ac:dyDescent="0.35">
      <c r="A454" s="7">
        <v>453</v>
      </c>
      <c r="B454" s="3">
        <v>40563</v>
      </c>
      <c r="C454" s="1">
        <v>1</v>
      </c>
      <c r="D454" s="1">
        <v>0</v>
      </c>
      <c r="E454" s="1">
        <v>1</v>
      </c>
      <c r="F454" s="1">
        <v>21</v>
      </c>
      <c r="G454" s="4" t="b">
        <v>0</v>
      </c>
      <c r="H454" s="1">
        <v>4</v>
      </c>
      <c r="I454" s="1">
        <v>2</v>
      </c>
      <c r="J454" s="8">
        <v>0.24</v>
      </c>
    </row>
    <row r="455" spans="1:10" ht="15" thickBot="1" x14ac:dyDescent="0.35">
      <c r="A455" s="7">
        <v>454</v>
      </c>
      <c r="B455" s="3">
        <v>40563</v>
      </c>
      <c r="C455" s="1">
        <v>1</v>
      </c>
      <c r="D455" s="1">
        <v>0</v>
      </c>
      <c r="E455" s="1">
        <v>1</v>
      </c>
      <c r="F455" s="1">
        <v>22</v>
      </c>
      <c r="G455" s="4" t="b">
        <v>0</v>
      </c>
      <c r="H455" s="1">
        <v>4</v>
      </c>
      <c r="I455" s="1">
        <v>2</v>
      </c>
      <c r="J455" s="8">
        <v>0.24</v>
      </c>
    </row>
    <row r="456" spans="1:10" ht="15" thickBot="1" x14ac:dyDescent="0.35">
      <c r="A456" s="7">
        <v>455</v>
      </c>
      <c r="B456" s="3">
        <v>40563</v>
      </c>
      <c r="C456" s="1">
        <v>1</v>
      </c>
      <c r="D456" s="1">
        <v>0</v>
      </c>
      <c r="E456" s="1">
        <v>1</v>
      </c>
      <c r="F456" s="1">
        <v>23</v>
      </c>
      <c r="G456" s="4" t="b">
        <v>0</v>
      </c>
      <c r="H456" s="1">
        <v>4</v>
      </c>
      <c r="I456" s="1">
        <v>2</v>
      </c>
      <c r="J456" s="8">
        <v>0.24</v>
      </c>
    </row>
    <row r="457" spans="1:10" ht="15" thickBot="1" x14ac:dyDescent="0.35">
      <c r="A457" s="7">
        <v>456</v>
      </c>
      <c r="B457" s="3">
        <v>40564</v>
      </c>
      <c r="C457" s="1">
        <v>1</v>
      </c>
      <c r="D457" s="1">
        <v>0</v>
      </c>
      <c r="E457" s="1">
        <v>1</v>
      </c>
      <c r="F457" s="1">
        <v>0</v>
      </c>
      <c r="G457" s="4" t="b">
        <v>0</v>
      </c>
      <c r="H457" s="1">
        <v>5</v>
      </c>
      <c r="I457" s="1">
        <v>2</v>
      </c>
      <c r="J457" s="8">
        <v>0.24</v>
      </c>
    </row>
    <row r="458" spans="1:10" ht="15" thickBot="1" x14ac:dyDescent="0.35">
      <c r="A458" s="7">
        <v>457</v>
      </c>
      <c r="B458" s="3">
        <v>40564</v>
      </c>
      <c r="C458" s="1">
        <v>1</v>
      </c>
      <c r="D458" s="1">
        <v>0</v>
      </c>
      <c r="E458" s="1">
        <v>1</v>
      </c>
      <c r="F458" s="1">
        <v>1</v>
      </c>
      <c r="G458" s="4" t="b">
        <v>0</v>
      </c>
      <c r="H458" s="1">
        <v>5</v>
      </c>
      <c r="I458" s="1">
        <v>2</v>
      </c>
      <c r="J458" s="8">
        <v>0.24</v>
      </c>
    </row>
    <row r="459" spans="1:10" ht="15" thickBot="1" x14ac:dyDescent="0.35">
      <c r="A459" s="7">
        <v>458</v>
      </c>
      <c r="B459" s="3">
        <v>40564</v>
      </c>
      <c r="C459" s="1">
        <v>1</v>
      </c>
      <c r="D459" s="1">
        <v>0</v>
      </c>
      <c r="E459" s="1">
        <v>1</v>
      </c>
      <c r="F459" s="1">
        <v>2</v>
      </c>
      <c r="G459" s="4" t="b">
        <v>0</v>
      </c>
      <c r="H459" s="1">
        <v>5</v>
      </c>
      <c r="I459" s="1">
        <v>3</v>
      </c>
      <c r="J459" s="8">
        <v>0.24</v>
      </c>
    </row>
    <row r="460" spans="1:10" ht="15" thickBot="1" x14ac:dyDescent="0.35">
      <c r="A460" s="7">
        <v>459</v>
      </c>
      <c r="B460" s="3">
        <v>40564</v>
      </c>
      <c r="C460" s="1">
        <v>1</v>
      </c>
      <c r="D460" s="1">
        <v>0</v>
      </c>
      <c r="E460" s="1">
        <v>1</v>
      </c>
      <c r="F460" s="1">
        <v>3</v>
      </c>
      <c r="G460" s="4" t="b">
        <v>0</v>
      </c>
      <c r="H460" s="1">
        <v>5</v>
      </c>
      <c r="I460" s="1">
        <v>3</v>
      </c>
      <c r="J460" s="8">
        <v>0.22</v>
      </c>
    </row>
    <row r="461" spans="1:10" ht="15" thickBot="1" x14ac:dyDescent="0.35">
      <c r="A461" s="7">
        <v>460</v>
      </c>
      <c r="B461" s="3">
        <v>40564</v>
      </c>
      <c r="C461" s="1">
        <v>1</v>
      </c>
      <c r="D461" s="1">
        <v>0</v>
      </c>
      <c r="E461" s="1">
        <v>1</v>
      </c>
      <c r="F461" s="1">
        <v>4</v>
      </c>
      <c r="G461" s="4" t="b">
        <v>0</v>
      </c>
      <c r="H461" s="1">
        <v>5</v>
      </c>
      <c r="I461" s="1">
        <v>2</v>
      </c>
      <c r="J461" s="8">
        <v>0.22</v>
      </c>
    </row>
    <row r="462" spans="1:10" ht="15" thickBot="1" x14ac:dyDescent="0.35">
      <c r="A462" s="7">
        <v>461</v>
      </c>
      <c r="B462" s="3">
        <v>40564</v>
      </c>
      <c r="C462" s="1">
        <v>1</v>
      </c>
      <c r="D462" s="1">
        <v>0</v>
      </c>
      <c r="E462" s="1">
        <v>1</v>
      </c>
      <c r="F462" s="1">
        <v>5</v>
      </c>
      <c r="G462" s="4" t="b">
        <v>0</v>
      </c>
      <c r="H462" s="1">
        <v>5</v>
      </c>
      <c r="I462" s="1">
        <v>1</v>
      </c>
      <c r="J462" s="8">
        <v>0.24</v>
      </c>
    </row>
    <row r="463" spans="1:10" ht="15" thickBot="1" x14ac:dyDescent="0.35">
      <c r="A463" s="7">
        <v>462</v>
      </c>
      <c r="B463" s="3">
        <v>40564</v>
      </c>
      <c r="C463" s="1">
        <v>1</v>
      </c>
      <c r="D463" s="1">
        <v>0</v>
      </c>
      <c r="E463" s="1">
        <v>1</v>
      </c>
      <c r="F463" s="1">
        <v>6</v>
      </c>
      <c r="G463" s="4" t="b">
        <v>0</v>
      </c>
      <c r="H463" s="1">
        <v>5</v>
      </c>
      <c r="I463" s="1">
        <v>1</v>
      </c>
      <c r="J463" s="8">
        <v>0.22</v>
      </c>
    </row>
    <row r="464" spans="1:10" ht="15" thickBot="1" x14ac:dyDescent="0.35">
      <c r="A464" s="7">
        <v>463</v>
      </c>
      <c r="B464" s="3">
        <v>40564</v>
      </c>
      <c r="C464" s="1">
        <v>1</v>
      </c>
      <c r="D464" s="1">
        <v>0</v>
      </c>
      <c r="E464" s="1">
        <v>1</v>
      </c>
      <c r="F464" s="1">
        <v>7</v>
      </c>
      <c r="G464" s="4" t="b">
        <v>0</v>
      </c>
      <c r="H464" s="1">
        <v>5</v>
      </c>
      <c r="I464" s="1">
        <v>1</v>
      </c>
      <c r="J464" s="8">
        <v>0.2</v>
      </c>
    </row>
    <row r="465" spans="1:10" ht="15" thickBot="1" x14ac:dyDescent="0.35">
      <c r="A465" s="7">
        <v>464</v>
      </c>
      <c r="B465" s="3">
        <v>40564</v>
      </c>
      <c r="C465" s="1">
        <v>1</v>
      </c>
      <c r="D465" s="1">
        <v>0</v>
      </c>
      <c r="E465" s="1">
        <v>1</v>
      </c>
      <c r="F465" s="1">
        <v>8</v>
      </c>
      <c r="G465" s="4" t="b">
        <v>0</v>
      </c>
      <c r="H465" s="1">
        <v>5</v>
      </c>
      <c r="I465" s="1">
        <v>1</v>
      </c>
      <c r="J465" s="8">
        <v>0.2</v>
      </c>
    </row>
    <row r="466" spans="1:10" ht="15" thickBot="1" x14ac:dyDescent="0.35">
      <c r="A466" s="7">
        <v>465</v>
      </c>
      <c r="B466" s="3">
        <v>40564</v>
      </c>
      <c r="C466" s="1">
        <v>1</v>
      </c>
      <c r="D466" s="1">
        <v>0</v>
      </c>
      <c r="E466" s="1">
        <v>1</v>
      </c>
      <c r="F466" s="1">
        <v>9</v>
      </c>
      <c r="G466" s="4" t="b">
        <v>0</v>
      </c>
      <c r="H466" s="1">
        <v>5</v>
      </c>
      <c r="I466" s="1">
        <v>1</v>
      </c>
      <c r="J466" s="8">
        <v>0.2</v>
      </c>
    </row>
    <row r="467" spans="1:10" ht="15" thickBot="1" x14ac:dyDescent="0.35">
      <c r="A467" s="7">
        <v>466</v>
      </c>
      <c r="B467" s="3">
        <v>40564</v>
      </c>
      <c r="C467" s="1">
        <v>1</v>
      </c>
      <c r="D467" s="1">
        <v>0</v>
      </c>
      <c r="E467" s="1">
        <v>1</v>
      </c>
      <c r="F467" s="1">
        <v>10</v>
      </c>
      <c r="G467" s="4" t="b">
        <v>0</v>
      </c>
      <c r="H467" s="1">
        <v>5</v>
      </c>
      <c r="I467" s="1">
        <v>1</v>
      </c>
      <c r="J467" s="8">
        <v>0.2</v>
      </c>
    </row>
    <row r="468" spans="1:10" ht="15" thickBot="1" x14ac:dyDescent="0.35">
      <c r="A468" s="7">
        <v>467</v>
      </c>
      <c r="B468" s="3">
        <v>40564</v>
      </c>
      <c r="C468" s="1">
        <v>1</v>
      </c>
      <c r="D468" s="1">
        <v>0</v>
      </c>
      <c r="E468" s="1">
        <v>1</v>
      </c>
      <c r="F468" s="1">
        <v>11</v>
      </c>
      <c r="G468" s="4" t="b">
        <v>0</v>
      </c>
      <c r="H468" s="1">
        <v>5</v>
      </c>
      <c r="I468" s="1">
        <v>1</v>
      </c>
      <c r="J468" s="8">
        <v>0.22</v>
      </c>
    </row>
    <row r="469" spans="1:10" ht="15" thickBot="1" x14ac:dyDescent="0.35">
      <c r="A469" s="7">
        <v>468</v>
      </c>
      <c r="B469" s="3">
        <v>40564</v>
      </c>
      <c r="C469" s="1">
        <v>1</v>
      </c>
      <c r="D469" s="1">
        <v>0</v>
      </c>
      <c r="E469" s="1">
        <v>1</v>
      </c>
      <c r="F469" s="1">
        <v>12</v>
      </c>
      <c r="G469" s="4" t="b">
        <v>0</v>
      </c>
      <c r="H469" s="1">
        <v>5</v>
      </c>
      <c r="I469" s="1">
        <v>1</v>
      </c>
      <c r="J469" s="8">
        <v>0.22</v>
      </c>
    </row>
    <row r="470" spans="1:10" ht="15" thickBot="1" x14ac:dyDescent="0.35">
      <c r="A470" s="7">
        <v>469</v>
      </c>
      <c r="B470" s="3">
        <v>40564</v>
      </c>
      <c r="C470" s="1">
        <v>1</v>
      </c>
      <c r="D470" s="1">
        <v>0</v>
      </c>
      <c r="E470" s="1">
        <v>1</v>
      </c>
      <c r="F470" s="1">
        <v>13</v>
      </c>
      <c r="G470" s="4" t="b">
        <v>0</v>
      </c>
      <c r="H470" s="1">
        <v>5</v>
      </c>
      <c r="I470" s="1">
        <v>1</v>
      </c>
      <c r="J470" s="8">
        <v>0.2</v>
      </c>
    </row>
    <row r="471" spans="1:10" ht="15" thickBot="1" x14ac:dyDescent="0.35">
      <c r="A471" s="7">
        <v>470</v>
      </c>
      <c r="B471" s="3">
        <v>40564</v>
      </c>
      <c r="C471" s="1">
        <v>1</v>
      </c>
      <c r="D471" s="1">
        <v>0</v>
      </c>
      <c r="E471" s="1">
        <v>1</v>
      </c>
      <c r="F471" s="1">
        <v>14</v>
      </c>
      <c r="G471" s="4" t="b">
        <v>0</v>
      </c>
      <c r="H471" s="1">
        <v>5</v>
      </c>
      <c r="I471" s="1">
        <v>1</v>
      </c>
      <c r="J471" s="8">
        <v>0.2</v>
      </c>
    </row>
    <row r="472" spans="1:10" ht="15" thickBot="1" x14ac:dyDescent="0.35">
      <c r="A472" s="7">
        <v>471</v>
      </c>
      <c r="B472" s="3">
        <v>40564</v>
      </c>
      <c r="C472" s="1">
        <v>1</v>
      </c>
      <c r="D472" s="1">
        <v>0</v>
      </c>
      <c r="E472" s="1">
        <v>1</v>
      </c>
      <c r="F472" s="1">
        <v>15</v>
      </c>
      <c r="G472" s="4" t="b">
        <v>0</v>
      </c>
      <c r="H472" s="1">
        <v>5</v>
      </c>
      <c r="I472" s="1">
        <v>1</v>
      </c>
      <c r="J472" s="8">
        <v>0.16</v>
      </c>
    </row>
    <row r="473" spans="1:10" ht="15" thickBot="1" x14ac:dyDescent="0.35">
      <c r="A473" s="7">
        <v>472</v>
      </c>
      <c r="B473" s="3">
        <v>40564</v>
      </c>
      <c r="C473" s="1">
        <v>1</v>
      </c>
      <c r="D473" s="1">
        <v>0</v>
      </c>
      <c r="E473" s="1">
        <v>1</v>
      </c>
      <c r="F473" s="1">
        <v>16</v>
      </c>
      <c r="G473" s="4" t="b">
        <v>0</v>
      </c>
      <c r="H473" s="1">
        <v>5</v>
      </c>
      <c r="I473" s="1">
        <v>1</v>
      </c>
      <c r="J473" s="8">
        <v>0.16</v>
      </c>
    </row>
    <row r="474" spans="1:10" ht="15" thickBot="1" x14ac:dyDescent="0.35">
      <c r="A474" s="7">
        <v>473</v>
      </c>
      <c r="B474" s="3">
        <v>40564</v>
      </c>
      <c r="C474" s="1">
        <v>1</v>
      </c>
      <c r="D474" s="1">
        <v>0</v>
      </c>
      <c r="E474" s="1">
        <v>1</v>
      </c>
      <c r="F474" s="1">
        <v>17</v>
      </c>
      <c r="G474" s="4" t="b">
        <v>0</v>
      </c>
      <c r="H474" s="1">
        <v>5</v>
      </c>
      <c r="I474" s="1">
        <v>1</v>
      </c>
      <c r="J474" s="8">
        <v>0.14000000000000001</v>
      </c>
    </row>
    <row r="475" spans="1:10" ht="15" thickBot="1" x14ac:dyDescent="0.35">
      <c r="A475" s="7">
        <v>474</v>
      </c>
      <c r="B475" s="3">
        <v>40564</v>
      </c>
      <c r="C475" s="1">
        <v>1</v>
      </c>
      <c r="D475" s="1">
        <v>0</v>
      </c>
      <c r="E475" s="1">
        <v>1</v>
      </c>
      <c r="F475" s="1">
        <v>18</v>
      </c>
      <c r="G475" s="4" t="b">
        <v>0</v>
      </c>
      <c r="H475" s="1">
        <v>5</v>
      </c>
      <c r="I475" s="1">
        <v>1</v>
      </c>
      <c r="J475" s="8">
        <v>0.12</v>
      </c>
    </row>
    <row r="476" spans="1:10" ht="15" thickBot="1" x14ac:dyDescent="0.35">
      <c r="A476" s="7">
        <v>475</v>
      </c>
      <c r="B476" s="3">
        <v>40564</v>
      </c>
      <c r="C476" s="1">
        <v>1</v>
      </c>
      <c r="D476" s="1">
        <v>0</v>
      </c>
      <c r="E476" s="1">
        <v>1</v>
      </c>
      <c r="F476" s="1">
        <v>19</v>
      </c>
      <c r="G476" s="4" t="b">
        <v>0</v>
      </c>
      <c r="H476" s="1">
        <v>5</v>
      </c>
      <c r="I476" s="1">
        <v>1</v>
      </c>
      <c r="J476" s="8">
        <v>0.12</v>
      </c>
    </row>
    <row r="477" spans="1:10" ht="15" thickBot="1" x14ac:dyDescent="0.35">
      <c r="A477" s="7">
        <v>476</v>
      </c>
      <c r="B477" s="3">
        <v>40564</v>
      </c>
      <c r="C477" s="1">
        <v>1</v>
      </c>
      <c r="D477" s="1">
        <v>0</v>
      </c>
      <c r="E477" s="1">
        <v>1</v>
      </c>
      <c r="F477" s="1">
        <v>20</v>
      </c>
      <c r="G477" s="4" t="b">
        <v>0</v>
      </c>
      <c r="H477" s="1">
        <v>5</v>
      </c>
      <c r="I477" s="1">
        <v>1</v>
      </c>
      <c r="J477" s="8">
        <v>0.1</v>
      </c>
    </row>
    <row r="478" spans="1:10" ht="15" thickBot="1" x14ac:dyDescent="0.35">
      <c r="A478" s="7">
        <v>477</v>
      </c>
      <c r="B478" s="3">
        <v>40564</v>
      </c>
      <c r="C478" s="1">
        <v>1</v>
      </c>
      <c r="D478" s="1">
        <v>0</v>
      </c>
      <c r="E478" s="1">
        <v>1</v>
      </c>
      <c r="F478" s="1">
        <v>21</v>
      </c>
      <c r="G478" s="4" t="b">
        <v>0</v>
      </c>
      <c r="H478" s="1">
        <v>5</v>
      </c>
      <c r="I478" s="1">
        <v>1</v>
      </c>
      <c r="J478" s="8">
        <v>0.08</v>
      </c>
    </row>
    <row r="479" spans="1:10" ht="15" thickBot="1" x14ac:dyDescent="0.35">
      <c r="A479" s="7">
        <v>478</v>
      </c>
      <c r="B479" s="3">
        <v>40564</v>
      </c>
      <c r="C479" s="1">
        <v>1</v>
      </c>
      <c r="D479" s="1">
        <v>0</v>
      </c>
      <c r="E479" s="1">
        <v>1</v>
      </c>
      <c r="F479" s="1">
        <v>22</v>
      </c>
      <c r="G479" s="4" t="b">
        <v>0</v>
      </c>
      <c r="H479" s="1">
        <v>5</v>
      </c>
      <c r="I479" s="1">
        <v>1</v>
      </c>
      <c r="J479" s="8">
        <v>0.06</v>
      </c>
    </row>
    <row r="480" spans="1:10" ht="15" thickBot="1" x14ac:dyDescent="0.35">
      <c r="A480" s="7">
        <v>479</v>
      </c>
      <c r="B480" s="3">
        <v>40564</v>
      </c>
      <c r="C480" s="1">
        <v>1</v>
      </c>
      <c r="D480" s="1">
        <v>0</v>
      </c>
      <c r="E480" s="1">
        <v>1</v>
      </c>
      <c r="F480" s="1">
        <v>23</v>
      </c>
      <c r="G480" s="4" t="b">
        <v>0</v>
      </c>
      <c r="H480" s="1">
        <v>5</v>
      </c>
      <c r="I480" s="1">
        <v>1</v>
      </c>
      <c r="J480" s="8">
        <v>0.06</v>
      </c>
    </row>
    <row r="481" spans="1:10" ht="15" thickBot="1" x14ac:dyDescent="0.35">
      <c r="A481" s="7">
        <v>480</v>
      </c>
      <c r="B481" s="3">
        <v>40565</v>
      </c>
      <c r="C481" s="1">
        <v>1</v>
      </c>
      <c r="D481" s="1">
        <v>0</v>
      </c>
      <c r="E481" s="1">
        <v>1</v>
      </c>
      <c r="F481" s="1">
        <v>0</v>
      </c>
      <c r="G481" s="4" t="b">
        <v>0</v>
      </c>
      <c r="H481" s="1">
        <v>6</v>
      </c>
      <c r="I481" s="1">
        <v>1</v>
      </c>
      <c r="J481" s="8">
        <v>0.04</v>
      </c>
    </row>
    <row r="482" spans="1:10" ht="15" thickBot="1" x14ac:dyDescent="0.35">
      <c r="A482" s="7">
        <v>481</v>
      </c>
      <c r="B482" s="3">
        <v>40565</v>
      </c>
      <c r="C482" s="1">
        <v>1</v>
      </c>
      <c r="D482" s="1">
        <v>0</v>
      </c>
      <c r="E482" s="1">
        <v>1</v>
      </c>
      <c r="F482" s="1">
        <v>1</v>
      </c>
      <c r="G482" s="4" t="b">
        <v>0</v>
      </c>
      <c r="H482" s="1">
        <v>6</v>
      </c>
      <c r="I482" s="1">
        <v>2</v>
      </c>
      <c r="J482" s="8">
        <v>0.04</v>
      </c>
    </row>
    <row r="483" spans="1:10" ht="15" thickBot="1" x14ac:dyDescent="0.35">
      <c r="A483" s="7">
        <v>482</v>
      </c>
      <c r="B483" s="3">
        <v>40565</v>
      </c>
      <c r="C483" s="1">
        <v>1</v>
      </c>
      <c r="D483" s="1">
        <v>0</v>
      </c>
      <c r="E483" s="1">
        <v>1</v>
      </c>
      <c r="F483" s="1">
        <v>2</v>
      </c>
      <c r="G483" s="4" t="b">
        <v>0</v>
      </c>
      <c r="H483" s="1">
        <v>6</v>
      </c>
      <c r="I483" s="1">
        <v>2</v>
      </c>
      <c r="J483" s="8">
        <v>0.04</v>
      </c>
    </row>
    <row r="484" spans="1:10" ht="15" thickBot="1" x14ac:dyDescent="0.35">
      <c r="A484" s="7">
        <v>483</v>
      </c>
      <c r="B484" s="3">
        <v>40565</v>
      </c>
      <c r="C484" s="1">
        <v>1</v>
      </c>
      <c r="D484" s="1">
        <v>0</v>
      </c>
      <c r="E484" s="1">
        <v>1</v>
      </c>
      <c r="F484" s="1">
        <v>3</v>
      </c>
      <c r="G484" s="4" t="b">
        <v>0</v>
      </c>
      <c r="H484" s="1">
        <v>6</v>
      </c>
      <c r="I484" s="1">
        <v>2</v>
      </c>
      <c r="J484" s="8">
        <v>0.04</v>
      </c>
    </row>
    <row r="485" spans="1:10" ht="15" thickBot="1" x14ac:dyDescent="0.35">
      <c r="A485" s="7">
        <v>484</v>
      </c>
      <c r="B485" s="3">
        <v>40565</v>
      </c>
      <c r="C485" s="1">
        <v>1</v>
      </c>
      <c r="D485" s="1">
        <v>0</v>
      </c>
      <c r="E485" s="1">
        <v>1</v>
      </c>
      <c r="F485" s="1">
        <v>4</v>
      </c>
      <c r="G485" s="4" t="b">
        <v>0</v>
      </c>
      <c r="H485" s="1">
        <v>6</v>
      </c>
      <c r="I485" s="1">
        <v>2</v>
      </c>
      <c r="J485" s="8">
        <v>0.02</v>
      </c>
    </row>
    <row r="486" spans="1:10" ht="15" thickBot="1" x14ac:dyDescent="0.35">
      <c r="A486" s="7">
        <v>485</v>
      </c>
      <c r="B486" s="3">
        <v>40565</v>
      </c>
      <c r="C486" s="1">
        <v>1</v>
      </c>
      <c r="D486" s="1">
        <v>0</v>
      </c>
      <c r="E486" s="1">
        <v>1</v>
      </c>
      <c r="F486" s="1">
        <v>6</v>
      </c>
      <c r="G486" s="4" t="b">
        <v>0</v>
      </c>
      <c r="H486" s="1">
        <v>6</v>
      </c>
      <c r="I486" s="1">
        <v>2</v>
      </c>
      <c r="J486" s="8">
        <v>0.02</v>
      </c>
    </row>
    <row r="487" spans="1:10" ht="15" thickBot="1" x14ac:dyDescent="0.35">
      <c r="A487" s="7">
        <v>486</v>
      </c>
      <c r="B487" s="3">
        <v>40565</v>
      </c>
      <c r="C487" s="1">
        <v>1</v>
      </c>
      <c r="D487" s="1">
        <v>0</v>
      </c>
      <c r="E487" s="1">
        <v>1</v>
      </c>
      <c r="F487" s="1">
        <v>7</v>
      </c>
      <c r="G487" s="4" t="b">
        <v>0</v>
      </c>
      <c r="H487" s="1">
        <v>6</v>
      </c>
      <c r="I487" s="1">
        <v>1</v>
      </c>
      <c r="J487" s="8">
        <v>0.02</v>
      </c>
    </row>
    <row r="488" spans="1:10" ht="15" thickBot="1" x14ac:dyDescent="0.35">
      <c r="A488" s="7">
        <v>487</v>
      </c>
      <c r="B488" s="3">
        <v>40565</v>
      </c>
      <c r="C488" s="1">
        <v>1</v>
      </c>
      <c r="D488" s="1">
        <v>0</v>
      </c>
      <c r="E488" s="1">
        <v>1</v>
      </c>
      <c r="F488" s="1">
        <v>8</v>
      </c>
      <c r="G488" s="4" t="b">
        <v>0</v>
      </c>
      <c r="H488" s="1">
        <v>6</v>
      </c>
      <c r="I488" s="1">
        <v>1</v>
      </c>
      <c r="J488" s="8">
        <v>0.02</v>
      </c>
    </row>
    <row r="489" spans="1:10" ht="15" thickBot="1" x14ac:dyDescent="0.35">
      <c r="A489" s="7">
        <v>488</v>
      </c>
      <c r="B489" s="3">
        <v>40565</v>
      </c>
      <c r="C489" s="1">
        <v>1</v>
      </c>
      <c r="D489" s="1">
        <v>0</v>
      </c>
      <c r="E489" s="1">
        <v>1</v>
      </c>
      <c r="F489" s="1">
        <v>9</v>
      </c>
      <c r="G489" s="4" t="b">
        <v>0</v>
      </c>
      <c r="H489" s="1">
        <v>6</v>
      </c>
      <c r="I489" s="1">
        <v>1</v>
      </c>
      <c r="J489" s="8">
        <v>0.04</v>
      </c>
    </row>
    <row r="490" spans="1:10" ht="15" thickBot="1" x14ac:dyDescent="0.35">
      <c r="A490" s="7">
        <v>489</v>
      </c>
      <c r="B490" s="3">
        <v>40565</v>
      </c>
      <c r="C490" s="1">
        <v>1</v>
      </c>
      <c r="D490" s="1">
        <v>0</v>
      </c>
      <c r="E490" s="1">
        <v>1</v>
      </c>
      <c r="F490" s="1">
        <v>10</v>
      </c>
      <c r="G490" s="4" t="b">
        <v>0</v>
      </c>
      <c r="H490" s="1">
        <v>6</v>
      </c>
      <c r="I490" s="1">
        <v>2</v>
      </c>
      <c r="J490" s="8">
        <v>0.04</v>
      </c>
    </row>
    <row r="491" spans="1:10" ht="15" thickBot="1" x14ac:dyDescent="0.35">
      <c r="A491" s="7">
        <v>490</v>
      </c>
      <c r="B491" s="3">
        <v>40565</v>
      </c>
      <c r="C491" s="1">
        <v>1</v>
      </c>
      <c r="D491" s="1">
        <v>0</v>
      </c>
      <c r="E491" s="1">
        <v>1</v>
      </c>
      <c r="F491" s="1">
        <v>11</v>
      </c>
      <c r="G491" s="4" t="b">
        <v>0</v>
      </c>
      <c r="H491" s="1">
        <v>6</v>
      </c>
      <c r="I491" s="1">
        <v>2</v>
      </c>
      <c r="J491" s="8">
        <v>0.06</v>
      </c>
    </row>
    <row r="492" spans="1:10" ht="15" thickBot="1" x14ac:dyDescent="0.35">
      <c r="A492" s="7">
        <v>491</v>
      </c>
      <c r="B492" s="3">
        <v>40565</v>
      </c>
      <c r="C492" s="1">
        <v>1</v>
      </c>
      <c r="D492" s="1">
        <v>0</v>
      </c>
      <c r="E492" s="1">
        <v>1</v>
      </c>
      <c r="F492" s="1">
        <v>12</v>
      </c>
      <c r="G492" s="4" t="b">
        <v>0</v>
      </c>
      <c r="H492" s="1">
        <v>6</v>
      </c>
      <c r="I492" s="1">
        <v>2</v>
      </c>
      <c r="J492" s="8">
        <v>0.06</v>
      </c>
    </row>
    <row r="493" spans="1:10" ht="15" thickBot="1" x14ac:dyDescent="0.35">
      <c r="A493" s="7">
        <v>492</v>
      </c>
      <c r="B493" s="3">
        <v>40565</v>
      </c>
      <c r="C493" s="1">
        <v>1</v>
      </c>
      <c r="D493" s="1">
        <v>0</v>
      </c>
      <c r="E493" s="1">
        <v>1</v>
      </c>
      <c r="F493" s="1">
        <v>13</v>
      </c>
      <c r="G493" s="4" t="b">
        <v>0</v>
      </c>
      <c r="H493" s="1">
        <v>6</v>
      </c>
      <c r="I493" s="1">
        <v>1</v>
      </c>
      <c r="J493" s="8">
        <v>0.08</v>
      </c>
    </row>
    <row r="494" spans="1:10" ht="15" thickBot="1" x14ac:dyDescent="0.35">
      <c r="A494" s="7">
        <v>493</v>
      </c>
      <c r="B494" s="3">
        <v>40565</v>
      </c>
      <c r="C494" s="1">
        <v>1</v>
      </c>
      <c r="D494" s="1">
        <v>0</v>
      </c>
      <c r="E494" s="1">
        <v>1</v>
      </c>
      <c r="F494" s="1">
        <v>14</v>
      </c>
      <c r="G494" s="4" t="b">
        <v>0</v>
      </c>
      <c r="H494" s="1">
        <v>6</v>
      </c>
      <c r="I494" s="1">
        <v>1</v>
      </c>
      <c r="J494" s="8">
        <v>0.1</v>
      </c>
    </row>
    <row r="495" spans="1:10" ht="15" thickBot="1" x14ac:dyDescent="0.35">
      <c r="A495" s="7">
        <v>494</v>
      </c>
      <c r="B495" s="3">
        <v>40565</v>
      </c>
      <c r="C495" s="1">
        <v>1</v>
      </c>
      <c r="D495" s="1">
        <v>0</v>
      </c>
      <c r="E495" s="1">
        <v>1</v>
      </c>
      <c r="F495" s="1">
        <v>15</v>
      </c>
      <c r="G495" s="4" t="b">
        <v>0</v>
      </c>
      <c r="H495" s="1">
        <v>6</v>
      </c>
      <c r="I495" s="1">
        <v>1</v>
      </c>
      <c r="J495" s="8">
        <v>0.12</v>
      </c>
    </row>
    <row r="496" spans="1:10" ht="15" thickBot="1" x14ac:dyDescent="0.35">
      <c r="A496" s="7">
        <v>495</v>
      </c>
      <c r="B496" s="3">
        <v>40565</v>
      </c>
      <c r="C496" s="1">
        <v>1</v>
      </c>
      <c r="D496" s="1">
        <v>0</v>
      </c>
      <c r="E496" s="1">
        <v>1</v>
      </c>
      <c r="F496" s="1">
        <v>16</v>
      </c>
      <c r="G496" s="4" t="b">
        <v>0</v>
      </c>
      <c r="H496" s="1">
        <v>6</v>
      </c>
      <c r="I496" s="1">
        <v>1</v>
      </c>
      <c r="J496" s="8">
        <v>0.12</v>
      </c>
    </row>
    <row r="497" spans="1:10" ht="15" thickBot="1" x14ac:dyDescent="0.35">
      <c r="A497" s="7">
        <v>496</v>
      </c>
      <c r="B497" s="3">
        <v>40565</v>
      </c>
      <c r="C497" s="1">
        <v>1</v>
      </c>
      <c r="D497" s="1">
        <v>0</v>
      </c>
      <c r="E497" s="1">
        <v>1</v>
      </c>
      <c r="F497" s="1">
        <v>17</v>
      </c>
      <c r="G497" s="4" t="b">
        <v>0</v>
      </c>
      <c r="H497" s="1">
        <v>6</v>
      </c>
      <c r="I497" s="1">
        <v>1</v>
      </c>
      <c r="J497" s="8">
        <v>0.12</v>
      </c>
    </row>
    <row r="498" spans="1:10" ht="15" thickBot="1" x14ac:dyDescent="0.35">
      <c r="A498" s="7">
        <v>497</v>
      </c>
      <c r="B498" s="3">
        <v>40565</v>
      </c>
      <c r="C498" s="1">
        <v>1</v>
      </c>
      <c r="D498" s="1">
        <v>0</v>
      </c>
      <c r="E498" s="1">
        <v>1</v>
      </c>
      <c r="F498" s="1">
        <v>18</v>
      </c>
      <c r="G498" s="4" t="b">
        <v>0</v>
      </c>
      <c r="H498" s="1">
        <v>6</v>
      </c>
      <c r="I498" s="1">
        <v>1</v>
      </c>
      <c r="J498" s="8">
        <v>0.08</v>
      </c>
    </row>
    <row r="499" spans="1:10" ht="15" thickBot="1" x14ac:dyDescent="0.35">
      <c r="A499" s="7">
        <v>498</v>
      </c>
      <c r="B499" s="3">
        <v>40565</v>
      </c>
      <c r="C499" s="1">
        <v>1</v>
      </c>
      <c r="D499" s="1">
        <v>0</v>
      </c>
      <c r="E499" s="1">
        <v>1</v>
      </c>
      <c r="F499" s="1">
        <v>19</v>
      </c>
      <c r="G499" s="4" t="b">
        <v>0</v>
      </c>
      <c r="H499" s="1">
        <v>6</v>
      </c>
      <c r="I499" s="1">
        <v>1</v>
      </c>
      <c r="J499" s="8">
        <v>0.08</v>
      </c>
    </row>
    <row r="500" spans="1:10" ht="15" thickBot="1" x14ac:dyDescent="0.35">
      <c r="A500" s="7">
        <v>499</v>
      </c>
      <c r="B500" s="3">
        <v>40565</v>
      </c>
      <c r="C500" s="1">
        <v>1</v>
      </c>
      <c r="D500" s="1">
        <v>0</v>
      </c>
      <c r="E500" s="1">
        <v>1</v>
      </c>
      <c r="F500" s="1">
        <v>20</v>
      </c>
      <c r="G500" s="4" t="b">
        <v>0</v>
      </c>
      <c r="H500" s="1">
        <v>6</v>
      </c>
      <c r="I500" s="1">
        <v>1</v>
      </c>
      <c r="J500" s="8">
        <v>0.06</v>
      </c>
    </row>
    <row r="501" spans="1:10" ht="15" thickBot="1" x14ac:dyDescent="0.35">
      <c r="A501" s="7">
        <v>500</v>
      </c>
      <c r="B501" s="3">
        <v>40565</v>
      </c>
      <c r="C501" s="1">
        <v>1</v>
      </c>
      <c r="D501" s="1">
        <v>0</v>
      </c>
      <c r="E501" s="1">
        <v>1</v>
      </c>
      <c r="F501" s="1">
        <v>21</v>
      </c>
      <c r="G501" s="4" t="b">
        <v>0</v>
      </c>
      <c r="H501" s="1">
        <v>6</v>
      </c>
      <c r="I501" s="1">
        <v>1</v>
      </c>
      <c r="J501" s="8">
        <v>0.06</v>
      </c>
    </row>
    <row r="502" spans="1:10" ht="15" thickBot="1" x14ac:dyDescent="0.35">
      <c r="A502" s="7">
        <v>501</v>
      </c>
      <c r="B502" s="3">
        <v>40565</v>
      </c>
      <c r="C502" s="1">
        <v>1</v>
      </c>
      <c r="D502" s="1">
        <v>0</v>
      </c>
      <c r="E502" s="1">
        <v>1</v>
      </c>
      <c r="F502" s="1">
        <v>22</v>
      </c>
      <c r="G502" s="4" t="b">
        <v>0</v>
      </c>
      <c r="H502" s="1">
        <v>6</v>
      </c>
      <c r="I502" s="1">
        <v>1</v>
      </c>
      <c r="J502" s="8">
        <v>0.06</v>
      </c>
    </row>
    <row r="503" spans="1:10" ht="15" thickBot="1" x14ac:dyDescent="0.35">
      <c r="A503" s="7">
        <v>502</v>
      </c>
      <c r="B503" s="3">
        <v>40565</v>
      </c>
      <c r="C503" s="1">
        <v>1</v>
      </c>
      <c r="D503" s="1">
        <v>0</v>
      </c>
      <c r="E503" s="1">
        <v>1</v>
      </c>
      <c r="F503" s="1">
        <v>23</v>
      </c>
      <c r="G503" s="4" t="b">
        <v>0</v>
      </c>
      <c r="H503" s="1">
        <v>6</v>
      </c>
      <c r="I503" s="1">
        <v>1</v>
      </c>
      <c r="J503" s="8">
        <v>0.04</v>
      </c>
    </row>
    <row r="504" spans="1:10" ht="15" thickBot="1" x14ac:dyDescent="0.35">
      <c r="A504" s="7">
        <v>503</v>
      </c>
      <c r="B504" s="3">
        <v>40566</v>
      </c>
      <c r="C504" s="1">
        <v>1</v>
      </c>
      <c r="D504" s="1">
        <v>0</v>
      </c>
      <c r="E504" s="1">
        <v>1</v>
      </c>
      <c r="F504" s="1">
        <v>0</v>
      </c>
      <c r="G504" s="4" t="b">
        <v>0</v>
      </c>
      <c r="H504" s="1">
        <v>0</v>
      </c>
      <c r="I504" s="1">
        <v>1</v>
      </c>
      <c r="J504" s="8">
        <v>0.04</v>
      </c>
    </row>
    <row r="505" spans="1:10" ht="15" thickBot="1" x14ac:dyDescent="0.35">
      <c r="A505" s="7">
        <v>504</v>
      </c>
      <c r="B505" s="3">
        <v>40566</v>
      </c>
      <c r="C505" s="1">
        <v>1</v>
      </c>
      <c r="D505" s="1">
        <v>0</v>
      </c>
      <c r="E505" s="1">
        <v>1</v>
      </c>
      <c r="F505" s="1">
        <v>1</v>
      </c>
      <c r="G505" s="4" t="b">
        <v>0</v>
      </c>
      <c r="H505" s="1">
        <v>0</v>
      </c>
      <c r="I505" s="1">
        <v>1</v>
      </c>
      <c r="J505" s="8">
        <v>0.04</v>
      </c>
    </row>
    <row r="506" spans="1:10" ht="15" thickBot="1" x14ac:dyDescent="0.35">
      <c r="A506" s="7">
        <v>505</v>
      </c>
      <c r="B506" s="3">
        <v>40566</v>
      </c>
      <c r="C506" s="1">
        <v>1</v>
      </c>
      <c r="D506" s="1">
        <v>0</v>
      </c>
      <c r="E506" s="1">
        <v>1</v>
      </c>
      <c r="F506" s="1">
        <v>2</v>
      </c>
      <c r="G506" s="4" t="b">
        <v>0</v>
      </c>
      <c r="H506" s="1">
        <v>0</v>
      </c>
      <c r="I506" s="1">
        <v>1</v>
      </c>
      <c r="J506" s="8">
        <v>0.02</v>
      </c>
    </row>
    <row r="507" spans="1:10" ht="15" thickBot="1" x14ac:dyDescent="0.35">
      <c r="A507" s="7">
        <v>506</v>
      </c>
      <c r="B507" s="3">
        <v>40566</v>
      </c>
      <c r="C507" s="1">
        <v>1</v>
      </c>
      <c r="D507" s="1">
        <v>0</v>
      </c>
      <c r="E507" s="1">
        <v>1</v>
      </c>
      <c r="F507" s="1">
        <v>3</v>
      </c>
      <c r="G507" s="4" t="b">
        <v>0</v>
      </c>
      <c r="H507" s="1">
        <v>0</v>
      </c>
      <c r="I507" s="1">
        <v>1</v>
      </c>
      <c r="J507" s="8">
        <v>0.02</v>
      </c>
    </row>
    <row r="508" spans="1:10" ht="15" thickBot="1" x14ac:dyDescent="0.35">
      <c r="A508" s="7">
        <v>507</v>
      </c>
      <c r="B508" s="3">
        <v>40566</v>
      </c>
      <c r="C508" s="1">
        <v>1</v>
      </c>
      <c r="D508" s="1">
        <v>0</v>
      </c>
      <c r="E508" s="1">
        <v>1</v>
      </c>
      <c r="F508" s="1">
        <v>5</v>
      </c>
      <c r="G508" s="4" t="b">
        <v>0</v>
      </c>
      <c r="H508" s="1">
        <v>0</v>
      </c>
      <c r="I508" s="1">
        <v>2</v>
      </c>
      <c r="J508" s="8">
        <v>0.04</v>
      </c>
    </row>
    <row r="509" spans="1:10" ht="15" thickBot="1" x14ac:dyDescent="0.35">
      <c r="A509" s="7">
        <v>508</v>
      </c>
      <c r="B509" s="3">
        <v>40566</v>
      </c>
      <c r="C509" s="1">
        <v>1</v>
      </c>
      <c r="D509" s="1">
        <v>0</v>
      </c>
      <c r="E509" s="1">
        <v>1</v>
      </c>
      <c r="F509" s="1">
        <v>6</v>
      </c>
      <c r="G509" s="4" t="b">
        <v>0</v>
      </c>
      <c r="H509" s="1">
        <v>0</v>
      </c>
      <c r="I509" s="1">
        <v>2</v>
      </c>
      <c r="J509" s="8">
        <v>0.04</v>
      </c>
    </row>
    <row r="510" spans="1:10" ht="15" thickBot="1" x14ac:dyDescent="0.35">
      <c r="A510" s="7">
        <v>509</v>
      </c>
      <c r="B510" s="3">
        <v>40566</v>
      </c>
      <c r="C510" s="1">
        <v>1</v>
      </c>
      <c r="D510" s="1">
        <v>0</v>
      </c>
      <c r="E510" s="1">
        <v>1</v>
      </c>
      <c r="F510" s="1">
        <v>7</v>
      </c>
      <c r="G510" s="4" t="b">
        <v>0</v>
      </c>
      <c r="H510" s="1">
        <v>0</v>
      </c>
      <c r="I510" s="1">
        <v>1</v>
      </c>
      <c r="J510" s="8">
        <v>0.08</v>
      </c>
    </row>
    <row r="511" spans="1:10" ht="15" thickBot="1" x14ac:dyDescent="0.35">
      <c r="A511" s="7">
        <v>510</v>
      </c>
      <c r="B511" s="3">
        <v>40566</v>
      </c>
      <c r="C511" s="1">
        <v>1</v>
      </c>
      <c r="D511" s="1">
        <v>0</v>
      </c>
      <c r="E511" s="1">
        <v>1</v>
      </c>
      <c r="F511" s="1">
        <v>8</v>
      </c>
      <c r="G511" s="4" t="b">
        <v>0</v>
      </c>
      <c r="H511" s="1">
        <v>0</v>
      </c>
      <c r="I511" s="1">
        <v>1</v>
      </c>
      <c r="J511" s="8">
        <v>0.06</v>
      </c>
    </row>
    <row r="512" spans="1:10" ht="15" thickBot="1" x14ac:dyDescent="0.35">
      <c r="A512" s="7">
        <v>511</v>
      </c>
      <c r="B512" s="3">
        <v>40566</v>
      </c>
      <c r="C512" s="1">
        <v>1</v>
      </c>
      <c r="D512" s="1">
        <v>0</v>
      </c>
      <c r="E512" s="1">
        <v>1</v>
      </c>
      <c r="F512" s="1">
        <v>9</v>
      </c>
      <c r="G512" s="4" t="b">
        <v>0</v>
      </c>
      <c r="H512" s="1">
        <v>0</v>
      </c>
      <c r="I512" s="1">
        <v>1</v>
      </c>
      <c r="J512" s="8">
        <v>0.1</v>
      </c>
    </row>
    <row r="513" spans="1:10" ht="15" thickBot="1" x14ac:dyDescent="0.35">
      <c r="A513" s="7">
        <v>512</v>
      </c>
      <c r="B513" s="3">
        <v>40566</v>
      </c>
      <c r="C513" s="1">
        <v>1</v>
      </c>
      <c r="D513" s="1">
        <v>0</v>
      </c>
      <c r="E513" s="1">
        <v>1</v>
      </c>
      <c r="F513" s="1">
        <v>10</v>
      </c>
      <c r="G513" s="4" t="b">
        <v>0</v>
      </c>
      <c r="H513" s="1">
        <v>0</v>
      </c>
      <c r="I513" s="1">
        <v>1</v>
      </c>
      <c r="J513" s="8">
        <v>0.14000000000000001</v>
      </c>
    </row>
    <row r="514" spans="1:10" ht="15" thickBot="1" x14ac:dyDescent="0.35">
      <c r="A514" s="7">
        <v>513</v>
      </c>
      <c r="B514" s="3">
        <v>40566</v>
      </c>
      <c r="C514" s="1">
        <v>1</v>
      </c>
      <c r="D514" s="1">
        <v>0</v>
      </c>
      <c r="E514" s="1">
        <v>1</v>
      </c>
      <c r="F514" s="1">
        <v>11</v>
      </c>
      <c r="G514" s="4" t="b">
        <v>0</v>
      </c>
      <c r="H514" s="1">
        <v>0</v>
      </c>
      <c r="I514" s="1">
        <v>1</v>
      </c>
      <c r="J514" s="8">
        <v>0.14000000000000001</v>
      </c>
    </row>
    <row r="515" spans="1:10" ht="15" thickBot="1" x14ac:dyDescent="0.35">
      <c r="A515" s="7">
        <v>514</v>
      </c>
      <c r="B515" s="3">
        <v>40566</v>
      </c>
      <c r="C515" s="1">
        <v>1</v>
      </c>
      <c r="D515" s="1">
        <v>0</v>
      </c>
      <c r="E515" s="1">
        <v>1</v>
      </c>
      <c r="F515" s="1">
        <v>12</v>
      </c>
      <c r="G515" s="4" t="b">
        <v>0</v>
      </c>
      <c r="H515" s="1">
        <v>0</v>
      </c>
      <c r="I515" s="1">
        <v>1</v>
      </c>
      <c r="J515" s="8">
        <v>0.16</v>
      </c>
    </row>
    <row r="516" spans="1:10" ht="15" thickBot="1" x14ac:dyDescent="0.35">
      <c r="A516" s="7">
        <v>515</v>
      </c>
      <c r="B516" s="3">
        <v>40566</v>
      </c>
      <c r="C516" s="1">
        <v>1</v>
      </c>
      <c r="D516" s="1">
        <v>0</v>
      </c>
      <c r="E516" s="1">
        <v>1</v>
      </c>
      <c r="F516" s="1">
        <v>13</v>
      </c>
      <c r="G516" s="4" t="b">
        <v>0</v>
      </c>
      <c r="H516" s="1">
        <v>0</v>
      </c>
      <c r="I516" s="1">
        <v>1</v>
      </c>
      <c r="J516" s="8">
        <v>0.14000000000000001</v>
      </c>
    </row>
    <row r="517" spans="1:10" ht="15" thickBot="1" x14ac:dyDescent="0.35">
      <c r="A517" s="7">
        <v>516</v>
      </c>
      <c r="B517" s="3">
        <v>40566</v>
      </c>
      <c r="C517" s="1">
        <v>1</v>
      </c>
      <c r="D517" s="1">
        <v>0</v>
      </c>
      <c r="E517" s="1">
        <v>1</v>
      </c>
      <c r="F517" s="1">
        <v>14</v>
      </c>
      <c r="G517" s="4" t="b">
        <v>0</v>
      </c>
      <c r="H517" s="1">
        <v>0</v>
      </c>
      <c r="I517" s="1">
        <v>1</v>
      </c>
      <c r="J517" s="8">
        <v>0.16</v>
      </c>
    </row>
    <row r="518" spans="1:10" ht="15" thickBot="1" x14ac:dyDescent="0.35">
      <c r="A518" s="7">
        <v>517</v>
      </c>
      <c r="B518" s="3">
        <v>40566</v>
      </c>
      <c r="C518" s="1">
        <v>1</v>
      </c>
      <c r="D518" s="1">
        <v>0</v>
      </c>
      <c r="E518" s="1">
        <v>1</v>
      </c>
      <c r="F518" s="1">
        <v>15</v>
      </c>
      <c r="G518" s="4" t="b">
        <v>0</v>
      </c>
      <c r="H518" s="1">
        <v>0</v>
      </c>
      <c r="I518" s="1">
        <v>1</v>
      </c>
      <c r="J518" s="8">
        <v>0.16</v>
      </c>
    </row>
    <row r="519" spans="1:10" ht="15" thickBot="1" x14ac:dyDescent="0.35">
      <c r="A519" s="7">
        <v>518</v>
      </c>
      <c r="B519" s="3">
        <v>40566</v>
      </c>
      <c r="C519" s="1">
        <v>1</v>
      </c>
      <c r="D519" s="1">
        <v>0</v>
      </c>
      <c r="E519" s="1">
        <v>1</v>
      </c>
      <c r="F519" s="1">
        <v>16</v>
      </c>
      <c r="G519" s="4" t="b">
        <v>0</v>
      </c>
      <c r="H519" s="1">
        <v>0</v>
      </c>
      <c r="I519" s="1">
        <v>1</v>
      </c>
      <c r="J519" s="8">
        <v>0.16</v>
      </c>
    </row>
    <row r="520" spans="1:10" ht="15" thickBot="1" x14ac:dyDescent="0.35">
      <c r="A520" s="7">
        <v>519</v>
      </c>
      <c r="B520" s="3">
        <v>40566</v>
      </c>
      <c r="C520" s="1">
        <v>1</v>
      </c>
      <c r="D520" s="1">
        <v>0</v>
      </c>
      <c r="E520" s="1">
        <v>1</v>
      </c>
      <c r="F520" s="1">
        <v>17</v>
      </c>
      <c r="G520" s="4" t="b">
        <v>0</v>
      </c>
      <c r="H520" s="1">
        <v>0</v>
      </c>
      <c r="I520" s="1">
        <v>1</v>
      </c>
      <c r="J520" s="8">
        <v>0.14000000000000001</v>
      </c>
    </row>
    <row r="521" spans="1:10" ht="15" thickBot="1" x14ac:dyDescent="0.35">
      <c r="A521" s="7">
        <v>520</v>
      </c>
      <c r="B521" s="3">
        <v>40566</v>
      </c>
      <c r="C521" s="1">
        <v>1</v>
      </c>
      <c r="D521" s="1">
        <v>0</v>
      </c>
      <c r="E521" s="1">
        <v>1</v>
      </c>
      <c r="F521" s="1">
        <v>18</v>
      </c>
      <c r="G521" s="4" t="b">
        <v>0</v>
      </c>
      <c r="H521" s="1">
        <v>0</v>
      </c>
      <c r="I521" s="1">
        <v>1</v>
      </c>
      <c r="J521" s="8">
        <v>0.12</v>
      </c>
    </row>
    <row r="522" spans="1:10" ht="15" thickBot="1" x14ac:dyDescent="0.35">
      <c r="A522" s="7">
        <v>521</v>
      </c>
      <c r="B522" s="3">
        <v>40566</v>
      </c>
      <c r="C522" s="1">
        <v>1</v>
      </c>
      <c r="D522" s="1">
        <v>0</v>
      </c>
      <c r="E522" s="1">
        <v>1</v>
      </c>
      <c r="F522" s="1">
        <v>19</v>
      </c>
      <c r="G522" s="4" t="b">
        <v>0</v>
      </c>
      <c r="H522" s="1">
        <v>0</v>
      </c>
      <c r="I522" s="1">
        <v>1</v>
      </c>
      <c r="J522" s="8">
        <v>0.12</v>
      </c>
    </row>
    <row r="523" spans="1:10" ht="15" thickBot="1" x14ac:dyDescent="0.35">
      <c r="A523" s="7">
        <v>522</v>
      </c>
      <c r="B523" s="3">
        <v>40566</v>
      </c>
      <c r="C523" s="1">
        <v>1</v>
      </c>
      <c r="D523" s="1">
        <v>0</v>
      </c>
      <c r="E523" s="1">
        <v>1</v>
      </c>
      <c r="F523" s="1">
        <v>20</v>
      </c>
      <c r="G523" s="4" t="b">
        <v>0</v>
      </c>
      <c r="H523" s="1">
        <v>0</v>
      </c>
      <c r="I523" s="1">
        <v>1</v>
      </c>
      <c r="J523" s="8">
        <v>0.1</v>
      </c>
    </row>
    <row r="524" spans="1:10" ht="15" thickBot="1" x14ac:dyDescent="0.35">
      <c r="A524" s="7">
        <v>523</v>
      </c>
      <c r="B524" s="3">
        <v>40566</v>
      </c>
      <c r="C524" s="1">
        <v>1</v>
      </c>
      <c r="D524" s="1">
        <v>0</v>
      </c>
      <c r="E524" s="1">
        <v>1</v>
      </c>
      <c r="F524" s="1">
        <v>21</v>
      </c>
      <c r="G524" s="4" t="b">
        <v>0</v>
      </c>
      <c r="H524" s="1">
        <v>0</v>
      </c>
      <c r="I524" s="1">
        <v>1</v>
      </c>
      <c r="J524" s="8">
        <v>0.1</v>
      </c>
    </row>
    <row r="525" spans="1:10" ht="15" thickBot="1" x14ac:dyDescent="0.35">
      <c r="A525" s="7">
        <v>524</v>
      </c>
      <c r="B525" s="3">
        <v>40566</v>
      </c>
      <c r="C525" s="1">
        <v>1</v>
      </c>
      <c r="D525" s="1">
        <v>0</v>
      </c>
      <c r="E525" s="1">
        <v>1</v>
      </c>
      <c r="F525" s="1">
        <v>22</v>
      </c>
      <c r="G525" s="4" t="b">
        <v>0</v>
      </c>
      <c r="H525" s="1">
        <v>0</v>
      </c>
      <c r="I525" s="1">
        <v>1</v>
      </c>
      <c r="J525" s="8">
        <v>0.08</v>
      </c>
    </row>
    <row r="526" spans="1:10" ht="15" thickBot="1" x14ac:dyDescent="0.35">
      <c r="A526" s="7">
        <v>525</v>
      </c>
      <c r="B526" s="3">
        <v>40566</v>
      </c>
      <c r="C526" s="1">
        <v>1</v>
      </c>
      <c r="D526" s="1">
        <v>0</v>
      </c>
      <c r="E526" s="1">
        <v>1</v>
      </c>
      <c r="F526" s="1">
        <v>23</v>
      </c>
      <c r="G526" s="4" t="b">
        <v>0</v>
      </c>
      <c r="H526" s="1">
        <v>0</v>
      </c>
      <c r="I526" s="1">
        <v>1</v>
      </c>
      <c r="J526" s="8">
        <v>0.06</v>
      </c>
    </row>
    <row r="527" spans="1:10" ht="15" thickBot="1" x14ac:dyDescent="0.35">
      <c r="A527" s="7">
        <v>526</v>
      </c>
      <c r="B527" s="3">
        <v>40567</v>
      </c>
      <c r="C527" s="1">
        <v>1</v>
      </c>
      <c r="D527" s="1">
        <v>0</v>
      </c>
      <c r="E527" s="1">
        <v>1</v>
      </c>
      <c r="F527" s="1">
        <v>0</v>
      </c>
      <c r="G527" s="4" t="b">
        <v>0</v>
      </c>
      <c r="H527" s="1">
        <v>1</v>
      </c>
      <c r="I527" s="1">
        <v>1</v>
      </c>
      <c r="J527" s="8">
        <v>0.06</v>
      </c>
    </row>
    <row r="528" spans="1:10" ht="15" thickBot="1" x14ac:dyDescent="0.35">
      <c r="A528" s="7">
        <v>527</v>
      </c>
      <c r="B528" s="3">
        <v>40567</v>
      </c>
      <c r="C528" s="1">
        <v>1</v>
      </c>
      <c r="D528" s="1">
        <v>0</v>
      </c>
      <c r="E528" s="1">
        <v>1</v>
      </c>
      <c r="F528" s="1">
        <v>1</v>
      </c>
      <c r="G528" s="4" t="b">
        <v>0</v>
      </c>
      <c r="H528" s="1">
        <v>1</v>
      </c>
      <c r="I528" s="1">
        <v>1</v>
      </c>
      <c r="J528" s="8">
        <v>0.04</v>
      </c>
    </row>
    <row r="529" spans="1:10" ht="15" thickBot="1" x14ac:dyDescent="0.35">
      <c r="A529" s="7">
        <v>528</v>
      </c>
      <c r="B529" s="3">
        <v>40567</v>
      </c>
      <c r="C529" s="1">
        <v>1</v>
      </c>
      <c r="D529" s="1">
        <v>0</v>
      </c>
      <c r="E529" s="1">
        <v>1</v>
      </c>
      <c r="F529" s="1">
        <v>3</v>
      </c>
      <c r="G529" s="4" t="b">
        <v>0</v>
      </c>
      <c r="H529" s="1">
        <v>1</v>
      </c>
      <c r="I529" s="1">
        <v>1</v>
      </c>
      <c r="J529" s="8">
        <v>0.04</v>
      </c>
    </row>
    <row r="530" spans="1:10" ht="15" thickBot="1" x14ac:dyDescent="0.35">
      <c r="A530" s="7">
        <v>529</v>
      </c>
      <c r="B530" s="3">
        <v>40567</v>
      </c>
      <c r="C530" s="1">
        <v>1</v>
      </c>
      <c r="D530" s="1">
        <v>0</v>
      </c>
      <c r="E530" s="1">
        <v>1</v>
      </c>
      <c r="F530" s="1">
        <v>4</v>
      </c>
      <c r="G530" s="4" t="b">
        <v>0</v>
      </c>
      <c r="H530" s="1">
        <v>1</v>
      </c>
      <c r="I530" s="1">
        <v>1</v>
      </c>
      <c r="J530" s="8">
        <v>0.02</v>
      </c>
    </row>
    <row r="531" spans="1:10" ht="15" thickBot="1" x14ac:dyDescent="0.35">
      <c r="A531" s="7">
        <v>530</v>
      </c>
      <c r="B531" s="3">
        <v>40567</v>
      </c>
      <c r="C531" s="1">
        <v>1</v>
      </c>
      <c r="D531" s="1">
        <v>0</v>
      </c>
      <c r="E531" s="1">
        <v>1</v>
      </c>
      <c r="F531" s="1">
        <v>5</v>
      </c>
      <c r="G531" s="4" t="b">
        <v>0</v>
      </c>
      <c r="H531" s="1">
        <v>1</v>
      </c>
      <c r="I531" s="1">
        <v>1</v>
      </c>
      <c r="J531" s="8">
        <v>0.02</v>
      </c>
    </row>
    <row r="532" spans="1:10" ht="15" thickBot="1" x14ac:dyDescent="0.35">
      <c r="A532" s="7">
        <v>531</v>
      </c>
      <c r="B532" s="3">
        <v>40567</v>
      </c>
      <c r="C532" s="1">
        <v>1</v>
      </c>
      <c r="D532" s="1">
        <v>0</v>
      </c>
      <c r="E532" s="1">
        <v>1</v>
      </c>
      <c r="F532" s="1">
        <v>6</v>
      </c>
      <c r="G532" s="4" t="b">
        <v>0</v>
      </c>
      <c r="H532" s="1">
        <v>1</v>
      </c>
      <c r="I532" s="1">
        <v>1</v>
      </c>
      <c r="J532" s="8">
        <v>0.02</v>
      </c>
    </row>
    <row r="533" spans="1:10" ht="15" thickBot="1" x14ac:dyDescent="0.35">
      <c r="A533" s="7">
        <v>532</v>
      </c>
      <c r="B533" s="3">
        <v>40567</v>
      </c>
      <c r="C533" s="1">
        <v>1</v>
      </c>
      <c r="D533" s="1">
        <v>0</v>
      </c>
      <c r="E533" s="1">
        <v>1</v>
      </c>
      <c r="F533" s="1">
        <v>7</v>
      </c>
      <c r="G533" s="4" t="b">
        <v>0</v>
      </c>
      <c r="H533" s="1">
        <v>1</v>
      </c>
      <c r="I533" s="1">
        <v>1</v>
      </c>
      <c r="J533" s="8">
        <v>0.02</v>
      </c>
    </row>
    <row r="534" spans="1:10" ht="15" thickBot="1" x14ac:dyDescent="0.35">
      <c r="A534" s="7">
        <v>533</v>
      </c>
      <c r="B534" s="3">
        <v>40567</v>
      </c>
      <c r="C534" s="1">
        <v>1</v>
      </c>
      <c r="D534" s="1">
        <v>0</v>
      </c>
      <c r="E534" s="1">
        <v>1</v>
      </c>
      <c r="F534" s="1">
        <v>8</v>
      </c>
      <c r="G534" s="4" t="b">
        <v>0</v>
      </c>
      <c r="H534" s="1">
        <v>1</v>
      </c>
      <c r="I534" s="1">
        <v>1</v>
      </c>
      <c r="J534" s="8">
        <v>0.04</v>
      </c>
    </row>
    <row r="535" spans="1:10" ht="15" thickBot="1" x14ac:dyDescent="0.35">
      <c r="A535" s="7">
        <v>534</v>
      </c>
      <c r="B535" s="3">
        <v>40567</v>
      </c>
      <c r="C535" s="1">
        <v>1</v>
      </c>
      <c r="D535" s="1">
        <v>0</v>
      </c>
      <c r="E535" s="1">
        <v>1</v>
      </c>
      <c r="F535" s="1">
        <v>9</v>
      </c>
      <c r="G535" s="4" t="b">
        <v>0</v>
      </c>
      <c r="H535" s="1">
        <v>1</v>
      </c>
      <c r="I535" s="1">
        <v>1</v>
      </c>
      <c r="J535" s="8">
        <v>0.06</v>
      </c>
    </row>
    <row r="536" spans="1:10" ht="15" thickBot="1" x14ac:dyDescent="0.35">
      <c r="A536" s="7">
        <v>535</v>
      </c>
      <c r="B536" s="3">
        <v>40567</v>
      </c>
      <c r="C536" s="1">
        <v>1</v>
      </c>
      <c r="D536" s="1">
        <v>0</v>
      </c>
      <c r="E536" s="1">
        <v>1</v>
      </c>
      <c r="F536" s="1">
        <v>10</v>
      </c>
      <c r="G536" s="4" t="b">
        <v>0</v>
      </c>
      <c r="H536" s="1">
        <v>1</v>
      </c>
      <c r="I536" s="1">
        <v>1</v>
      </c>
      <c r="J536" s="8">
        <v>0.1</v>
      </c>
    </row>
    <row r="537" spans="1:10" ht="15" thickBot="1" x14ac:dyDescent="0.35">
      <c r="A537" s="7">
        <v>536</v>
      </c>
      <c r="B537" s="3">
        <v>40567</v>
      </c>
      <c r="C537" s="1">
        <v>1</v>
      </c>
      <c r="D537" s="1">
        <v>0</v>
      </c>
      <c r="E537" s="1">
        <v>1</v>
      </c>
      <c r="F537" s="1">
        <v>11</v>
      </c>
      <c r="G537" s="4" t="b">
        <v>0</v>
      </c>
      <c r="H537" s="1">
        <v>1</v>
      </c>
      <c r="I537" s="1">
        <v>1</v>
      </c>
      <c r="J537" s="8">
        <v>0.1</v>
      </c>
    </row>
    <row r="538" spans="1:10" ht="15" thickBot="1" x14ac:dyDescent="0.35">
      <c r="A538" s="7">
        <v>537</v>
      </c>
      <c r="B538" s="3">
        <v>40567</v>
      </c>
      <c r="C538" s="1">
        <v>1</v>
      </c>
      <c r="D538" s="1">
        <v>0</v>
      </c>
      <c r="E538" s="1">
        <v>1</v>
      </c>
      <c r="F538" s="1">
        <v>12</v>
      </c>
      <c r="G538" s="4" t="b">
        <v>0</v>
      </c>
      <c r="H538" s="1">
        <v>1</v>
      </c>
      <c r="I538" s="1">
        <v>2</v>
      </c>
      <c r="J538" s="8">
        <v>0.12</v>
      </c>
    </row>
    <row r="539" spans="1:10" ht="15" thickBot="1" x14ac:dyDescent="0.35">
      <c r="A539" s="7">
        <v>538</v>
      </c>
      <c r="B539" s="3">
        <v>40567</v>
      </c>
      <c r="C539" s="1">
        <v>1</v>
      </c>
      <c r="D539" s="1">
        <v>0</v>
      </c>
      <c r="E539" s="1">
        <v>1</v>
      </c>
      <c r="F539" s="1">
        <v>13</v>
      </c>
      <c r="G539" s="4" t="b">
        <v>0</v>
      </c>
      <c r="H539" s="1">
        <v>1</v>
      </c>
      <c r="I539" s="1">
        <v>2</v>
      </c>
      <c r="J539" s="8">
        <v>0.14000000000000001</v>
      </c>
    </row>
    <row r="540" spans="1:10" ht="15" thickBot="1" x14ac:dyDescent="0.35">
      <c r="A540" s="7">
        <v>539</v>
      </c>
      <c r="B540" s="3">
        <v>40567</v>
      </c>
      <c r="C540" s="1">
        <v>1</v>
      </c>
      <c r="D540" s="1">
        <v>0</v>
      </c>
      <c r="E540" s="1">
        <v>1</v>
      </c>
      <c r="F540" s="1">
        <v>14</v>
      </c>
      <c r="G540" s="4" t="b">
        <v>0</v>
      </c>
      <c r="H540" s="1">
        <v>1</v>
      </c>
      <c r="I540" s="1">
        <v>2</v>
      </c>
      <c r="J540" s="8">
        <v>0.14000000000000001</v>
      </c>
    </row>
    <row r="541" spans="1:10" ht="15" thickBot="1" x14ac:dyDescent="0.35">
      <c r="A541" s="7">
        <v>540</v>
      </c>
      <c r="B541" s="3">
        <v>40567</v>
      </c>
      <c r="C541" s="1">
        <v>1</v>
      </c>
      <c r="D541" s="1">
        <v>0</v>
      </c>
      <c r="E541" s="1">
        <v>1</v>
      </c>
      <c r="F541" s="1">
        <v>15</v>
      </c>
      <c r="G541" s="4" t="b">
        <v>0</v>
      </c>
      <c r="H541" s="1">
        <v>1</v>
      </c>
      <c r="I541" s="1">
        <v>1</v>
      </c>
      <c r="J541" s="8">
        <v>0.16</v>
      </c>
    </row>
    <row r="542" spans="1:10" ht="15" thickBot="1" x14ac:dyDescent="0.35">
      <c r="A542" s="7">
        <v>541</v>
      </c>
      <c r="B542" s="3">
        <v>40567</v>
      </c>
      <c r="C542" s="1">
        <v>1</v>
      </c>
      <c r="D542" s="1">
        <v>0</v>
      </c>
      <c r="E542" s="1">
        <v>1</v>
      </c>
      <c r="F542" s="1">
        <v>16</v>
      </c>
      <c r="G542" s="4" t="b">
        <v>0</v>
      </c>
      <c r="H542" s="1">
        <v>1</v>
      </c>
      <c r="I542" s="1">
        <v>1</v>
      </c>
      <c r="J542" s="8">
        <v>0.16</v>
      </c>
    </row>
    <row r="543" spans="1:10" ht="15" thickBot="1" x14ac:dyDescent="0.35">
      <c r="A543" s="7">
        <v>542</v>
      </c>
      <c r="B543" s="3">
        <v>40567</v>
      </c>
      <c r="C543" s="1">
        <v>1</v>
      </c>
      <c r="D543" s="1">
        <v>0</v>
      </c>
      <c r="E543" s="1">
        <v>1</v>
      </c>
      <c r="F543" s="1">
        <v>17</v>
      </c>
      <c r="G543" s="4" t="b">
        <v>0</v>
      </c>
      <c r="H543" s="1">
        <v>1</v>
      </c>
      <c r="I543" s="1">
        <v>1</v>
      </c>
      <c r="J543" s="8">
        <v>0.14000000000000001</v>
      </c>
    </row>
    <row r="544" spans="1:10" ht="15" thickBot="1" x14ac:dyDescent="0.35">
      <c r="A544" s="7">
        <v>543</v>
      </c>
      <c r="B544" s="3">
        <v>40567</v>
      </c>
      <c r="C544" s="1">
        <v>1</v>
      </c>
      <c r="D544" s="1">
        <v>0</v>
      </c>
      <c r="E544" s="1">
        <v>1</v>
      </c>
      <c r="F544" s="1">
        <v>18</v>
      </c>
      <c r="G544" s="4" t="b">
        <v>0</v>
      </c>
      <c r="H544" s="1">
        <v>1</v>
      </c>
      <c r="I544" s="1">
        <v>1</v>
      </c>
      <c r="J544" s="8">
        <v>0.14000000000000001</v>
      </c>
    </row>
    <row r="545" spans="1:10" ht="15" thickBot="1" x14ac:dyDescent="0.35">
      <c r="A545" s="7">
        <v>544</v>
      </c>
      <c r="B545" s="3">
        <v>40567</v>
      </c>
      <c r="C545" s="1">
        <v>1</v>
      </c>
      <c r="D545" s="1">
        <v>0</v>
      </c>
      <c r="E545" s="1">
        <v>1</v>
      </c>
      <c r="F545" s="1">
        <v>19</v>
      </c>
      <c r="G545" s="4" t="b">
        <v>0</v>
      </c>
      <c r="H545" s="1">
        <v>1</v>
      </c>
      <c r="I545" s="1">
        <v>1</v>
      </c>
      <c r="J545" s="8">
        <v>0.14000000000000001</v>
      </c>
    </row>
    <row r="546" spans="1:10" ht="15" thickBot="1" x14ac:dyDescent="0.35">
      <c r="A546" s="7">
        <v>545</v>
      </c>
      <c r="B546" s="3">
        <v>40567</v>
      </c>
      <c r="C546" s="1">
        <v>1</v>
      </c>
      <c r="D546" s="1">
        <v>0</v>
      </c>
      <c r="E546" s="1">
        <v>1</v>
      </c>
      <c r="F546" s="1">
        <v>20</v>
      </c>
      <c r="G546" s="4" t="b">
        <v>0</v>
      </c>
      <c r="H546" s="1">
        <v>1</v>
      </c>
      <c r="I546" s="1">
        <v>1</v>
      </c>
      <c r="J546" s="8">
        <v>0.14000000000000001</v>
      </c>
    </row>
    <row r="547" spans="1:10" ht="15" thickBot="1" x14ac:dyDescent="0.35">
      <c r="A547" s="7">
        <v>546</v>
      </c>
      <c r="B547" s="3">
        <v>40567</v>
      </c>
      <c r="C547" s="1">
        <v>1</v>
      </c>
      <c r="D547" s="1">
        <v>0</v>
      </c>
      <c r="E547" s="1">
        <v>1</v>
      </c>
      <c r="F547" s="1">
        <v>21</v>
      </c>
      <c r="G547" s="4" t="b">
        <v>0</v>
      </c>
      <c r="H547" s="1">
        <v>1</v>
      </c>
      <c r="I547" s="1">
        <v>1</v>
      </c>
      <c r="J547" s="8">
        <v>0.14000000000000001</v>
      </c>
    </row>
    <row r="548" spans="1:10" ht="15" thickBot="1" x14ac:dyDescent="0.35">
      <c r="A548" s="7">
        <v>547</v>
      </c>
      <c r="B548" s="3">
        <v>40567</v>
      </c>
      <c r="C548" s="1">
        <v>1</v>
      </c>
      <c r="D548" s="1">
        <v>0</v>
      </c>
      <c r="E548" s="1">
        <v>1</v>
      </c>
      <c r="F548" s="1">
        <v>22</v>
      </c>
      <c r="G548" s="4" t="b">
        <v>0</v>
      </c>
      <c r="H548" s="1">
        <v>1</v>
      </c>
      <c r="I548" s="1">
        <v>2</v>
      </c>
      <c r="J548" s="8">
        <v>0.14000000000000001</v>
      </c>
    </row>
    <row r="549" spans="1:10" ht="15" thickBot="1" x14ac:dyDescent="0.35">
      <c r="A549" s="7">
        <v>548</v>
      </c>
      <c r="B549" s="3">
        <v>40567</v>
      </c>
      <c r="C549" s="1">
        <v>1</v>
      </c>
      <c r="D549" s="1">
        <v>0</v>
      </c>
      <c r="E549" s="1">
        <v>1</v>
      </c>
      <c r="F549" s="1">
        <v>23</v>
      </c>
      <c r="G549" s="4" t="b">
        <v>0</v>
      </c>
      <c r="H549" s="1">
        <v>1</v>
      </c>
      <c r="I549" s="1">
        <v>2</v>
      </c>
      <c r="J549" s="8">
        <v>0.16</v>
      </c>
    </row>
    <row r="550" spans="1:10" ht="15" thickBot="1" x14ac:dyDescent="0.35">
      <c r="A550" s="7">
        <v>549</v>
      </c>
      <c r="B550" s="3">
        <v>40568</v>
      </c>
      <c r="C550" s="1">
        <v>1</v>
      </c>
      <c r="D550" s="1">
        <v>0</v>
      </c>
      <c r="E550" s="1">
        <v>1</v>
      </c>
      <c r="F550" s="1">
        <v>0</v>
      </c>
      <c r="G550" s="4" t="b">
        <v>0</v>
      </c>
      <c r="H550" s="1">
        <v>2</v>
      </c>
      <c r="I550" s="1">
        <v>2</v>
      </c>
      <c r="J550" s="8">
        <v>0.16</v>
      </c>
    </row>
    <row r="551" spans="1:10" ht="15" thickBot="1" x14ac:dyDescent="0.35">
      <c r="A551" s="7">
        <v>550</v>
      </c>
      <c r="B551" s="3">
        <v>40568</v>
      </c>
      <c r="C551" s="1">
        <v>1</v>
      </c>
      <c r="D551" s="1">
        <v>0</v>
      </c>
      <c r="E551" s="1">
        <v>1</v>
      </c>
      <c r="F551" s="1">
        <v>1</v>
      </c>
      <c r="G551" s="4" t="b">
        <v>0</v>
      </c>
      <c r="H551" s="1">
        <v>2</v>
      </c>
      <c r="I551" s="1">
        <v>2</v>
      </c>
      <c r="J551" s="8">
        <v>0.16</v>
      </c>
    </row>
    <row r="552" spans="1:10" ht="15" thickBot="1" x14ac:dyDescent="0.35">
      <c r="A552" s="7">
        <v>551</v>
      </c>
      <c r="B552" s="3">
        <v>40568</v>
      </c>
      <c r="C552" s="1">
        <v>1</v>
      </c>
      <c r="D552" s="1">
        <v>0</v>
      </c>
      <c r="E552" s="1">
        <v>1</v>
      </c>
      <c r="F552" s="1">
        <v>2</v>
      </c>
      <c r="G552" s="4" t="b">
        <v>0</v>
      </c>
      <c r="H552" s="1">
        <v>2</v>
      </c>
      <c r="I552" s="1">
        <v>1</v>
      </c>
      <c r="J552" s="8">
        <v>0.16</v>
      </c>
    </row>
    <row r="553" spans="1:10" ht="15" thickBot="1" x14ac:dyDescent="0.35">
      <c r="A553" s="7">
        <v>552</v>
      </c>
      <c r="B553" s="3">
        <v>40568</v>
      </c>
      <c r="C553" s="1">
        <v>1</v>
      </c>
      <c r="D553" s="1">
        <v>0</v>
      </c>
      <c r="E553" s="1">
        <v>1</v>
      </c>
      <c r="F553" s="1">
        <v>4</v>
      </c>
      <c r="G553" s="4" t="b">
        <v>0</v>
      </c>
      <c r="H553" s="1">
        <v>2</v>
      </c>
      <c r="I553" s="1">
        <v>1</v>
      </c>
      <c r="J553" s="8">
        <v>0.14000000000000001</v>
      </c>
    </row>
    <row r="554" spans="1:10" ht="15" thickBot="1" x14ac:dyDescent="0.35">
      <c r="A554" s="7">
        <v>553</v>
      </c>
      <c r="B554" s="3">
        <v>40568</v>
      </c>
      <c r="C554" s="1">
        <v>1</v>
      </c>
      <c r="D554" s="1">
        <v>0</v>
      </c>
      <c r="E554" s="1">
        <v>1</v>
      </c>
      <c r="F554" s="1">
        <v>5</v>
      </c>
      <c r="G554" s="4" t="b">
        <v>0</v>
      </c>
      <c r="H554" s="1">
        <v>2</v>
      </c>
      <c r="I554" s="1">
        <v>1</v>
      </c>
      <c r="J554" s="8">
        <v>0.14000000000000001</v>
      </c>
    </row>
    <row r="555" spans="1:10" ht="15" thickBot="1" x14ac:dyDescent="0.35">
      <c r="A555" s="7">
        <v>554</v>
      </c>
      <c r="B555" s="3">
        <v>40568</v>
      </c>
      <c r="C555" s="1">
        <v>1</v>
      </c>
      <c r="D555" s="1">
        <v>0</v>
      </c>
      <c r="E555" s="1">
        <v>1</v>
      </c>
      <c r="F555" s="1">
        <v>6</v>
      </c>
      <c r="G555" s="4" t="b">
        <v>0</v>
      </c>
      <c r="H555" s="1">
        <v>2</v>
      </c>
      <c r="I555" s="1">
        <v>1</v>
      </c>
      <c r="J555" s="8">
        <v>0.16</v>
      </c>
    </row>
    <row r="556" spans="1:10" ht="15" thickBot="1" x14ac:dyDescent="0.35">
      <c r="A556" s="7">
        <v>555</v>
      </c>
      <c r="B556" s="3">
        <v>40568</v>
      </c>
      <c r="C556" s="1">
        <v>1</v>
      </c>
      <c r="D556" s="1">
        <v>0</v>
      </c>
      <c r="E556" s="1">
        <v>1</v>
      </c>
      <c r="F556" s="1">
        <v>7</v>
      </c>
      <c r="G556" s="4" t="b">
        <v>0</v>
      </c>
      <c r="H556" s="1">
        <v>2</v>
      </c>
      <c r="I556" s="1">
        <v>1</v>
      </c>
      <c r="J556" s="8">
        <v>0.16</v>
      </c>
    </row>
    <row r="557" spans="1:10" ht="15" thickBot="1" x14ac:dyDescent="0.35">
      <c r="A557" s="7">
        <v>556</v>
      </c>
      <c r="B557" s="3">
        <v>40568</v>
      </c>
      <c r="C557" s="1">
        <v>1</v>
      </c>
      <c r="D557" s="1">
        <v>0</v>
      </c>
      <c r="E557" s="1">
        <v>1</v>
      </c>
      <c r="F557" s="1">
        <v>8</v>
      </c>
      <c r="G557" s="4" t="b">
        <v>0</v>
      </c>
      <c r="H557" s="1">
        <v>2</v>
      </c>
      <c r="I557" s="1">
        <v>2</v>
      </c>
      <c r="J557" s="8">
        <v>0.16</v>
      </c>
    </row>
    <row r="558" spans="1:10" ht="15" thickBot="1" x14ac:dyDescent="0.35">
      <c r="A558" s="7">
        <v>557</v>
      </c>
      <c r="B558" s="3">
        <v>40568</v>
      </c>
      <c r="C558" s="1">
        <v>1</v>
      </c>
      <c r="D558" s="1">
        <v>0</v>
      </c>
      <c r="E558" s="1">
        <v>1</v>
      </c>
      <c r="F558" s="1">
        <v>9</v>
      </c>
      <c r="G558" s="4" t="b">
        <v>0</v>
      </c>
      <c r="H558" s="1">
        <v>2</v>
      </c>
      <c r="I558" s="1">
        <v>2</v>
      </c>
      <c r="J558" s="8">
        <v>0.2</v>
      </c>
    </row>
    <row r="559" spans="1:10" ht="15" thickBot="1" x14ac:dyDescent="0.35">
      <c r="A559" s="7">
        <v>558</v>
      </c>
      <c r="B559" s="3">
        <v>40568</v>
      </c>
      <c r="C559" s="1">
        <v>1</v>
      </c>
      <c r="D559" s="1">
        <v>0</v>
      </c>
      <c r="E559" s="1">
        <v>1</v>
      </c>
      <c r="F559" s="1">
        <v>10</v>
      </c>
      <c r="G559" s="4" t="b">
        <v>0</v>
      </c>
      <c r="H559" s="1">
        <v>2</v>
      </c>
      <c r="I559" s="1">
        <v>2</v>
      </c>
      <c r="J559" s="8">
        <v>0.22</v>
      </c>
    </row>
    <row r="560" spans="1:10" ht="15" thickBot="1" x14ac:dyDescent="0.35">
      <c r="A560" s="7">
        <v>559</v>
      </c>
      <c r="B560" s="3">
        <v>40568</v>
      </c>
      <c r="C560" s="1">
        <v>1</v>
      </c>
      <c r="D560" s="1">
        <v>0</v>
      </c>
      <c r="E560" s="1">
        <v>1</v>
      </c>
      <c r="F560" s="1">
        <v>11</v>
      </c>
      <c r="G560" s="4" t="b">
        <v>0</v>
      </c>
      <c r="H560" s="1">
        <v>2</v>
      </c>
      <c r="I560" s="1">
        <v>2</v>
      </c>
      <c r="J560" s="8">
        <v>0.24</v>
      </c>
    </row>
    <row r="561" spans="1:10" ht="15" thickBot="1" x14ac:dyDescent="0.35">
      <c r="A561" s="7">
        <v>560</v>
      </c>
      <c r="B561" s="3">
        <v>40568</v>
      </c>
      <c r="C561" s="1">
        <v>1</v>
      </c>
      <c r="D561" s="1">
        <v>0</v>
      </c>
      <c r="E561" s="1">
        <v>1</v>
      </c>
      <c r="F561" s="1">
        <v>12</v>
      </c>
      <c r="G561" s="4" t="b">
        <v>0</v>
      </c>
      <c r="H561" s="1">
        <v>2</v>
      </c>
      <c r="I561" s="1">
        <v>2</v>
      </c>
      <c r="J561" s="8">
        <v>0.26</v>
      </c>
    </row>
    <row r="562" spans="1:10" ht="15" thickBot="1" x14ac:dyDescent="0.35">
      <c r="A562" s="7">
        <v>561</v>
      </c>
      <c r="B562" s="3">
        <v>40568</v>
      </c>
      <c r="C562" s="1">
        <v>1</v>
      </c>
      <c r="D562" s="1">
        <v>0</v>
      </c>
      <c r="E562" s="1">
        <v>1</v>
      </c>
      <c r="F562" s="1">
        <v>13</v>
      </c>
      <c r="G562" s="4" t="b">
        <v>0</v>
      </c>
      <c r="H562" s="1">
        <v>2</v>
      </c>
      <c r="I562" s="1">
        <v>2</v>
      </c>
      <c r="J562" s="8">
        <v>0.26</v>
      </c>
    </row>
    <row r="563" spans="1:10" ht="15" thickBot="1" x14ac:dyDescent="0.35">
      <c r="A563" s="7">
        <v>562</v>
      </c>
      <c r="B563" s="3">
        <v>40568</v>
      </c>
      <c r="C563" s="1">
        <v>1</v>
      </c>
      <c r="D563" s="1">
        <v>0</v>
      </c>
      <c r="E563" s="1">
        <v>1</v>
      </c>
      <c r="F563" s="1">
        <v>14</v>
      </c>
      <c r="G563" s="4" t="b">
        <v>0</v>
      </c>
      <c r="H563" s="1">
        <v>2</v>
      </c>
      <c r="I563" s="1">
        <v>2</v>
      </c>
      <c r="J563" s="8">
        <v>0.3</v>
      </c>
    </row>
    <row r="564" spans="1:10" ht="15" thickBot="1" x14ac:dyDescent="0.35">
      <c r="A564" s="7">
        <v>563</v>
      </c>
      <c r="B564" s="3">
        <v>40568</v>
      </c>
      <c r="C564" s="1">
        <v>1</v>
      </c>
      <c r="D564" s="1">
        <v>0</v>
      </c>
      <c r="E564" s="1">
        <v>1</v>
      </c>
      <c r="F564" s="1">
        <v>15</v>
      </c>
      <c r="G564" s="4" t="b">
        <v>0</v>
      </c>
      <c r="H564" s="1">
        <v>2</v>
      </c>
      <c r="I564" s="1">
        <v>2</v>
      </c>
      <c r="J564" s="8">
        <v>0.32</v>
      </c>
    </row>
    <row r="565" spans="1:10" ht="15" thickBot="1" x14ac:dyDescent="0.35">
      <c r="A565" s="7">
        <v>564</v>
      </c>
      <c r="B565" s="3">
        <v>40568</v>
      </c>
      <c r="C565" s="1">
        <v>1</v>
      </c>
      <c r="D565" s="1">
        <v>0</v>
      </c>
      <c r="E565" s="1">
        <v>1</v>
      </c>
      <c r="F565" s="1">
        <v>16</v>
      </c>
      <c r="G565" s="4" t="b">
        <v>0</v>
      </c>
      <c r="H565" s="1">
        <v>2</v>
      </c>
      <c r="I565" s="1">
        <v>2</v>
      </c>
      <c r="J565" s="8">
        <v>0.32</v>
      </c>
    </row>
    <row r="566" spans="1:10" ht="15" thickBot="1" x14ac:dyDescent="0.35">
      <c r="A566" s="7">
        <v>565</v>
      </c>
      <c r="B566" s="3">
        <v>40568</v>
      </c>
      <c r="C566" s="1">
        <v>1</v>
      </c>
      <c r="D566" s="1">
        <v>0</v>
      </c>
      <c r="E566" s="1">
        <v>1</v>
      </c>
      <c r="F566" s="1">
        <v>17</v>
      </c>
      <c r="G566" s="4" t="b">
        <v>0</v>
      </c>
      <c r="H566" s="1">
        <v>2</v>
      </c>
      <c r="I566" s="1">
        <v>1</v>
      </c>
      <c r="J566" s="8">
        <v>0.3</v>
      </c>
    </row>
    <row r="567" spans="1:10" ht="15" thickBot="1" x14ac:dyDescent="0.35">
      <c r="A567" s="7">
        <v>566</v>
      </c>
      <c r="B567" s="3">
        <v>40568</v>
      </c>
      <c r="C567" s="1">
        <v>1</v>
      </c>
      <c r="D567" s="1">
        <v>0</v>
      </c>
      <c r="E567" s="1">
        <v>1</v>
      </c>
      <c r="F567" s="1">
        <v>18</v>
      </c>
      <c r="G567" s="4" t="b">
        <v>0</v>
      </c>
      <c r="H567" s="1">
        <v>2</v>
      </c>
      <c r="I567" s="1">
        <v>2</v>
      </c>
      <c r="J567" s="8">
        <v>0.3</v>
      </c>
    </row>
    <row r="568" spans="1:10" ht="15" thickBot="1" x14ac:dyDescent="0.35">
      <c r="A568" s="7">
        <v>567</v>
      </c>
      <c r="B568" s="3">
        <v>40568</v>
      </c>
      <c r="C568" s="1">
        <v>1</v>
      </c>
      <c r="D568" s="1">
        <v>0</v>
      </c>
      <c r="E568" s="1">
        <v>1</v>
      </c>
      <c r="F568" s="1">
        <v>19</v>
      </c>
      <c r="G568" s="4" t="b">
        <v>0</v>
      </c>
      <c r="H568" s="1">
        <v>2</v>
      </c>
      <c r="I568" s="1">
        <v>2</v>
      </c>
      <c r="J568" s="8">
        <v>0.26</v>
      </c>
    </row>
    <row r="569" spans="1:10" ht="15" thickBot="1" x14ac:dyDescent="0.35">
      <c r="A569" s="7">
        <v>568</v>
      </c>
      <c r="B569" s="3">
        <v>40568</v>
      </c>
      <c r="C569" s="1">
        <v>1</v>
      </c>
      <c r="D569" s="1">
        <v>0</v>
      </c>
      <c r="E569" s="1">
        <v>1</v>
      </c>
      <c r="F569" s="1">
        <v>20</v>
      </c>
      <c r="G569" s="4" t="b">
        <v>0</v>
      </c>
      <c r="H569" s="1">
        <v>2</v>
      </c>
      <c r="I569" s="1">
        <v>1</v>
      </c>
      <c r="J569" s="8">
        <v>0.24</v>
      </c>
    </row>
    <row r="570" spans="1:10" ht="15" thickBot="1" x14ac:dyDescent="0.35">
      <c r="A570" s="7">
        <v>569</v>
      </c>
      <c r="B570" s="3">
        <v>40568</v>
      </c>
      <c r="C570" s="1">
        <v>1</v>
      </c>
      <c r="D570" s="1">
        <v>0</v>
      </c>
      <c r="E570" s="1">
        <v>1</v>
      </c>
      <c r="F570" s="1">
        <v>21</v>
      </c>
      <c r="G570" s="4" t="b">
        <v>0</v>
      </c>
      <c r="H570" s="1">
        <v>2</v>
      </c>
      <c r="I570" s="1">
        <v>1</v>
      </c>
      <c r="J570" s="8">
        <v>0.24</v>
      </c>
    </row>
    <row r="571" spans="1:10" ht="15" thickBot="1" x14ac:dyDescent="0.35">
      <c r="A571" s="7">
        <v>570</v>
      </c>
      <c r="B571" s="3">
        <v>40568</v>
      </c>
      <c r="C571" s="1">
        <v>1</v>
      </c>
      <c r="D571" s="1">
        <v>0</v>
      </c>
      <c r="E571" s="1">
        <v>1</v>
      </c>
      <c r="F571" s="1">
        <v>22</v>
      </c>
      <c r="G571" s="4" t="b">
        <v>0</v>
      </c>
      <c r="H571" s="1">
        <v>2</v>
      </c>
      <c r="I571" s="1">
        <v>1</v>
      </c>
      <c r="J571" s="8">
        <v>0.22</v>
      </c>
    </row>
    <row r="572" spans="1:10" ht="15" thickBot="1" x14ac:dyDescent="0.35">
      <c r="A572" s="7">
        <v>571</v>
      </c>
      <c r="B572" s="3">
        <v>40568</v>
      </c>
      <c r="C572" s="1">
        <v>1</v>
      </c>
      <c r="D572" s="1">
        <v>0</v>
      </c>
      <c r="E572" s="1">
        <v>1</v>
      </c>
      <c r="F572" s="1">
        <v>23</v>
      </c>
      <c r="G572" s="4" t="b">
        <v>0</v>
      </c>
      <c r="H572" s="1">
        <v>2</v>
      </c>
      <c r="I572" s="1">
        <v>2</v>
      </c>
      <c r="J572" s="8">
        <v>0.22</v>
      </c>
    </row>
    <row r="573" spans="1:10" ht="15" thickBot="1" x14ac:dyDescent="0.35">
      <c r="A573" s="7">
        <v>572</v>
      </c>
      <c r="B573" s="3">
        <v>40569</v>
      </c>
      <c r="C573" s="1">
        <v>1</v>
      </c>
      <c r="D573" s="1">
        <v>0</v>
      </c>
      <c r="E573" s="1">
        <v>1</v>
      </c>
      <c r="F573" s="1">
        <v>0</v>
      </c>
      <c r="G573" s="4" t="b">
        <v>0</v>
      </c>
      <c r="H573" s="1">
        <v>3</v>
      </c>
      <c r="I573" s="1">
        <v>2</v>
      </c>
      <c r="J573" s="8">
        <v>0.22</v>
      </c>
    </row>
    <row r="574" spans="1:10" ht="15" thickBot="1" x14ac:dyDescent="0.35">
      <c r="A574" s="7">
        <v>573</v>
      </c>
      <c r="B574" s="3">
        <v>40569</v>
      </c>
      <c r="C574" s="1">
        <v>1</v>
      </c>
      <c r="D574" s="1">
        <v>0</v>
      </c>
      <c r="E574" s="1">
        <v>1</v>
      </c>
      <c r="F574" s="1">
        <v>1</v>
      </c>
      <c r="G574" s="4" t="b">
        <v>0</v>
      </c>
      <c r="H574" s="1">
        <v>3</v>
      </c>
      <c r="I574" s="1">
        <v>2</v>
      </c>
      <c r="J574" s="8">
        <v>0.24</v>
      </c>
    </row>
    <row r="575" spans="1:10" ht="15" thickBot="1" x14ac:dyDescent="0.35">
      <c r="A575" s="7">
        <v>574</v>
      </c>
      <c r="B575" s="3">
        <v>40569</v>
      </c>
      <c r="C575" s="1">
        <v>1</v>
      </c>
      <c r="D575" s="1">
        <v>0</v>
      </c>
      <c r="E575" s="1">
        <v>1</v>
      </c>
      <c r="F575" s="1">
        <v>2</v>
      </c>
      <c r="G575" s="4" t="b">
        <v>0</v>
      </c>
      <c r="H575" s="1">
        <v>3</v>
      </c>
      <c r="I575" s="1">
        <v>3</v>
      </c>
      <c r="J575" s="8">
        <v>0.22</v>
      </c>
    </row>
    <row r="576" spans="1:10" ht="15" thickBot="1" x14ac:dyDescent="0.35">
      <c r="A576" s="7">
        <v>575</v>
      </c>
      <c r="B576" s="3">
        <v>40569</v>
      </c>
      <c r="C576" s="1">
        <v>1</v>
      </c>
      <c r="D576" s="1">
        <v>0</v>
      </c>
      <c r="E576" s="1">
        <v>1</v>
      </c>
      <c r="F576" s="1">
        <v>5</v>
      </c>
      <c r="G576" s="4" t="b">
        <v>0</v>
      </c>
      <c r="H576" s="1">
        <v>3</v>
      </c>
      <c r="I576" s="1">
        <v>3</v>
      </c>
      <c r="J576" s="8">
        <v>0.2</v>
      </c>
    </row>
    <row r="577" spans="1:10" ht="15" thickBot="1" x14ac:dyDescent="0.35">
      <c r="A577" s="7">
        <v>576</v>
      </c>
      <c r="B577" s="3">
        <v>40569</v>
      </c>
      <c r="C577" s="1">
        <v>1</v>
      </c>
      <c r="D577" s="1">
        <v>0</v>
      </c>
      <c r="E577" s="1">
        <v>1</v>
      </c>
      <c r="F577" s="1">
        <v>6</v>
      </c>
      <c r="G577" s="4" t="b">
        <v>0</v>
      </c>
      <c r="H577" s="1">
        <v>3</v>
      </c>
      <c r="I577" s="1">
        <v>3</v>
      </c>
      <c r="J577" s="8">
        <v>0.2</v>
      </c>
    </row>
    <row r="578" spans="1:10" ht="15" thickBot="1" x14ac:dyDescent="0.35">
      <c r="A578" s="7">
        <v>577</v>
      </c>
      <c r="B578" s="3">
        <v>40569</v>
      </c>
      <c r="C578" s="1">
        <v>1</v>
      </c>
      <c r="D578" s="1">
        <v>0</v>
      </c>
      <c r="E578" s="1">
        <v>1</v>
      </c>
      <c r="F578" s="1">
        <v>7</v>
      </c>
      <c r="G578" s="4" t="b">
        <v>0</v>
      </c>
      <c r="H578" s="1">
        <v>3</v>
      </c>
      <c r="I578" s="1">
        <v>3</v>
      </c>
      <c r="J578" s="8">
        <v>0.22</v>
      </c>
    </row>
    <row r="579" spans="1:10" ht="15" thickBot="1" x14ac:dyDescent="0.35">
      <c r="A579" s="7">
        <v>578</v>
      </c>
      <c r="B579" s="3">
        <v>40569</v>
      </c>
      <c r="C579" s="1">
        <v>1</v>
      </c>
      <c r="D579" s="1">
        <v>0</v>
      </c>
      <c r="E579" s="1">
        <v>1</v>
      </c>
      <c r="F579" s="1">
        <v>8</v>
      </c>
      <c r="G579" s="4" t="b">
        <v>0</v>
      </c>
      <c r="H579" s="1">
        <v>3</v>
      </c>
      <c r="I579" s="1">
        <v>3</v>
      </c>
      <c r="J579" s="8">
        <v>0.22</v>
      </c>
    </row>
    <row r="580" spans="1:10" ht="15" thickBot="1" x14ac:dyDescent="0.35">
      <c r="A580" s="7">
        <v>579</v>
      </c>
      <c r="B580" s="3">
        <v>40569</v>
      </c>
      <c r="C580" s="1">
        <v>1</v>
      </c>
      <c r="D580" s="1">
        <v>0</v>
      </c>
      <c r="E580" s="1">
        <v>1</v>
      </c>
      <c r="F580" s="1">
        <v>9</v>
      </c>
      <c r="G580" s="4" t="b">
        <v>0</v>
      </c>
      <c r="H580" s="1">
        <v>3</v>
      </c>
      <c r="I580" s="1">
        <v>3</v>
      </c>
      <c r="J580" s="8">
        <v>0.22</v>
      </c>
    </row>
    <row r="581" spans="1:10" ht="15" thickBot="1" x14ac:dyDescent="0.35">
      <c r="A581" s="7">
        <v>580</v>
      </c>
      <c r="B581" s="3">
        <v>40569</v>
      </c>
      <c r="C581" s="1">
        <v>1</v>
      </c>
      <c r="D581" s="1">
        <v>0</v>
      </c>
      <c r="E581" s="1">
        <v>1</v>
      </c>
      <c r="F581" s="1">
        <v>10</v>
      </c>
      <c r="G581" s="4" t="b">
        <v>0</v>
      </c>
      <c r="H581" s="1">
        <v>3</v>
      </c>
      <c r="I581" s="1">
        <v>3</v>
      </c>
      <c r="J581" s="8">
        <v>0.22</v>
      </c>
    </row>
    <row r="582" spans="1:10" ht="15" thickBot="1" x14ac:dyDescent="0.35">
      <c r="A582" s="7">
        <v>581</v>
      </c>
      <c r="B582" s="3">
        <v>40569</v>
      </c>
      <c r="C582" s="1">
        <v>1</v>
      </c>
      <c r="D582" s="1">
        <v>0</v>
      </c>
      <c r="E582" s="1">
        <v>1</v>
      </c>
      <c r="F582" s="1">
        <v>11</v>
      </c>
      <c r="G582" s="4" t="b">
        <v>0</v>
      </c>
      <c r="H582" s="1">
        <v>3</v>
      </c>
      <c r="I582" s="1">
        <v>3</v>
      </c>
      <c r="J582" s="8">
        <v>0.22</v>
      </c>
    </row>
    <row r="583" spans="1:10" ht="15" thickBot="1" x14ac:dyDescent="0.35">
      <c r="A583" s="7">
        <v>582</v>
      </c>
      <c r="B583" s="3">
        <v>40569</v>
      </c>
      <c r="C583" s="1">
        <v>1</v>
      </c>
      <c r="D583" s="1">
        <v>0</v>
      </c>
      <c r="E583" s="1">
        <v>1</v>
      </c>
      <c r="F583" s="1">
        <v>12</v>
      </c>
      <c r="G583" s="4" t="b">
        <v>0</v>
      </c>
      <c r="H583" s="1">
        <v>3</v>
      </c>
      <c r="I583" s="1">
        <v>3</v>
      </c>
      <c r="J583" s="8">
        <v>0.22</v>
      </c>
    </row>
    <row r="584" spans="1:10" ht="15" thickBot="1" x14ac:dyDescent="0.35">
      <c r="A584" s="7">
        <v>583</v>
      </c>
      <c r="B584" s="3">
        <v>40569</v>
      </c>
      <c r="C584" s="1">
        <v>1</v>
      </c>
      <c r="D584" s="1">
        <v>0</v>
      </c>
      <c r="E584" s="1">
        <v>1</v>
      </c>
      <c r="F584" s="1">
        <v>13</v>
      </c>
      <c r="G584" s="4" t="b">
        <v>0</v>
      </c>
      <c r="H584" s="1">
        <v>3</v>
      </c>
      <c r="I584" s="1">
        <v>3</v>
      </c>
      <c r="J584" s="8">
        <v>0.22</v>
      </c>
    </row>
    <row r="585" spans="1:10" ht="15" thickBot="1" x14ac:dyDescent="0.35">
      <c r="A585" s="7">
        <v>584</v>
      </c>
      <c r="B585" s="3">
        <v>40569</v>
      </c>
      <c r="C585" s="1">
        <v>1</v>
      </c>
      <c r="D585" s="1">
        <v>0</v>
      </c>
      <c r="E585" s="1">
        <v>1</v>
      </c>
      <c r="F585" s="1">
        <v>14</v>
      </c>
      <c r="G585" s="4" t="b">
        <v>0</v>
      </c>
      <c r="H585" s="1">
        <v>3</v>
      </c>
      <c r="I585" s="1">
        <v>3</v>
      </c>
      <c r="J585" s="8">
        <v>0.22</v>
      </c>
    </row>
    <row r="586" spans="1:10" ht="15" thickBot="1" x14ac:dyDescent="0.35">
      <c r="A586" s="7">
        <v>585</v>
      </c>
      <c r="B586" s="3">
        <v>40569</v>
      </c>
      <c r="C586" s="1">
        <v>1</v>
      </c>
      <c r="D586" s="1">
        <v>0</v>
      </c>
      <c r="E586" s="1">
        <v>1</v>
      </c>
      <c r="F586" s="1">
        <v>15</v>
      </c>
      <c r="G586" s="4" t="b">
        <v>0</v>
      </c>
      <c r="H586" s="1">
        <v>3</v>
      </c>
      <c r="I586" s="1">
        <v>3</v>
      </c>
      <c r="J586" s="8">
        <v>0.22</v>
      </c>
    </row>
    <row r="587" spans="1:10" ht="15" thickBot="1" x14ac:dyDescent="0.35">
      <c r="A587" s="7">
        <v>586</v>
      </c>
      <c r="B587" s="3">
        <v>40569</v>
      </c>
      <c r="C587" s="1">
        <v>1</v>
      </c>
      <c r="D587" s="1">
        <v>0</v>
      </c>
      <c r="E587" s="1">
        <v>1</v>
      </c>
      <c r="F587" s="1">
        <v>16</v>
      </c>
      <c r="G587" s="4" t="b">
        <v>0</v>
      </c>
      <c r="H587" s="1">
        <v>3</v>
      </c>
      <c r="I587" s="1">
        <v>4</v>
      </c>
      <c r="J587" s="8">
        <v>0.22</v>
      </c>
    </row>
    <row r="588" spans="1:10" ht="15" thickBot="1" x14ac:dyDescent="0.35">
      <c r="A588" s="7">
        <v>587</v>
      </c>
      <c r="B588" s="3">
        <v>40569</v>
      </c>
      <c r="C588" s="1">
        <v>1</v>
      </c>
      <c r="D588" s="1">
        <v>0</v>
      </c>
      <c r="E588" s="1">
        <v>1</v>
      </c>
      <c r="F588" s="1">
        <v>17</v>
      </c>
      <c r="G588" s="4" t="b">
        <v>0</v>
      </c>
      <c r="H588" s="1">
        <v>3</v>
      </c>
      <c r="I588" s="1">
        <v>3</v>
      </c>
      <c r="J588" s="8">
        <v>0.2</v>
      </c>
    </row>
    <row r="589" spans="1:10" ht="15" thickBot="1" x14ac:dyDescent="0.35">
      <c r="A589" s="7">
        <v>588</v>
      </c>
      <c r="B589" s="3">
        <v>40570</v>
      </c>
      <c r="C589" s="1">
        <v>1</v>
      </c>
      <c r="D589" s="1">
        <v>0</v>
      </c>
      <c r="E589" s="1">
        <v>1</v>
      </c>
      <c r="F589" s="1">
        <v>16</v>
      </c>
      <c r="G589" s="4" t="b">
        <v>0</v>
      </c>
      <c r="H589" s="1">
        <v>4</v>
      </c>
      <c r="I589" s="1">
        <v>1</v>
      </c>
      <c r="J589" s="8">
        <v>0.22</v>
      </c>
    </row>
    <row r="590" spans="1:10" ht="15" thickBot="1" x14ac:dyDescent="0.35">
      <c r="A590" s="7">
        <v>589</v>
      </c>
      <c r="B590" s="3">
        <v>40570</v>
      </c>
      <c r="C590" s="1">
        <v>1</v>
      </c>
      <c r="D590" s="1">
        <v>0</v>
      </c>
      <c r="E590" s="1">
        <v>1</v>
      </c>
      <c r="F590" s="1">
        <v>17</v>
      </c>
      <c r="G590" s="4" t="b">
        <v>0</v>
      </c>
      <c r="H590" s="1">
        <v>4</v>
      </c>
      <c r="I590" s="1">
        <v>1</v>
      </c>
      <c r="J590" s="8">
        <v>0.22</v>
      </c>
    </row>
    <row r="591" spans="1:10" ht="15" thickBot="1" x14ac:dyDescent="0.35">
      <c r="A591" s="7">
        <v>590</v>
      </c>
      <c r="B591" s="3">
        <v>40570</v>
      </c>
      <c r="C591" s="1">
        <v>1</v>
      </c>
      <c r="D591" s="1">
        <v>0</v>
      </c>
      <c r="E591" s="1">
        <v>1</v>
      </c>
      <c r="F591" s="1">
        <v>18</v>
      </c>
      <c r="G591" s="4" t="b">
        <v>0</v>
      </c>
      <c r="H591" s="1">
        <v>4</v>
      </c>
      <c r="I591" s="1">
        <v>1</v>
      </c>
      <c r="J591" s="8">
        <v>0.2</v>
      </c>
    </row>
    <row r="592" spans="1:10" ht="15" thickBot="1" x14ac:dyDescent="0.35">
      <c r="A592" s="7">
        <v>591</v>
      </c>
      <c r="B592" s="3">
        <v>40570</v>
      </c>
      <c r="C592" s="1">
        <v>1</v>
      </c>
      <c r="D592" s="1">
        <v>0</v>
      </c>
      <c r="E592" s="1">
        <v>1</v>
      </c>
      <c r="F592" s="1">
        <v>19</v>
      </c>
      <c r="G592" s="4" t="b">
        <v>0</v>
      </c>
      <c r="H592" s="1">
        <v>4</v>
      </c>
      <c r="I592" s="1">
        <v>1</v>
      </c>
      <c r="J592" s="8">
        <v>0.2</v>
      </c>
    </row>
    <row r="593" spans="1:10" ht="15" thickBot="1" x14ac:dyDescent="0.35">
      <c r="A593" s="7">
        <v>592</v>
      </c>
      <c r="B593" s="3">
        <v>40570</v>
      </c>
      <c r="C593" s="1">
        <v>1</v>
      </c>
      <c r="D593" s="1">
        <v>0</v>
      </c>
      <c r="E593" s="1">
        <v>1</v>
      </c>
      <c r="F593" s="1">
        <v>20</v>
      </c>
      <c r="G593" s="4" t="b">
        <v>0</v>
      </c>
      <c r="H593" s="1">
        <v>4</v>
      </c>
      <c r="I593" s="1">
        <v>1</v>
      </c>
      <c r="J593" s="8">
        <v>0.18</v>
      </c>
    </row>
    <row r="594" spans="1:10" ht="15" thickBot="1" x14ac:dyDescent="0.35">
      <c r="A594" s="7">
        <v>593</v>
      </c>
      <c r="B594" s="3">
        <v>40570</v>
      </c>
      <c r="C594" s="1">
        <v>1</v>
      </c>
      <c r="D594" s="1">
        <v>0</v>
      </c>
      <c r="E594" s="1">
        <v>1</v>
      </c>
      <c r="F594" s="1">
        <v>21</v>
      </c>
      <c r="G594" s="4" t="b">
        <v>0</v>
      </c>
      <c r="H594" s="1">
        <v>4</v>
      </c>
      <c r="I594" s="1">
        <v>1</v>
      </c>
      <c r="J594" s="8">
        <v>0.18</v>
      </c>
    </row>
    <row r="595" spans="1:10" ht="15" thickBot="1" x14ac:dyDescent="0.35">
      <c r="A595" s="7">
        <v>594</v>
      </c>
      <c r="B595" s="3">
        <v>40570</v>
      </c>
      <c r="C595" s="1">
        <v>1</v>
      </c>
      <c r="D595" s="1">
        <v>0</v>
      </c>
      <c r="E595" s="1">
        <v>1</v>
      </c>
      <c r="F595" s="1">
        <v>22</v>
      </c>
      <c r="G595" s="4" t="b">
        <v>0</v>
      </c>
      <c r="H595" s="1">
        <v>4</v>
      </c>
      <c r="I595" s="1">
        <v>1</v>
      </c>
      <c r="J595" s="8">
        <v>0.18</v>
      </c>
    </row>
    <row r="596" spans="1:10" ht="15" thickBot="1" x14ac:dyDescent="0.35">
      <c r="A596" s="7">
        <v>595</v>
      </c>
      <c r="B596" s="3">
        <v>40570</v>
      </c>
      <c r="C596" s="1">
        <v>1</v>
      </c>
      <c r="D596" s="1">
        <v>0</v>
      </c>
      <c r="E596" s="1">
        <v>1</v>
      </c>
      <c r="F596" s="1">
        <v>23</v>
      </c>
      <c r="G596" s="4" t="b">
        <v>0</v>
      </c>
      <c r="H596" s="1">
        <v>4</v>
      </c>
      <c r="I596" s="1">
        <v>1</v>
      </c>
      <c r="J596" s="8">
        <v>0.18</v>
      </c>
    </row>
    <row r="597" spans="1:10" ht="15" thickBot="1" x14ac:dyDescent="0.35">
      <c r="A597" s="7">
        <v>596</v>
      </c>
      <c r="B597" s="3">
        <v>40571</v>
      </c>
      <c r="C597" s="1">
        <v>1</v>
      </c>
      <c r="D597" s="1">
        <v>0</v>
      </c>
      <c r="E597" s="1">
        <v>1</v>
      </c>
      <c r="F597" s="1">
        <v>0</v>
      </c>
      <c r="G597" s="4" t="b">
        <v>0</v>
      </c>
      <c r="H597" s="1">
        <v>5</v>
      </c>
      <c r="I597" s="1">
        <v>2</v>
      </c>
      <c r="J597" s="8">
        <v>0.2</v>
      </c>
    </row>
    <row r="598" spans="1:10" ht="15" thickBot="1" x14ac:dyDescent="0.35">
      <c r="A598" s="7">
        <v>597</v>
      </c>
      <c r="B598" s="3">
        <v>40571</v>
      </c>
      <c r="C598" s="1">
        <v>1</v>
      </c>
      <c r="D598" s="1">
        <v>0</v>
      </c>
      <c r="E598" s="1">
        <v>1</v>
      </c>
      <c r="F598" s="1">
        <v>1</v>
      </c>
      <c r="G598" s="4" t="b">
        <v>0</v>
      </c>
      <c r="H598" s="1">
        <v>5</v>
      </c>
      <c r="I598" s="1">
        <v>2</v>
      </c>
      <c r="J598" s="8">
        <v>0.2</v>
      </c>
    </row>
    <row r="599" spans="1:10" ht="15" thickBot="1" x14ac:dyDescent="0.35">
      <c r="A599" s="7">
        <v>598</v>
      </c>
      <c r="B599" s="3">
        <v>40571</v>
      </c>
      <c r="C599" s="1">
        <v>1</v>
      </c>
      <c r="D599" s="1">
        <v>0</v>
      </c>
      <c r="E599" s="1">
        <v>1</v>
      </c>
      <c r="F599" s="1">
        <v>2</v>
      </c>
      <c r="G599" s="4" t="b">
        <v>0</v>
      </c>
      <c r="H599" s="1">
        <v>5</v>
      </c>
      <c r="I599" s="1">
        <v>2</v>
      </c>
      <c r="J599" s="8">
        <v>0.2</v>
      </c>
    </row>
    <row r="600" spans="1:10" ht="15" thickBot="1" x14ac:dyDescent="0.35">
      <c r="A600" s="7">
        <v>599</v>
      </c>
      <c r="B600" s="3">
        <v>40571</v>
      </c>
      <c r="C600" s="1">
        <v>1</v>
      </c>
      <c r="D600" s="1">
        <v>0</v>
      </c>
      <c r="E600" s="1">
        <v>1</v>
      </c>
      <c r="F600" s="1">
        <v>3</v>
      </c>
      <c r="G600" s="4" t="b">
        <v>0</v>
      </c>
      <c r="H600" s="1">
        <v>5</v>
      </c>
      <c r="I600" s="1">
        <v>2</v>
      </c>
      <c r="J600" s="8">
        <v>0.2</v>
      </c>
    </row>
    <row r="601" spans="1:10" ht="15" thickBot="1" x14ac:dyDescent="0.35">
      <c r="A601" s="7">
        <v>600</v>
      </c>
      <c r="B601" s="3">
        <v>40571</v>
      </c>
      <c r="C601" s="1">
        <v>1</v>
      </c>
      <c r="D601" s="1">
        <v>0</v>
      </c>
      <c r="E601" s="1">
        <v>1</v>
      </c>
      <c r="F601" s="1">
        <v>5</v>
      </c>
      <c r="G601" s="4" t="b">
        <v>0</v>
      </c>
      <c r="H601" s="1">
        <v>5</v>
      </c>
      <c r="I601" s="1">
        <v>2</v>
      </c>
      <c r="J601" s="8">
        <v>0.18</v>
      </c>
    </row>
    <row r="602" spans="1:10" ht="15" thickBot="1" x14ac:dyDescent="0.35">
      <c r="A602" s="7">
        <v>601</v>
      </c>
      <c r="B602" s="3">
        <v>40571</v>
      </c>
      <c r="C602" s="1">
        <v>1</v>
      </c>
      <c r="D602" s="1">
        <v>0</v>
      </c>
      <c r="E602" s="1">
        <v>1</v>
      </c>
      <c r="F602" s="1">
        <v>6</v>
      </c>
      <c r="G602" s="4" t="b">
        <v>0</v>
      </c>
      <c r="H602" s="1">
        <v>5</v>
      </c>
      <c r="I602" s="1">
        <v>2</v>
      </c>
      <c r="J602" s="8">
        <v>0.18</v>
      </c>
    </row>
    <row r="603" spans="1:10" ht="15" thickBot="1" x14ac:dyDescent="0.35">
      <c r="A603" s="7">
        <v>602</v>
      </c>
      <c r="B603" s="3">
        <v>40571</v>
      </c>
      <c r="C603" s="1">
        <v>1</v>
      </c>
      <c r="D603" s="1">
        <v>0</v>
      </c>
      <c r="E603" s="1">
        <v>1</v>
      </c>
      <c r="F603" s="1">
        <v>7</v>
      </c>
      <c r="G603" s="4" t="b">
        <v>0</v>
      </c>
      <c r="H603" s="1">
        <v>5</v>
      </c>
      <c r="I603" s="1">
        <v>2</v>
      </c>
      <c r="J603" s="8">
        <v>0.16</v>
      </c>
    </row>
    <row r="604" spans="1:10" ht="15" thickBot="1" x14ac:dyDescent="0.35">
      <c r="A604" s="7">
        <v>603</v>
      </c>
      <c r="B604" s="3">
        <v>40571</v>
      </c>
      <c r="C604" s="1">
        <v>1</v>
      </c>
      <c r="D604" s="1">
        <v>0</v>
      </c>
      <c r="E604" s="1">
        <v>1</v>
      </c>
      <c r="F604" s="1">
        <v>8</v>
      </c>
      <c r="G604" s="4" t="b">
        <v>0</v>
      </c>
      <c r="H604" s="1">
        <v>5</v>
      </c>
      <c r="I604" s="1">
        <v>2</v>
      </c>
      <c r="J604" s="8">
        <v>0.16</v>
      </c>
    </row>
    <row r="605" spans="1:10" ht="15" thickBot="1" x14ac:dyDescent="0.35">
      <c r="A605" s="7">
        <v>604</v>
      </c>
      <c r="B605" s="3">
        <v>40571</v>
      </c>
      <c r="C605" s="1">
        <v>1</v>
      </c>
      <c r="D605" s="1">
        <v>0</v>
      </c>
      <c r="E605" s="1">
        <v>1</v>
      </c>
      <c r="F605" s="1">
        <v>9</v>
      </c>
      <c r="G605" s="4" t="b">
        <v>0</v>
      </c>
      <c r="H605" s="1">
        <v>5</v>
      </c>
      <c r="I605" s="1">
        <v>3</v>
      </c>
      <c r="J605" s="8">
        <v>0.18</v>
      </c>
    </row>
    <row r="606" spans="1:10" ht="15" thickBot="1" x14ac:dyDescent="0.35">
      <c r="A606" s="7">
        <v>605</v>
      </c>
      <c r="B606" s="3">
        <v>40571</v>
      </c>
      <c r="C606" s="1">
        <v>1</v>
      </c>
      <c r="D606" s="1">
        <v>0</v>
      </c>
      <c r="E606" s="1">
        <v>1</v>
      </c>
      <c r="F606" s="1">
        <v>10</v>
      </c>
      <c r="G606" s="4" t="b">
        <v>0</v>
      </c>
      <c r="H606" s="1">
        <v>5</v>
      </c>
      <c r="I606" s="1">
        <v>3</v>
      </c>
      <c r="J606" s="8">
        <v>0.18</v>
      </c>
    </row>
    <row r="607" spans="1:10" ht="15" thickBot="1" x14ac:dyDescent="0.35">
      <c r="A607" s="7">
        <v>606</v>
      </c>
      <c r="B607" s="3">
        <v>40571</v>
      </c>
      <c r="C607" s="1">
        <v>1</v>
      </c>
      <c r="D607" s="1">
        <v>0</v>
      </c>
      <c r="E607" s="1">
        <v>1</v>
      </c>
      <c r="F607" s="1">
        <v>11</v>
      </c>
      <c r="G607" s="4" t="b">
        <v>0</v>
      </c>
      <c r="H607" s="1">
        <v>5</v>
      </c>
      <c r="I607" s="1">
        <v>3</v>
      </c>
      <c r="J607" s="8">
        <v>0.18</v>
      </c>
    </row>
    <row r="608" spans="1:10" ht="15" thickBot="1" x14ac:dyDescent="0.35">
      <c r="A608" s="7">
        <v>607</v>
      </c>
      <c r="B608" s="3">
        <v>40571</v>
      </c>
      <c r="C608" s="1">
        <v>1</v>
      </c>
      <c r="D608" s="1">
        <v>0</v>
      </c>
      <c r="E608" s="1">
        <v>1</v>
      </c>
      <c r="F608" s="1">
        <v>12</v>
      </c>
      <c r="G608" s="4" t="b">
        <v>0</v>
      </c>
      <c r="H608" s="1">
        <v>5</v>
      </c>
      <c r="I608" s="1">
        <v>3</v>
      </c>
      <c r="J608" s="8">
        <v>0.18</v>
      </c>
    </row>
    <row r="609" spans="1:10" ht="15" thickBot="1" x14ac:dyDescent="0.35">
      <c r="A609" s="7">
        <v>608</v>
      </c>
      <c r="B609" s="3">
        <v>40571</v>
      </c>
      <c r="C609" s="1">
        <v>1</v>
      </c>
      <c r="D609" s="1">
        <v>0</v>
      </c>
      <c r="E609" s="1">
        <v>1</v>
      </c>
      <c r="F609" s="1">
        <v>13</v>
      </c>
      <c r="G609" s="4" t="b">
        <v>0</v>
      </c>
      <c r="H609" s="1">
        <v>5</v>
      </c>
      <c r="I609" s="1">
        <v>3</v>
      </c>
      <c r="J609" s="8">
        <v>0.18</v>
      </c>
    </row>
    <row r="610" spans="1:10" ht="15" thickBot="1" x14ac:dyDescent="0.35">
      <c r="A610" s="7">
        <v>609</v>
      </c>
      <c r="B610" s="3">
        <v>40571</v>
      </c>
      <c r="C610" s="1">
        <v>1</v>
      </c>
      <c r="D610" s="1">
        <v>0</v>
      </c>
      <c r="E610" s="1">
        <v>1</v>
      </c>
      <c r="F610" s="1">
        <v>14</v>
      </c>
      <c r="G610" s="4" t="b">
        <v>0</v>
      </c>
      <c r="H610" s="1">
        <v>5</v>
      </c>
      <c r="I610" s="1">
        <v>3</v>
      </c>
      <c r="J610" s="8">
        <v>0.22</v>
      </c>
    </row>
    <row r="611" spans="1:10" x14ac:dyDescent="0.3">
      <c r="A611" s="12">
        <v>610</v>
      </c>
      <c r="B611" s="13">
        <v>40571</v>
      </c>
      <c r="C611" s="14">
        <v>1</v>
      </c>
      <c r="D611" s="14">
        <v>0</v>
      </c>
      <c r="E611" s="14">
        <v>1</v>
      </c>
      <c r="F611" s="14">
        <v>15</v>
      </c>
      <c r="G611" s="15" t="b">
        <v>0</v>
      </c>
      <c r="H611" s="14">
        <v>5</v>
      </c>
      <c r="I611" s="14">
        <v>2</v>
      </c>
      <c r="J611" s="16">
        <v>0.2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8787-1BE8-4376-AAD4-8D8D48B354CD}">
  <sheetPr>
    <tabColor rgb="FFFF0000"/>
  </sheetPr>
  <dimension ref="A1:H611"/>
  <sheetViews>
    <sheetView topLeftCell="A588" workbookViewId="0">
      <selection activeCell="A602" sqref="A2:H611"/>
    </sheetView>
  </sheetViews>
  <sheetFormatPr defaultRowHeight="14.4" x14ac:dyDescent="0.3"/>
  <cols>
    <col min="1" max="1" width="13.33203125" customWidth="1"/>
    <col min="5" max="5" width="12" customWidth="1"/>
    <col min="7" max="7" width="11.33203125" customWidth="1"/>
  </cols>
  <sheetData>
    <row r="1" spans="1:8" ht="15" thickBot="1" x14ac:dyDescent="0.35">
      <c r="A1" s="19" t="s">
        <v>10</v>
      </c>
      <c r="B1" s="20" t="s">
        <v>0</v>
      </c>
      <c r="C1" s="20" t="s">
        <v>11</v>
      </c>
      <c r="D1" s="20" t="s">
        <v>12</v>
      </c>
      <c r="E1" s="20" t="s">
        <v>13</v>
      </c>
      <c r="F1" s="20" t="s">
        <v>14</v>
      </c>
      <c r="G1" s="20" t="s">
        <v>15</v>
      </c>
      <c r="H1" s="21" t="s">
        <v>16</v>
      </c>
    </row>
    <row r="2" spans="1:8" ht="15" thickBot="1" x14ac:dyDescent="0.35">
      <c r="A2" s="17">
        <v>0</v>
      </c>
      <c r="B2" s="6">
        <v>1</v>
      </c>
      <c r="C2" s="6">
        <v>0.28789999999999999</v>
      </c>
      <c r="D2" s="6">
        <v>0.81</v>
      </c>
      <c r="E2" s="6">
        <v>0</v>
      </c>
      <c r="F2" s="6">
        <v>3</v>
      </c>
      <c r="G2" s="6">
        <v>13</v>
      </c>
      <c r="H2" s="18">
        <v>16</v>
      </c>
    </row>
    <row r="3" spans="1:8" ht="15" thickBot="1" x14ac:dyDescent="0.35">
      <c r="A3" s="17">
        <v>1</v>
      </c>
      <c r="B3" s="6">
        <v>2</v>
      </c>
      <c r="C3" s="6">
        <v>0.2727</v>
      </c>
      <c r="D3" s="6">
        <v>0.8</v>
      </c>
      <c r="E3" s="6">
        <v>0</v>
      </c>
      <c r="F3" s="6">
        <v>8</v>
      </c>
      <c r="G3" s="6">
        <v>32</v>
      </c>
      <c r="H3" s="18">
        <v>40</v>
      </c>
    </row>
    <row r="4" spans="1:8" ht="15" thickBot="1" x14ac:dyDescent="0.35">
      <c r="A4" s="17">
        <v>2</v>
      </c>
      <c r="B4" s="6">
        <v>3</v>
      </c>
      <c r="C4" s="6">
        <v>0.2727</v>
      </c>
      <c r="D4" s="6">
        <v>0.8</v>
      </c>
      <c r="E4" s="6">
        <v>0</v>
      </c>
      <c r="F4" s="6">
        <v>5</v>
      </c>
      <c r="G4" s="6">
        <v>27</v>
      </c>
      <c r="H4" s="18">
        <v>32</v>
      </c>
    </row>
    <row r="5" spans="1:8" ht="15" thickBot="1" x14ac:dyDescent="0.35">
      <c r="A5" s="17">
        <v>3</v>
      </c>
      <c r="B5" s="6">
        <v>4</v>
      </c>
      <c r="C5" s="6">
        <v>0.28789999999999999</v>
      </c>
      <c r="D5" s="6">
        <v>0.75</v>
      </c>
      <c r="E5" s="6">
        <v>0</v>
      </c>
      <c r="F5" s="6">
        <v>3</v>
      </c>
      <c r="G5" s="6">
        <v>10</v>
      </c>
      <c r="H5" s="18">
        <v>13</v>
      </c>
    </row>
    <row r="6" spans="1:8" ht="15" thickBot="1" x14ac:dyDescent="0.35">
      <c r="A6" s="17">
        <v>4</v>
      </c>
      <c r="B6" s="6">
        <v>5</v>
      </c>
      <c r="C6" s="6">
        <v>0.28789999999999999</v>
      </c>
      <c r="D6" s="6">
        <v>0.75</v>
      </c>
      <c r="E6" s="6">
        <v>0</v>
      </c>
      <c r="F6" s="6">
        <v>0</v>
      </c>
      <c r="G6" s="6">
        <v>1</v>
      </c>
      <c r="H6" s="18">
        <v>1</v>
      </c>
    </row>
    <row r="7" spans="1:8" ht="15" thickBot="1" x14ac:dyDescent="0.35">
      <c r="A7" s="17">
        <v>5</v>
      </c>
      <c r="B7" s="6">
        <v>6</v>
      </c>
      <c r="C7" s="6">
        <v>0.2576</v>
      </c>
      <c r="D7" s="6">
        <v>0.75</v>
      </c>
      <c r="E7" s="6">
        <v>8.9599999999999999E-2</v>
      </c>
      <c r="F7" s="6">
        <v>0</v>
      </c>
      <c r="G7" s="6">
        <v>1</v>
      </c>
      <c r="H7" s="18">
        <v>1</v>
      </c>
    </row>
    <row r="8" spans="1:8" ht="15" thickBot="1" x14ac:dyDescent="0.35">
      <c r="A8" s="17">
        <v>6</v>
      </c>
      <c r="B8" s="6">
        <v>7</v>
      </c>
      <c r="C8" s="6">
        <v>0.2727</v>
      </c>
      <c r="D8" s="6">
        <v>0.8</v>
      </c>
      <c r="E8" s="6">
        <v>0</v>
      </c>
      <c r="F8" s="6">
        <v>2</v>
      </c>
      <c r="G8" s="6">
        <v>0</v>
      </c>
      <c r="H8" s="18">
        <v>2</v>
      </c>
    </row>
    <row r="9" spans="1:8" ht="15" thickBot="1" x14ac:dyDescent="0.35">
      <c r="A9" s="17">
        <v>7</v>
      </c>
      <c r="B9" s="6">
        <v>8</v>
      </c>
      <c r="C9" s="6">
        <v>0.2576</v>
      </c>
      <c r="D9" s="6">
        <v>0.86</v>
      </c>
      <c r="E9" s="6">
        <v>0</v>
      </c>
      <c r="F9" s="6">
        <v>1</v>
      </c>
      <c r="G9" s="6">
        <v>2</v>
      </c>
      <c r="H9" s="18">
        <v>3</v>
      </c>
    </row>
    <row r="10" spans="1:8" ht="15" thickBot="1" x14ac:dyDescent="0.35">
      <c r="A10" s="17">
        <v>8</v>
      </c>
      <c r="B10" s="6">
        <v>9</v>
      </c>
      <c r="C10" s="5"/>
      <c r="D10" s="6">
        <v>0.75</v>
      </c>
      <c r="E10" s="6">
        <v>0</v>
      </c>
      <c r="F10" s="6">
        <v>1</v>
      </c>
      <c r="G10" s="6">
        <v>7</v>
      </c>
      <c r="H10" s="18">
        <v>8</v>
      </c>
    </row>
    <row r="11" spans="1:8" ht="15" thickBot="1" x14ac:dyDescent="0.35">
      <c r="A11" s="17">
        <v>9</v>
      </c>
      <c r="B11" s="6">
        <v>10</v>
      </c>
      <c r="C11" s="6">
        <v>0.34849999999999998</v>
      </c>
      <c r="D11" s="6">
        <v>0.76</v>
      </c>
      <c r="E11" s="6">
        <v>0</v>
      </c>
      <c r="F11" s="6">
        <v>8</v>
      </c>
      <c r="G11" s="6">
        <v>6</v>
      </c>
      <c r="H11" s="18">
        <v>14</v>
      </c>
    </row>
    <row r="12" spans="1:8" ht="15" thickBot="1" x14ac:dyDescent="0.35">
      <c r="A12" s="17">
        <v>10</v>
      </c>
      <c r="B12" s="6">
        <v>11</v>
      </c>
      <c r="C12" s="6">
        <v>0.39389999999999997</v>
      </c>
      <c r="D12" s="6">
        <v>0.76</v>
      </c>
      <c r="E12" s="6">
        <v>0.25369999999999998</v>
      </c>
      <c r="F12" s="6">
        <v>12</v>
      </c>
      <c r="G12" s="6">
        <v>24</v>
      </c>
      <c r="H12" s="18">
        <v>36</v>
      </c>
    </row>
    <row r="13" spans="1:8" ht="15" thickBot="1" x14ac:dyDescent="0.35">
      <c r="A13" s="17">
        <v>11</v>
      </c>
      <c r="B13" s="6">
        <v>12</v>
      </c>
      <c r="C13" s="6">
        <v>0.33329999999999999</v>
      </c>
      <c r="D13" s="6">
        <v>0.81</v>
      </c>
      <c r="E13" s="6">
        <v>0.28360000000000002</v>
      </c>
      <c r="F13" s="6">
        <v>26</v>
      </c>
      <c r="G13" s="6">
        <v>30</v>
      </c>
      <c r="H13" s="18">
        <v>56</v>
      </c>
    </row>
    <row r="14" spans="1:8" ht="15" thickBot="1" x14ac:dyDescent="0.35">
      <c r="A14" s="17">
        <v>12</v>
      </c>
      <c r="B14" s="6">
        <v>13</v>
      </c>
      <c r="C14" s="6">
        <v>0.42420000000000002</v>
      </c>
      <c r="D14" s="6">
        <v>0.77</v>
      </c>
      <c r="E14" s="6">
        <v>0.28360000000000002</v>
      </c>
      <c r="F14" s="6">
        <v>29</v>
      </c>
      <c r="G14" s="6">
        <v>55</v>
      </c>
      <c r="H14" s="18">
        <v>84</v>
      </c>
    </row>
    <row r="15" spans="1:8" ht="15" thickBot="1" x14ac:dyDescent="0.35">
      <c r="A15" s="17">
        <v>13</v>
      </c>
      <c r="B15" s="6">
        <v>14</v>
      </c>
      <c r="C15" s="6">
        <v>0.45450000000000002</v>
      </c>
      <c r="D15" s="6">
        <v>0.72</v>
      </c>
      <c r="E15" s="6">
        <v>0.29849999999999999</v>
      </c>
      <c r="F15" s="6">
        <v>47</v>
      </c>
      <c r="G15" s="6">
        <v>47</v>
      </c>
      <c r="H15" s="18">
        <v>94</v>
      </c>
    </row>
    <row r="16" spans="1:8" ht="15" thickBot="1" x14ac:dyDescent="0.35">
      <c r="A16" s="17">
        <v>14</v>
      </c>
      <c r="B16" s="6">
        <v>15</v>
      </c>
      <c r="C16" s="6">
        <v>0.45450000000000002</v>
      </c>
      <c r="D16" s="6">
        <v>0.72</v>
      </c>
      <c r="E16" s="6">
        <v>0.28360000000000002</v>
      </c>
      <c r="F16" s="6">
        <v>35</v>
      </c>
      <c r="G16" s="6">
        <v>71</v>
      </c>
      <c r="H16" s="18">
        <v>106</v>
      </c>
    </row>
    <row r="17" spans="1:8" ht="15" thickBot="1" x14ac:dyDescent="0.35">
      <c r="A17" s="17">
        <v>15</v>
      </c>
      <c r="B17" s="6">
        <v>16</v>
      </c>
      <c r="C17" s="6">
        <v>0.43940000000000001</v>
      </c>
      <c r="D17" s="6">
        <v>0.77</v>
      </c>
      <c r="E17" s="6">
        <v>0.29849999999999999</v>
      </c>
      <c r="F17" s="6">
        <v>40</v>
      </c>
      <c r="G17" s="6">
        <v>70</v>
      </c>
      <c r="H17" s="18">
        <v>110</v>
      </c>
    </row>
    <row r="18" spans="1:8" ht="15" thickBot="1" x14ac:dyDescent="0.35">
      <c r="A18" s="17">
        <v>16</v>
      </c>
      <c r="B18" s="6">
        <v>17</v>
      </c>
      <c r="C18" s="6">
        <v>0.42420000000000002</v>
      </c>
      <c r="D18" s="6">
        <v>0.82</v>
      </c>
      <c r="E18" s="6">
        <v>0.29849999999999999</v>
      </c>
      <c r="F18" s="6">
        <v>41</v>
      </c>
      <c r="G18" s="6">
        <v>52</v>
      </c>
      <c r="H18" s="18">
        <v>93</v>
      </c>
    </row>
    <row r="19" spans="1:8" ht="15" thickBot="1" x14ac:dyDescent="0.35">
      <c r="A19" s="17">
        <v>17</v>
      </c>
      <c r="B19" s="6">
        <v>18</v>
      </c>
      <c r="C19" s="5"/>
      <c r="D19" s="6">
        <v>0.82</v>
      </c>
      <c r="E19" s="6">
        <v>0.28360000000000002</v>
      </c>
      <c r="F19" s="6">
        <v>15</v>
      </c>
      <c r="G19" s="6">
        <v>52</v>
      </c>
      <c r="H19" s="18">
        <v>67</v>
      </c>
    </row>
    <row r="20" spans="1:8" ht="15" thickBot="1" x14ac:dyDescent="0.35">
      <c r="A20" s="17">
        <v>18</v>
      </c>
      <c r="B20" s="6">
        <v>19</v>
      </c>
      <c r="C20" s="6">
        <v>0.42420000000000002</v>
      </c>
      <c r="D20" s="6">
        <v>0.88</v>
      </c>
      <c r="E20" s="6">
        <v>0.25369999999999998</v>
      </c>
      <c r="F20" s="6">
        <v>9</v>
      </c>
      <c r="G20" s="6">
        <v>26</v>
      </c>
      <c r="H20" s="18">
        <v>35</v>
      </c>
    </row>
    <row r="21" spans="1:8" ht="15" thickBot="1" x14ac:dyDescent="0.35">
      <c r="A21" s="17">
        <v>19</v>
      </c>
      <c r="B21" s="6">
        <v>20</v>
      </c>
      <c r="C21" s="6">
        <v>0.42420000000000002</v>
      </c>
      <c r="D21" s="6">
        <v>0.88</v>
      </c>
      <c r="E21" s="6">
        <v>0.25369999999999998</v>
      </c>
      <c r="F21" s="6">
        <v>6</v>
      </c>
      <c r="G21" s="6">
        <v>31</v>
      </c>
      <c r="H21" s="18">
        <v>37</v>
      </c>
    </row>
    <row r="22" spans="1:8" ht="15" thickBot="1" x14ac:dyDescent="0.35">
      <c r="A22" s="17">
        <v>20</v>
      </c>
      <c r="B22" s="6">
        <v>21</v>
      </c>
      <c r="C22" s="6">
        <v>0.40910000000000002</v>
      </c>
      <c r="D22" s="6">
        <v>0.87</v>
      </c>
      <c r="E22" s="6">
        <v>0.25369999999999998</v>
      </c>
      <c r="F22" s="6">
        <v>11</v>
      </c>
      <c r="G22" s="6">
        <v>25</v>
      </c>
      <c r="H22" s="18">
        <v>36</v>
      </c>
    </row>
    <row r="23" spans="1:8" ht="15" thickBot="1" x14ac:dyDescent="0.35">
      <c r="A23" s="17">
        <v>21</v>
      </c>
      <c r="B23" s="6">
        <v>22</v>
      </c>
      <c r="C23" s="6">
        <v>0.40910000000000002</v>
      </c>
      <c r="D23" s="6">
        <v>0.87</v>
      </c>
      <c r="E23" s="6">
        <v>0.19400000000000001</v>
      </c>
      <c r="F23" s="6">
        <v>3</v>
      </c>
      <c r="G23" s="6">
        <v>31</v>
      </c>
      <c r="H23" s="18">
        <v>34</v>
      </c>
    </row>
    <row r="24" spans="1:8" ht="15" thickBot="1" x14ac:dyDescent="0.35">
      <c r="A24" s="17">
        <v>22</v>
      </c>
      <c r="B24" s="6">
        <v>23</v>
      </c>
      <c r="C24" s="6">
        <v>0.40910000000000002</v>
      </c>
      <c r="D24" s="6">
        <v>0.94</v>
      </c>
      <c r="E24" s="6">
        <v>0.22389999999999999</v>
      </c>
      <c r="F24" s="6">
        <v>11</v>
      </c>
      <c r="G24" s="6">
        <v>17</v>
      </c>
      <c r="H24" s="18">
        <v>28</v>
      </c>
    </row>
    <row r="25" spans="1:8" ht="15" thickBot="1" x14ac:dyDescent="0.35">
      <c r="A25" s="17">
        <v>23</v>
      </c>
      <c r="B25" s="6">
        <v>24</v>
      </c>
      <c r="C25" s="5"/>
      <c r="D25" s="6">
        <v>0.88</v>
      </c>
      <c r="E25" s="6">
        <v>0.29849999999999999</v>
      </c>
      <c r="F25" s="6">
        <v>15</v>
      </c>
      <c r="G25" s="6">
        <v>24</v>
      </c>
      <c r="H25" s="18">
        <v>39</v>
      </c>
    </row>
    <row r="26" spans="1:8" ht="15" thickBot="1" x14ac:dyDescent="0.35">
      <c r="A26" s="17">
        <v>24</v>
      </c>
      <c r="B26" s="6">
        <v>25</v>
      </c>
      <c r="C26" s="6">
        <v>0.45450000000000002</v>
      </c>
      <c r="D26" s="6">
        <v>0.88</v>
      </c>
      <c r="E26" s="6">
        <v>0.29849999999999999</v>
      </c>
      <c r="F26" s="6">
        <v>4</v>
      </c>
      <c r="G26" s="6">
        <v>13</v>
      </c>
      <c r="H26" s="18">
        <v>17</v>
      </c>
    </row>
    <row r="27" spans="1:8" ht="15" thickBot="1" x14ac:dyDescent="0.35">
      <c r="A27" s="17">
        <v>25</v>
      </c>
      <c r="B27" s="6">
        <v>26</v>
      </c>
      <c r="C27" s="6">
        <v>0.43940000000000001</v>
      </c>
      <c r="D27" s="6">
        <v>0.94</v>
      </c>
      <c r="E27" s="6">
        <v>0.25369999999999998</v>
      </c>
      <c r="F27" s="6">
        <v>1</v>
      </c>
      <c r="G27" s="6">
        <v>16</v>
      </c>
      <c r="H27" s="18">
        <v>17</v>
      </c>
    </row>
    <row r="28" spans="1:8" ht="15" thickBot="1" x14ac:dyDescent="0.35">
      <c r="A28" s="17">
        <v>26</v>
      </c>
      <c r="B28" s="6">
        <v>27</v>
      </c>
      <c r="C28" s="6">
        <v>0.42420000000000002</v>
      </c>
      <c r="D28" s="6">
        <v>1</v>
      </c>
      <c r="E28" s="6">
        <v>0.28360000000000002</v>
      </c>
      <c r="F28" s="6">
        <v>1</v>
      </c>
      <c r="G28" s="6">
        <v>8</v>
      </c>
      <c r="H28" s="18">
        <v>9</v>
      </c>
    </row>
    <row r="29" spans="1:8" ht="15" thickBot="1" x14ac:dyDescent="0.35">
      <c r="A29" s="17">
        <v>27</v>
      </c>
      <c r="B29" s="6">
        <v>28</v>
      </c>
      <c r="C29" s="6">
        <v>0.45450000000000002</v>
      </c>
      <c r="D29" s="6">
        <v>0.94</v>
      </c>
      <c r="E29" s="6">
        <v>0.19400000000000001</v>
      </c>
      <c r="F29" s="6">
        <v>2</v>
      </c>
      <c r="G29" s="6">
        <v>4</v>
      </c>
      <c r="H29" s="18">
        <v>6</v>
      </c>
    </row>
    <row r="30" spans="1:8" ht="15" thickBot="1" x14ac:dyDescent="0.35">
      <c r="A30" s="17">
        <v>28</v>
      </c>
      <c r="B30" s="6">
        <v>29</v>
      </c>
      <c r="C30" s="5"/>
      <c r="D30" s="6">
        <v>0.94</v>
      </c>
      <c r="E30" s="6">
        <v>0.19400000000000001</v>
      </c>
      <c r="F30" s="6">
        <v>2</v>
      </c>
      <c r="G30" s="6">
        <v>1</v>
      </c>
      <c r="H30" s="18">
        <v>3</v>
      </c>
    </row>
    <row r="31" spans="1:8" ht="15" thickBot="1" x14ac:dyDescent="0.35">
      <c r="A31" s="17">
        <v>29</v>
      </c>
      <c r="B31" s="6">
        <v>30</v>
      </c>
      <c r="C31" s="6">
        <v>0.42420000000000002</v>
      </c>
      <c r="D31" s="6">
        <v>0.77</v>
      </c>
      <c r="E31" s="6">
        <v>0.29849999999999999</v>
      </c>
      <c r="F31" s="6">
        <v>0</v>
      </c>
      <c r="G31" s="6">
        <v>2</v>
      </c>
      <c r="H31" s="18">
        <v>2</v>
      </c>
    </row>
    <row r="32" spans="1:8" ht="15" thickBot="1" x14ac:dyDescent="0.35">
      <c r="A32" s="17">
        <v>30</v>
      </c>
      <c r="B32" s="6">
        <v>31</v>
      </c>
      <c r="C32" s="6">
        <v>0.40910000000000002</v>
      </c>
      <c r="D32" s="6">
        <v>0.76</v>
      </c>
      <c r="E32" s="6">
        <v>0.19400000000000001</v>
      </c>
      <c r="F32" s="6">
        <v>0</v>
      </c>
      <c r="G32" s="6">
        <v>1</v>
      </c>
      <c r="H32" s="18">
        <v>1</v>
      </c>
    </row>
    <row r="33" spans="1:8" ht="15" thickBot="1" x14ac:dyDescent="0.35">
      <c r="A33" s="17">
        <v>31</v>
      </c>
      <c r="B33" s="6">
        <v>32</v>
      </c>
      <c r="C33" s="6">
        <v>0.40910000000000002</v>
      </c>
      <c r="D33" s="6">
        <v>0.71</v>
      </c>
      <c r="E33" s="6">
        <v>0.22389999999999999</v>
      </c>
      <c r="F33" s="6">
        <v>0</v>
      </c>
      <c r="G33" s="6">
        <v>8</v>
      </c>
      <c r="H33" s="18">
        <v>8</v>
      </c>
    </row>
    <row r="34" spans="1:8" ht="15" thickBot="1" x14ac:dyDescent="0.35">
      <c r="A34" s="17">
        <v>32</v>
      </c>
      <c r="B34" s="6">
        <v>33</v>
      </c>
      <c r="C34" s="5"/>
      <c r="D34" s="6">
        <v>0.76</v>
      </c>
      <c r="E34" s="6">
        <v>0.22389999999999999</v>
      </c>
      <c r="F34" s="6">
        <v>1</v>
      </c>
      <c r="G34" s="6">
        <v>19</v>
      </c>
      <c r="H34" s="18">
        <v>20</v>
      </c>
    </row>
    <row r="35" spans="1:8" ht="15" thickBot="1" x14ac:dyDescent="0.35">
      <c r="A35" s="17">
        <v>33</v>
      </c>
      <c r="B35" s="6">
        <v>34</v>
      </c>
      <c r="C35" s="6">
        <v>0.34849999999999998</v>
      </c>
      <c r="D35" s="6">
        <v>0.81</v>
      </c>
      <c r="E35" s="6">
        <v>0.22389999999999999</v>
      </c>
      <c r="F35" s="6">
        <v>7</v>
      </c>
      <c r="G35" s="6">
        <v>46</v>
      </c>
      <c r="H35" s="18">
        <v>53</v>
      </c>
    </row>
    <row r="36" spans="1:8" ht="15" thickBot="1" x14ac:dyDescent="0.35">
      <c r="A36" s="17">
        <v>34</v>
      </c>
      <c r="B36" s="6">
        <v>35</v>
      </c>
      <c r="C36" s="6">
        <v>0.33329999999999999</v>
      </c>
      <c r="D36" s="6">
        <v>0.71</v>
      </c>
      <c r="E36" s="6">
        <v>0.25369999999999998</v>
      </c>
      <c r="F36" s="6">
        <v>16</v>
      </c>
      <c r="G36" s="6">
        <v>54</v>
      </c>
      <c r="H36" s="18">
        <v>70</v>
      </c>
    </row>
    <row r="37" spans="1:8" ht="15" thickBot="1" x14ac:dyDescent="0.35">
      <c r="A37" s="17">
        <v>35</v>
      </c>
      <c r="B37" s="6">
        <v>36</v>
      </c>
      <c r="C37" s="6">
        <v>0.33329999999999999</v>
      </c>
      <c r="D37" s="6">
        <v>0.66</v>
      </c>
      <c r="E37" s="6">
        <v>0.29849999999999999</v>
      </c>
      <c r="F37" s="6">
        <v>20</v>
      </c>
      <c r="G37" s="6">
        <v>73</v>
      </c>
      <c r="H37" s="18">
        <v>93</v>
      </c>
    </row>
    <row r="38" spans="1:8" ht="15" thickBot="1" x14ac:dyDescent="0.35">
      <c r="A38" s="17">
        <v>36</v>
      </c>
      <c r="B38" s="6">
        <v>37</v>
      </c>
      <c r="C38" s="6">
        <v>0.34849999999999998</v>
      </c>
      <c r="D38" s="6">
        <v>0.66</v>
      </c>
      <c r="E38" s="6">
        <v>0.1343</v>
      </c>
      <c r="F38" s="6">
        <v>11</v>
      </c>
      <c r="G38" s="6">
        <v>64</v>
      </c>
      <c r="H38" s="18">
        <v>75</v>
      </c>
    </row>
    <row r="39" spans="1:8" ht="15" thickBot="1" x14ac:dyDescent="0.35">
      <c r="A39" s="17">
        <v>37</v>
      </c>
      <c r="B39" s="6">
        <v>38</v>
      </c>
      <c r="C39" s="5"/>
      <c r="D39" s="6">
        <v>0.76</v>
      </c>
      <c r="E39" s="6">
        <v>0.19400000000000001</v>
      </c>
      <c r="F39" s="6">
        <v>4</v>
      </c>
      <c r="G39" s="6">
        <v>55</v>
      </c>
      <c r="H39" s="18">
        <v>59</v>
      </c>
    </row>
    <row r="40" spans="1:8" ht="15" thickBot="1" x14ac:dyDescent="0.35">
      <c r="A40" s="17">
        <v>38</v>
      </c>
      <c r="B40" s="6">
        <v>39</v>
      </c>
      <c r="C40" s="6">
        <v>0.33329999999999999</v>
      </c>
      <c r="D40" s="6">
        <v>0.81</v>
      </c>
      <c r="E40" s="6">
        <v>0.16420000000000001</v>
      </c>
      <c r="F40" s="6">
        <v>19</v>
      </c>
      <c r="G40" s="6">
        <v>55</v>
      </c>
      <c r="H40" s="18">
        <v>74</v>
      </c>
    </row>
    <row r="41" spans="1:8" ht="15" thickBot="1" x14ac:dyDescent="0.35">
      <c r="A41" s="17">
        <v>39</v>
      </c>
      <c r="B41" s="6">
        <v>40</v>
      </c>
      <c r="C41" s="6">
        <v>0.33329999999999999</v>
      </c>
      <c r="D41" s="6">
        <v>0.71</v>
      </c>
      <c r="E41" s="6">
        <v>0.16420000000000001</v>
      </c>
      <c r="F41" s="6">
        <v>9</v>
      </c>
      <c r="G41" s="6">
        <v>67</v>
      </c>
      <c r="H41" s="18">
        <v>76</v>
      </c>
    </row>
    <row r="42" spans="1:8" ht="15" thickBot="1" x14ac:dyDescent="0.35">
      <c r="A42" s="17">
        <v>40</v>
      </c>
      <c r="B42" s="6">
        <v>41</v>
      </c>
      <c r="C42" s="6">
        <v>0.33329999999999999</v>
      </c>
      <c r="D42" s="6">
        <v>0.56999999999999995</v>
      </c>
      <c r="E42" s="6">
        <v>0.19400000000000001</v>
      </c>
      <c r="F42" s="6">
        <v>7</v>
      </c>
      <c r="G42" s="6">
        <v>58</v>
      </c>
      <c r="H42" s="18">
        <v>65</v>
      </c>
    </row>
    <row r="43" spans="1:8" ht="15" thickBot="1" x14ac:dyDescent="0.35">
      <c r="A43" s="17">
        <v>41</v>
      </c>
      <c r="B43" s="6">
        <v>42</v>
      </c>
      <c r="C43" s="6">
        <v>0.33329999999999999</v>
      </c>
      <c r="D43" s="6">
        <v>0.46</v>
      </c>
      <c r="E43" s="6">
        <v>0.32840000000000003</v>
      </c>
      <c r="F43" s="6">
        <v>10</v>
      </c>
      <c r="G43" s="6">
        <v>43</v>
      </c>
      <c r="H43" s="18">
        <v>53</v>
      </c>
    </row>
    <row r="44" spans="1:8" ht="15" thickBot="1" x14ac:dyDescent="0.35">
      <c r="A44" s="17">
        <v>42</v>
      </c>
      <c r="B44" s="6">
        <v>43</v>
      </c>
      <c r="C44" s="6">
        <v>0.28789999999999999</v>
      </c>
      <c r="D44" s="6">
        <v>0.42</v>
      </c>
      <c r="E44" s="6">
        <v>0.44779999999999998</v>
      </c>
      <c r="F44" s="6">
        <v>1</v>
      </c>
      <c r="G44" s="6">
        <v>29</v>
      </c>
      <c r="H44" s="18">
        <v>30</v>
      </c>
    </row>
    <row r="45" spans="1:8" ht="15" thickBot="1" x14ac:dyDescent="0.35">
      <c r="A45" s="17">
        <v>43</v>
      </c>
      <c r="B45" s="6">
        <v>44</v>
      </c>
      <c r="C45" s="5"/>
      <c r="D45" s="6">
        <v>0.39</v>
      </c>
      <c r="E45" s="6">
        <v>0.35820000000000002</v>
      </c>
      <c r="F45" s="6">
        <v>5</v>
      </c>
      <c r="G45" s="6">
        <v>17</v>
      </c>
      <c r="H45" s="18">
        <v>22</v>
      </c>
    </row>
    <row r="46" spans="1:8" ht="15" thickBot="1" x14ac:dyDescent="0.35">
      <c r="A46" s="17">
        <v>44</v>
      </c>
      <c r="B46" s="6">
        <v>45</v>
      </c>
      <c r="C46" s="6">
        <v>0.2273</v>
      </c>
      <c r="D46" s="6">
        <v>0.44</v>
      </c>
      <c r="E46" s="6">
        <v>0.32840000000000003</v>
      </c>
      <c r="F46" s="6">
        <v>11</v>
      </c>
      <c r="G46" s="6">
        <v>20</v>
      </c>
      <c r="H46" s="18">
        <v>31</v>
      </c>
    </row>
    <row r="47" spans="1:8" ht="15" thickBot="1" x14ac:dyDescent="0.35">
      <c r="A47" s="17">
        <v>45</v>
      </c>
      <c r="B47" s="6">
        <v>46</v>
      </c>
      <c r="C47" s="6">
        <v>0.21210000000000001</v>
      </c>
      <c r="D47" s="6">
        <v>0.44</v>
      </c>
      <c r="E47" s="6">
        <v>0.29849999999999999</v>
      </c>
      <c r="F47" s="6">
        <v>0</v>
      </c>
      <c r="G47" s="6">
        <v>9</v>
      </c>
      <c r="H47" s="18">
        <v>9</v>
      </c>
    </row>
    <row r="48" spans="1:8" ht="15" thickBot="1" x14ac:dyDescent="0.35">
      <c r="A48" s="17">
        <v>46</v>
      </c>
      <c r="B48" s="6">
        <v>47</v>
      </c>
      <c r="C48" s="6">
        <v>0.2273</v>
      </c>
      <c r="D48" s="6">
        <v>0.47</v>
      </c>
      <c r="E48" s="6">
        <v>0.16420000000000001</v>
      </c>
      <c r="F48" s="6">
        <v>0</v>
      </c>
      <c r="G48" s="6">
        <v>8</v>
      </c>
      <c r="H48" s="18">
        <v>8</v>
      </c>
    </row>
    <row r="49" spans="1:8" ht="15" thickBot="1" x14ac:dyDescent="0.35">
      <c r="A49" s="17">
        <v>47</v>
      </c>
      <c r="B49" s="6">
        <v>48</v>
      </c>
      <c r="C49" s="6">
        <v>0.19700000000000001</v>
      </c>
      <c r="D49" s="6">
        <v>0.44</v>
      </c>
      <c r="E49" s="6">
        <v>0.35820000000000002</v>
      </c>
      <c r="F49" s="6">
        <v>0</v>
      </c>
      <c r="G49" s="6">
        <v>5</v>
      </c>
      <c r="H49" s="18">
        <v>5</v>
      </c>
    </row>
    <row r="50" spans="1:8" ht="15" thickBot="1" x14ac:dyDescent="0.35">
      <c r="A50" s="17">
        <v>48</v>
      </c>
      <c r="B50" s="6">
        <v>49</v>
      </c>
      <c r="C50" s="5"/>
      <c r="D50" s="6">
        <v>0.44</v>
      </c>
      <c r="E50" s="6">
        <v>0.41789999999999999</v>
      </c>
      <c r="F50" s="6">
        <v>0</v>
      </c>
      <c r="G50" s="6">
        <v>2</v>
      </c>
      <c r="H50" s="18">
        <v>2</v>
      </c>
    </row>
    <row r="51" spans="1:8" ht="15" thickBot="1" x14ac:dyDescent="0.35">
      <c r="A51" s="17">
        <v>49</v>
      </c>
      <c r="B51" s="6">
        <v>50</v>
      </c>
      <c r="C51" s="6">
        <v>0.13639999999999999</v>
      </c>
      <c r="D51" s="6">
        <v>0.47</v>
      </c>
      <c r="E51" s="6">
        <v>0.3881</v>
      </c>
      <c r="F51" s="6">
        <v>0</v>
      </c>
      <c r="G51" s="6">
        <v>1</v>
      </c>
      <c r="H51" s="18">
        <v>1</v>
      </c>
    </row>
    <row r="52" spans="1:8" ht="15" thickBot="1" x14ac:dyDescent="0.35">
      <c r="A52" s="17">
        <v>50</v>
      </c>
      <c r="B52" s="6">
        <v>51</v>
      </c>
      <c r="C52" s="6">
        <v>0.13639999999999999</v>
      </c>
      <c r="D52" s="6">
        <v>0.47</v>
      </c>
      <c r="E52" s="6">
        <v>0.28360000000000002</v>
      </c>
      <c r="F52" s="6">
        <v>0</v>
      </c>
      <c r="G52" s="6">
        <v>3</v>
      </c>
      <c r="H52" s="18">
        <v>3</v>
      </c>
    </row>
    <row r="53" spans="1:8" ht="15" thickBot="1" x14ac:dyDescent="0.35">
      <c r="A53" s="17">
        <v>51</v>
      </c>
      <c r="B53" s="6">
        <v>52</v>
      </c>
      <c r="C53" s="6">
        <v>0.1061</v>
      </c>
      <c r="D53" s="6">
        <v>0.5</v>
      </c>
      <c r="E53" s="6">
        <v>0.3881</v>
      </c>
      <c r="F53" s="6">
        <v>0</v>
      </c>
      <c r="G53" s="6">
        <v>30</v>
      </c>
      <c r="H53" s="18">
        <v>30</v>
      </c>
    </row>
    <row r="54" spans="1:8" ht="15" thickBot="1" x14ac:dyDescent="0.35">
      <c r="A54" s="17">
        <v>52</v>
      </c>
      <c r="B54" s="6">
        <v>53</v>
      </c>
      <c r="C54" s="6">
        <v>0.13639999999999999</v>
      </c>
      <c r="D54" s="6">
        <v>0.5</v>
      </c>
      <c r="E54" s="6">
        <v>0.19400000000000001</v>
      </c>
      <c r="F54" s="6">
        <v>1</v>
      </c>
      <c r="G54" s="6">
        <v>63</v>
      </c>
      <c r="H54" s="18">
        <v>64</v>
      </c>
    </row>
    <row r="55" spans="1:8" ht="15" thickBot="1" x14ac:dyDescent="0.35">
      <c r="A55" s="17">
        <v>53</v>
      </c>
      <c r="B55" s="6">
        <v>54</v>
      </c>
      <c r="C55" s="6">
        <v>0.1212</v>
      </c>
      <c r="D55" s="6">
        <v>0.5</v>
      </c>
      <c r="E55" s="6">
        <v>0.28360000000000002</v>
      </c>
      <c r="F55" s="6">
        <v>1</v>
      </c>
      <c r="G55" s="6">
        <v>153</v>
      </c>
      <c r="H55" s="18">
        <v>154</v>
      </c>
    </row>
    <row r="56" spans="1:8" ht="15" thickBot="1" x14ac:dyDescent="0.35">
      <c r="A56" s="17">
        <v>54</v>
      </c>
      <c r="B56" s="6">
        <v>55</v>
      </c>
      <c r="C56" s="6">
        <v>0.13639999999999999</v>
      </c>
      <c r="D56" s="6">
        <v>0.43</v>
      </c>
      <c r="E56" s="6">
        <v>0.3881</v>
      </c>
      <c r="F56" s="6">
        <v>7</v>
      </c>
      <c r="G56" s="6">
        <v>81</v>
      </c>
      <c r="H56" s="18">
        <v>88</v>
      </c>
    </row>
    <row r="57" spans="1:8" ht="15" thickBot="1" x14ac:dyDescent="0.35">
      <c r="A57" s="17">
        <v>55</v>
      </c>
      <c r="B57" s="6">
        <v>56</v>
      </c>
      <c r="C57" s="6">
        <v>0.16669999999999999</v>
      </c>
      <c r="D57" s="6">
        <v>0.43</v>
      </c>
      <c r="E57" s="6">
        <v>0.25369999999999998</v>
      </c>
      <c r="F57" s="6">
        <v>11</v>
      </c>
      <c r="G57" s="6">
        <v>33</v>
      </c>
      <c r="H57" s="18">
        <v>44</v>
      </c>
    </row>
    <row r="58" spans="1:8" ht="15" thickBot="1" x14ac:dyDescent="0.35">
      <c r="A58" s="17">
        <v>56</v>
      </c>
      <c r="B58" s="6">
        <v>57</v>
      </c>
      <c r="C58" s="6">
        <v>0.18179999999999999</v>
      </c>
      <c r="D58" s="6">
        <v>0.4</v>
      </c>
      <c r="E58" s="6">
        <v>0.32840000000000003</v>
      </c>
      <c r="F58" s="6">
        <v>10</v>
      </c>
      <c r="G58" s="6">
        <v>41</v>
      </c>
      <c r="H58" s="18">
        <v>51</v>
      </c>
    </row>
    <row r="59" spans="1:8" ht="15" thickBot="1" x14ac:dyDescent="0.35">
      <c r="A59" s="17">
        <v>57</v>
      </c>
      <c r="B59" s="6">
        <v>58</v>
      </c>
      <c r="C59" s="6">
        <v>0.21210000000000001</v>
      </c>
      <c r="D59" s="6">
        <v>0.35</v>
      </c>
      <c r="E59" s="6">
        <v>0.29849999999999999</v>
      </c>
      <c r="F59" s="6">
        <v>13</v>
      </c>
      <c r="G59" s="6">
        <v>48</v>
      </c>
      <c r="H59" s="18">
        <v>61</v>
      </c>
    </row>
    <row r="60" spans="1:8" ht="15" thickBot="1" x14ac:dyDescent="0.35">
      <c r="A60" s="17">
        <v>58</v>
      </c>
      <c r="B60" s="6">
        <v>59</v>
      </c>
      <c r="C60" s="5"/>
      <c r="D60" s="6">
        <v>0.35</v>
      </c>
      <c r="E60" s="6">
        <v>0.28360000000000002</v>
      </c>
      <c r="F60" s="6">
        <v>8</v>
      </c>
      <c r="G60" s="6">
        <v>53</v>
      </c>
      <c r="H60" s="18">
        <v>61</v>
      </c>
    </row>
    <row r="61" spans="1:8" ht="15" thickBot="1" x14ac:dyDescent="0.35">
      <c r="A61" s="17">
        <v>59</v>
      </c>
      <c r="B61" s="6">
        <v>60</v>
      </c>
      <c r="C61" s="6">
        <v>0.2424</v>
      </c>
      <c r="D61" s="6">
        <v>0.3</v>
      </c>
      <c r="E61" s="6">
        <v>0.28360000000000002</v>
      </c>
      <c r="F61" s="6">
        <v>11</v>
      </c>
      <c r="G61" s="6">
        <v>66</v>
      </c>
      <c r="H61" s="18">
        <v>77</v>
      </c>
    </row>
    <row r="62" spans="1:8" ht="15" thickBot="1" x14ac:dyDescent="0.35">
      <c r="A62" s="17">
        <v>60</v>
      </c>
      <c r="B62" s="6">
        <v>61</v>
      </c>
      <c r="C62" s="6">
        <v>0.2424</v>
      </c>
      <c r="D62" s="6">
        <v>0.3</v>
      </c>
      <c r="E62" s="6">
        <v>0.25369999999999998</v>
      </c>
      <c r="F62" s="6">
        <v>14</v>
      </c>
      <c r="G62" s="6">
        <v>58</v>
      </c>
      <c r="H62" s="18">
        <v>72</v>
      </c>
    </row>
    <row r="63" spans="1:8" ht="15" thickBot="1" x14ac:dyDescent="0.35">
      <c r="A63" s="17">
        <v>61</v>
      </c>
      <c r="B63" s="6">
        <v>62</v>
      </c>
      <c r="C63" s="6">
        <v>0.2424</v>
      </c>
      <c r="D63" s="6">
        <v>0.3</v>
      </c>
      <c r="E63" s="6">
        <v>0.25369999999999998</v>
      </c>
      <c r="F63" s="6">
        <v>9</v>
      </c>
      <c r="G63" s="6">
        <v>67</v>
      </c>
      <c r="H63" s="18">
        <v>76</v>
      </c>
    </row>
    <row r="64" spans="1:8" ht="15" thickBot="1" x14ac:dyDescent="0.35">
      <c r="A64" s="17">
        <v>62</v>
      </c>
      <c r="B64" s="6">
        <v>63</v>
      </c>
      <c r="C64" s="6">
        <v>0.2273</v>
      </c>
      <c r="D64" s="6">
        <v>0.3</v>
      </c>
      <c r="E64" s="6">
        <v>0.22389999999999999</v>
      </c>
      <c r="F64" s="6">
        <v>11</v>
      </c>
      <c r="G64" s="6">
        <v>146</v>
      </c>
      <c r="H64" s="18">
        <v>157</v>
      </c>
    </row>
    <row r="65" spans="1:8" ht="15" thickBot="1" x14ac:dyDescent="0.35">
      <c r="A65" s="17">
        <v>63</v>
      </c>
      <c r="B65" s="6">
        <v>64</v>
      </c>
      <c r="C65" s="6">
        <v>0.2576</v>
      </c>
      <c r="D65" s="6">
        <v>0.32</v>
      </c>
      <c r="E65" s="6">
        <v>0.1045</v>
      </c>
      <c r="F65" s="6">
        <v>9</v>
      </c>
      <c r="G65" s="6">
        <v>148</v>
      </c>
      <c r="H65" s="18">
        <v>157</v>
      </c>
    </row>
    <row r="66" spans="1:8" ht="15" thickBot="1" x14ac:dyDescent="0.35">
      <c r="A66" s="17">
        <v>64</v>
      </c>
      <c r="B66" s="6">
        <v>65</v>
      </c>
      <c r="C66" s="6">
        <v>0.2576</v>
      </c>
      <c r="D66" s="6">
        <v>0.47</v>
      </c>
      <c r="E66" s="6">
        <v>0</v>
      </c>
      <c r="F66" s="6">
        <v>8</v>
      </c>
      <c r="G66" s="6">
        <v>102</v>
      </c>
      <c r="H66" s="18">
        <v>110</v>
      </c>
    </row>
    <row r="67" spans="1:8" ht="15" thickBot="1" x14ac:dyDescent="0.35">
      <c r="A67" s="17">
        <v>65</v>
      </c>
      <c r="B67" s="6">
        <v>66</v>
      </c>
      <c r="C67" s="5"/>
      <c r="D67" s="6">
        <v>0.47</v>
      </c>
      <c r="E67" s="6">
        <v>0.1045</v>
      </c>
      <c r="F67" s="6">
        <v>3</v>
      </c>
      <c r="G67" s="6">
        <v>49</v>
      </c>
      <c r="H67" s="18">
        <v>52</v>
      </c>
    </row>
    <row r="68" spans="1:8" ht="15" thickBot="1" x14ac:dyDescent="0.35">
      <c r="A68" s="17">
        <v>66</v>
      </c>
      <c r="B68" s="6">
        <v>67</v>
      </c>
      <c r="C68" s="6">
        <v>0.19700000000000001</v>
      </c>
      <c r="D68" s="6">
        <v>0.64</v>
      </c>
      <c r="E68" s="6">
        <v>0.1343</v>
      </c>
      <c r="F68" s="6">
        <v>3</v>
      </c>
      <c r="G68" s="6">
        <v>49</v>
      </c>
      <c r="H68" s="18">
        <v>52</v>
      </c>
    </row>
    <row r="69" spans="1:8" ht="15" thickBot="1" x14ac:dyDescent="0.35">
      <c r="A69" s="17">
        <v>67</v>
      </c>
      <c r="B69" s="6">
        <v>68</v>
      </c>
      <c r="C69" s="6">
        <v>0.1515</v>
      </c>
      <c r="D69" s="6">
        <v>0.69</v>
      </c>
      <c r="E69" s="6">
        <v>0.1343</v>
      </c>
      <c r="F69" s="6">
        <v>0</v>
      </c>
      <c r="G69" s="6">
        <v>20</v>
      </c>
      <c r="H69" s="18">
        <v>20</v>
      </c>
    </row>
    <row r="70" spans="1:8" ht="15" thickBot="1" x14ac:dyDescent="0.35">
      <c r="A70" s="17">
        <v>68</v>
      </c>
      <c r="B70" s="6">
        <v>69</v>
      </c>
      <c r="C70" s="6">
        <v>0.21210000000000001</v>
      </c>
      <c r="D70" s="6">
        <v>0.55000000000000004</v>
      </c>
      <c r="E70" s="6">
        <v>0.1045</v>
      </c>
      <c r="F70" s="6">
        <v>1</v>
      </c>
      <c r="G70" s="6">
        <v>11</v>
      </c>
      <c r="H70" s="18">
        <v>12</v>
      </c>
    </row>
    <row r="71" spans="1:8" ht="15" thickBot="1" x14ac:dyDescent="0.35">
      <c r="A71" s="17">
        <v>69</v>
      </c>
      <c r="B71" s="6">
        <v>70</v>
      </c>
      <c r="C71" s="5"/>
      <c r="D71" s="6">
        <v>0.55000000000000004</v>
      </c>
      <c r="E71" s="6">
        <v>0.1045</v>
      </c>
      <c r="F71" s="6">
        <v>0</v>
      </c>
      <c r="G71" s="6">
        <v>5</v>
      </c>
      <c r="H71" s="18">
        <v>5</v>
      </c>
    </row>
    <row r="72" spans="1:8" ht="15" thickBot="1" x14ac:dyDescent="0.35">
      <c r="A72" s="17">
        <v>70</v>
      </c>
      <c r="B72" s="6">
        <v>71</v>
      </c>
      <c r="C72" s="6">
        <v>0.18179999999999999</v>
      </c>
      <c r="D72" s="6">
        <v>0.59</v>
      </c>
      <c r="E72" s="6">
        <v>0.1045</v>
      </c>
      <c r="F72" s="6">
        <v>0</v>
      </c>
      <c r="G72" s="6">
        <v>2</v>
      </c>
      <c r="H72" s="18">
        <v>2</v>
      </c>
    </row>
    <row r="73" spans="1:8" ht="15" thickBot="1" x14ac:dyDescent="0.35">
      <c r="A73" s="17">
        <v>71</v>
      </c>
      <c r="B73" s="6">
        <v>72</v>
      </c>
      <c r="C73" s="6">
        <v>0.1515</v>
      </c>
      <c r="D73" s="6">
        <v>0.63</v>
      </c>
      <c r="E73" s="6">
        <v>0.1343</v>
      </c>
      <c r="F73" s="6">
        <v>0</v>
      </c>
      <c r="G73" s="6">
        <v>1</v>
      </c>
      <c r="H73" s="18">
        <v>1</v>
      </c>
    </row>
    <row r="74" spans="1:8" ht="15" thickBot="1" x14ac:dyDescent="0.35">
      <c r="A74" s="17">
        <v>72</v>
      </c>
      <c r="B74" s="6">
        <v>73</v>
      </c>
      <c r="C74" s="6">
        <v>0.18179999999999999</v>
      </c>
      <c r="D74" s="6">
        <v>0.63</v>
      </c>
      <c r="E74" s="6">
        <v>8.9599999999999999E-2</v>
      </c>
      <c r="F74" s="6">
        <v>0</v>
      </c>
      <c r="G74" s="6">
        <v>2</v>
      </c>
      <c r="H74" s="18">
        <v>2</v>
      </c>
    </row>
    <row r="75" spans="1:8" ht="15" thickBot="1" x14ac:dyDescent="0.35">
      <c r="A75" s="17">
        <v>73</v>
      </c>
      <c r="B75" s="6">
        <v>74</v>
      </c>
      <c r="C75" s="6">
        <v>0.1515</v>
      </c>
      <c r="D75" s="6">
        <v>0.68</v>
      </c>
      <c r="E75" s="6">
        <v>0.1045</v>
      </c>
      <c r="F75" s="6">
        <v>0</v>
      </c>
      <c r="G75" s="6">
        <v>4</v>
      </c>
      <c r="H75" s="18">
        <v>4</v>
      </c>
    </row>
    <row r="76" spans="1:8" ht="15" thickBot="1" x14ac:dyDescent="0.35">
      <c r="A76" s="17">
        <v>74</v>
      </c>
      <c r="B76" s="6">
        <v>75</v>
      </c>
      <c r="C76" s="6">
        <v>0.1515</v>
      </c>
      <c r="D76" s="6">
        <v>0.74</v>
      </c>
      <c r="E76" s="6">
        <v>0.1045</v>
      </c>
      <c r="F76" s="6">
        <v>0</v>
      </c>
      <c r="G76" s="6">
        <v>36</v>
      </c>
      <c r="H76" s="18">
        <v>36</v>
      </c>
    </row>
    <row r="77" spans="1:8" ht="15" thickBot="1" x14ac:dyDescent="0.35">
      <c r="A77" s="17">
        <v>75</v>
      </c>
      <c r="B77" s="6">
        <v>76</v>
      </c>
      <c r="C77" s="6">
        <v>0.1515</v>
      </c>
      <c r="D77" s="6">
        <v>0.74</v>
      </c>
      <c r="E77" s="6">
        <v>0.1343</v>
      </c>
      <c r="F77" s="6">
        <v>2</v>
      </c>
      <c r="G77" s="6">
        <v>92</v>
      </c>
      <c r="H77" s="18">
        <v>94</v>
      </c>
    </row>
    <row r="78" spans="1:8" ht="15" thickBot="1" x14ac:dyDescent="0.35">
      <c r="A78" s="17">
        <v>76</v>
      </c>
      <c r="B78" s="6">
        <v>77</v>
      </c>
      <c r="C78" s="6">
        <v>0.1515</v>
      </c>
      <c r="D78" s="6">
        <v>0.69</v>
      </c>
      <c r="E78" s="6">
        <v>0.16420000000000001</v>
      </c>
      <c r="F78" s="6">
        <v>2</v>
      </c>
      <c r="G78" s="6">
        <v>177</v>
      </c>
      <c r="H78" s="18">
        <v>179</v>
      </c>
    </row>
    <row r="79" spans="1:8" ht="15" thickBot="1" x14ac:dyDescent="0.35">
      <c r="A79" s="17">
        <v>77</v>
      </c>
      <c r="B79" s="6">
        <v>78</v>
      </c>
      <c r="C79" s="6">
        <v>0.1515</v>
      </c>
      <c r="D79" s="6">
        <v>0.64</v>
      </c>
      <c r="E79" s="6">
        <v>0.22389999999999999</v>
      </c>
      <c r="F79" s="6">
        <v>2</v>
      </c>
      <c r="G79" s="6">
        <v>98</v>
      </c>
      <c r="H79" s="18">
        <v>100</v>
      </c>
    </row>
    <row r="80" spans="1:8" ht="15" thickBot="1" x14ac:dyDescent="0.35">
      <c r="A80" s="17">
        <v>78</v>
      </c>
      <c r="B80" s="6">
        <v>79</v>
      </c>
      <c r="C80" s="6">
        <v>0.13639999999999999</v>
      </c>
      <c r="D80" s="6">
        <v>0.69</v>
      </c>
      <c r="E80" s="6">
        <v>0.32840000000000003</v>
      </c>
      <c r="F80" s="6">
        <v>5</v>
      </c>
      <c r="G80" s="6">
        <v>37</v>
      </c>
      <c r="H80" s="18">
        <v>42</v>
      </c>
    </row>
    <row r="81" spans="1:8" ht="15" thickBot="1" x14ac:dyDescent="0.35">
      <c r="A81" s="17">
        <v>79</v>
      </c>
      <c r="B81" s="6">
        <v>80</v>
      </c>
      <c r="C81" s="6">
        <v>0.21210000000000001</v>
      </c>
      <c r="D81" s="6">
        <v>0.51</v>
      </c>
      <c r="E81" s="6">
        <v>0.29849999999999999</v>
      </c>
      <c r="F81" s="6">
        <v>7</v>
      </c>
      <c r="G81" s="6">
        <v>50</v>
      </c>
      <c r="H81" s="18">
        <v>57</v>
      </c>
    </row>
    <row r="82" spans="1:8" ht="15" thickBot="1" x14ac:dyDescent="0.35">
      <c r="A82" s="17">
        <v>80</v>
      </c>
      <c r="B82" s="6">
        <v>81</v>
      </c>
      <c r="C82" s="6">
        <v>0.2273</v>
      </c>
      <c r="D82" s="6">
        <v>0.51</v>
      </c>
      <c r="E82" s="6">
        <v>0.16420000000000001</v>
      </c>
      <c r="F82" s="6">
        <v>12</v>
      </c>
      <c r="G82" s="6">
        <v>66</v>
      </c>
      <c r="H82" s="18">
        <v>78</v>
      </c>
    </row>
    <row r="83" spans="1:8" ht="15" thickBot="1" x14ac:dyDescent="0.35">
      <c r="A83" s="17">
        <v>81</v>
      </c>
      <c r="B83" s="6">
        <v>82</v>
      </c>
      <c r="C83" s="6">
        <v>0.2273</v>
      </c>
      <c r="D83" s="6">
        <v>0.56000000000000005</v>
      </c>
      <c r="E83" s="6">
        <v>0.19400000000000001</v>
      </c>
      <c r="F83" s="6">
        <v>18</v>
      </c>
      <c r="G83" s="6">
        <v>79</v>
      </c>
      <c r="H83" s="18">
        <v>97</v>
      </c>
    </row>
    <row r="84" spans="1:8" ht="15" thickBot="1" x14ac:dyDescent="0.35">
      <c r="A84" s="17">
        <v>82</v>
      </c>
      <c r="B84" s="6">
        <v>83</v>
      </c>
      <c r="C84" s="6">
        <v>0.2576</v>
      </c>
      <c r="D84" s="6">
        <v>0.52</v>
      </c>
      <c r="E84" s="6">
        <v>0.22389999999999999</v>
      </c>
      <c r="F84" s="6">
        <v>9</v>
      </c>
      <c r="G84" s="6">
        <v>54</v>
      </c>
      <c r="H84" s="18">
        <v>63</v>
      </c>
    </row>
    <row r="85" spans="1:8" ht="15" thickBot="1" x14ac:dyDescent="0.35">
      <c r="A85" s="17">
        <v>83</v>
      </c>
      <c r="B85" s="6">
        <v>84</v>
      </c>
      <c r="C85" s="6">
        <v>0.2727</v>
      </c>
      <c r="D85" s="6">
        <v>0.52</v>
      </c>
      <c r="E85" s="6">
        <v>0.25369999999999998</v>
      </c>
      <c r="F85" s="6">
        <v>17</v>
      </c>
      <c r="G85" s="6">
        <v>48</v>
      </c>
      <c r="H85" s="18">
        <v>65</v>
      </c>
    </row>
    <row r="86" spans="1:8" ht="15" thickBot="1" x14ac:dyDescent="0.35">
      <c r="A86" s="17">
        <v>84</v>
      </c>
      <c r="B86" s="6">
        <v>85</v>
      </c>
      <c r="C86" s="6">
        <v>0.28789999999999999</v>
      </c>
      <c r="D86" s="6">
        <v>0.49</v>
      </c>
      <c r="E86" s="6">
        <v>0.25369999999999998</v>
      </c>
      <c r="F86" s="6">
        <v>15</v>
      </c>
      <c r="G86" s="6">
        <v>68</v>
      </c>
      <c r="H86" s="18">
        <v>83</v>
      </c>
    </row>
    <row r="87" spans="1:8" ht="15" thickBot="1" x14ac:dyDescent="0.35">
      <c r="A87" s="17">
        <v>85</v>
      </c>
      <c r="B87" s="6">
        <v>86</v>
      </c>
      <c r="C87" s="6">
        <v>0.2727</v>
      </c>
      <c r="D87" s="6">
        <v>0.48</v>
      </c>
      <c r="E87" s="6">
        <v>0.22389999999999999</v>
      </c>
      <c r="F87" s="6">
        <v>10</v>
      </c>
      <c r="G87" s="6">
        <v>202</v>
      </c>
      <c r="H87" s="18">
        <v>212</v>
      </c>
    </row>
    <row r="88" spans="1:8" ht="15" thickBot="1" x14ac:dyDescent="0.35">
      <c r="A88" s="17">
        <v>86</v>
      </c>
      <c r="B88" s="6">
        <v>87</v>
      </c>
      <c r="C88" s="6">
        <v>0.2576</v>
      </c>
      <c r="D88" s="6">
        <v>0.48</v>
      </c>
      <c r="E88" s="6">
        <v>0.19400000000000001</v>
      </c>
      <c r="F88" s="6">
        <v>3</v>
      </c>
      <c r="G88" s="6">
        <v>179</v>
      </c>
      <c r="H88" s="18">
        <v>182</v>
      </c>
    </row>
    <row r="89" spans="1:8" ht="15" thickBot="1" x14ac:dyDescent="0.35">
      <c r="A89" s="17">
        <v>87</v>
      </c>
      <c r="B89" s="6">
        <v>88</v>
      </c>
      <c r="C89" s="6">
        <v>0.2576</v>
      </c>
      <c r="D89" s="6">
        <v>0.48</v>
      </c>
      <c r="E89" s="6">
        <v>0.1045</v>
      </c>
      <c r="F89" s="6">
        <v>2</v>
      </c>
      <c r="G89" s="6">
        <v>110</v>
      </c>
      <c r="H89" s="18">
        <v>112</v>
      </c>
    </row>
    <row r="90" spans="1:8" ht="15" thickBot="1" x14ac:dyDescent="0.35">
      <c r="A90" s="17">
        <v>88</v>
      </c>
      <c r="B90" s="6">
        <v>89</v>
      </c>
      <c r="C90" s="6">
        <v>0.2576</v>
      </c>
      <c r="D90" s="6">
        <v>0.48</v>
      </c>
      <c r="E90" s="6">
        <v>0.1045</v>
      </c>
      <c r="F90" s="6">
        <v>1</v>
      </c>
      <c r="G90" s="6">
        <v>53</v>
      </c>
      <c r="H90" s="18">
        <v>54</v>
      </c>
    </row>
    <row r="91" spans="1:8" ht="15" thickBot="1" x14ac:dyDescent="0.35">
      <c r="A91" s="17">
        <v>89</v>
      </c>
      <c r="B91" s="6">
        <v>90</v>
      </c>
      <c r="C91" s="6">
        <v>0.2727</v>
      </c>
      <c r="D91" s="6">
        <v>0.64</v>
      </c>
      <c r="E91" s="6">
        <v>0</v>
      </c>
      <c r="F91" s="6">
        <v>0</v>
      </c>
      <c r="G91" s="6">
        <v>48</v>
      </c>
      <c r="H91" s="18">
        <v>48</v>
      </c>
    </row>
    <row r="92" spans="1:8" ht="15" thickBot="1" x14ac:dyDescent="0.35">
      <c r="A92" s="17">
        <v>90</v>
      </c>
      <c r="B92" s="6">
        <v>91</v>
      </c>
      <c r="C92" s="6">
        <v>0.2576</v>
      </c>
      <c r="D92" s="6">
        <v>0.64</v>
      </c>
      <c r="E92" s="6">
        <v>8.9599999999999999E-2</v>
      </c>
      <c r="F92" s="6">
        <v>1</v>
      </c>
      <c r="G92" s="6">
        <v>34</v>
      </c>
      <c r="H92" s="18">
        <v>35</v>
      </c>
    </row>
    <row r="93" spans="1:8" ht="15" thickBot="1" x14ac:dyDescent="0.35">
      <c r="A93" s="17">
        <v>91</v>
      </c>
      <c r="B93" s="6">
        <v>92</v>
      </c>
      <c r="C93" s="6">
        <v>0.2273</v>
      </c>
      <c r="D93" s="6">
        <v>0.69</v>
      </c>
      <c r="E93" s="6">
        <v>8.9599999999999999E-2</v>
      </c>
      <c r="F93" s="6">
        <v>2</v>
      </c>
      <c r="G93" s="6">
        <v>9</v>
      </c>
      <c r="H93" s="18">
        <v>11</v>
      </c>
    </row>
    <row r="94" spans="1:8" ht="15" thickBot="1" x14ac:dyDescent="0.35">
      <c r="A94" s="17">
        <v>92</v>
      </c>
      <c r="B94" s="6">
        <v>93</v>
      </c>
      <c r="C94" s="6">
        <v>0.2576</v>
      </c>
      <c r="D94" s="6">
        <v>0.64</v>
      </c>
      <c r="E94" s="6">
        <v>0</v>
      </c>
      <c r="F94" s="6">
        <v>0</v>
      </c>
      <c r="G94" s="6">
        <v>6</v>
      </c>
      <c r="H94" s="18">
        <v>6</v>
      </c>
    </row>
    <row r="95" spans="1:8" ht="15" thickBot="1" x14ac:dyDescent="0.35">
      <c r="A95" s="17">
        <v>93</v>
      </c>
      <c r="B95" s="6">
        <v>94</v>
      </c>
      <c r="C95" s="6">
        <v>0.19700000000000001</v>
      </c>
      <c r="D95" s="6">
        <v>0.74</v>
      </c>
      <c r="E95" s="6">
        <v>8.9599999999999999E-2</v>
      </c>
      <c r="F95" s="6">
        <v>0</v>
      </c>
      <c r="G95" s="6">
        <v>6</v>
      </c>
      <c r="H95" s="18">
        <v>6</v>
      </c>
    </row>
    <row r="96" spans="1:8" ht="15" thickBot="1" x14ac:dyDescent="0.35">
      <c r="A96" s="17">
        <v>94</v>
      </c>
      <c r="B96" s="6">
        <v>95</v>
      </c>
      <c r="C96" s="6">
        <v>0.19700000000000001</v>
      </c>
      <c r="D96" s="6">
        <v>0.74</v>
      </c>
      <c r="E96" s="6">
        <v>8.9599999999999999E-2</v>
      </c>
      <c r="F96" s="6">
        <v>0</v>
      </c>
      <c r="G96" s="6">
        <v>2</v>
      </c>
      <c r="H96" s="18">
        <v>2</v>
      </c>
    </row>
    <row r="97" spans="1:8" ht="15" thickBot="1" x14ac:dyDescent="0.35">
      <c r="A97" s="17">
        <v>95</v>
      </c>
      <c r="B97" s="6">
        <v>96</v>
      </c>
      <c r="C97" s="6">
        <v>0.2273</v>
      </c>
      <c r="D97" s="6">
        <v>0.48</v>
      </c>
      <c r="E97" s="6">
        <v>0.22389999999999999</v>
      </c>
      <c r="F97" s="6">
        <v>0</v>
      </c>
      <c r="G97" s="6">
        <v>2</v>
      </c>
      <c r="H97" s="18">
        <v>2</v>
      </c>
    </row>
    <row r="98" spans="1:8" ht="15" thickBot="1" x14ac:dyDescent="0.35">
      <c r="A98" s="17">
        <v>96</v>
      </c>
      <c r="B98" s="6">
        <v>97</v>
      </c>
      <c r="C98" s="6">
        <v>0.2273</v>
      </c>
      <c r="D98" s="6">
        <v>0.47</v>
      </c>
      <c r="E98" s="6">
        <v>0.16420000000000001</v>
      </c>
      <c r="F98" s="6">
        <v>0</v>
      </c>
      <c r="G98" s="6">
        <v>3</v>
      </c>
      <c r="H98" s="18">
        <v>3</v>
      </c>
    </row>
    <row r="99" spans="1:8" ht="15" thickBot="1" x14ac:dyDescent="0.35">
      <c r="A99" s="17">
        <v>97</v>
      </c>
      <c r="B99" s="6">
        <v>98</v>
      </c>
      <c r="C99" s="6">
        <v>0.19700000000000001</v>
      </c>
      <c r="D99" s="6">
        <v>0.47</v>
      </c>
      <c r="E99" s="6">
        <v>0.22389999999999999</v>
      </c>
      <c r="F99" s="6">
        <v>0</v>
      </c>
      <c r="G99" s="6">
        <v>33</v>
      </c>
      <c r="H99" s="18">
        <v>33</v>
      </c>
    </row>
    <row r="100" spans="1:8" ht="15" thickBot="1" x14ac:dyDescent="0.35">
      <c r="A100" s="17">
        <v>98</v>
      </c>
      <c r="B100" s="6">
        <v>99</v>
      </c>
      <c r="C100" s="6">
        <v>0.18179999999999999</v>
      </c>
      <c r="D100" s="6">
        <v>0.43</v>
      </c>
      <c r="E100" s="6">
        <v>0.19400000000000001</v>
      </c>
      <c r="F100" s="6">
        <v>1</v>
      </c>
      <c r="G100" s="6">
        <v>87</v>
      </c>
      <c r="H100" s="18">
        <v>88</v>
      </c>
    </row>
    <row r="101" spans="1:8" ht="15" thickBot="1" x14ac:dyDescent="0.35">
      <c r="A101" s="17">
        <v>99</v>
      </c>
      <c r="B101" s="6">
        <v>100</v>
      </c>
      <c r="C101" s="6">
        <v>0.18179999999999999</v>
      </c>
      <c r="D101" s="6">
        <v>0.4</v>
      </c>
      <c r="E101" s="6">
        <v>0.29849999999999999</v>
      </c>
      <c r="F101" s="6">
        <v>3</v>
      </c>
      <c r="G101" s="6">
        <v>192</v>
      </c>
      <c r="H101" s="18">
        <v>195</v>
      </c>
    </row>
    <row r="102" spans="1:8" ht="15" thickBot="1" x14ac:dyDescent="0.35">
      <c r="A102" s="17">
        <v>100</v>
      </c>
      <c r="B102" s="6">
        <v>101</v>
      </c>
      <c r="C102" s="6">
        <v>0.19700000000000001</v>
      </c>
      <c r="D102" s="6">
        <v>0.37</v>
      </c>
      <c r="E102" s="6">
        <v>0.32840000000000003</v>
      </c>
      <c r="F102" s="6">
        <v>6</v>
      </c>
      <c r="G102" s="6">
        <v>109</v>
      </c>
      <c r="H102" s="18">
        <v>115</v>
      </c>
    </row>
    <row r="103" spans="1:8" ht="15" thickBot="1" x14ac:dyDescent="0.35">
      <c r="A103" s="17">
        <v>101</v>
      </c>
      <c r="B103" s="6">
        <v>102</v>
      </c>
      <c r="C103" s="6">
        <v>0.19700000000000001</v>
      </c>
      <c r="D103" s="6">
        <v>0.37</v>
      </c>
      <c r="E103" s="6">
        <v>0.32840000000000003</v>
      </c>
      <c r="F103" s="6">
        <v>4</v>
      </c>
      <c r="G103" s="6">
        <v>53</v>
      </c>
      <c r="H103" s="18">
        <v>57</v>
      </c>
    </row>
    <row r="104" spans="1:8" ht="15" thickBot="1" x14ac:dyDescent="0.35">
      <c r="A104" s="17">
        <v>102</v>
      </c>
      <c r="B104" s="6">
        <v>103</v>
      </c>
      <c r="C104" s="6">
        <v>0.2273</v>
      </c>
      <c r="D104" s="6">
        <v>0.33</v>
      </c>
      <c r="E104" s="6">
        <v>0.32840000000000003</v>
      </c>
      <c r="F104" s="6">
        <v>12</v>
      </c>
      <c r="G104" s="6">
        <v>34</v>
      </c>
      <c r="H104" s="18">
        <v>46</v>
      </c>
    </row>
    <row r="105" spans="1:8" ht="15" thickBot="1" x14ac:dyDescent="0.35">
      <c r="A105" s="17">
        <v>103</v>
      </c>
      <c r="B105" s="6">
        <v>104</v>
      </c>
      <c r="C105" s="6">
        <v>0.2273</v>
      </c>
      <c r="D105" s="6">
        <v>0.33</v>
      </c>
      <c r="E105" s="6">
        <v>0.32840000000000003</v>
      </c>
      <c r="F105" s="6">
        <v>5</v>
      </c>
      <c r="G105" s="6">
        <v>74</v>
      </c>
      <c r="H105" s="18">
        <v>79</v>
      </c>
    </row>
    <row r="106" spans="1:8" ht="15" thickBot="1" x14ac:dyDescent="0.35">
      <c r="A106" s="17">
        <v>104</v>
      </c>
      <c r="B106" s="6">
        <v>105</v>
      </c>
      <c r="C106" s="6">
        <v>0.2576</v>
      </c>
      <c r="D106" s="6">
        <v>0.3</v>
      </c>
      <c r="E106" s="6">
        <v>0.29849999999999999</v>
      </c>
      <c r="F106" s="6">
        <v>6</v>
      </c>
      <c r="G106" s="6">
        <v>65</v>
      </c>
      <c r="H106" s="18">
        <v>71</v>
      </c>
    </row>
    <row r="107" spans="1:8" ht="15" thickBot="1" x14ac:dyDescent="0.35">
      <c r="A107" s="17">
        <v>105</v>
      </c>
      <c r="B107" s="6">
        <v>106</v>
      </c>
      <c r="C107" s="6">
        <v>0.28789999999999999</v>
      </c>
      <c r="D107" s="6">
        <v>0.28000000000000003</v>
      </c>
      <c r="E107" s="6">
        <v>0.19400000000000001</v>
      </c>
      <c r="F107" s="6">
        <v>10</v>
      </c>
      <c r="G107" s="6">
        <v>52</v>
      </c>
      <c r="H107" s="18">
        <v>62</v>
      </c>
    </row>
    <row r="108" spans="1:8" ht="15" thickBot="1" x14ac:dyDescent="0.35">
      <c r="A108" s="17">
        <v>106</v>
      </c>
      <c r="B108" s="6">
        <v>107</v>
      </c>
      <c r="C108" s="6">
        <v>0.28789999999999999</v>
      </c>
      <c r="D108" s="6">
        <v>0.28000000000000003</v>
      </c>
      <c r="E108" s="6">
        <v>0.19400000000000001</v>
      </c>
      <c r="F108" s="6">
        <v>7</v>
      </c>
      <c r="G108" s="6">
        <v>55</v>
      </c>
      <c r="H108" s="18">
        <v>62</v>
      </c>
    </row>
    <row r="109" spans="1:8" ht="15" thickBot="1" x14ac:dyDescent="0.35">
      <c r="A109" s="17">
        <v>107</v>
      </c>
      <c r="B109" s="6">
        <v>108</v>
      </c>
      <c r="C109" s="6">
        <v>0.31819999999999998</v>
      </c>
      <c r="D109" s="6">
        <v>0.28000000000000003</v>
      </c>
      <c r="E109" s="6">
        <v>8.9599999999999999E-2</v>
      </c>
      <c r="F109" s="6">
        <v>4</v>
      </c>
      <c r="G109" s="6">
        <v>85</v>
      </c>
      <c r="H109" s="18">
        <v>89</v>
      </c>
    </row>
    <row r="110" spans="1:8" ht="15" thickBot="1" x14ac:dyDescent="0.35">
      <c r="A110" s="17">
        <v>108</v>
      </c>
      <c r="B110" s="6">
        <v>109</v>
      </c>
      <c r="C110" s="6">
        <v>0.2273</v>
      </c>
      <c r="D110" s="6">
        <v>0.38</v>
      </c>
      <c r="E110" s="6">
        <v>0.19400000000000001</v>
      </c>
      <c r="F110" s="6">
        <v>4</v>
      </c>
      <c r="G110" s="6">
        <v>186</v>
      </c>
      <c r="H110" s="18">
        <v>190</v>
      </c>
    </row>
    <row r="111" spans="1:8" ht="15" thickBot="1" x14ac:dyDescent="0.35">
      <c r="A111" s="17">
        <v>109</v>
      </c>
      <c r="B111" s="6">
        <v>110</v>
      </c>
      <c r="C111" s="6">
        <v>0.2424</v>
      </c>
      <c r="D111" s="6">
        <v>0.38</v>
      </c>
      <c r="E111" s="6">
        <v>0.1343</v>
      </c>
      <c r="F111" s="6">
        <v>3</v>
      </c>
      <c r="G111" s="6">
        <v>166</v>
      </c>
      <c r="H111" s="18">
        <v>169</v>
      </c>
    </row>
    <row r="112" spans="1:8" ht="15" thickBot="1" x14ac:dyDescent="0.35">
      <c r="A112" s="17">
        <v>110</v>
      </c>
      <c r="B112" s="6">
        <v>111</v>
      </c>
      <c r="C112" s="6">
        <v>0.2576</v>
      </c>
      <c r="D112" s="6">
        <v>0.38</v>
      </c>
      <c r="E112" s="6">
        <v>0.1045</v>
      </c>
      <c r="F112" s="6">
        <v>5</v>
      </c>
      <c r="G112" s="6">
        <v>127</v>
      </c>
      <c r="H112" s="18">
        <v>132</v>
      </c>
    </row>
    <row r="113" spans="1:8" ht="15" thickBot="1" x14ac:dyDescent="0.35">
      <c r="A113" s="17">
        <v>111</v>
      </c>
      <c r="B113" s="6">
        <v>112</v>
      </c>
      <c r="C113" s="6">
        <v>0.2273</v>
      </c>
      <c r="D113" s="6">
        <v>0.47</v>
      </c>
      <c r="E113" s="6">
        <v>0.16420000000000001</v>
      </c>
      <c r="F113" s="6">
        <v>7</v>
      </c>
      <c r="G113" s="6">
        <v>82</v>
      </c>
      <c r="H113" s="18">
        <v>89</v>
      </c>
    </row>
    <row r="114" spans="1:8" ht="15" thickBot="1" x14ac:dyDescent="0.35">
      <c r="A114" s="17">
        <v>112</v>
      </c>
      <c r="B114" s="6">
        <v>113</v>
      </c>
      <c r="C114" s="6">
        <v>0.19700000000000001</v>
      </c>
      <c r="D114" s="6">
        <v>0.51</v>
      </c>
      <c r="E114" s="6">
        <v>0.19400000000000001</v>
      </c>
      <c r="F114" s="6">
        <v>3</v>
      </c>
      <c r="G114" s="6">
        <v>40</v>
      </c>
      <c r="H114" s="18">
        <v>43</v>
      </c>
    </row>
    <row r="115" spans="1:8" ht="15" thickBot="1" x14ac:dyDescent="0.35">
      <c r="A115" s="17">
        <v>113</v>
      </c>
      <c r="B115" s="6">
        <v>114</v>
      </c>
      <c r="C115" s="6">
        <v>0.19700000000000001</v>
      </c>
      <c r="D115" s="6">
        <v>0.55000000000000004</v>
      </c>
      <c r="E115" s="6">
        <v>0.1343</v>
      </c>
      <c r="F115" s="6">
        <v>1</v>
      </c>
      <c r="G115" s="6">
        <v>41</v>
      </c>
      <c r="H115" s="18">
        <v>42</v>
      </c>
    </row>
    <row r="116" spans="1:8" ht="15" thickBot="1" x14ac:dyDescent="0.35">
      <c r="A116" s="17">
        <v>114</v>
      </c>
      <c r="B116" s="6">
        <v>115</v>
      </c>
      <c r="C116" s="6">
        <v>0.2576</v>
      </c>
      <c r="D116" s="6">
        <v>0.47</v>
      </c>
      <c r="E116" s="6">
        <v>0</v>
      </c>
      <c r="F116" s="6">
        <v>1</v>
      </c>
      <c r="G116" s="6">
        <v>18</v>
      </c>
      <c r="H116" s="18">
        <v>19</v>
      </c>
    </row>
    <row r="117" spans="1:8" ht="15" thickBot="1" x14ac:dyDescent="0.35">
      <c r="A117" s="17">
        <v>115</v>
      </c>
      <c r="B117" s="6">
        <v>116</v>
      </c>
      <c r="C117" s="6">
        <v>0.2424</v>
      </c>
      <c r="D117" s="6">
        <v>0.55000000000000004</v>
      </c>
      <c r="E117" s="6">
        <v>0</v>
      </c>
      <c r="F117" s="6">
        <v>0</v>
      </c>
      <c r="G117" s="6">
        <v>11</v>
      </c>
      <c r="H117" s="18">
        <v>11</v>
      </c>
    </row>
    <row r="118" spans="1:8" ht="15" thickBot="1" x14ac:dyDescent="0.35">
      <c r="A118" s="17">
        <v>116</v>
      </c>
      <c r="B118" s="6">
        <v>117</v>
      </c>
      <c r="C118" s="6">
        <v>0.2273</v>
      </c>
      <c r="D118" s="6">
        <v>0.64</v>
      </c>
      <c r="E118" s="6">
        <v>0</v>
      </c>
      <c r="F118" s="6">
        <v>0</v>
      </c>
      <c r="G118" s="6">
        <v>4</v>
      </c>
      <c r="H118" s="18">
        <v>4</v>
      </c>
    </row>
    <row r="119" spans="1:8" ht="15" thickBot="1" x14ac:dyDescent="0.35">
      <c r="A119" s="17">
        <v>117</v>
      </c>
      <c r="B119" s="6">
        <v>118</v>
      </c>
      <c r="C119" s="6">
        <v>0.2273</v>
      </c>
      <c r="D119" s="6">
        <v>0.64</v>
      </c>
      <c r="E119" s="6">
        <v>0</v>
      </c>
      <c r="F119" s="6">
        <v>0</v>
      </c>
      <c r="G119" s="6">
        <v>2</v>
      </c>
      <c r="H119" s="18">
        <v>2</v>
      </c>
    </row>
    <row r="120" spans="1:8" ht="15" thickBot="1" x14ac:dyDescent="0.35">
      <c r="A120" s="17">
        <v>118</v>
      </c>
      <c r="B120" s="6">
        <v>119</v>
      </c>
      <c r="C120" s="6">
        <v>0.19700000000000001</v>
      </c>
      <c r="D120" s="6">
        <v>0.64</v>
      </c>
      <c r="E120" s="6">
        <v>8.9599999999999999E-2</v>
      </c>
      <c r="F120" s="6">
        <v>0</v>
      </c>
      <c r="G120" s="6">
        <v>1</v>
      </c>
      <c r="H120" s="18">
        <v>1</v>
      </c>
    </row>
    <row r="121" spans="1:8" ht="15" thickBot="1" x14ac:dyDescent="0.35">
      <c r="A121" s="17">
        <v>119</v>
      </c>
      <c r="B121" s="6">
        <v>120</v>
      </c>
      <c r="C121" s="6">
        <v>0.18179999999999999</v>
      </c>
      <c r="D121" s="6">
        <v>0.69</v>
      </c>
      <c r="E121" s="6">
        <v>8.9599999999999999E-2</v>
      </c>
      <c r="F121" s="6">
        <v>0</v>
      </c>
      <c r="G121" s="6">
        <v>4</v>
      </c>
      <c r="H121" s="18">
        <v>4</v>
      </c>
    </row>
    <row r="122" spans="1:8" ht="15" thickBot="1" x14ac:dyDescent="0.35">
      <c r="A122" s="17">
        <v>120</v>
      </c>
      <c r="B122" s="6">
        <v>121</v>
      </c>
      <c r="C122" s="6">
        <v>0.16669999999999999</v>
      </c>
      <c r="D122" s="6">
        <v>0.63</v>
      </c>
      <c r="E122" s="6">
        <v>0.1045</v>
      </c>
      <c r="F122" s="6">
        <v>0</v>
      </c>
      <c r="G122" s="6">
        <v>36</v>
      </c>
      <c r="H122" s="18">
        <v>36</v>
      </c>
    </row>
    <row r="123" spans="1:8" ht="15" thickBot="1" x14ac:dyDescent="0.35">
      <c r="A123" s="17">
        <v>121</v>
      </c>
      <c r="B123" s="6">
        <v>122</v>
      </c>
      <c r="C123" s="6">
        <v>0.2273</v>
      </c>
      <c r="D123" s="6">
        <v>0.59</v>
      </c>
      <c r="E123" s="6">
        <v>0</v>
      </c>
      <c r="F123" s="6">
        <v>0</v>
      </c>
      <c r="G123" s="6">
        <v>95</v>
      </c>
      <c r="H123" s="18">
        <v>95</v>
      </c>
    </row>
    <row r="124" spans="1:8" ht="15" thickBot="1" x14ac:dyDescent="0.35">
      <c r="A124" s="17">
        <v>122</v>
      </c>
      <c r="B124" s="6">
        <v>123</v>
      </c>
      <c r="C124" s="6">
        <v>0.2273</v>
      </c>
      <c r="D124" s="6">
        <v>0.59</v>
      </c>
      <c r="E124" s="6">
        <v>0</v>
      </c>
      <c r="F124" s="6">
        <v>3</v>
      </c>
      <c r="G124" s="6">
        <v>216</v>
      </c>
      <c r="H124" s="18">
        <v>219</v>
      </c>
    </row>
    <row r="125" spans="1:8" ht="15" thickBot="1" x14ac:dyDescent="0.35">
      <c r="A125" s="17">
        <v>123</v>
      </c>
      <c r="B125" s="6">
        <v>124</v>
      </c>
      <c r="C125" s="6">
        <v>0.2424</v>
      </c>
      <c r="D125" s="6">
        <v>0.51</v>
      </c>
      <c r="E125" s="6">
        <v>0</v>
      </c>
      <c r="F125" s="6">
        <v>6</v>
      </c>
      <c r="G125" s="6">
        <v>116</v>
      </c>
      <c r="H125" s="18">
        <v>122</v>
      </c>
    </row>
    <row r="126" spans="1:8" ht="15" thickBot="1" x14ac:dyDescent="0.35">
      <c r="A126" s="17">
        <v>124</v>
      </c>
      <c r="B126" s="6">
        <v>125</v>
      </c>
      <c r="C126" s="6">
        <v>0.2576</v>
      </c>
      <c r="D126" s="6">
        <v>0.47</v>
      </c>
      <c r="E126" s="6">
        <v>0</v>
      </c>
      <c r="F126" s="6">
        <v>3</v>
      </c>
      <c r="G126" s="6">
        <v>42</v>
      </c>
      <c r="H126" s="18">
        <v>45</v>
      </c>
    </row>
    <row r="127" spans="1:8" ht="15" thickBot="1" x14ac:dyDescent="0.35">
      <c r="A127" s="17">
        <v>125</v>
      </c>
      <c r="B127" s="6">
        <v>126</v>
      </c>
      <c r="C127" s="6">
        <v>0.2576</v>
      </c>
      <c r="D127" s="6">
        <v>0.44</v>
      </c>
      <c r="E127" s="6">
        <v>8.9599999999999999E-2</v>
      </c>
      <c r="F127" s="6">
        <v>2</v>
      </c>
      <c r="G127" s="6">
        <v>57</v>
      </c>
      <c r="H127" s="18">
        <v>59</v>
      </c>
    </row>
    <row r="128" spans="1:8" ht="15" thickBot="1" x14ac:dyDescent="0.35">
      <c r="A128" s="17">
        <v>126</v>
      </c>
      <c r="B128" s="6">
        <v>127</v>
      </c>
      <c r="C128" s="6">
        <v>0.28789999999999999</v>
      </c>
      <c r="D128" s="6">
        <v>0.35</v>
      </c>
      <c r="E128" s="6">
        <v>0</v>
      </c>
      <c r="F128" s="6">
        <v>6</v>
      </c>
      <c r="G128" s="6">
        <v>78</v>
      </c>
      <c r="H128" s="18">
        <v>84</v>
      </c>
    </row>
    <row r="129" spans="1:8" ht="15" thickBot="1" x14ac:dyDescent="0.35">
      <c r="A129" s="17">
        <v>127</v>
      </c>
      <c r="B129" s="6">
        <v>128</v>
      </c>
      <c r="C129" s="6">
        <v>0.2727</v>
      </c>
      <c r="D129" s="6">
        <v>0.35</v>
      </c>
      <c r="E129" s="6">
        <v>0.1045</v>
      </c>
      <c r="F129" s="6">
        <v>12</v>
      </c>
      <c r="G129" s="6">
        <v>55</v>
      </c>
      <c r="H129" s="18">
        <v>67</v>
      </c>
    </row>
    <row r="130" spans="1:8" ht="15" thickBot="1" x14ac:dyDescent="0.35">
      <c r="A130" s="17">
        <v>128</v>
      </c>
      <c r="B130" s="6">
        <v>129</v>
      </c>
      <c r="C130" s="6">
        <v>0.2727</v>
      </c>
      <c r="D130" s="6">
        <v>0.36</v>
      </c>
      <c r="E130" s="6">
        <v>0.16420000000000001</v>
      </c>
      <c r="F130" s="6">
        <v>11</v>
      </c>
      <c r="G130" s="6">
        <v>59</v>
      </c>
      <c r="H130" s="18">
        <v>70</v>
      </c>
    </row>
    <row r="131" spans="1:8" ht="15" thickBot="1" x14ac:dyDescent="0.35">
      <c r="A131" s="17">
        <v>129</v>
      </c>
      <c r="B131" s="6">
        <v>130</v>
      </c>
      <c r="C131" s="6">
        <v>0.2727</v>
      </c>
      <c r="D131" s="6">
        <v>0.36</v>
      </c>
      <c r="E131" s="6">
        <v>0</v>
      </c>
      <c r="F131" s="6">
        <v>8</v>
      </c>
      <c r="G131" s="6">
        <v>54</v>
      </c>
      <c r="H131" s="18">
        <v>62</v>
      </c>
    </row>
    <row r="132" spans="1:8" ht="15" thickBot="1" x14ac:dyDescent="0.35">
      <c r="A132" s="17">
        <v>130</v>
      </c>
      <c r="B132" s="6">
        <v>131</v>
      </c>
      <c r="C132" s="6">
        <v>0.2576</v>
      </c>
      <c r="D132" s="6">
        <v>0.38</v>
      </c>
      <c r="E132" s="6">
        <v>0.16420000000000001</v>
      </c>
      <c r="F132" s="6">
        <v>12</v>
      </c>
      <c r="G132" s="6">
        <v>74</v>
      </c>
      <c r="H132" s="18">
        <v>86</v>
      </c>
    </row>
    <row r="133" spans="1:8" ht="15" thickBot="1" x14ac:dyDescent="0.35">
      <c r="A133" s="17">
        <v>131</v>
      </c>
      <c r="B133" s="6">
        <v>132</v>
      </c>
      <c r="C133" s="6">
        <v>0.2273</v>
      </c>
      <c r="D133" s="6">
        <v>0.51</v>
      </c>
      <c r="E133" s="6">
        <v>0.16420000000000001</v>
      </c>
      <c r="F133" s="6">
        <v>9</v>
      </c>
      <c r="G133" s="6">
        <v>163</v>
      </c>
      <c r="H133" s="18">
        <v>172</v>
      </c>
    </row>
    <row r="134" spans="1:8" ht="15" thickBot="1" x14ac:dyDescent="0.35">
      <c r="A134" s="17">
        <v>132</v>
      </c>
      <c r="B134" s="6">
        <v>133</v>
      </c>
      <c r="C134" s="6">
        <v>0.2273</v>
      </c>
      <c r="D134" s="6">
        <v>0.51</v>
      </c>
      <c r="E134" s="6">
        <v>0.1343</v>
      </c>
      <c r="F134" s="6">
        <v>5</v>
      </c>
      <c r="G134" s="6">
        <v>158</v>
      </c>
      <c r="H134" s="18">
        <v>163</v>
      </c>
    </row>
    <row r="135" spans="1:8" ht="15" thickBot="1" x14ac:dyDescent="0.35">
      <c r="A135" s="17">
        <v>133</v>
      </c>
      <c r="B135" s="6">
        <v>134</v>
      </c>
      <c r="C135" s="6">
        <v>0.2576</v>
      </c>
      <c r="D135" s="6">
        <v>0.55000000000000004</v>
      </c>
      <c r="E135" s="6">
        <v>8.9599999999999999E-2</v>
      </c>
      <c r="F135" s="6">
        <v>3</v>
      </c>
      <c r="G135" s="6">
        <v>109</v>
      </c>
      <c r="H135" s="18">
        <v>112</v>
      </c>
    </row>
    <row r="136" spans="1:8" ht="15" thickBot="1" x14ac:dyDescent="0.35">
      <c r="A136" s="17">
        <v>134</v>
      </c>
      <c r="B136" s="6">
        <v>135</v>
      </c>
      <c r="C136" s="6">
        <v>0.21210000000000001</v>
      </c>
      <c r="D136" s="6">
        <v>0.51</v>
      </c>
      <c r="E136" s="6">
        <v>0.16420000000000001</v>
      </c>
      <c r="F136" s="6">
        <v>3</v>
      </c>
      <c r="G136" s="6">
        <v>66</v>
      </c>
      <c r="H136" s="18">
        <v>69</v>
      </c>
    </row>
    <row r="137" spans="1:8" ht="15" thickBot="1" x14ac:dyDescent="0.35">
      <c r="A137" s="17">
        <v>135</v>
      </c>
      <c r="B137" s="6">
        <v>136</v>
      </c>
      <c r="C137" s="6">
        <v>0.21210000000000001</v>
      </c>
      <c r="D137" s="6">
        <v>0.55000000000000004</v>
      </c>
      <c r="E137" s="6">
        <v>0.22389999999999999</v>
      </c>
      <c r="F137" s="6">
        <v>0</v>
      </c>
      <c r="G137" s="6">
        <v>48</v>
      </c>
      <c r="H137" s="18">
        <v>48</v>
      </c>
    </row>
    <row r="138" spans="1:8" ht="15" thickBot="1" x14ac:dyDescent="0.35">
      <c r="A138" s="17">
        <v>136</v>
      </c>
      <c r="B138" s="6">
        <v>137</v>
      </c>
      <c r="C138" s="6">
        <v>0.21210000000000001</v>
      </c>
      <c r="D138" s="6">
        <v>0.51</v>
      </c>
      <c r="E138" s="6">
        <v>0.28360000000000002</v>
      </c>
      <c r="F138" s="6">
        <v>1</v>
      </c>
      <c r="G138" s="6">
        <v>51</v>
      </c>
      <c r="H138" s="18">
        <v>52</v>
      </c>
    </row>
    <row r="139" spans="1:8" ht="15" thickBot="1" x14ac:dyDescent="0.35">
      <c r="A139" s="17">
        <v>137</v>
      </c>
      <c r="B139" s="6">
        <v>138</v>
      </c>
      <c r="C139" s="6">
        <v>0.19700000000000001</v>
      </c>
      <c r="D139" s="6">
        <v>0.59</v>
      </c>
      <c r="E139" s="6">
        <v>0.19400000000000001</v>
      </c>
      <c r="F139" s="6">
        <v>4</v>
      </c>
      <c r="G139" s="6">
        <v>19</v>
      </c>
      <c r="H139" s="18">
        <v>23</v>
      </c>
    </row>
    <row r="140" spans="1:8" ht="15" thickBot="1" x14ac:dyDescent="0.35">
      <c r="A140" s="17">
        <v>138</v>
      </c>
      <c r="B140" s="6">
        <v>139</v>
      </c>
      <c r="C140" s="6">
        <v>0.19700000000000001</v>
      </c>
      <c r="D140" s="6">
        <v>0.64</v>
      </c>
      <c r="E140" s="6">
        <v>0.19400000000000001</v>
      </c>
      <c r="F140" s="6">
        <v>4</v>
      </c>
      <c r="G140" s="6">
        <v>13</v>
      </c>
      <c r="H140" s="18">
        <v>17</v>
      </c>
    </row>
    <row r="141" spans="1:8" ht="15" thickBot="1" x14ac:dyDescent="0.35">
      <c r="A141" s="17">
        <v>139</v>
      </c>
      <c r="B141" s="6">
        <v>140</v>
      </c>
      <c r="C141" s="6">
        <v>0.19700000000000001</v>
      </c>
      <c r="D141" s="6">
        <v>0.69</v>
      </c>
      <c r="E141" s="6">
        <v>0.22389999999999999</v>
      </c>
      <c r="F141" s="6">
        <v>2</v>
      </c>
      <c r="G141" s="6">
        <v>5</v>
      </c>
      <c r="H141" s="18">
        <v>7</v>
      </c>
    </row>
    <row r="142" spans="1:8" ht="15" thickBot="1" x14ac:dyDescent="0.35">
      <c r="A142" s="17">
        <v>140</v>
      </c>
      <c r="B142" s="6">
        <v>141</v>
      </c>
      <c r="C142" s="6">
        <v>0.19700000000000001</v>
      </c>
      <c r="D142" s="6">
        <v>0.69</v>
      </c>
      <c r="E142" s="6">
        <v>0.22389999999999999</v>
      </c>
      <c r="F142" s="6">
        <v>0</v>
      </c>
      <c r="G142" s="6">
        <v>1</v>
      </c>
      <c r="H142" s="18">
        <v>1</v>
      </c>
    </row>
    <row r="143" spans="1:8" ht="15" thickBot="1" x14ac:dyDescent="0.35">
      <c r="A143" s="17">
        <v>141</v>
      </c>
      <c r="B143" s="6">
        <v>142</v>
      </c>
      <c r="C143" s="6">
        <v>0.21210000000000001</v>
      </c>
      <c r="D143" s="6">
        <v>0.69</v>
      </c>
      <c r="E143" s="6">
        <v>0.1343</v>
      </c>
      <c r="F143" s="6">
        <v>0</v>
      </c>
      <c r="G143" s="6">
        <v>1</v>
      </c>
      <c r="H143" s="18">
        <v>1</v>
      </c>
    </row>
    <row r="144" spans="1:8" ht="15" thickBot="1" x14ac:dyDescent="0.35">
      <c r="A144" s="17">
        <v>142</v>
      </c>
      <c r="B144" s="6">
        <v>143</v>
      </c>
      <c r="C144" s="6">
        <v>0.2727</v>
      </c>
      <c r="D144" s="6">
        <v>0.55000000000000004</v>
      </c>
      <c r="E144" s="6">
        <v>0</v>
      </c>
      <c r="F144" s="6">
        <v>0</v>
      </c>
      <c r="G144" s="6">
        <v>5</v>
      </c>
      <c r="H144" s="18">
        <v>5</v>
      </c>
    </row>
    <row r="145" spans="1:8" ht="15" thickBot="1" x14ac:dyDescent="0.35">
      <c r="A145" s="17">
        <v>143</v>
      </c>
      <c r="B145" s="6">
        <v>144</v>
      </c>
      <c r="C145" s="6">
        <v>0.2576</v>
      </c>
      <c r="D145" s="6">
        <v>0.69</v>
      </c>
      <c r="E145" s="6">
        <v>0</v>
      </c>
      <c r="F145" s="6">
        <v>8</v>
      </c>
      <c r="G145" s="6">
        <v>26</v>
      </c>
      <c r="H145" s="18">
        <v>34</v>
      </c>
    </row>
    <row r="146" spans="1:8" ht="15" thickBot="1" x14ac:dyDescent="0.35">
      <c r="A146" s="17">
        <v>144</v>
      </c>
      <c r="B146" s="6">
        <v>145</v>
      </c>
      <c r="C146" s="6">
        <v>0.21210000000000001</v>
      </c>
      <c r="D146" s="6">
        <v>0.69</v>
      </c>
      <c r="E146" s="6">
        <v>0.1343</v>
      </c>
      <c r="F146" s="6">
        <v>8</v>
      </c>
      <c r="G146" s="6">
        <v>76</v>
      </c>
      <c r="H146" s="18">
        <v>84</v>
      </c>
    </row>
    <row r="147" spans="1:8" ht="15" thickBot="1" x14ac:dyDescent="0.35">
      <c r="A147" s="17">
        <v>145</v>
      </c>
      <c r="B147" s="6">
        <v>146</v>
      </c>
      <c r="C147" s="6">
        <v>0.19700000000000001</v>
      </c>
      <c r="D147" s="6">
        <v>0.51</v>
      </c>
      <c r="E147" s="6">
        <v>0.25369999999999998</v>
      </c>
      <c r="F147" s="6">
        <v>20</v>
      </c>
      <c r="G147" s="6">
        <v>190</v>
      </c>
      <c r="H147" s="18">
        <v>210</v>
      </c>
    </row>
    <row r="148" spans="1:8" ht="15" thickBot="1" x14ac:dyDescent="0.35">
      <c r="A148" s="17">
        <v>146</v>
      </c>
      <c r="B148" s="6">
        <v>147</v>
      </c>
      <c r="C148" s="6">
        <v>0.18179999999999999</v>
      </c>
      <c r="D148" s="6">
        <v>0.47</v>
      </c>
      <c r="E148" s="6">
        <v>0.29849999999999999</v>
      </c>
      <c r="F148" s="6">
        <v>9</v>
      </c>
      <c r="G148" s="6">
        <v>125</v>
      </c>
      <c r="H148" s="18">
        <v>134</v>
      </c>
    </row>
    <row r="149" spans="1:8" ht="15" thickBot="1" x14ac:dyDescent="0.35">
      <c r="A149" s="17">
        <v>147</v>
      </c>
      <c r="B149" s="6">
        <v>148</v>
      </c>
      <c r="C149" s="6">
        <v>0.19700000000000001</v>
      </c>
      <c r="D149" s="6">
        <v>0.37</v>
      </c>
      <c r="E149" s="6">
        <v>0.32840000000000003</v>
      </c>
      <c r="F149" s="6">
        <v>16</v>
      </c>
      <c r="G149" s="6">
        <v>47</v>
      </c>
      <c r="H149" s="18">
        <v>63</v>
      </c>
    </row>
    <row r="150" spans="1:8" ht="15" thickBot="1" x14ac:dyDescent="0.35">
      <c r="A150" s="17">
        <v>148</v>
      </c>
      <c r="B150" s="6">
        <v>149</v>
      </c>
      <c r="C150" s="6">
        <v>0.19700000000000001</v>
      </c>
      <c r="D150" s="6">
        <v>0.4</v>
      </c>
      <c r="E150" s="6">
        <v>0.22389999999999999</v>
      </c>
      <c r="F150" s="6">
        <v>19</v>
      </c>
      <c r="G150" s="6">
        <v>48</v>
      </c>
      <c r="H150" s="18">
        <v>67</v>
      </c>
    </row>
    <row r="151" spans="1:8" ht="15" thickBot="1" x14ac:dyDescent="0.35">
      <c r="A151" s="17">
        <v>149</v>
      </c>
      <c r="B151" s="6">
        <v>150</v>
      </c>
      <c r="C151" s="6">
        <v>0.19700000000000001</v>
      </c>
      <c r="D151" s="6">
        <v>0.37</v>
      </c>
      <c r="E151" s="6">
        <v>0.25369999999999998</v>
      </c>
      <c r="F151" s="6">
        <v>9</v>
      </c>
      <c r="G151" s="6">
        <v>50</v>
      </c>
      <c r="H151" s="18">
        <v>59</v>
      </c>
    </row>
    <row r="152" spans="1:8" ht="15" thickBot="1" x14ac:dyDescent="0.35">
      <c r="A152" s="17">
        <v>150</v>
      </c>
      <c r="B152" s="6">
        <v>151</v>
      </c>
      <c r="C152" s="6">
        <v>0.18179999999999999</v>
      </c>
      <c r="D152" s="6">
        <v>0.37</v>
      </c>
      <c r="E152" s="6">
        <v>0.28360000000000002</v>
      </c>
      <c r="F152" s="6">
        <v>9</v>
      </c>
      <c r="G152" s="6">
        <v>64</v>
      </c>
      <c r="H152" s="18">
        <v>73</v>
      </c>
    </row>
    <row r="153" spans="1:8" ht="15" thickBot="1" x14ac:dyDescent="0.35">
      <c r="A153" s="17">
        <v>151</v>
      </c>
      <c r="B153" s="6">
        <v>152</v>
      </c>
      <c r="C153" s="6">
        <v>0.19700000000000001</v>
      </c>
      <c r="D153" s="6">
        <v>0.4</v>
      </c>
      <c r="E153" s="6">
        <v>0.25369999999999998</v>
      </c>
      <c r="F153" s="6">
        <v>7</v>
      </c>
      <c r="G153" s="6">
        <v>43</v>
      </c>
      <c r="H153" s="18">
        <v>50</v>
      </c>
    </row>
    <row r="154" spans="1:8" ht="15" thickBot="1" x14ac:dyDescent="0.35">
      <c r="A154" s="17">
        <v>152</v>
      </c>
      <c r="B154" s="6">
        <v>153</v>
      </c>
      <c r="C154" s="6">
        <v>0.21210000000000001</v>
      </c>
      <c r="D154" s="6">
        <v>0.37</v>
      </c>
      <c r="E154" s="6">
        <v>0.16420000000000001</v>
      </c>
      <c r="F154" s="6">
        <v>9</v>
      </c>
      <c r="G154" s="6">
        <v>63</v>
      </c>
      <c r="H154" s="18">
        <v>72</v>
      </c>
    </row>
    <row r="155" spans="1:8" ht="15" thickBot="1" x14ac:dyDescent="0.35">
      <c r="A155" s="17">
        <v>153</v>
      </c>
      <c r="B155" s="6">
        <v>154</v>
      </c>
      <c r="C155" s="6">
        <v>0.21210000000000001</v>
      </c>
      <c r="D155" s="6">
        <v>0.37</v>
      </c>
      <c r="E155" s="6">
        <v>0.16420000000000001</v>
      </c>
      <c r="F155" s="6">
        <v>5</v>
      </c>
      <c r="G155" s="6">
        <v>82</v>
      </c>
      <c r="H155" s="18">
        <v>87</v>
      </c>
    </row>
    <row r="156" spans="1:8" ht="15" thickBot="1" x14ac:dyDescent="0.35">
      <c r="A156" s="17">
        <v>154</v>
      </c>
      <c r="B156" s="6">
        <v>155</v>
      </c>
      <c r="C156" s="6">
        <v>0.2576</v>
      </c>
      <c r="D156" s="6">
        <v>0.37</v>
      </c>
      <c r="E156" s="6">
        <v>0</v>
      </c>
      <c r="F156" s="6">
        <v>9</v>
      </c>
      <c r="G156" s="6">
        <v>178</v>
      </c>
      <c r="H156" s="18">
        <v>187</v>
      </c>
    </row>
    <row r="157" spans="1:8" ht="15" thickBot="1" x14ac:dyDescent="0.35">
      <c r="A157" s="17">
        <v>155</v>
      </c>
      <c r="B157" s="6">
        <v>156</v>
      </c>
      <c r="C157" s="6">
        <v>0.2273</v>
      </c>
      <c r="D157" s="6">
        <v>0.4</v>
      </c>
      <c r="E157" s="6">
        <v>8.9599999999999999E-2</v>
      </c>
      <c r="F157" s="6">
        <v>7</v>
      </c>
      <c r="G157" s="6">
        <v>116</v>
      </c>
      <c r="H157" s="18">
        <v>123</v>
      </c>
    </row>
    <row r="158" spans="1:8" ht="15" thickBot="1" x14ac:dyDescent="0.35">
      <c r="A158" s="17">
        <v>156</v>
      </c>
      <c r="B158" s="6">
        <v>157</v>
      </c>
      <c r="C158" s="6">
        <v>0.19700000000000001</v>
      </c>
      <c r="D158" s="6">
        <v>0.55000000000000004</v>
      </c>
      <c r="E158" s="6">
        <v>8.9599999999999999E-2</v>
      </c>
      <c r="F158" s="6">
        <v>3</v>
      </c>
      <c r="G158" s="6">
        <v>92</v>
      </c>
      <c r="H158" s="18">
        <v>95</v>
      </c>
    </row>
    <row r="159" spans="1:8" ht="15" thickBot="1" x14ac:dyDescent="0.35">
      <c r="A159" s="17">
        <v>157</v>
      </c>
      <c r="B159" s="6">
        <v>158</v>
      </c>
      <c r="C159" s="6">
        <v>0.21210000000000001</v>
      </c>
      <c r="D159" s="6">
        <v>0.47</v>
      </c>
      <c r="E159" s="6">
        <v>0.1045</v>
      </c>
      <c r="F159" s="6">
        <v>1</v>
      </c>
      <c r="G159" s="6">
        <v>50</v>
      </c>
      <c r="H159" s="18">
        <v>51</v>
      </c>
    </row>
    <row r="160" spans="1:8" ht="15" thickBot="1" x14ac:dyDescent="0.35">
      <c r="A160" s="17">
        <v>158</v>
      </c>
      <c r="B160" s="6">
        <v>159</v>
      </c>
      <c r="C160" s="6">
        <v>0.19700000000000001</v>
      </c>
      <c r="D160" s="6">
        <v>0.47</v>
      </c>
      <c r="E160" s="6">
        <v>0.1343</v>
      </c>
      <c r="F160" s="6">
        <v>0</v>
      </c>
      <c r="G160" s="6">
        <v>39</v>
      </c>
      <c r="H160" s="18">
        <v>39</v>
      </c>
    </row>
    <row r="161" spans="1:8" ht="15" thickBot="1" x14ac:dyDescent="0.35">
      <c r="A161" s="17">
        <v>159</v>
      </c>
      <c r="B161" s="6">
        <v>160</v>
      </c>
      <c r="C161" s="6">
        <v>0.19700000000000001</v>
      </c>
      <c r="D161" s="6">
        <v>0.43</v>
      </c>
      <c r="E161" s="6">
        <v>0.16420000000000001</v>
      </c>
      <c r="F161" s="6">
        <v>2</v>
      </c>
      <c r="G161" s="6">
        <v>34</v>
      </c>
      <c r="H161" s="18">
        <v>36</v>
      </c>
    </row>
    <row r="162" spans="1:8" ht="15" thickBot="1" x14ac:dyDescent="0.35">
      <c r="A162" s="17">
        <v>160</v>
      </c>
      <c r="B162" s="6">
        <v>161</v>
      </c>
      <c r="C162" s="6">
        <v>0.19700000000000001</v>
      </c>
      <c r="D162" s="6">
        <v>0.51</v>
      </c>
      <c r="E162" s="6">
        <v>0.16420000000000001</v>
      </c>
      <c r="F162" s="6">
        <v>1</v>
      </c>
      <c r="G162" s="6">
        <v>14</v>
      </c>
      <c r="H162" s="18">
        <v>15</v>
      </c>
    </row>
    <row r="163" spans="1:8" ht="15" thickBot="1" x14ac:dyDescent="0.35">
      <c r="A163" s="17">
        <v>161</v>
      </c>
      <c r="B163" s="6">
        <v>162</v>
      </c>
      <c r="C163" s="6">
        <v>0.19700000000000001</v>
      </c>
      <c r="D163" s="6">
        <v>0.51</v>
      </c>
      <c r="E163" s="6">
        <v>0.16420000000000001</v>
      </c>
      <c r="F163" s="6">
        <v>1</v>
      </c>
      <c r="G163" s="6">
        <v>24</v>
      </c>
      <c r="H163" s="18">
        <v>25</v>
      </c>
    </row>
    <row r="164" spans="1:8" ht="15" thickBot="1" x14ac:dyDescent="0.35">
      <c r="A164" s="17">
        <v>162</v>
      </c>
      <c r="B164" s="6">
        <v>163</v>
      </c>
      <c r="C164" s="6">
        <v>0.21210000000000001</v>
      </c>
      <c r="D164" s="6">
        <v>0.55000000000000004</v>
      </c>
      <c r="E164" s="6">
        <v>8.9599999999999999E-2</v>
      </c>
      <c r="F164" s="6">
        <v>1</v>
      </c>
      <c r="G164" s="6">
        <v>15</v>
      </c>
      <c r="H164" s="18">
        <v>16</v>
      </c>
    </row>
    <row r="165" spans="1:8" ht="15" thickBot="1" x14ac:dyDescent="0.35">
      <c r="A165" s="17">
        <v>163</v>
      </c>
      <c r="B165" s="6">
        <v>164</v>
      </c>
      <c r="C165" s="6">
        <v>0.2424</v>
      </c>
      <c r="D165" s="6">
        <v>0.55000000000000004</v>
      </c>
      <c r="E165" s="6">
        <v>0</v>
      </c>
      <c r="F165" s="6">
        <v>3</v>
      </c>
      <c r="G165" s="6">
        <v>13</v>
      </c>
      <c r="H165" s="18">
        <v>16</v>
      </c>
    </row>
    <row r="166" spans="1:8" ht="15" thickBot="1" x14ac:dyDescent="0.35">
      <c r="A166" s="17">
        <v>164</v>
      </c>
      <c r="B166" s="6">
        <v>165</v>
      </c>
      <c r="C166" s="6">
        <v>0.19700000000000001</v>
      </c>
      <c r="D166" s="6">
        <v>0.55000000000000004</v>
      </c>
      <c r="E166" s="6">
        <v>0.16420000000000001</v>
      </c>
      <c r="F166" s="6">
        <v>0</v>
      </c>
      <c r="G166" s="6">
        <v>7</v>
      </c>
      <c r="H166" s="18">
        <v>7</v>
      </c>
    </row>
    <row r="167" spans="1:8" ht="15" thickBot="1" x14ac:dyDescent="0.35">
      <c r="A167" s="17">
        <v>165</v>
      </c>
      <c r="B167" s="6">
        <v>166</v>
      </c>
      <c r="C167" s="6">
        <v>0.19700000000000001</v>
      </c>
      <c r="D167" s="6">
        <v>0.55000000000000004</v>
      </c>
      <c r="E167" s="6">
        <v>0.16420000000000001</v>
      </c>
      <c r="F167" s="6">
        <v>0</v>
      </c>
      <c r="G167" s="6">
        <v>1</v>
      </c>
      <c r="H167" s="18">
        <v>1</v>
      </c>
    </row>
    <row r="168" spans="1:8" ht="15" thickBot="1" x14ac:dyDescent="0.35">
      <c r="A168" s="17">
        <v>166</v>
      </c>
      <c r="B168" s="6">
        <v>167</v>
      </c>
      <c r="C168" s="6">
        <v>0.16669999999999999</v>
      </c>
      <c r="D168" s="6">
        <v>0.74</v>
      </c>
      <c r="E168" s="6">
        <v>0.16420000000000001</v>
      </c>
      <c r="F168" s="6">
        <v>0</v>
      </c>
      <c r="G168" s="6">
        <v>5</v>
      </c>
      <c r="H168" s="18">
        <v>5</v>
      </c>
    </row>
    <row r="169" spans="1:8" ht="15" thickBot="1" x14ac:dyDescent="0.35">
      <c r="A169" s="17">
        <v>167</v>
      </c>
      <c r="B169" s="6">
        <v>168</v>
      </c>
      <c r="C169" s="6">
        <v>0.16669999999999999</v>
      </c>
      <c r="D169" s="6">
        <v>0.74</v>
      </c>
      <c r="E169" s="6">
        <v>0.16420000000000001</v>
      </c>
      <c r="F169" s="6">
        <v>0</v>
      </c>
      <c r="G169" s="6">
        <v>2</v>
      </c>
      <c r="H169" s="18">
        <v>2</v>
      </c>
    </row>
    <row r="170" spans="1:8" ht="15" thickBot="1" x14ac:dyDescent="0.35">
      <c r="A170" s="17">
        <v>168</v>
      </c>
      <c r="B170" s="6">
        <v>169</v>
      </c>
      <c r="C170" s="6">
        <v>0.18179999999999999</v>
      </c>
      <c r="D170" s="6">
        <v>0.74</v>
      </c>
      <c r="E170" s="6">
        <v>0.1045</v>
      </c>
      <c r="F170" s="6">
        <v>1</v>
      </c>
      <c r="G170" s="6">
        <v>8</v>
      </c>
      <c r="H170" s="18">
        <v>9</v>
      </c>
    </row>
    <row r="171" spans="1:8" ht="15" thickBot="1" x14ac:dyDescent="0.35">
      <c r="A171" s="17">
        <v>169</v>
      </c>
      <c r="B171" s="6">
        <v>170</v>
      </c>
      <c r="C171" s="6">
        <v>0.18179999999999999</v>
      </c>
      <c r="D171" s="6">
        <v>0.93</v>
      </c>
      <c r="E171" s="6">
        <v>0.1045</v>
      </c>
      <c r="F171" s="6">
        <v>0</v>
      </c>
      <c r="G171" s="6">
        <v>15</v>
      </c>
      <c r="H171" s="18">
        <v>15</v>
      </c>
    </row>
    <row r="172" spans="1:8" ht="15" thickBot="1" x14ac:dyDescent="0.35">
      <c r="A172" s="17">
        <v>170</v>
      </c>
      <c r="B172" s="6">
        <v>171</v>
      </c>
      <c r="C172" s="6">
        <v>0.18179999999999999</v>
      </c>
      <c r="D172" s="6">
        <v>0.93</v>
      </c>
      <c r="E172" s="6">
        <v>0.1045</v>
      </c>
      <c r="F172" s="6">
        <v>0</v>
      </c>
      <c r="G172" s="6">
        <v>20</v>
      </c>
      <c r="H172" s="18">
        <v>20</v>
      </c>
    </row>
    <row r="173" spans="1:8" ht="15" thickBot="1" x14ac:dyDescent="0.35">
      <c r="A173" s="17">
        <v>171</v>
      </c>
      <c r="B173" s="6">
        <v>172</v>
      </c>
      <c r="C173" s="6">
        <v>0.19700000000000001</v>
      </c>
      <c r="D173" s="6">
        <v>0.8</v>
      </c>
      <c r="E173" s="6">
        <v>0.16420000000000001</v>
      </c>
      <c r="F173" s="6">
        <v>5</v>
      </c>
      <c r="G173" s="6">
        <v>56</v>
      </c>
      <c r="H173" s="18">
        <v>61</v>
      </c>
    </row>
    <row r="174" spans="1:8" ht="15" thickBot="1" x14ac:dyDescent="0.35">
      <c r="A174" s="17">
        <v>172</v>
      </c>
      <c r="B174" s="6">
        <v>173</v>
      </c>
      <c r="C174" s="6">
        <v>0.18179999999999999</v>
      </c>
      <c r="D174" s="6">
        <v>0.69</v>
      </c>
      <c r="E174" s="6">
        <v>0.3881</v>
      </c>
      <c r="F174" s="6">
        <v>2</v>
      </c>
      <c r="G174" s="6">
        <v>60</v>
      </c>
      <c r="H174" s="18">
        <v>62</v>
      </c>
    </row>
    <row r="175" spans="1:8" ht="15" thickBot="1" x14ac:dyDescent="0.35">
      <c r="A175" s="17">
        <v>173</v>
      </c>
      <c r="B175" s="6">
        <v>174</v>
      </c>
      <c r="C175" s="6">
        <v>0.18179999999999999</v>
      </c>
      <c r="D175" s="6">
        <v>0.59</v>
      </c>
      <c r="E175" s="6">
        <v>0.35820000000000002</v>
      </c>
      <c r="F175" s="6">
        <v>8</v>
      </c>
      <c r="G175" s="6">
        <v>90</v>
      </c>
      <c r="H175" s="18">
        <v>98</v>
      </c>
    </row>
    <row r="176" spans="1:8" ht="15" thickBot="1" x14ac:dyDescent="0.35">
      <c r="A176" s="17">
        <v>174</v>
      </c>
      <c r="B176" s="6">
        <v>175</v>
      </c>
      <c r="C176" s="6">
        <v>0.18179999999999999</v>
      </c>
      <c r="D176" s="6">
        <v>0.44</v>
      </c>
      <c r="E176" s="6">
        <v>0.32840000000000003</v>
      </c>
      <c r="F176" s="6">
        <v>7</v>
      </c>
      <c r="G176" s="6">
        <v>95</v>
      </c>
      <c r="H176" s="18">
        <v>102</v>
      </c>
    </row>
    <row r="177" spans="1:8" ht="15" thickBot="1" x14ac:dyDescent="0.35">
      <c r="A177" s="17">
        <v>175</v>
      </c>
      <c r="B177" s="6">
        <v>176</v>
      </c>
      <c r="C177" s="6">
        <v>0.16669999999999999</v>
      </c>
      <c r="D177" s="6">
        <v>0.32</v>
      </c>
      <c r="E177" s="6">
        <v>0.49249999999999999</v>
      </c>
      <c r="F177" s="6">
        <v>12</v>
      </c>
      <c r="G177" s="6">
        <v>83</v>
      </c>
      <c r="H177" s="18">
        <v>95</v>
      </c>
    </row>
    <row r="178" spans="1:8" ht="15" thickBot="1" x14ac:dyDescent="0.35">
      <c r="A178" s="17">
        <v>176</v>
      </c>
      <c r="B178" s="6">
        <v>177</v>
      </c>
      <c r="C178" s="6">
        <v>0.16669999999999999</v>
      </c>
      <c r="D178" s="6">
        <v>0.32</v>
      </c>
      <c r="E178" s="6">
        <v>0.44779999999999998</v>
      </c>
      <c r="F178" s="6">
        <v>5</v>
      </c>
      <c r="G178" s="6">
        <v>69</v>
      </c>
      <c r="H178" s="18">
        <v>74</v>
      </c>
    </row>
    <row r="179" spans="1:8" ht="15" thickBot="1" x14ac:dyDescent="0.35">
      <c r="A179" s="17">
        <v>177</v>
      </c>
      <c r="B179" s="6">
        <v>178</v>
      </c>
      <c r="C179" s="6">
        <v>0.13639999999999999</v>
      </c>
      <c r="D179" s="6">
        <v>0.28999999999999998</v>
      </c>
      <c r="E179" s="6">
        <v>0.44779999999999998</v>
      </c>
      <c r="F179" s="6">
        <v>8</v>
      </c>
      <c r="G179" s="6">
        <v>68</v>
      </c>
      <c r="H179" s="18">
        <v>76</v>
      </c>
    </row>
    <row r="180" spans="1:8" ht="15" thickBot="1" x14ac:dyDescent="0.35">
      <c r="A180" s="17">
        <v>178</v>
      </c>
      <c r="B180" s="6">
        <v>179</v>
      </c>
      <c r="C180" s="6">
        <v>0.1212</v>
      </c>
      <c r="D180" s="6">
        <v>0.37</v>
      </c>
      <c r="E180" s="6">
        <v>0.55220000000000002</v>
      </c>
      <c r="F180" s="6">
        <v>5</v>
      </c>
      <c r="G180" s="6">
        <v>64</v>
      </c>
      <c r="H180" s="18">
        <v>69</v>
      </c>
    </row>
    <row r="181" spans="1:8" ht="15" thickBot="1" x14ac:dyDescent="0.35">
      <c r="A181" s="17">
        <v>179</v>
      </c>
      <c r="B181" s="6">
        <v>180</v>
      </c>
      <c r="C181" s="6">
        <v>0.1212</v>
      </c>
      <c r="D181" s="6">
        <v>0.39</v>
      </c>
      <c r="E181" s="6">
        <v>0.29849999999999999</v>
      </c>
      <c r="F181" s="6">
        <v>3</v>
      </c>
      <c r="G181" s="6">
        <v>52</v>
      </c>
      <c r="H181" s="18">
        <v>55</v>
      </c>
    </row>
    <row r="182" spans="1:8" ht="15" thickBot="1" x14ac:dyDescent="0.35">
      <c r="A182" s="17">
        <v>180</v>
      </c>
      <c r="B182" s="6">
        <v>181</v>
      </c>
      <c r="C182" s="6">
        <v>0.1212</v>
      </c>
      <c r="D182" s="6">
        <v>0.36</v>
      </c>
      <c r="E182" s="6">
        <v>0.25369999999999998</v>
      </c>
      <c r="F182" s="6">
        <v>4</v>
      </c>
      <c r="G182" s="6">
        <v>26</v>
      </c>
      <c r="H182" s="18">
        <v>30</v>
      </c>
    </row>
    <row r="183" spans="1:8" ht="15" thickBot="1" x14ac:dyDescent="0.35">
      <c r="A183" s="17">
        <v>181</v>
      </c>
      <c r="B183" s="6">
        <v>182</v>
      </c>
      <c r="C183" s="6">
        <v>0.1212</v>
      </c>
      <c r="D183" s="6">
        <v>0.36</v>
      </c>
      <c r="E183" s="6">
        <v>0.25369999999999998</v>
      </c>
      <c r="F183" s="6">
        <v>0</v>
      </c>
      <c r="G183" s="6">
        <v>28</v>
      </c>
      <c r="H183" s="18">
        <v>28</v>
      </c>
    </row>
    <row r="184" spans="1:8" ht="15" thickBot="1" x14ac:dyDescent="0.35">
      <c r="A184" s="17">
        <v>182</v>
      </c>
      <c r="B184" s="6">
        <v>183</v>
      </c>
      <c r="C184" s="6">
        <v>0.1061</v>
      </c>
      <c r="D184" s="6">
        <v>0.39</v>
      </c>
      <c r="E184" s="6">
        <v>0.35820000000000002</v>
      </c>
      <c r="F184" s="6">
        <v>2</v>
      </c>
      <c r="G184" s="6">
        <v>35</v>
      </c>
      <c r="H184" s="18">
        <v>37</v>
      </c>
    </row>
    <row r="185" spans="1:8" ht="15" thickBot="1" x14ac:dyDescent="0.35">
      <c r="A185" s="17">
        <v>183</v>
      </c>
      <c r="B185" s="6">
        <v>184</v>
      </c>
      <c r="C185" s="6">
        <v>0.1061</v>
      </c>
      <c r="D185" s="6">
        <v>0.36</v>
      </c>
      <c r="E185" s="6">
        <v>0.3881</v>
      </c>
      <c r="F185" s="6">
        <v>1</v>
      </c>
      <c r="G185" s="6">
        <v>33</v>
      </c>
      <c r="H185" s="18">
        <v>34</v>
      </c>
    </row>
    <row r="186" spans="1:8" ht="15" thickBot="1" x14ac:dyDescent="0.35">
      <c r="A186" s="17">
        <v>184</v>
      </c>
      <c r="B186" s="6">
        <v>185</v>
      </c>
      <c r="C186" s="6">
        <v>6.0600000000000001E-2</v>
      </c>
      <c r="D186" s="6">
        <v>0.39</v>
      </c>
      <c r="E186" s="6">
        <v>0.44779999999999998</v>
      </c>
      <c r="F186" s="6">
        <v>0</v>
      </c>
      <c r="G186" s="6">
        <v>22</v>
      </c>
      <c r="H186" s="18">
        <v>22</v>
      </c>
    </row>
    <row r="187" spans="1:8" ht="15" thickBot="1" x14ac:dyDescent="0.35">
      <c r="A187" s="17">
        <v>185</v>
      </c>
      <c r="B187" s="6">
        <v>186</v>
      </c>
      <c r="C187" s="6">
        <v>7.5800000000000006E-2</v>
      </c>
      <c r="D187" s="6">
        <v>0.42</v>
      </c>
      <c r="E187" s="6">
        <v>0.3881</v>
      </c>
      <c r="F187" s="6">
        <v>1</v>
      </c>
      <c r="G187" s="6">
        <v>24</v>
      </c>
      <c r="H187" s="18">
        <v>25</v>
      </c>
    </row>
    <row r="188" spans="1:8" ht="15" thickBot="1" x14ac:dyDescent="0.35">
      <c r="A188" s="17">
        <v>186</v>
      </c>
      <c r="B188" s="6">
        <v>187</v>
      </c>
      <c r="C188" s="6">
        <v>6.0600000000000001E-2</v>
      </c>
      <c r="D188" s="6">
        <v>0.42</v>
      </c>
      <c r="E188" s="6">
        <v>0.4627</v>
      </c>
      <c r="F188" s="6">
        <v>0</v>
      </c>
      <c r="G188" s="6">
        <v>12</v>
      </c>
      <c r="H188" s="18">
        <v>12</v>
      </c>
    </row>
    <row r="189" spans="1:8" ht="15" thickBot="1" x14ac:dyDescent="0.35">
      <c r="A189" s="17">
        <v>187</v>
      </c>
      <c r="B189" s="6">
        <v>188</v>
      </c>
      <c r="C189" s="6">
        <v>6.0600000000000001E-2</v>
      </c>
      <c r="D189" s="6">
        <v>0.46</v>
      </c>
      <c r="E189" s="6">
        <v>0.4627</v>
      </c>
      <c r="F189" s="6">
        <v>0</v>
      </c>
      <c r="G189" s="6">
        <v>11</v>
      </c>
      <c r="H189" s="18">
        <v>11</v>
      </c>
    </row>
    <row r="190" spans="1:8" ht="15" thickBot="1" x14ac:dyDescent="0.35">
      <c r="A190" s="17">
        <v>188</v>
      </c>
      <c r="B190" s="6">
        <v>189</v>
      </c>
      <c r="C190" s="6">
        <v>7.5800000000000006E-2</v>
      </c>
      <c r="D190" s="6">
        <v>0.46</v>
      </c>
      <c r="E190" s="6">
        <v>0.41789999999999999</v>
      </c>
      <c r="F190" s="6">
        <v>0</v>
      </c>
      <c r="G190" s="6">
        <v>4</v>
      </c>
      <c r="H190" s="18">
        <v>4</v>
      </c>
    </row>
    <row r="191" spans="1:8" ht="15" thickBot="1" x14ac:dyDescent="0.35">
      <c r="A191" s="17">
        <v>189</v>
      </c>
      <c r="B191" s="6">
        <v>190</v>
      </c>
      <c r="C191" s="6">
        <v>9.0899999999999995E-2</v>
      </c>
      <c r="D191" s="6">
        <v>0.53</v>
      </c>
      <c r="E191" s="6">
        <v>0.19400000000000001</v>
      </c>
      <c r="F191" s="6">
        <v>0</v>
      </c>
      <c r="G191" s="6">
        <v>1</v>
      </c>
      <c r="H191" s="18">
        <v>1</v>
      </c>
    </row>
    <row r="192" spans="1:8" ht="15" thickBot="1" x14ac:dyDescent="0.35">
      <c r="A192" s="17">
        <v>190</v>
      </c>
      <c r="B192" s="6">
        <v>191</v>
      </c>
      <c r="C192" s="6">
        <v>9.0899999999999995E-2</v>
      </c>
      <c r="D192" s="6">
        <v>0.53</v>
      </c>
      <c r="E192" s="6">
        <v>0.19400000000000001</v>
      </c>
      <c r="F192" s="6">
        <v>0</v>
      </c>
      <c r="G192" s="6">
        <v>1</v>
      </c>
      <c r="H192" s="18">
        <v>1</v>
      </c>
    </row>
    <row r="193" spans="1:8" ht="15" thickBot="1" x14ac:dyDescent="0.35">
      <c r="A193" s="17">
        <v>191</v>
      </c>
      <c r="B193" s="6">
        <v>192</v>
      </c>
      <c r="C193" s="6">
        <v>9.0899999999999995E-2</v>
      </c>
      <c r="D193" s="6">
        <v>0.49</v>
      </c>
      <c r="E193" s="6">
        <v>0.28360000000000002</v>
      </c>
      <c r="F193" s="6">
        <v>0</v>
      </c>
      <c r="G193" s="6">
        <v>1</v>
      </c>
      <c r="H193" s="18">
        <v>1</v>
      </c>
    </row>
    <row r="194" spans="1:8" ht="15" thickBot="1" x14ac:dyDescent="0.35">
      <c r="A194" s="17">
        <v>192</v>
      </c>
      <c r="B194" s="6">
        <v>193</v>
      </c>
      <c r="C194" s="6">
        <v>9.0899999999999995E-2</v>
      </c>
      <c r="D194" s="6">
        <v>0.53</v>
      </c>
      <c r="E194" s="6">
        <v>0.19400000000000001</v>
      </c>
      <c r="F194" s="6">
        <v>1</v>
      </c>
      <c r="G194" s="6">
        <v>5</v>
      </c>
      <c r="H194" s="18">
        <v>6</v>
      </c>
    </row>
    <row r="195" spans="1:8" ht="15" thickBot="1" x14ac:dyDescent="0.35">
      <c r="A195" s="17">
        <v>193</v>
      </c>
      <c r="B195" s="6">
        <v>194</v>
      </c>
      <c r="C195" s="6">
        <v>9.0899999999999995E-2</v>
      </c>
      <c r="D195" s="6">
        <v>0.49</v>
      </c>
      <c r="E195" s="6">
        <v>0.28360000000000002</v>
      </c>
      <c r="F195" s="6">
        <v>0</v>
      </c>
      <c r="G195" s="6">
        <v>10</v>
      </c>
      <c r="H195" s="18">
        <v>10</v>
      </c>
    </row>
    <row r="196" spans="1:8" ht="15" thickBot="1" x14ac:dyDescent="0.35">
      <c r="A196" s="17">
        <v>194</v>
      </c>
      <c r="B196" s="6">
        <v>195</v>
      </c>
      <c r="C196" s="6">
        <v>7.5800000000000006E-2</v>
      </c>
      <c r="D196" s="6">
        <v>0.46</v>
      </c>
      <c r="E196" s="6">
        <v>0.52239999999999998</v>
      </c>
      <c r="F196" s="6">
        <v>0</v>
      </c>
      <c r="G196" s="6">
        <v>19</v>
      </c>
      <c r="H196" s="18">
        <v>19</v>
      </c>
    </row>
    <row r="197" spans="1:8" ht="15" thickBot="1" x14ac:dyDescent="0.35">
      <c r="A197" s="17">
        <v>195</v>
      </c>
      <c r="B197" s="6">
        <v>196</v>
      </c>
      <c r="C197" s="6">
        <v>0.1061</v>
      </c>
      <c r="D197" s="6">
        <v>0.43</v>
      </c>
      <c r="E197" s="6">
        <v>0.3881</v>
      </c>
      <c r="F197" s="6">
        <v>0</v>
      </c>
      <c r="G197" s="6">
        <v>49</v>
      </c>
      <c r="H197" s="18">
        <v>49</v>
      </c>
    </row>
    <row r="198" spans="1:8" ht="15" thickBot="1" x14ac:dyDescent="0.35">
      <c r="A198" s="17">
        <v>196</v>
      </c>
      <c r="B198" s="6">
        <v>197</v>
      </c>
      <c r="C198" s="6">
        <v>0.1212</v>
      </c>
      <c r="D198" s="6">
        <v>0.4</v>
      </c>
      <c r="E198" s="6">
        <v>0.52239999999999998</v>
      </c>
      <c r="F198" s="6">
        <v>2</v>
      </c>
      <c r="G198" s="6">
        <v>47</v>
      </c>
      <c r="H198" s="18">
        <v>49</v>
      </c>
    </row>
    <row r="199" spans="1:8" ht="15" thickBot="1" x14ac:dyDescent="0.35">
      <c r="A199" s="17">
        <v>197</v>
      </c>
      <c r="B199" s="6">
        <v>198</v>
      </c>
      <c r="C199" s="6">
        <v>0.13639999999999999</v>
      </c>
      <c r="D199" s="6">
        <v>0.37</v>
      </c>
      <c r="E199" s="6">
        <v>0.44779999999999998</v>
      </c>
      <c r="F199" s="6">
        <v>4</v>
      </c>
      <c r="G199" s="6">
        <v>79</v>
      </c>
      <c r="H199" s="18">
        <v>83</v>
      </c>
    </row>
    <row r="200" spans="1:8" ht="15" thickBot="1" x14ac:dyDescent="0.35">
      <c r="A200" s="17">
        <v>198</v>
      </c>
      <c r="B200" s="6">
        <v>199</v>
      </c>
      <c r="C200" s="6">
        <v>0.16669999999999999</v>
      </c>
      <c r="D200" s="6">
        <v>0.34</v>
      </c>
      <c r="E200" s="6">
        <v>0.44779999999999998</v>
      </c>
      <c r="F200" s="6">
        <v>6</v>
      </c>
      <c r="G200" s="6">
        <v>69</v>
      </c>
      <c r="H200" s="18">
        <v>75</v>
      </c>
    </row>
    <row r="201" spans="1:8" ht="15" thickBot="1" x14ac:dyDescent="0.35">
      <c r="A201" s="17">
        <v>199</v>
      </c>
      <c r="B201" s="6">
        <v>200</v>
      </c>
      <c r="C201" s="6">
        <v>0.18179999999999999</v>
      </c>
      <c r="D201" s="6">
        <v>0.32</v>
      </c>
      <c r="E201" s="6">
        <v>0.4627</v>
      </c>
      <c r="F201" s="6">
        <v>8</v>
      </c>
      <c r="G201" s="6">
        <v>64</v>
      </c>
      <c r="H201" s="18">
        <v>72</v>
      </c>
    </row>
    <row r="202" spans="1:8" ht="15" thickBot="1" x14ac:dyDescent="0.35">
      <c r="A202" s="17">
        <v>200</v>
      </c>
      <c r="B202" s="6">
        <v>201</v>
      </c>
      <c r="C202" s="6">
        <v>0.19700000000000001</v>
      </c>
      <c r="D202" s="6">
        <v>0.35</v>
      </c>
      <c r="E202" s="6">
        <v>0.35820000000000002</v>
      </c>
      <c r="F202" s="6">
        <v>5</v>
      </c>
      <c r="G202" s="6">
        <v>77</v>
      </c>
      <c r="H202" s="18">
        <v>82</v>
      </c>
    </row>
    <row r="203" spans="1:8" ht="15" thickBot="1" x14ac:dyDescent="0.35">
      <c r="A203" s="17">
        <v>201</v>
      </c>
      <c r="B203" s="6">
        <v>202</v>
      </c>
      <c r="C203" s="6">
        <v>0.16669999999999999</v>
      </c>
      <c r="D203" s="6">
        <v>0.34</v>
      </c>
      <c r="E203" s="6">
        <v>0.44779999999999998</v>
      </c>
      <c r="F203" s="6">
        <v>13</v>
      </c>
      <c r="G203" s="6">
        <v>79</v>
      </c>
      <c r="H203" s="18">
        <v>92</v>
      </c>
    </row>
    <row r="204" spans="1:8" ht="15" thickBot="1" x14ac:dyDescent="0.35">
      <c r="A204" s="17">
        <v>202</v>
      </c>
      <c r="B204" s="6">
        <v>203</v>
      </c>
      <c r="C204" s="6">
        <v>0.1515</v>
      </c>
      <c r="D204" s="6">
        <v>0.37</v>
      </c>
      <c r="E204" s="6">
        <v>0.3881</v>
      </c>
      <c r="F204" s="6">
        <v>3</v>
      </c>
      <c r="G204" s="6">
        <v>59</v>
      </c>
      <c r="H204" s="18">
        <v>62</v>
      </c>
    </row>
    <row r="205" spans="1:8" ht="15" thickBot="1" x14ac:dyDescent="0.35">
      <c r="A205" s="17">
        <v>203</v>
      </c>
      <c r="B205" s="6">
        <v>204</v>
      </c>
      <c r="C205" s="6">
        <v>0.13639999999999999</v>
      </c>
      <c r="D205" s="6">
        <v>0.4</v>
      </c>
      <c r="E205" s="6">
        <v>0.32840000000000003</v>
      </c>
      <c r="F205" s="6">
        <v>4</v>
      </c>
      <c r="G205" s="6">
        <v>44</v>
      </c>
      <c r="H205" s="18">
        <v>48</v>
      </c>
    </row>
    <row r="206" spans="1:8" ht="15" thickBot="1" x14ac:dyDescent="0.35">
      <c r="A206" s="17">
        <v>204</v>
      </c>
      <c r="B206" s="6">
        <v>205</v>
      </c>
      <c r="C206" s="6">
        <v>0.13639999999999999</v>
      </c>
      <c r="D206" s="6">
        <v>0.43</v>
      </c>
      <c r="E206" s="6">
        <v>0.32840000000000003</v>
      </c>
      <c r="F206" s="6">
        <v>1</v>
      </c>
      <c r="G206" s="6">
        <v>40</v>
      </c>
      <c r="H206" s="18">
        <v>41</v>
      </c>
    </row>
    <row r="207" spans="1:8" ht="15" thickBot="1" x14ac:dyDescent="0.35">
      <c r="A207" s="17">
        <v>205</v>
      </c>
      <c r="B207" s="6">
        <v>206</v>
      </c>
      <c r="C207" s="6">
        <v>0.1212</v>
      </c>
      <c r="D207" s="6">
        <v>0.46</v>
      </c>
      <c r="E207" s="6">
        <v>0.25369999999999998</v>
      </c>
      <c r="F207" s="6">
        <v>0</v>
      </c>
      <c r="G207" s="6">
        <v>38</v>
      </c>
      <c r="H207" s="18">
        <v>38</v>
      </c>
    </row>
    <row r="208" spans="1:8" ht="15" thickBot="1" x14ac:dyDescent="0.35">
      <c r="A208" s="17">
        <v>206</v>
      </c>
      <c r="B208" s="6">
        <v>207</v>
      </c>
      <c r="C208" s="6">
        <v>0.1061</v>
      </c>
      <c r="D208" s="6">
        <v>0.46</v>
      </c>
      <c r="E208" s="6">
        <v>0.41789999999999999</v>
      </c>
      <c r="F208" s="6">
        <v>1</v>
      </c>
      <c r="G208" s="6">
        <v>19</v>
      </c>
      <c r="H208" s="18">
        <v>20</v>
      </c>
    </row>
    <row r="209" spans="1:8" ht="15" thickBot="1" x14ac:dyDescent="0.35">
      <c r="A209" s="17">
        <v>207</v>
      </c>
      <c r="B209" s="6">
        <v>208</v>
      </c>
      <c r="C209" s="6">
        <v>0.1212</v>
      </c>
      <c r="D209" s="6">
        <v>0.46</v>
      </c>
      <c r="E209" s="6">
        <v>0.29849999999999999</v>
      </c>
      <c r="F209" s="6">
        <v>5</v>
      </c>
      <c r="G209" s="6">
        <v>10</v>
      </c>
      <c r="H209" s="18">
        <v>15</v>
      </c>
    </row>
    <row r="210" spans="1:8" ht="15" thickBot="1" x14ac:dyDescent="0.35">
      <c r="A210" s="17">
        <v>208</v>
      </c>
      <c r="B210" s="6">
        <v>209</v>
      </c>
      <c r="C210" s="6">
        <v>0.13639999999999999</v>
      </c>
      <c r="D210" s="6">
        <v>0.5</v>
      </c>
      <c r="E210" s="6">
        <v>0.19400000000000001</v>
      </c>
      <c r="F210" s="6">
        <v>0</v>
      </c>
      <c r="G210" s="6">
        <v>6</v>
      </c>
      <c r="H210" s="18">
        <v>6</v>
      </c>
    </row>
    <row r="211" spans="1:8" ht="15" thickBot="1" x14ac:dyDescent="0.35">
      <c r="A211" s="17">
        <v>209</v>
      </c>
      <c r="B211" s="6">
        <v>210</v>
      </c>
      <c r="C211" s="6">
        <v>0.1212</v>
      </c>
      <c r="D211" s="6">
        <v>0.5</v>
      </c>
      <c r="E211" s="6">
        <v>0.28360000000000002</v>
      </c>
      <c r="F211" s="6">
        <v>2</v>
      </c>
      <c r="G211" s="6">
        <v>3</v>
      </c>
      <c r="H211" s="18">
        <v>5</v>
      </c>
    </row>
    <row r="212" spans="1:8" ht="15" thickBot="1" x14ac:dyDescent="0.35">
      <c r="A212" s="17">
        <v>210</v>
      </c>
      <c r="B212" s="6">
        <v>211</v>
      </c>
      <c r="C212" s="6">
        <v>0.1212</v>
      </c>
      <c r="D212" s="6">
        <v>0.5</v>
      </c>
      <c r="E212" s="6">
        <v>0.28360000000000002</v>
      </c>
      <c r="F212" s="6">
        <v>1</v>
      </c>
      <c r="G212" s="6">
        <v>0</v>
      </c>
      <c r="H212" s="18">
        <v>1</v>
      </c>
    </row>
    <row r="213" spans="1:8" ht="15" thickBot="1" x14ac:dyDescent="0.35">
      <c r="A213" s="17">
        <v>211</v>
      </c>
      <c r="B213" s="6">
        <v>212</v>
      </c>
      <c r="C213" s="6">
        <v>0.1212</v>
      </c>
      <c r="D213" s="6">
        <v>0.5</v>
      </c>
      <c r="E213" s="6">
        <v>0.22389999999999999</v>
      </c>
      <c r="F213" s="6">
        <v>0</v>
      </c>
      <c r="G213" s="6">
        <v>3</v>
      </c>
      <c r="H213" s="18">
        <v>3</v>
      </c>
    </row>
    <row r="214" spans="1:8" ht="15" thickBot="1" x14ac:dyDescent="0.35">
      <c r="A214" s="17">
        <v>212</v>
      </c>
      <c r="B214" s="6">
        <v>213</v>
      </c>
      <c r="C214" s="6">
        <v>0.1212</v>
      </c>
      <c r="D214" s="6">
        <v>0.5</v>
      </c>
      <c r="E214" s="6">
        <v>0.22389999999999999</v>
      </c>
      <c r="F214" s="6">
        <v>0</v>
      </c>
      <c r="G214" s="6">
        <v>1</v>
      </c>
      <c r="H214" s="18">
        <v>1</v>
      </c>
    </row>
    <row r="215" spans="1:8" ht="15" thickBot="1" x14ac:dyDescent="0.35">
      <c r="A215" s="17">
        <v>213</v>
      </c>
      <c r="B215" s="6">
        <v>214</v>
      </c>
      <c r="C215" s="6">
        <v>0.1212</v>
      </c>
      <c r="D215" s="6">
        <v>0.54</v>
      </c>
      <c r="E215" s="6">
        <v>0.1343</v>
      </c>
      <c r="F215" s="6">
        <v>1</v>
      </c>
      <c r="G215" s="6">
        <v>2</v>
      </c>
      <c r="H215" s="18">
        <v>3</v>
      </c>
    </row>
    <row r="216" spans="1:8" ht="15" thickBot="1" x14ac:dyDescent="0.35">
      <c r="A216" s="17">
        <v>214</v>
      </c>
      <c r="B216" s="6">
        <v>215</v>
      </c>
      <c r="C216" s="6">
        <v>0.1061</v>
      </c>
      <c r="D216" s="6">
        <v>0.54</v>
      </c>
      <c r="E216" s="6">
        <v>0.25369999999999998</v>
      </c>
      <c r="F216" s="6">
        <v>0</v>
      </c>
      <c r="G216" s="6">
        <v>3</v>
      </c>
      <c r="H216" s="18">
        <v>3</v>
      </c>
    </row>
    <row r="217" spans="1:8" ht="15" thickBot="1" x14ac:dyDescent="0.35">
      <c r="A217" s="17">
        <v>215</v>
      </c>
      <c r="B217" s="6">
        <v>216</v>
      </c>
      <c r="C217" s="6">
        <v>0.1212</v>
      </c>
      <c r="D217" s="6">
        <v>0.5</v>
      </c>
      <c r="E217" s="6">
        <v>0.28360000000000002</v>
      </c>
      <c r="F217" s="6">
        <v>0</v>
      </c>
      <c r="G217" s="6">
        <v>31</v>
      </c>
      <c r="H217" s="18">
        <v>31</v>
      </c>
    </row>
    <row r="218" spans="1:8" ht="15" thickBot="1" x14ac:dyDescent="0.35">
      <c r="A218" s="17">
        <v>216</v>
      </c>
      <c r="B218" s="6">
        <v>217</v>
      </c>
      <c r="C218" s="6">
        <v>0.1212</v>
      </c>
      <c r="D218" s="6">
        <v>0.5</v>
      </c>
      <c r="E218" s="6">
        <v>0.22389999999999999</v>
      </c>
      <c r="F218" s="6">
        <v>2</v>
      </c>
      <c r="G218" s="6">
        <v>75</v>
      </c>
      <c r="H218" s="18">
        <v>77</v>
      </c>
    </row>
    <row r="219" spans="1:8" ht="15" thickBot="1" x14ac:dyDescent="0.35">
      <c r="A219" s="17">
        <v>217</v>
      </c>
      <c r="B219" s="6">
        <v>218</v>
      </c>
      <c r="C219" s="6">
        <v>0.1212</v>
      </c>
      <c r="D219" s="6">
        <v>0.5</v>
      </c>
      <c r="E219" s="6">
        <v>0.28360000000000002</v>
      </c>
      <c r="F219" s="6">
        <v>4</v>
      </c>
      <c r="G219" s="6">
        <v>184</v>
      </c>
      <c r="H219" s="18">
        <v>188</v>
      </c>
    </row>
    <row r="220" spans="1:8" ht="15" thickBot="1" x14ac:dyDescent="0.35">
      <c r="A220" s="17">
        <v>218</v>
      </c>
      <c r="B220" s="6">
        <v>219</v>
      </c>
      <c r="C220" s="6">
        <v>0.1212</v>
      </c>
      <c r="D220" s="6">
        <v>0.5</v>
      </c>
      <c r="E220" s="6">
        <v>0.25369999999999998</v>
      </c>
      <c r="F220" s="6">
        <v>2</v>
      </c>
      <c r="G220" s="6">
        <v>92</v>
      </c>
      <c r="H220" s="18">
        <v>94</v>
      </c>
    </row>
    <row r="221" spans="1:8" ht="15" thickBot="1" x14ac:dyDescent="0.35">
      <c r="A221" s="17">
        <v>219</v>
      </c>
      <c r="B221" s="6">
        <v>220</v>
      </c>
      <c r="C221" s="6">
        <v>0.1212</v>
      </c>
      <c r="D221" s="6">
        <v>0.5</v>
      </c>
      <c r="E221" s="6">
        <v>0.29849999999999999</v>
      </c>
      <c r="F221" s="6">
        <v>0</v>
      </c>
      <c r="G221" s="6">
        <v>31</v>
      </c>
      <c r="H221" s="18">
        <v>31</v>
      </c>
    </row>
    <row r="222" spans="1:8" ht="15" thickBot="1" x14ac:dyDescent="0.35">
      <c r="A222" s="17">
        <v>220</v>
      </c>
      <c r="B222" s="6">
        <v>221</v>
      </c>
      <c r="C222" s="6">
        <v>0.13639999999999999</v>
      </c>
      <c r="D222" s="6">
        <v>0.47</v>
      </c>
      <c r="E222" s="6">
        <v>0.28360000000000002</v>
      </c>
      <c r="F222" s="6">
        <v>2</v>
      </c>
      <c r="G222" s="6">
        <v>28</v>
      </c>
      <c r="H222" s="18">
        <v>30</v>
      </c>
    </row>
    <row r="223" spans="1:8" ht="15" thickBot="1" x14ac:dyDescent="0.35">
      <c r="A223" s="17">
        <v>221</v>
      </c>
      <c r="B223" s="6">
        <v>222</v>
      </c>
      <c r="C223" s="6">
        <v>0.18179999999999999</v>
      </c>
      <c r="D223" s="6">
        <v>0.4</v>
      </c>
      <c r="E223" s="6">
        <v>0.28360000000000002</v>
      </c>
      <c r="F223" s="6">
        <v>5</v>
      </c>
      <c r="G223" s="6">
        <v>47</v>
      </c>
      <c r="H223" s="18">
        <v>52</v>
      </c>
    </row>
    <row r="224" spans="1:8" ht="15" thickBot="1" x14ac:dyDescent="0.35">
      <c r="A224" s="17">
        <v>222</v>
      </c>
      <c r="B224" s="6">
        <v>223</v>
      </c>
      <c r="C224" s="6">
        <v>0.18179999999999999</v>
      </c>
      <c r="D224" s="6">
        <v>0.4</v>
      </c>
      <c r="E224" s="6">
        <v>0.28360000000000002</v>
      </c>
      <c r="F224" s="6">
        <v>4</v>
      </c>
      <c r="G224" s="6">
        <v>50</v>
      </c>
      <c r="H224" s="18">
        <v>54</v>
      </c>
    </row>
    <row r="225" spans="1:8" ht="15" thickBot="1" x14ac:dyDescent="0.35">
      <c r="A225" s="17">
        <v>223</v>
      </c>
      <c r="B225" s="6">
        <v>224</v>
      </c>
      <c r="C225" s="6">
        <v>0.19700000000000001</v>
      </c>
      <c r="D225" s="6">
        <v>0.4</v>
      </c>
      <c r="E225" s="6">
        <v>0.22389999999999999</v>
      </c>
      <c r="F225" s="6">
        <v>0</v>
      </c>
      <c r="G225" s="6">
        <v>47</v>
      </c>
      <c r="H225" s="18">
        <v>47</v>
      </c>
    </row>
    <row r="226" spans="1:8" ht="15" thickBot="1" x14ac:dyDescent="0.35">
      <c r="A226" s="17">
        <v>224</v>
      </c>
      <c r="B226" s="6">
        <v>225</v>
      </c>
      <c r="C226" s="6">
        <v>0.19700000000000001</v>
      </c>
      <c r="D226" s="6">
        <v>0.4</v>
      </c>
      <c r="E226" s="6">
        <v>0.22389999999999999</v>
      </c>
      <c r="F226" s="6">
        <v>2</v>
      </c>
      <c r="G226" s="6">
        <v>43</v>
      </c>
      <c r="H226" s="18">
        <v>45</v>
      </c>
    </row>
    <row r="227" spans="1:8" ht="15" thickBot="1" x14ac:dyDescent="0.35">
      <c r="A227" s="17">
        <v>225</v>
      </c>
      <c r="B227" s="6">
        <v>226</v>
      </c>
      <c r="C227" s="6">
        <v>0.21210000000000001</v>
      </c>
      <c r="D227" s="6">
        <v>0.4</v>
      </c>
      <c r="E227" s="6">
        <v>0.1343</v>
      </c>
      <c r="F227" s="6">
        <v>4</v>
      </c>
      <c r="G227" s="6">
        <v>70</v>
      </c>
      <c r="H227" s="18">
        <v>74</v>
      </c>
    </row>
    <row r="228" spans="1:8" ht="15" thickBot="1" x14ac:dyDescent="0.35">
      <c r="A228" s="17">
        <v>226</v>
      </c>
      <c r="B228" s="6">
        <v>227</v>
      </c>
      <c r="C228" s="6">
        <v>0.2273</v>
      </c>
      <c r="D228" s="6">
        <v>0.4</v>
      </c>
      <c r="E228" s="6">
        <v>0.1045</v>
      </c>
      <c r="F228" s="6">
        <v>4</v>
      </c>
      <c r="G228" s="6">
        <v>174</v>
      </c>
      <c r="H228" s="18">
        <v>178</v>
      </c>
    </row>
    <row r="229" spans="1:8" ht="15" thickBot="1" x14ac:dyDescent="0.35">
      <c r="A229" s="17">
        <v>227</v>
      </c>
      <c r="B229" s="6">
        <v>228</v>
      </c>
      <c r="C229" s="6">
        <v>0.19700000000000001</v>
      </c>
      <c r="D229" s="6">
        <v>0.4</v>
      </c>
      <c r="E229" s="6">
        <v>0.22389999999999999</v>
      </c>
      <c r="F229" s="6">
        <v>1</v>
      </c>
      <c r="G229" s="6">
        <v>154</v>
      </c>
      <c r="H229" s="18">
        <v>155</v>
      </c>
    </row>
    <row r="230" spans="1:8" ht="15" thickBot="1" x14ac:dyDescent="0.35">
      <c r="A230" s="17">
        <v>228</v>
      </c>
      <c r="B230" s="6">
        <v>229</v>
      </c>
      <c r="C230" s="6">
        <v>0.16669999999999999</v>
      </c>
      <c r="D230" s="6">
        <v>0.47</v>
      </c>
      <c r="E230" s="6">
        <v>0.16420000000000001</v>
      </c>
      <c r="F230" s="6">
        <v>3</v>
      </c>
      <c r="G230" s="6">
        <v>92</v>
      </c>
      <c r="H230" s="18">
        <v>95</v>
      </c>
    </row>
    <row r="231" spans="1:8" ht="15" thickBot="1" x14ac:dyDescent="0.35">
      <c r="A231" s="17">
        <v>229</v>
      </c>
      <c r="B231" s="6">
        <v>230</v>
      </c>
      <c r="C231" s="6">
        <v>0.16669999999999999</v>
      </c>
      <c r="D231" s="6">
        <v>0.5</v>
      </c>
      <c r="E231" s="6">
        <v>0.16420000000000001</v>
      </c>
      <c r="F231" s="6">
        <v>1</v>
      </c>
      <c r="G231" s="6">
        <v>73</v>
      </c>
      <c r="H231" s="18">
        <v>74</v>
      </c>
    </row>
    <row r="232" spans="1:8" ht="15" thickBot="1" x14ac:dyDescent="0.35">
      <c r="A232" s="17">
        <v>230</v>
      </c>
      <c r="B232" s="6">
        <v>231</v>
      </c>
      <c r="C232" s="6">
        <v>0.13639999999999999</v>
      </c>
      <c r="D232" s="6">
        <v>0.59</v>
      </c>
      <c r="E232" s="6">
        <v>0.19400000000000001</v>
      </c>
      <c r="F232" s="6">
        <v>1</v>
      </c>
      <c r="G232" s="6">
        <v>37</v>
      </c>
      <c r="H232" s="18">
        <v>38</v>
      </c>
    </row>
    <row r="233" spans="1:8" ht="15" thickBot="1" x14ac:dyDescent="0.35">
      <c r="A233" s="17">
        <v>231</v>
      </c>
      <c r="B233" s="6">
        <v>232</v>
      </c>
      <c r="C233" s="6">
        <v>0.1515</v>
      </c>
      <c r="D233" s="6">
        <v>0.59</v>
      </c>
      <c r="E233" s="6">
        <v>0.16420000000000001</v>
      </c>
      <c r="F233" s="6">
        <v>2</v>
      </c>
      <c r="G233" s="6">
        <v>22</v>
      </c>
      <c r="H233" s="18">
        <v>24</v>
      </c>
    </row>
    <row r="234" spans="1:8" ht="15" thickBot="1" x14ac:dyDescent="0.35">
      <c r="A234" s="17">
        <v>232</v>
      </c>
      <c r="B234" s="6">
        <v>233</v>
      </c>
      <c r="C234" s="6">
        <v>0.1515</v>
      </c>
      <c r="D234" s="6">
        <v>0.59</v>
      </c>
      <c r="E234" s="6">
        <v>0.16420000000000001</v>
      </c>
      <c r="F234" s="6">
        <v>0</v>
      </c>
      <c r="G234" s="6">
        <v>18</v>
      </c>
      <c r="H234" s="18">
        <v>18</v>
      </c>
    </row>
    <row r="235" spans="1:8" ht="15" thickBot="1" x14ac:dyDescent="0.35">
      <c r="A235" s="17">
        <v>233</v>
      </c>
      <c r="B235" s="6">
        <v>234</v>
      </c>
      <c r="C235" s="6">
        <v>0.16669999999999999</v>
      </c>
      <c r="D235" s="6">
        <v>0.59</v>
      </c>
      <c r="E235" s="6">
        <v>0.1045</v>
      </c>
      <c r="F235" s="6">
        <v>2</v>
      </c>
      <c r="G235" s="6">
        <v>10</v>
      </c>
      <c r="H235" s="18">
        <v>12</v>
      </c>
    </row>
    <row r="236" spans="1:8" ht="15" thickBot="1" x14ac:dyDescent="0.35">
      <c r="A236" s="17">
        <v>234</v>
      </c>
      <c r="B236" s="6">
        <v>235</v>
      </c>
      <c r="C236" s="6">
        <v>0.1515</v>
      </c>
      <c r="D236" s="6">
        <v>0.59</v>
      </c>
      <c r="E236" s="6">
        <v>0.16420000000000001</v>
      </c>
      <c r="F236" s="6">
        <v>0</v>
      </c>
      <c r="G236" s="6">
        <v>3</v>
      </c>
      <c r="H236" s="18">
        <v>3</v>
      </c>
    </row>
    <row r="237" spans="1:8" ht="15" thickBot="1" x14ac:dyDescent="0.35">
      <c r="A237" s="17">
        <v>235</v>
      </c>
      <c r="B237" s="6">
        <v>236</v>
      </c>
      <c r="C237" s="6">
        <v>0.1515</v>
      </c>
      <c r="D237" s="6">
        <v>0.55000000000000004</v>
      </c>
      <c r="E237" s="6">
        <v>0.19400000000000001</v>
      </c>
      <c r="F237" s="6">
        <v>0</v>
      </c>
      <c r="G237" s="6">
        <v>3</v>
      </c>
      <c r="H237" s="18">
        <v>3</v>
      </c>
    </row>
    <row r="238" spans="1:8" ht="15" thickBot="1" x14ac:dyDescent="0.35">
      <c r="A238" s="17">
        <v>236</v>
      </c>
      <c r="B238" s="6">
        <v>237</v>
      </c>
      <c r="C238" s="6">
        <v>0.18179999999999999</v>
      </c>
      <c r="D238" s="6">
        <v>0.55000000000000004</v>
      </c>
      <c r="E238" s="6">
        <v>0.1343</v>
      </c>
      <c r="F238" s="6">
        <v>0</v>
      </c>
      <c r="G238" s="6">
        <v>6</v>
      </c>
      <c r="H238" s="18">
        <v>6</v>
      </c>
    </row>
    <row r="239" spans="1:8" ht="15" thickBot="1" x14ac:dyDescent="0.35">
      <c r="A239" s="17">
        <v>237</v>
      </c>
      <c r="B239" s="6">
        <v>238</v>
      </c>
      <c r="C239" s="6">
        <v>0.18179999999999999</v>
      </c>
      <c r="D239" s="6">
        <v>0.55000000000000004</v>
      </c>
      <c r="E239" s="6">
        <v>0.1343</v>
      </c>
      <c r="F239" s="6">
        <v>0</v>
      </c>
      <c r="G239" s="6">
        <v>27</v>
      </c>
      <c r="H239" s="18">
        <v>27</v>
      </c>
    </row>
    <row r="240" spans="1:8" ht="15" thickBot="1" x14ac:dyDescent="0.35">
      <c r="A240" s="17">
        <v>238</v>
      </c>
      <c r="B240" s="6">
        <v>239</v>
      </c>
      <c r="C240" s="6">
        <v>0.2273</v>
      </c>
      <c r="D240" s="6">
        <v>0.55000000000000004</v>
      </c>
      <c r="E240" s="6">
        <v>0</v>
      </c>
      <c r="F240" s="6">
        <v>2</v>
      </c>
      <c r="G240" s="6">
        <v>97</v>
      </c>
      <c r="H240" s="18">
        <v>99</v>
      </c>
    </row>
    <row r="241" spans="1:8" ht="15" thickBot="1" x14ac:dyDescent="0.35">
      <c r="A241" s="17">
        <v>239</v>
      </c>
      <c r="B241" s="6">
        <v>240</v>
      </c>
      <c r="C241" s="6">
        <v>0.21210000000000001</v>
      </c>
      <c r="D241" s="6">
        <v>0.51</v>
      </c>
      <c r="E241" s="6">
        <v>8.9599999999999999E-2</v>
      </c>
      <c r="F241" s="6">
        <v>3</v>
      </c>
      <c r="G241" s="6">
        <v>214</v>
      </c>
      <c r="H241" s="18">
        <v>217</v>
      </c>
    </row>
    <row r="242" spans="1:8" ht="15" thickBot="1" x14ac:dyDescent="0.35">
      <c r="A242" s="17">
        <v>240</v>
      </c>
      <c r="B242" s="6">
        <v>241</v>
      </c>
      <c r="C242" s="6">
        <v>0.19700000000000001</v>
      </c>
      <c r="D242" s="6">
        <v>0.51</v>
      </c>
      <c r="E242" s="6">
        <v>0.16420000000000001</v>
      </c>
      <c r="F242" s="6">
        <v>3</v>
      </c>
      <c r="G242" s="6">
        <v>127</v>
      </c>
      <c r="H242" s="18">
        <v>130</v>
      </c>
    </row>
    <row r="243" spans="1:8" ht="15" thickBot="1" x14ac:dyDescent="0.35">
      <c r="A243" s="17">
        <v>241</v>
      </c>
      <c r="B243" s="6">
        <v>242</v>
      </c>
      <c r="C243" s="6">
        <v>0.21210000000000001</v>
      </c>
      <c r="D243" s="6">
        <v>0.51</v>
      </c>
      <c r="E243" s="6">
        <v>0.16420000000000001</v>
      </c>
      <c r="F243" s="6">
        <v>3</v>
      </c>
      <c r="G243" s="6">
        <v>51</v>
      </c>
      <c r="H243" s="18">
        <v>54</v>
      </c>
    </row>
    <row r="244" spans="1:8" ht="15" thickBot="1" x14ac:dyDescent="0.35">
      <c r="A244" s="17">
        <v>242</v>
      </c>
      <c r="B244" s="6">
        <v>243</v>
      </c>
      <c r="C244" s="6">
        <v>0.21210000000000001</v>
      </c>
      <c r="D244" s="6">
        <v>0.47</v>
      </c>
      <c r="E244" s="6">
        <v>0.1343</v>
      </c>
      <c r="F244" s="6">
        <v>4</v>
      </c>
      <c r="G244" s="6">
        <v>31</v>
      </c>
      <c r="H244" s="18">
        <v>35</v>
      </c>
    </row>
    <row r="245" spans="1:8" ht="15" thickBot="1" x14ac:dyDescent="0.35">
      <c r="A245" s="17">
        <v>243</v>
      </c>
      <c r="B245" s="6">
        <v>244</v>
      </c>
      <c r="C245" s="6">
        <v>0.2273</v>
      </c>
      <c r="D245" s="6">
        <v>0.51</v>
      </c>
      <c r="E245" s="6">
        <v>0.1045</v>
      </c>
      <c r="F245" s="6">
        <v>2</v>
      </c>
      <c r="G245" s="6">
        <v>55</v>
      </c>
      <c r="H245" s="18">
        <v>57</v>
      </c>
    </row>
    <row r="246" spans="1:8" ht="15" thickBot="1" x14ac:dyDescent="0.35">
      <c r="A246" s="17">
        <v>244</v>
      </c>
      <c r="B246" s="6">
        <v>245</v>
      </c>
      <c r="C246" s="6">
        <v>0.2273</v>
      </c>
      <c r="D246" s="6">
        <v>0.59</v>
      </c>
      <c r="E246" s="6">
        <v>8.9599999999999999E-2</v>
      </c>
      <c r="F246" s="6">
        <v>6</v>
      </c>
      <c r="G246" s="6">
        <v>46</v>
      </c>
      <c r="H246" s="18">
        <v>52</v>
      </c>
    </row>
    <row r="247" spans="1:8" ht="15" thickBot="1" x14ac:dyDescent="0.35">
      <c r="A247" s="17">
        <v>245</v>
      </c>
      <c r="B247" s="6">
        <v>246</v>
      </c>
      <c r="C247" s="6">
        <v>0.2273</v>
      </c>
      <c r="D247" s="6">
        <v>0.59</v>
      </c>
      <c r="E247" s="6">
        <v>8.9599999999999999E-2</v>
      </c>
      <c r="F247" s="6">
        <v>3</v>
      </c>
      <c r="G247" s="6">
        <v>60</v>
      </c>
      <c r="H247" s="18">
        <v>63</v>
      </c>
    </row>
    <row r="248" spans="1:8" ht="15" thickBot="1" x14ac:dyDescent="0.35">
      <c r="A248" s="17">
        <v>246</v>
      </c>
      <c r="B248" s="6">
        <v>247</v>
      </c>
      <c r="C248" s="6">
        <v>0.19700000000000001</v>
      </c>
      <c r="D248" s="6">
        <v>0.8</v>
      </c>
      <c r="E248" s="6">
        <v>8.9599999999999999E-2</v>
      </c>
      <c r="F248" s="6">
        <v>2</v>
      </c>
      <c r="G248" s="6">
        <v>45</v>
      </c>
      <c r="H248" s="18">
        <v>47</v>
      </c>
    </row>
    <row r="249" spans="1:8" ht="15" thickBot="1" x14ac:dyDescent="0.35">
      <c r="A249" s="17">
        <v>247</v>
      </c>
      <c r="B249" s="6">
        <v>248</v>
      </c>
      <c r="C249" s="6">
        <v>0.1515</v>
      </c>
      <c r="D249" s="6">
        <v>0.86</v>
      </c>
      <c r="E249" s="6">
        <v>0.22389999999999999</v>
      </c>
      <c r="F249" s="6">
        <v>4</v>
      </c>
      <c r="G249" s="6">
        <v>72</v>
      </c>
      <c r="H249" s="18">
        <v>76</v>
      </c>
    </row>
    <row r="250" spans="1:8" ht="15" thickBot="1" x14ac:dyDescent="0.35">
      <c r="A250" s="17">
        <v>248</v>
      </c>
      <c r="B250" s="6">
        <v>249</v>
      </c>
      <c r="C250" s="6">
        <v>0.1515</v>
      </c>
      <c r="D250" s="6">
        <v>0.86</v>
      </c>
      <c r="E250" s="6">
        <v>0.22389999999999999</v>
      </c>
      <c r="F250" s="6">
        <v>6</v>
      </c>
      <c r="G250" s="6">
        <v>130</v>
      </c>
      <c r="H250" s="18">
        <v>136</v>
      </c>
    </row>
    <row r="251" spans="1:8" ht="15" thickBot="1" x14ac:dyDescent="0.35">
      <c r="A251" s="17">
        <v>249</v>
      </c>
      <c r="B251" s="6">
        <v>250</v>
      </c>
      <c r="C251" s="6">
        <v>0.18179999999999999</v>
      </c>
      <c r="D251" s="6">
        <v>0.93</v>
      </c>
      <c r="E251" s="6">
        <v>0.1045</v>
      </c>
      <c r="F251" s="6">
        <v>1</v>
      </c>
      <c r="G251" s="6">
        <v>94</v>
      </c>
      <c r="H251" s="18">
        <v>95</v>
      </c>
    </row>
    <row r="252" spans="1:8" ht="15" thickBot="1" x14ac:dyDescent="0.35">
      <c r="A252" s="17">
        <v>250</v>
      </c>
      <c r="B252" s="6">
        <v>251</v>
      </c>
      <c r="C252" s="6">
        <v>0.2273</v>
      </c>
      <c r="D252" s="6">
        <v>0.93</v>
      </c>
      <c r="E252" s="6">
        <v>0</v>
      </c>
      <c r="F252" s="6">
        <v>0</v>
      </c>
      <c r="G252" s="6">
        <v>51</v>
      </c>
      <c r="H252" s="18">
        <v>51</v>
      </c>
    </row>
    <row r="253" spans="1:8" ht="15" thickBot="1" x14ac:dyDescent="0.35">
      <c r="A253" s="17">
        <v>251</v>
      </c>
      <c r="B253" s="6">
        <v>252</v>
      </c>
      <c r="C253" s="6">
        <v>0.1515</v>
      </c>
      <c r="D253" s="6">
        <v>0.93</v>
      </c>
      <c r="E253" s="6">
        <v>0.19400000000000001</v>
      </c>
      <c r="F253" s="6">
        <v>0</v>
      </c>
      <c r="G253" s="6">
        <v>32</v>
      </c>
      <c r="H253" s="18">
        <v>32</v>
      </c>
    </row>
    <row r="254" spans="1:8" ht="15" thickBot="1" x14ac:dyDescent="0.35">
      <c r="A254" s="17">
        <v>252</v>
      </c>
      <c r="B254" s="6">
        <v>253</v>
      </c>
      <c r="C254" s="6">
        <v>0.19700000000000001</v>
      </c>
      <c r="D254" s="6">
        <v>0.86</v>
      </c>
      <c r="E254" s="6">
        <v>8.9599999999999999E-2</v>
      </c>
      <c r="F254" s="6">
        <v>0</v>
      </c>
      <c r="G254" s="6">
        <v>20</v>
      </c>
      <c r="H254" s="18">
        <v>20</v>
      </c>
    </row>
    <row r="255" spans="1:8" ht="15" thickBot="1" x14ac:dyDescent="0.35">
      <c r="A255" s="17">
        <v>253</v>
      </c>
      <c r="B255" s="6">
        <v>254</v>
      </c>
      <c r="C255" s="6">
        <v>0.18179999999999999</v>
      </c>
      <c r="D255" s="6">
        <v>0.93</v>
      </c>
      <c r="E255" s="6">
        <v>0.1045</v>
      </c>
      <c r="F255" s="6">
        <v>1</v>
      </c>
      <c r="G255" s="6">
        <v>28</v>
      </c>
      <c r="H255" s="18">
        <v>29</v>
      </c>
    </row>
    <row r="256" spans="1:8" ht="15" thickBot="1" x14ac:dyDescent="0.35">
      <c r="A256" s="17">
        <v>254</v>
      </c>
      <c r="B256" s="6">
        <v>255</v>
      </c>
      <c r="C256" s="6">
        <v>0.19700000000000001</v>
      </c>
      <c r="D256" s="6">
        <v>0.93</v>
      </c>
      <c r="E256" s="6">
        <v>8.9599999999999999E-2</v>
      </c>
      <c r="F256" s="6">
        <v>1</v>
      </c>
      <c r="G256" s="6">
        <v>18</v>
      </c>
      <c r="H256" s="18">
        <v>19</v>
      </c>
    </row>
    <row r="257" spans="1:8" ht="15" thickBot="1" x14ac:dyDescent="0.35">
      <c r="A257" s="17">
        <v>255</v>
      </c>
      <c r="B257" s="6">
        <v>256</v>
      </c>
      <c r="C257" s="6">
        <v>0.19700000000000001</v>
      </c>
      <c r="D257" s="6">
        <v>0.86</v>
      </c>
      <c r="E257" s="6">
        <v>8.9599999999999999E-2</v>
      </c>
      <c r="F257" s="6">
        <v>0</v>
      </c>
      <c r="G257" s="6">
        <v>7</v>
      </c>
      <c r="H257" s="18">
        <v>7</v>
      </c>
    </row>
    <row r="258" spans="1:8" ht="15" thickBot="1" x14ac:dyDescent="0.35">
      <c r="A258" s="17">
        <v>256</v>
      </c>
      <c r="B258" s="6">
        <v>257</v>
      </c>
      <c r="C258" s="6">
        <v>0.18179999999999999</v>
      </c>
      <c r="D258" s="6">
        <v>0.86</v>
      </c>
      <c r="E258" s="6">
        <v>0.1045</v>
      </c>
      <c r="F258" s="6">
        <v>0</v>
      </c>
      <c r="G258" s="6">
        <v>6</v>
      </c>
      <c r="H258" s="18">
        <v>6</v>
      </c>
    </row>
    <row r="259" spans="1:8" ht="15" thickBot="1" x14ac:dyDescent="0.35">
      <c r="A259" s="17">
        <v>257</v>
      </c>
      <c r="B259" s="6">
        <v>258</v>
      </c>
      <c r="C259" s="6">
        <v>0.1515</v>
      </c>
      <c r="D259" s="6">
        <v>0.86</v>
      </c>
      <c r="E259" s="6">
        <v>0.1343</v>
      </c>
      <c r="F259" s="6">
        <v>0</v>
      </c>
      <c r="G259" s="6">
        <v>1</v>
      </c>
      <c r="H259" s="18">
        <v>1</v>
      </c>
    </row>
    <row r="260" spans="1:8" ht="15" thickBot="1" x14ac:dyDescent="0.35">
      <c r="A260" s="17">
        <v>258</v>
      </c>
      <c r="B260" s="6">
        <v>259</v>
      </c>
      <c r="C260" s="6">
        <v>0.1515</v>
      </c>
      <c r="D260" s="6">
        <v>0.86</v>
      </c>
      <c r="E260" s="6">
        <v>0.16420000000000001</v>
      </c>
      <c r="F260" s="6">
        <v>0</v>
      </c>
      <c r="G260" s="6">
        <v>5</v>
      </c>
      <c r="H260" s="18">
        <v>5</v>
      </c>
    </row>
    <row r="261" spans="1:8" ht="15" thickBot="1" x14ac:dyDescent="0.35">
      <c r="A261" s="17">
        <v>259</v>
      </c>
      <c r="B261" s="6">
        <v>260</v>
      </c>
      <c r="C261" s="6">
        <v>0.1515</v>
      </c>
      <c r="D261" s="6">
        <v>0.93</v>
      </c>
      <c r="E261" s="6">
        <v>0.1343</v>
      </c>
      <c r="F261" s="6">
        <v>0</v>
      </c>
      <c r="G261" s="6">
        <v>16</v>
      </c>
      <c r="H261" s="18">
        <v>16</v>
      </c>
    </row>
    <row r="262" spans="1:8" ht="15" thickBot="1" x14ac:dyDescent="0.35">
      <c r="A262" s="17">
        <v>260</v>
      </c>
      <c r="B262" s="6">
        <v>261</v>
      </c>
      <c r="C262" s="6">
        <v>0.1515</v>
      </c>
      <c r="D262" s="6">
        <v>0.69</v>
      </c>
      <c r="E262" s="6">
        <v>0.1343</v>
      </c>
      <c r="F262" s="6">
        <v>0</v>
      </c>
      <c r="G262" s="6">
        <v>54</v>
      </c>
      <c r="H262" s="18">
        <v>54</v>
      </c>
    </row>
    <row r="263" spans="1:8" ht="15" thickBot="1" x14ac:dyDescent="0.35">
      <c r="A263" s="17">
        <v>261</v>
      </c>
      <c r="B263" s="6">
        <v>262</v>
      </c>
      <c r="C263" s="6">
        <v>0.16669999999999999</v>
      </c>
      <c r="D263" s="6">
        <v>0.59</v>
      </c>
      <c r="E263" s="6">
        <v>0.16420000000000001</v>
      </c>
      <c r="F263" s="6">
        <v>3</v>
      </c>
      <c r="G263" s="6">
        <v>125</v>
      </c>
      <c r="H263" s="18">
        <v>128</v>
      </c>
    </row>
    <row r="264" spans="1:8" ht="15" thickBot="1" x14ac:dyDescent="0.35">
      <c r="A264" s="17">
        <v>262</v>
      </c>
      <c r="B264" s="6">
        <v>263</v>
      </c>
      <c r="C264" s="6">
        <v>0.13639999999999999</v>
      </c>
      <c r="D264" s="6">
        <v>0.59</v>
      </c>
      <c r="E264" s="6">
        <v>0.32840000000000003</v>
      </c>
      <c r="F264" s="6">
        <v>3</v>
      </c>
      <c r="G264" s="6">
        <v>78</v>
      </c>
      <c r="H264" s="18">
        <v>81</v>
      </c>
    </row>
    <row r="265" spans="1:8" ht="15" thickBot="1" x14ac:dyDescent="0.35">
      <c r="A265" s="17">
        <v>263</v>
      </c>
      <c r="B265" s="6">
        <v>264</v>
      </c>
      <c r="C265" s="6">
        <v>0.18179999999999999</v>
      </c>
      <c r="D265" s="6">
        <v>0.55000000000000004</v>
      </c>
      <c r="E265" s="6">
        <v>0.22389999999999999</v>
      </c>
      <c r="F265" s="6">
        <v>0</v>
      </c>
      <c r="G265" s="6">
        <v>39</v>
      </c>
      <c r="H265" s="18">
        <v>39</v>
      </c>
    </row>
    <row r="266" spans="1:8" ht="15" thickBot="1" x14ac:dyDescent="0.35">
      <c r="A266" s="17">
        <v>264</v>
      </c>
      <c r="B266" s="6">
        <v>265</v>
      </c>
      <c r="C266" s="6">
        <v>0.18179999999999999</v>
      </c>
      <c r="D266" s="6">
        <v>0.51</v>
      </c>
      <c r="E266" s="6">
        <v>0.3881</v>
      </c>
      <c r="F266" s="6">
        <v>3</v>
      </c>
      <c r="G266" s="6">
        <v>32</v>
      </c>
      <c r="H266" s="18">
        <v>35</v>
      </c>
    </row>
    <row r="267" spans="1:8" ht="15" thickBot="1" x14ac:dyDescent="0.35">
      <c r="A267" s="17">
        <v>265</v>
      </c>
      <c r="B267" s="6">
        <v>266</v>
      </c>
      <c r="C267" s="6">
        <v>0.1515</v>
      </c>
      <c r="D267" s="6">
        <v>0.47</v>
      </c>
      <c r="E267" s="6">
        <v>0.58209999999999995</v>
      </c>
      <c r="F267" s="6">
        <v>3</v>
      </c>
      <c r="G267" s="6">
        <v>52</v>
      </c>
      <c r="H267" s="18">
        <v>55</v>
      </c>
    </row>
    <row r="268" spans="1:8" ht="15" thickBot="1" x14ac:dyDescent="0.35">
      <c r="A268" s="17">
        <v>266</v>
      </c>
      <c r="B268" s="6">
        <v>267</v>
      </c>
      <c r="C268" s="6">
        <v>0.19700000000000001</v>
      </c>
      <c r="D268" s="6">
        <v>0.44</v>
      </c>
      <c r="E268" s="6">
        <v>0.35820000000000002</v>
      </c>
      <c r="F268" s="6">
        <v>0</v>
      </c>
      <c r="G268" s="6">
        <v>49</v>
      </c>
      <c r="H268" s="18">
        <v>49</v>
      </c>
    </row>
    <row r="269" spans="1:8" ht="15" thickBot="1" x14ac:dyDescent="0.35">
      <c r="A269" s="17">
        <v>267</v>
      </c>
      <c r="B269" s="6">
        <v>268</v>
      </c>
      <c r="C269" s="6">
        <v>0.18179999999999999</v>
      </c>
      <c r="D269" s="6">
        <v>0.47</v>
      </c>
      <c r="E269" s="6">
        <v>0.32840000000000003</v>
      </c>
      <c r="F269" s="6">
        <v>0</v>
      </c>
      <c r="G269" s="6">
        <v>44</v>
      </c>
      <c r="H269" s="18">
        <v>44</v>
      </c>
    </row>
    <row r="270" spans="1:8" ht="15" thickBot="1" x14ac:dyDescent="0.35">
      <c r="A270" s="17">
        <v>268</v>
      </c>
      <c r="B270" s="6">
        <v>269</v>
      </c>
      <c r="C270" s="6">
        <v>0.16669999999999999</v>
      </c>
      <c r="D270" s="6">
        <v>0.47</v>
      </c>
      <c r="E270" s="6">
        <v>0.41789999999999999</v>
      </c>
      <c r="F270" s="6">
        <v>1</v>
      </c>
      <c r="G270" s="6">
        <v>48</v>
      </c>
      <c r="H270" s="18">
        <v>49</v>
      </c>
    </row>
    <row r="271" spans="1:8" ht="15" thickBot="1" x14ac:dyDescent="0.35">
      <c r="A271" s="17">
        <v>269</v>
      </c>
      <c r="B271" s="6">
        <v>270</v>
      </c>
      <c r="C271" s="6">
        <v>0.19700000000000001</v>
      </c>
      <c r="D271" s="6">
        <v>0.44</v>
      </c>
      <c r="E271" s="6">
        <v>0.32840000000000003</v>
      </c>
      <c r="F271" s="6">
        <v>5</v>
      </c>
      <c r="G271" s="6">
        <v>63</v>
      </c>
      <c r="H271" s="18">
        <v>68</v>
      </c>
    </row>
    <row r="272" spans="1:8" ht="15" thickBot="1" x14ac:dyDescent="0.35">
      <c r="A272" s="17">
        <v>270</v>
      </c>
      <c r="B272" s="6">
        <v>271</v>
      </c>
      <c r="C272" s="6">
        <v>0.18179999999999999</v>
      </c>
      <c r="D272" s="6">
        <v>0.47</v>
      </c>
      <c r="E272" s="6">
        <v>0.35820000000000002</v>
      </c>
      <c r="F272" s="6">
        <v>0</v>
      </c>
      <c r="G272" s="6">
        <v>139</v>
      </c>
      <c r="H272" s="18">
        <v>139</v>
      </c>
    </row>
    <row r="273" spans="1:8" ht="15" thickBot="1" x14ac:dyDescent="0.35">
      <c r="A273" s="17">
        <v>271</v>
      </c>
      <c r="B273" s="6">
        <v>272</v>
      </c>
      <c r="C273" s="6">
        <v>0.1515</v>
      </c>
      <c r="D273" s="6">
        <v>0.47</v>
      </c>
      <c r="E273" s="6">
        <v>0.52239999999999998</v>
      </c>
      <c r="F273" s="6">
        <v>2</v>
      </c>
      <c r="G273" s="6">
        <v>135</v>
      </c>
      <c r="H273" s="18">
        <v>137</v>
      </c>
    </row>
    <row r="274" spans="1:8" ht="15" thickBot="1" x14ac:dyDescent="0.35">
      <c r="A274" s="17">
        <v>272</v>
      </c>
      <c r="B274" s="6">
        <v>273</v>
      </c>
      <c r="C274" s="6">
        <v>0.1515</v>
      </c>
      <c r="D274" s="6">
        <v>0.47</v>
      </c>
      <c r="E274" s="6">
        <v>0.41789999999999999</v>
      </c>
      <c r="F274" s="6">
        <v>1</v>
      </c>
      <c r="G274" s="6">
        <v>82</v>
      </c>
      <c r="H274" s="18">
        <v>83</v>
      </c>
    </row>
    <row r="275" spans="1:8" ht="15" thickBot="1" x14ac:dyDescent="0.35">
      <c r="A275" s="17">
        <v>273</v>
      </c>
      <c r="B275" s="6">
        <v>274</v>
      </c>
      <c r="C275" s="6">
        <v>0.13639999999999999</v>
      </c>
      <c r="D275" s="6">
        <v>0.5</v>
      </c>
      <c r="E275" s="6">
        <v>0.32840000000000003</v>
      </c>
      <c r="F275" s="6">
        <v>2</v>
      </c>
      <c r="G275" s="6">
        <v>54</v>
      </c>
      <c r="H275" s="18">
        <v>56</v>
      </c>
    </row>
    <row r="276" spans="1:8" ht="15" thickBot="1" x14ac:dyDescent="0.35">
      <c r="A276" s="17">
        <v>274</v>
      </c>
      <c r="B276" s="6">
        <v>275</v>
      </c>
      <c r="C276" s="6">
        <v>0.13639999999999999</v>
      </c>
      <c r="D276" s="6">
        <v>0.55000000000000004</v>
      </c>
      <c r="E276" s="6">
        <v>0.32840000000000003</v>
      </c>
      <c r="F276" s="6">
        <v>0</v>
      </c>
      <c r="G276" s="6">
        <v>57</v>
      </c>
      <c r="H276" s="18">
        <v>57</v>
      </c>
    </row>
    <row r="277" spans="1:8" ht="15" thickBot="1" x14ac:dyDescent="0.35">
      <c r="A277" s="17">
        <v>275</v>
      </c>
      <c r="B277" s="6">
        <v>276</v>
      </c>
      <c r="C277" s="6">
        <v>0.1212</v>
      </c>
      <c r="D277" s="6">
        <v>0.55000000000000004</v>
      </c>
      <c r="E277" s="6">
        <v>0.44779999999999998</v>
      </c>
      <c r="F277" s="6">
        <v>1</v>
      </c>
      <c r="G277" s="6">
        <v>32</v>
      </c>
      <c r="H277" s="18">
        <v>33</v>
      </c>
    </row>
    <row r="278" spans="1:8" ht="15" thickBot="1" x14ac:dyDescent="0.35">
      <c r="A278" s="17">
        <v>276</v>
      </c>
      <c r="B278" s="6">
        <v>277</v>
      </c>
      <c r="C278" s="6">
        <v>0.1061</v>
      </c>
      <c r="D278" s="6">
        <v>0.59</v>
      </c>
      <c r="E278" s="6">
        <v>0.41789999999999999</v>
      </c>
      <c r="F278" s="6">
        <v>1</v>
      </c>
      <c r="G278" s="6">
        <v>19</v>
      </c>
      <c r="H278" s="18">
        <v>20</v>
      </c>
    </row>
    <row r="279" spans="1:8" ht="15" thickBot="1" x14ac:dyDescent="0.35">
      <c r="A279" s="17">
        <v>277</v>
      </c>
      <c r="B279" s="6">
        <v>278</v>
      </c>
      <c r="C279" s="6">
        <v>0.1212</v>
      </c>
      <c r="D279" s="6">
        <v>0.59</v>
      </c>
      <c r="E279" s="6">
        <v>0.28360000000000002</v>
      </c>
      <c r="F279" s="6">
        <v>1</v>
      </c>
      <c r="G279" s="6">
        <v>6</v>
      </c>
      <c r="H279" s="18">
        <v>7</v>
      </c>
    </row>
    <row r="280" spans="1:8" ht="15" thickBot="1" x14ac:dyDescent="0.35">
      <c r="A280" s="17">
        <v>278</v>
      </c>
      <c r="B280" s="6">
        <v>279</v>
      </c>
      <c r="C280" s="6">
        <v>0.1212</v>
      </c>
      <c r="D280" s="6">
        <v>0.5</v>
      </c>
      <c r="E280" s="6">
        <v>0.28360000000000002</v>
      </c>
      <c r="F280" s="6">
        <v>0</v>
      </c>
      <c r="G280" s="6">
        <v>2</v>
      </c>
      <c r="H280" s="18">
        <v>2</v>
      </c>
    </row>
    <row r="281" spans="1:8" ht="15" thickBot="1" x14ac:dyDescent="0.35">
      <c r="A281" s="17">
        <v>279</v>
      </c>
      <c r="B281" s="6">
        <v>280</v>
      </c>
      <c r="C281" s="6">
        <v>0.1212</v>
      </c>
      <c r="D281" s="6">
        <v>0.5</v>
      </c>
      <c r="E281" s="6">
        <v>0.35820000000000002</v>
      </c>
      <c r="F281" s="6">
        <v>0</v>
      </c>
      <c r="G281" s="6">
        <v>2</v>
      </c>
      <c r="H281" s="18">
        <v>2</v>
      </c>
    </row>
    <row r="282" spans="1:8" ht="15" thickBot="1" x14ac:dyDescent="0.35">
      <c r="A282" s="17">
        <v>280</v>
      </c>
      <c r="B282" s="6">
        <v>281</v>
      </c>
      <c r="C282" s="6">
        <v>0.1212</v>
      </c>
      <c r="D282" s="6">
        <v>0.5</v>
      </c>
      <c r="E282" s="6">
        <v>0.32840000000000003</v>
      </c>
      <c r="F282" s="6">
        <v>0</v>
      </c>
      <c r="G282" s="6">
        <v>3</v>
      </c>
      <c r="H282" s="18">
        <v>3</v>
      </c>
    </row>
    <row r="283" spans="1:8" ht="15" thickBot="1" x14ac:dyDescent="0.35">
      <c r="A283" s="17">
        <v>281</v>
      </c>
      <c r="B283" s="6">
        <v>282</v>
      </c>
      <c r="C283" s="6">
        <v>0.1212</v>
      </c>
      <c r="D283" s="6">
        <v>0.5</v>
      </c>
      <c r="E283" s="6">
        <v>0.25369999999999998</v>
      </c>
      <c r="F283" s="6">
        <v>0</v>
      </c>
      <c r="G283" s="6">
        <v>4</v>
      </c>
      <c r="H283" s="18">
        <v>4</v>
      </c>
    </row>
    <row r="284" spans="1:8" ht="15" thickBot="1" x14ac:dyDescent="0.35">
      <c r="A284" s="17">
        <v>282</v>
      </c>
      <c r="B284" s="6">
        <v>283</v>
      </c>
      <c r="C284" s="6">
        <v>0.1212</v>
      </c>
      <c r="D284" s="6">
        <v>0.5</v>
      </c>
      <c r="E284" s="6">
        <v>0.29849999999999999</v>
      </c>
      <c r="F284" s="6">
        <v>0</v>
      </c>
      <c r="G284" s="6">
        <v>3</v>
      </c>
      <c r="H284" s="18">
        <v>3</v>
      </c>
    </row>
    <row r="285" spans="1:8" ht="15" thickBot="1" x14ac:dyDescent="0.35">
      <c r="A285" s="17">
        <v>283</v>
      </c>
      <c r="B285" s="6">
        <v>284</v>
      </c>
      <c r="C285" s="6">
        <v>0.1515</v>
      </c>
      <c r="D285" s="6">
        <v>0.54</v>
      </c>
      <c r="E285" s="6">
        <v>0.1343</v>
      </c>
      <c r="F285" s="6">
        <v>0</v>
      </c>
      <c r="G285" s="6">
        <v>28</v>
      </c>
      <c r="H285" s="18">
        <v>28</v>
      </c>
    </row>
    <row r="286" spans="1:8" ht="15" thickBot="1" x14ac:dyDescent="0.35">
      <c r="A286" s="17">
        <v>284</v>
      </c>
      <c r="B286" s="6">
        <v>285</v>
      </c>
      <c r="C286" s="6">
        <v>0.1515</v>
      </c>
      <c r="D286" s="6">
        <v>0.54</v>
      </c>
      <c r="E286" s="6">
        <v>0.1343</v>
      </c>
      <c r="F286" s="6">
        <v>0</v>
      </c>
      <c r="G286" s="6">
        <v>72</v>
      </c>
      <c r="H286" s="18">
        <v>72</v>
      </c>
    </row>
    <row r="287" spans="1:8" ht="15" thickBot="1" x14ac:dyDescent="0.35">
      <c r="A287" s="17">
        <v>285</v>
      </c>
      <c r="B287" s="6">
        <v>286</v>
      </c>
      <c r="C287" s="6">
        <v>0.13639999999999999</v>
      </c>
      <c r="D287" s="6">
        <v>0.5</v>
      </c>
      <c r="E287" s="6">
        <v>0.19400000000000001</v>
      </c>
      <c r="F287" s="6">
        <v>5</v>
      </c>
      <c r="G287" s="6">
        <v>197</v>
      </c>
      <c r="H287" s="18">
        <v>202</v>
      </c>
    </row>
    <row r="288" spans="1:8" ht="15" thickBot="1" x14ac:dyDescent="0.35">
      <c r="A288" s="17">
        <v>286</v>
      </c>
      <c r="B288" s="6">
        <v>287</v>
      </c>
      <c r="C288" s="6">
        <v>0.1212</v>
      </c>
      <c r="D288" s="6">
        <v>0.5</v>
      </c>
      <c r="E288" s="6">
        <v>0.32840000000000003</v>
      </c>
      <c r="F288" s="6">
        <v>2</v>
      </c>
      <c r="G288" s="6">
        <v>137</v>
      </c>
      <c r="H288" s="18">
        <v>139</v>
      </c>
    </row>
    <row r="289" spans="1:8" ht="15" thickBot="1" x14ac:dyDescent="0.35">
      <c r="A289" s="17">
        <v>287</v>
      </c>
      <c r="B289" s="6">
        <v>288</v>
      </c>
      <c r="C289" s="6">
        <v>0.13639999999999999</v>
      </c>
      <c r="D289" s="6">
        <v>0.5</v>
      </c>
      <c r="E289" s="6">
        <v>0.35820000000000002</v>
      </c>
      <c r="F289" s="6">
        <v>2</v>
      </c>
      <c r="G289" s="6">
        <v>36</v>
      </c>
      <c r="H289" s="18">
        <v>38</v>
      </c>
    </row>
    <row r="290" spans="1:8" ht="15" thickBot="1" x14ac:dyDescent="0.35">
      <c r="A290" s="17">
        <v>288</v>
      </c>
      <c r="B290" s="6">
        <v>289</v>
      </c>
      <c r="C290" s="6">
        <v>0.16669999999999999</v>
      </c>
      <c r="D290" s="6">
        <v>0.44</v>
      </c>
      <c r="E290" s="6">
        <v>0.44779999999999998</v>
      </c>
      <c r="F290" s="6">
        <v>4</v>
      </c>
      <c r="G290" s="6">
        <v>33</v>
      </c>
      <c r="H290" s="18">
        <v>37</v>
      </c>
    </row>
    <row r="291" spans="1:8" ht="15" thickBot="1" x14ac:dyDescent="0.35">
      <c r="A291" s="17">
        <v>289</v>
      </c>
      <c r="B291" s="6">
        <v>290</v>
      </c>
      <c r="C291" s="6">
        <v>0.16669999999999999</v>
      </c>
      <c r="D291" s="6">
        <v>0.44</v>
      </c>
      <c r="E291" s="6">
        <v>0.41789999999999999</v>
      </c>
      <c r="F291" s="6">
        <v>3</v>
      </c>
      <c r="G291" s="6">
        <v>49</v>
      </c>
      <c r="H291" s="18">
        <v>52</v>
      </c>
    </row>
    <row r="292" spans="1:8" ht="15" thickBot="1" x14ac:dyDescent="0.35">
      <c r="A292" s="17">
        <v>290</v>
      </c>
      <c r="B292" s="6">
        <v>291</v>
      </c>
      <c r="C292" s="6">
        <v>0.19700000000000001</v>
      </c>
      <c r="D292" s="6">
        <v>0.41</v>
      </c>
      <c r="E292" s="6">
        <v>0.44779999999999998</v>
      </c>
      <c r="F292" s="6">
        <v>2</v>
      </c>
      <c r="G292" s="6">
        <v>81</v>
      </c>
      <c r="H292" s="18">
        <v>83</v>
      </c>
    </row>
    <row r="293" spans="1:8" ht="15" thickBot="1" x14ac:dyDescent="0.35">
      <c r="A293" s="17">
        <v>291</v>
      </c>
      <c r="B293" s="6">
        <v>292</v>
      </c>
      <c r="C293" s="6">
        <v>0.19700000000000001</v>
      </c>
      <c r="D293" s="6">
        <v>0.41</v>
      </c>
      <c r="E293" s="6">
        <v>0.3881</v>
      </c>
      <c r="F293" s="6">
        <v>3</v>
      </c>
      <c r="G293" s="6">
        <v>39</v>
      </c>
      <c r="H293" s="18">
        <v>42</v>
      </c>
    </row>
    <row r="294" spans="1:8" ht="15" thickBot="1" x14ac:dyDescent="0.35">
      <c r="A294" s="17">
        <v>292</v>
      </c>
      <c r="B294" s="6">
        <v>293</v>
      </c>
      <c r="C294" s="6">
        <v>0.21210000000000001</v>
      </c>
      <c r="D294" s="6">
        <v>0.38</v>
      </c>
      <c r="E294" s="6">
        <v>0.29849999999999999</v>
      </c>
      <c r="F294" s="6">
        <v>5</v>
      </c>
      <c r="G294" s="6">
        <v>55</v>
      </c>
      <c r="H294" s="18">
        <v>60</v>
      </c>
    </row>
    <row r="295" spans="1:8" ht="15" thickBot="1" x14ac:dyDescent="0.35">
      <c r="A295" s="17">
        <v>293</v>
      </c>
      <c r="B295" s="6">
        <v>294</v>
      </c>
      <c r="C295" s="6">
        <v>0.21210000000000001</v>
      </c>
      <c r="D295" s="6">
        <v>0.38</v>
      </c>
      <c r="E295" s="6">
        <v>0.35820000000000002</v>
      </c>
      <c r="F295" s="6">
        <v>2</v>
      </c>
      <c r="G295" s="6">
        <v>76</v>
      </c>
      <c r="H295" s="18">
        <v>78</v>
      </c>
    </row>
    <row r="296" spans="1:8" ht="15" thickBot="1" x14ac:dyDescent="0.35">
      <c r="A296" s="17">
        <v>294</v>
      </c>
      <c r="B296" s="6">
        <v>295</v>
      </c>
      <c r="C296" s="6">
        <v>0.18179999999999999</v>
      </c>
      <c r="D296" s="6">
        <v>0.4</v>
      </c>
      <c r="E296" s="6">
        <v>0.28360000000000002</v>
      </c>
      <c r="F296" s="6">
        <v>4</v>
      </c>
      <c r="G296" s="6">
        <v>158</v>
      </c>
      <c r="H296" s="18">
        <v>162</v>
      </c>
    </row>
    <row r="297" spans="1:8" ht="15" thickBot="1" x14ac:dyDescent="0.35">
      <c r="A297" s="17">
        <v>295</v>
      </c>
      <c r="B297" s="6">
        <v>296</v>
      </c>
      <c r="C297" s="6">
        <v>0.18179999999999999</v>
      </c>
      <c r="D297" s="6">
        <v>0.4</v>
      </c>
      <c r="E297" s="6">
        <v>0.32840000000000003</v>
      </c>
      <c r="F297" s="6">
        <v>3</v>
      </c>
      <c r="G297" s="6">
        <v>141</v>
      </c>
      <c r="H297" s="18">
        <v>144</v>
      </c>
    </row>
    <row r="298" spans="1:8" ht="15" thickBot="1" x14ac:dyDescent="0.35">
      <c r="A298" s="17">
        <v>296</v>
      </c>
      <c r="B298" s="6">
        <v>297</v>
      </c>
      <c r="C298" s="6">
        <v>0.1515</v>
      </c>
      <c r="D298" s="6">
        <v>0.47</v>
      </c>
      <c r="E298" s="6">
        <v>0.25369999999999998</v>
      </c>
      <c r="F298" s="6">
        <v>1</v>
      </c>
      <c r="G298" s="6">
        <v>98</v>
      </c>
      <c r="H298" s="18">
        <v>99</v>
      </c>
    </row>
    <row r="299" spans="1:8" ht="15" thickBot="1" x14ac:dyDescent="0.35">
      <c r="A299" s="17">
        <v>297</v>
      </c>
      <c r="B299" s="6">
        <v>298</v>
      </c>
      <c r="C299" s="6">
        <v>0.1515</v>
      </c>
      <c r="D299" s="6">
        <v>0.47</v>
      </c>
      <c r="E299" s="6">
        <v>0.22389999999999999</v>
      </c>
      <c r="F299" s="6">
        <v>0</v>
      </c>
      <c r="G299" s="6">
        <v>64</v>
      </c>
      <c r="H299" s="18">
        <v>64</v>
      </c>
    </row>
    <row r="300" spans="1:8" ht="15" thickBot="1" x14ac:dyDescent="0.35">
      <c r="A300" s="17">
        <v>298</v>
      </c>
      <c r="B300" s="6">
        <v>299</v>
      </c>
      <c r="C300" s="6">
        <v>0.1212</v>
      </c>
      <c r="D300" s="6">
        <v>0.46</v>
      </c>
      <c r="E300" s="6">
        <v>0.29849999999999999</v>
      </c>
      <c r="F300" s="6">
        <v>0</v>
      </c>
      <c r="G300" s="6">
        <v>40</v>
      </c>
      <c r="H300" s="18">
        <v>40</v>
      </c>
    </row>
    <row r="301" spans="1:8" ht="15" thickBot="1" x14ac:dyDescent="0.35">
      <c r="A301" s="17">
        <v>299</v>
      </c>
      <c r="B301" s="6">
        <v>300</v>
      </c>
      <c r="C301" s="6">
        <v>0.1212</v>
      </c>
      <c r="D301" s="6">
        <v>0.46</v>
      </c>
      <c r="E301" s="6">
        <v>0.32840000000000003</v>
      </c>
      <c r="F301" s="6">
        <v>0</v>
      </c>
      <c r="G301" s="6">
        <v>30</v>
      </c>
      <c r="H301" s="18">
        <v>30</v>
      </c>
    </row>
    <row r="302" spans="1:8" ht="15" thickBot="1" x14ac:dyDescent="0.35">
      <c r="A302" s="17">
        <v>300</v>
      </c>
      <c r="B302" s="6">
        <v>301</v>
      </c>
      <c r="C302" s="6">
        <v>0.13639999999999999</v>
      </c>
      <c r="D302" s="6">
        <v>0.5</v>
      </c>
      <c r="E302" s="6">
        <v>0.19400000000000001</v>
      </c>
      <c r="F302" s="6">
        <v>1</v>
      </c>
      <c r="G302" s="6">
        <v>14</v>
      </c>
      <c r="H302" s="18">
        <v>15</v>
      </c>
    </row>
    <row r="303" spans="1:8" ht="15" thickBot="1" x14ac:dyDescent="0.35">
      <c r="A303" s="17">
        <v>301</v>
      </c>
      <c r="B303" s="6">
        <v>302</v>
      </c>
      <c r="C303" s="6">
        <v>0.13639999999999999</v>
      </c>
      <c r="D303" s="6">
        <v>0.5</v>
      </c>
      <c r="E303" s="6">
        <v>0.19400000000000001</v>
      </c>
      <c r="F303" s="6">
        <v>0</v>
      </c>
      <c r="G303" s="6">
        <v>14</v>
      </c>
      <c r="H303" s="18">
        <v>14</v>
      </c>
    </row>
    <row r="304" spans="1:8" ht="15" thickBot="1" x14ac:dyDescent="0.35">
      <c r="A304" s="17">
        <v>302</v>
      </c>
      <c r="B304" s="6">
        <v>303</v>
      </c>
      <c r="C304" s="6">
        <v>0.1212</v>
      </c>
      <c r="D304" s="6">
        <v>0.54</v>
      </c>
      <c r="E304" s="6">
        <v>0.16420000000000001</v>
      </c>
      <c r="F304" s="6">
        <v>0</v>
      </c>
      <c r="G304" s="6">
        <v>5</v>
      </c>
      <c r="H304" s="18">
        <v>5</v>
      </c>
    </row>
    <row r="305" spans="1:8" ht="15" thickBot="1" x14ac:dyDescent="0.35">
      <c r="A305" s="17">
        <v>303</v>
      </c>
      <c r="B305" s="6">
        <v>304</v>
      </c>
      <c r="C305" s="6">
        <v>0.1212</v>
      </c>
      <c r="D305" s="6">
        <v>0.54</v>
      </c>
      <c r="E305" s="6">
        <v>0.1343</v>
      </c>
      <c r="F305" s="6">
        <v>0</v>
      </c>
      <c r="G305" s="6">
        <v>1</v>
      </c>
      <c r="H305" s="18">
        <v>1</v>
      </c>
    </row>
    <row r="306" spans="1:8" ht="15" thickBot="1" x14ac:dyDescent="0.35">
      <c r="A306" s="17">
        <v>304</v>
      </c>
      <c r="B306" s="6">
        <v>305</v>
      </c>
      <c r="C306" s="6">
        <v>0.13639999999999999</v>
      </c>
      <c r="D306" s="6">
        <v>0.54</v>
      </c>
      <c r="E306" s="6">
        <v>0.1045</v>
      </c>
      <c r="F306" s="6">
        <v>0</v>
      </c>
      <c r="G306" s="6">
        <v>1</v>
      </c>
      <c r="H306" s="18">
        <v>1</v>
      </c>
    </row>
    <row r="307" spans="1:8" ht="15" thickBot="1" x14ac:dyDescent="0.35">
      <c r="A307" s="17">
        <v>305</v>
      </c>
      <c r="B307" s="6">
        <v>306</v>
      </c>
      <c r="C307" s="6">
        <v>0.13639999999999999</v>
      </c>
      <c r="D307" s="6">
        <v>0.54</v>
      </c>
      <c r="E307" s="6">
        <v>8.9599999999999999E-2</v>
      </c>
      <c r="F307" s="6">
        <v>0</v>
      </c>
      <c r="G307" s="6">
        <v>8</v>
      </c>
      <c r="H307" s="18">
        <v>8</v>
      </c>
    </row>
    <row r="308" spans="1:8" ht="15" thickBot="1" x14ac:dyDescent="0.35">
      <c r="A308" s="17">
        <v>306</v>
      </c>
      <c r="B308" s="6">
        <v>307</v>
      </c>
      <c r="C308" s="6">
        <v>0.18179999999999999</v>
      </c>
      <c r="D308" s="6">
        <v>0.54</v>
      </c>
      <c r="E308" s="6">
        <v>0</v>
      </c>
      <c r="F308" s="6">
        <v>0</v>
      </c>
      <c r="G308" s="6">
        <v>17</v>
      </c>
      <c r="H308" s="18">
        <v>17</v>
      </c>
    </row>
    <row r="309" spans="1:8" ht="15" thickBot="1" x14ac:dyDescent="0.35">
      <c r="A309" s="17">
        <v>307</v>
      </c>
      <c r="B309" s="6">
        <v>308</v>
      </c>
      <c r="C309" s="6">
        <v>0.1212</v>
      </c>
      <c r="D309" s="6">
        <v>0.74</v>
      </c>
      <c r="E309" s="6">
        <v>0.16420000000000001</v>
      </c>
      <c r="F309" s="6">
        <v>0</v>
      </c>
      <c r="G309" s="6">
        <v>70</v>
      </c>
      <c r="H309" s="18">
        <v>70</v>
      </c>
    </row>
    <row r="310" spans="1:8" ht="15" thickBot="1" x14ac:dyDescent="0.35">
      <c r="A310" s="17">
        <v>308</v>
      </c>
      <c r="B310" s="6">
        <v>309</v>
      </c>
      <c r="C310" s="6">
        <v>0.16669999999999999</v>
      </c>
      <c r="D310" s="6">
        <v>0.68</v>
      </c>
      <c r="E310" s="6">
        <v>0</v>
      </c>
      <c r="F310" s="6">
        <v>2</v>
      </c>
      <c r="G310" s="6">
        <v>156</v>
      </c>
      <c r="H310" s="18">
        <v>158</v>
      </c>
    </row>
    <row r="311" spans="1:8" ht="15" thickBot="1" x14ac:dyDescent="0.35">
      <c r="A311" s="17">
        <v>309</v>
      </c>
      <c r="B311" s="6">
        <v>310</v>
      </c>
      <c r="C311" s="6">
        <v>0.1515</v>
      </c>
      <c r="D311" s="6">
        <v>0.69</v>
      </c>
      <c r="E311" s="6">
        <v>0.1343</v>
      </c>
      <c r="F311" s="6">
        <v>0</v>
      </c>
      <c r="G311" s="6">
        <v>117</v>
      </c>
      <c r="H311" s="18">
        <v>117</v>
      </c>
    </row>
    <row r="312" spans="1:8" ht="15" thickBot="1" x14ac:dyDescent="0.35">
      <c r="A312" s="17">
        <v>310</v>
      </c>
      <c r="B312" s="6">
        <v>311</v>
      </c>
      <c r="C312" s="6">
        <v>0.18179999999999999</v>
      </c>
      <c r="D312" s="6">
        <v>0.55000000000000004</v>
      </c>
      <c r="E312" s="6">
        <v>0.19400000000000001</v>
      </c>
      <c r="F312" s="6">
        <v>4</v>
      </c>
      <c r="G312" s="6">
        <v>40</v>
      </c>
      <c r="H312" s="18">
        <v>44</v>
      </c>
    </row>
    <row r="313" spans="1:8" ht="15" thickBot="1" x14ac:dyDescent="0.35">
      <c r="A313" s="17">
        <v>311</v>
      </c>
      <c r="B313" s="6">
        <v>312</v>
      </c>
      <c r="C313" s="6">
        <v>0.16669999999999999</v>
      </c>
      <c r="D313" s="6">
        <v>0.51</v>
      </c>
      <c r="E313" s="6">
        <v>0.28360000000000002</v>
      </c>
      <c r="F313" s="6">
        <v>6</v>
      </c>
      <c r="G313" s="6">
        <v>47</v>
      </c>
      <c r="H313" s="18">
        <v>53</v>
      </c>
    </row>
    <row r="314" spans="1:8" ht="15" thickBot="1" x14ac:dyDescent="0.35">
      <c r="A314" s="17">
        <v>312</v>
      </c>
      <c r="B314" s="6">
        <v>313</v>
      </c>
      <c r="C314" s="6">
        <v>0.19700000000000001</v>
      </c>
      <c r="D314" s="6">
        <v>0.44</v>
      </c>
      <c r="E314" s="6">
        <v>0.25369999999999998</v>
      </c>
      <c r="F314" s="6">
        <v>2</v>
      </c>
      <c r="G314" s="6">
        <v>59</v>
      </c>
      <c r="H314" s="18">
        <v>61</v>
      </c>
    </row>
    <row r="315" spans="1:8" ht="15" thickBot="1" x14ac:dyDescent="0.35">
      <c r="A315" s="17">
        <v>313</v>
      </c>
      <c r="B315" s="6">
        <v>314</v>
      </c>
      <c r="C315" s="6">
        <v>0.19700000000000001</v>
      </c>
      <c r="D315" s="6">
        <v>0.37</v>
      </c>
      <c r="E315" s="6">
        <v>0.3881</v>
      </c>
      <c r="F315" s="6">
        <v>4</v>
      </c>
      <c r="G315" s="6">
        <v>73</v>
      </c>
      <c r="H315" s="18">
        <v>77</v>
      </c>
    </row>
    <row r="316" spans="1:8" ht="15" thickBot="1" x14ac:dyDescent="0.35">
      <c r="A316" s="17">
        <v>314</v>
      </c>
      <c r="B316" s="6">
        <v>315</v>
      </c>
      <c r="C316" s="6">
        <v>0.21210000000000001</v>
      </c>
      <c r="D316" s="6">
        <v>0.41</v>
      </c>
      <c r="E316" s="6">
        <v>0.28360000000000002</v>
      </c>
      <c r="F316" s="6">
        <v>5</v>
      </c>
      <c r="G316" s="6">
        <v>59</v>
      </c>
      <c r="H316" s="18">
        <v>64</v>
      </c>
    </row>
    <row r="317" spans="1:8" ht="15" thickBot="1" x14ac:dyDescent="0.35">
      <c r="A317" s="17">
        <v>315</v>
      </c>
      <c r="B317" s="6">
        <v>316</v>
      </c>
      <c r="C317" s="6">
        <v>0.2424</v>
      </c>
      <c r="D317" s="6">
        <v>0.38</v>
      </c>
      <c r="E317" s="6">
        <v>0.16420000000000001</v>
      </c>
      <c r="F317" s="6">
        <v>9</v>
      </c>
      <c r="G317" s="6">
        <v>59</v>
      </c>
      <c r="H317" s="18">
        <v>68</v>
      </c>
    </row>
    <row r="318" spans="1:8" ht="15" thickBot="1" x14ac:dyDescent="0.35">
      <c r="A318" s="17">
        <v>316</v>
      </c>
      <c r="B318" s="6">
        <v>317</v>
      </c>
      <c r="C318" s="6">
        <v>0.2424</v>
      </c>
      <c r="D318" s="6">
        <v>0.41</v>
      </c>
      <c r="E318" s="6">
        <v>0.1045</v>
      </c>
      <c r="F318" s="6">
        <v>3</v>
      </c>
      <c r="G318" s="6">
        <v>87</v>
      </c>
      <c r="H318" s="18">
        <v>90</v>
      </c>
    </row>
    <row r="319" spans="1:8" ht="15" thickBot="1" x14ac:dyDescent="0.35">
      <c r="A319" s="17">
        <v>317</v>
      </c>
      <c r="B319" s="6">
        <v>318</v>
      </c>
      <c r="C319" s="6">
        <v>0.2273</v>
      </c>
      <c r="D319" s="6">
        <v>0.41</v>
      </c>
      <c r="E319" s="6">
        <v>0.16420000000000001</v>
      </c>
      <c r="F319" s="6">
        <v>4</v>
      </c>
      <c r="G319" s="6">
        <v>155</v>
      </c>
      <c r="H319" s="18">
        <v>159</v>
      </c>
    </row>
    <row r="320" spans="1:8" ht="15" thickBot="1" x14ac:dyDescent="0.35">
      <c r="A320" s="17">
        <v>318</v>
      </c>
      <c r="B320" s="6">
        <v>319</v>
      </c>
      <c r="C320" s="6">
        <v>0.2576</v>
      </c>
      <c r="D320" s="6">
        <v>0.47</v>
      </c>
      <c r="E320" s="6">
        <v>0</v>
      </c>
      <c r="F320" s="6">
        <v>5</v>
      </c>
      <c r="G320" s="6">
        <v>134</v>
      </c>
      <c r="H320" s="18">
        <v>139</v>
      </c>
    </row>
    <row r="321" spans="1:8" ht="15" thickBot="1" x14ac:dyDescent="0.35">
      <c r="A321" s="17">
        <v>319</v>
      </c>
      <c r="B321" s="6">
        <v>320</v>
      </c>
      <c r="C321" s="6">
        <v>0.19700000000000001</v>
      </c>
      <c r="D321" s="6">
        <v>0.59</v>
      </c>
      <c r="E321" s="6">
        <v>8.9599999999999999E-2</v>
      </c>
      <c r="F321" s="6">
        <v>3</v>
      </c>
      <c r="G321" s="6">
        <v>89</v>
      </c>
      <c r="H321" s="18">
        <v>92</v>
      </c>
    </row>
    <row r="322" spans="1:8" ht="15" thickBot="1" x14ac:dyDescent="0.35">
      <c r="A322" s="17">
        <v>320</v>
      </c>
      <c r="B322" s="6">
        <v>321</v>
      </c>
      <c r="C322" s="6">
        <v>0.2424</v>
      </c>
      <c r="D322" s="6">
        <v>0.59</v>
      </c>
      <c r="E322" s="6">
        <v>0</v>
      </c>
      <c r="F322" s="6">
        <v>0</v>
      </c>
      <c r="G322" s="6">
        <v>68</v>
      </c>
      <c r="H322" s="18">
        <v>68</v>
      </c>
    </row>
    <row r="323" spans="1:8" ht="15" thickBot="1" x14ac:dyDescent="0.35">
      <c r="A323" s="17">
        <v>321</v>
      </c>
      <c r="B323" s="6">
        <v>322</v>
      </c>
      <c r="C323" s="6">
        <v>0.2273</v>
      </c>
      <c r="D323" s="6">
        <v>0.69</v>
      </c>
      <c r="E323" s="6">
        <v>0</v>
      </c>
      <c r="F323" s="6">
        <v>4</v>
      </c>
      <c r="G323" s="6">
        <v>48</v>
      </c>
      <c r="H323" s="18">
        <v>52</v>
      </c>
    </row>
    <row r="324" spans="1:8" ht="15" thickBot="1" x14ac:dyDescent="0.35">
      <c r="A324" s="17">
        <v>322</v>
      </c>
      <c r="B324" s="6">
        <v>323</v>
      </c>
      <c r="C324" s="6">
        <v>0.2273</v>
      </c>
      <c r="D324" s="6">
        <v>0.69</v>
      </c>
      <c r="E324" s="6">
        <v>0</v>
      </c>
      <c r="F324" s="6">
        <v>2</v>
      </c>
      <c r="G324" s="6">
        <v>34</v>
      </c>
      <c r="H324" s="18">
        <v>36</v>
      </c>
    </row>
    <row r="325" spans="1:8" ht="15" thickBot="1" x14ac:dyDescent="0.35">
      <c r="A325" s="17">
        <v>323</v>
      </c>
      <c r="B325" s="6">
        <v>324</v>
      </c>
      <c r="C325" s="6">
        <v>0.2424</v>
      </c>
      <c r="D325" s="6">
        <v>0.55000000000000004</v>
      </c>
      <c r="E325" s="6">
        <v>0</v>
      </c>
      <c r="F325" s="6">
        <v>1</v>
      </c>
      <c r="G325" s="6">
        <v>26</v>
      </c>
      <c r="H325" s="18">
        <v>27</v>
      </c>
    </row>
    <row r="326" spans="1:8" ht="15" thickBot="1" x14ac:dyDescent="0.35">
      <c r="A326" s="17">
        <v>324</v>
      </c>
      <c r="B326" s="6">
        <v>325</v>
      </c>
      <c r="C326" s="6">
        <v>0.2424</v>
      </c>
      <c r="D326" s="6">
        <v>0.55000000000000004</v>
      </c>
      <c r="E326" s="6">
        <v>0</v>
      </c>
      <c r="F326" s="6">
        <v>3</v>
      </c>
      <c r="G326" s="6">
        <v>25</v>
      </c>
      <c r="H326" s="18">
        <v>28</v>
      </c>
    </row>
    <row r="327" spans="1:8" ht="15" thickBot="1" x14ac:dyDescent="0.35">
      <c r="A327" s="17">
        <v>325</v>
      </c>
      <c r="B327" s="6">
        <v>326</v>
      </c>
      <c r="C327" s="6">
        <v>0.19700000000000001</v>
      </c>
      <c r="D327" s="6">
        <v>0.59</v>
      </c>
      <c r="E327" s="6">
        <v>8.9599999999999999E-2</v>
      </c>
      <c r="F327" s="6">
        <v>2</v>
      </c>
      <c r="G327" s="6">
        <v>18</v>
      </c>
      <c r="H327" s="18">
        <v>20</v>
      </c>
    </row>
    <row r="328" spans="1:8" ht="15" thickBot="1" x14ac:dyDescent="0.35">
      <c r="A328" s="17">
        <v>326</v>
      </c>
      <c r="B328" s="6">
        <v>327</v>
      </c>
      <c r="C328" s="6">
        <v>0.19700000000000001</v>
      </c>
      <c r="D328" s="6">
        <v>0.59</v>
      </c>
      <c r="E328" s="6">
        <v>8.9599999999999999E-2</v>
      </c>
      <c r="F328" s="6">
        <v>0</v>
      </c>
      <c r="G328" s="6">
        <v>12</v>
      </c>
      <c r="H328" s="18">
        <v>12</v>
      </c>
    </row>
    <row r="329" spans="1:8" ht="15" thickBot="1" x14ac:dyDescent="0.35">
      <c r="A329" s="17">
        <v>327</v>
      </c>
      <c r="B329" s="6">
        <v>328</v>
      </c>
      <c r="C329" s="6">
        <v>0.2273</v>
      </c>
      <c r="D329" s="6">
        <v>0.59</v>
      </c>
      <c r="E329" s="6">
        <v>0</v>
      </c>
      <c r="F329" s="6">
        <v>1</v>
      </c>
      <c r="G329" s="6">
        <v>7</v>
      </c>
      <c r="H329" s="18">
        <v>8</v>
      </c>
    </row>
    <row r="330" spans="1:8" ht="15" thickBot="1" x14ac:dyDescent="0.35">
      <c r="A330" s="17">
        <v>328</v>
      </c>
      <c r="B330" s="6">
        <v>329</v>
      </c>
      <c r="C330" s="6">
        <v>0.2273</v>
      </c>
      <c r="D330" s="6">
        <v>0.59</v>
      </c>
      <c r="E330" s="6">
        <v>0</v>
      </c>
      <c r="F330" s="6">
        <v>0</v>
      </c>
      <c r="G330" s="6">
        <v>5</v>
      </c>
      <c r="H330" s="18">
        <v>5</v>
      </c>
    </row>
    <row r="331" spans="1:8" ht="15" thickBot="1" x14ac:dyDescent="0.35">
      <c r="A331" s="17">
        <v>329</v>
      </c>
      <c r="B331" s="6">
        <v>330</v>
      </c>
      <c r="C331" s="6">
        <v>0.2273</v>
      </c>
      <c r="D331" s="6">
        <v>0.59</v>
      </c>
      <c r="E331" s="6">
        <v>0</v>
      </c>
      <c r="F331" s="6">
        <v>0</v>
      </c>
      <c r="G331" s="6">
        <v>1</v>
      </c>
      <c r="H331" s="18">
        <v>1</v>
      </c>
    </row>
    <row r="332" spans="1:8" ht="15" thickBot="1" x14ac:dyDescent="0.35">
      <c r="A332" s="17">
        <v>330</v>
      </c>
      <c r="B332" s="6">
        <v>331</v>
      </c>
      <c r="C332" s="6">
        <v>0.16669999999999999</v>
      </c>
      <c r="D332" s="6">
        <v>0.63</v>
      </c>
      <c r="E332" s="6">
        <v>0.1045</v>
      </c>
      <c r="F332" s="6">
        <v>1</v>
      </c>
      <c r="G332" s="6">
        <v>2</v>
      </c>
      <c r="H332" s="18">
        <v>3</v>
      </c>
    </row>
    <row r="333" spans="1:8" ht="15" thickBot="1" x14ac:dyDescent="0.35">
      <c r="A333" s="17">
        <v>331</v>
      </c>
      <c r="B333" s="6">
        <v>332</v>
      </c>
      <c r="C333" s="6">
        <v>0.21210000000000001</v>
      </c>
      <c r="D333" s="6">
        <v>0.63</v>
      </c>
      <c r="E333" s="6">
        <v>0</v>
      </c>
      <c r="F333" s="6">
        <v>1</v>
      </c>
      <c r="G333" s="6">
        <v>9</v>
      </c>
      <c r="H333" s="18">
        <v>10</v>
      </c>
    </row>
    <row r="334" spans="1:8" ht="15" thickBot="1" x14ac:dyDescent="0.35">
      <c r="A334" s="17">
        <v>332</v>
      </c>
      <c r="B334" s="6">
        <v>333</v>
      </c>
      <c r="C334" s="6">
        <v>0.1515</v>
      </c>
      <c r="D334" s="6">
        <v>0.63</v>
      </c>
      <c r="E334" s="6">
        <v>0.1343</v>
      </c>
      <c r="F334" s="6">
        <v>1</v>
      </c>
      <c r="G334" s="6">
        <v>22</v>
      </c>
      <c r="H334" s="18">
        <v>23</v>
      </c>
    </row>
    <row r="335" spans="1:8" ht="15" thickBot="1" x14ac:dyDescent="0.35">
      <c r="A335" s="17">
        <v>333</v>
      </c>
      <c r="B335" s="6">
        <v>334</v>
      </c>
      <c r="C335" s="6">
        <v>0.18179999999999999</v>
      </c>
      <c r="D335" s="6">
        <v>0.64</v>
      </c>
      <c r="E335" s="6">
        <v>0.1343</v>
      </c>
      <c r="F335" s="6">
        <v>2</v>
      </c>
      <c r="G335" s="6">
        <v>31</v>
      </c>
      <c r="H335" s="18">
        <v>33</v>
      </c>
    </row>
    <row r="336" spans="1:8" ht="15" thickBot="1" x14ac:dyDescent="0.35">
      <c r="A336" s="17">
        <v>334</v>
      </c>
      <c r="B336" s="6">
        <v>335</v>
      </c>
      <c r="C336" s="6">
        <v>0.19700000000000001</v>
      </c>
      <c r="D336" s="6">
        <v>0.59</v>
      </c>
      <c r="E336" s="6">
        <v>0.16420000000000001</v>
      </c>
      <c r="F336" s="6">
        <v>2</v>
      </c>
      <c r="G336" s="6">
        <v>57</v>
      </c>
      <c r="H336" s="18">
        <v>59</v>
      </c>
    </row>
    <row r="337" spans="1:8" ht="15" thickBot="1" x14ac:dyDescent="0.35">
      <c r="A337" s="17">
        <v>335</v>
      </c>
      <c r="B337" s="6">
        <v>336</v>
      </c>
      <c r="C337" s="6">
        <v>0.19700000000000001</v>
      </c>
      <c r="D337" s="6">
        <v>0.55000000000000004</v>
      </c>
      <c r="E337" s="6">
        <v>0.22389999999999999</v>
      </c>
      <c r="F337" s="6">
        <v>18</v>
      </c>
      <c r="G337" s="6">
        <v>54</v>
      </c>
      <c r="H337" s="18">
        <v>72</v>
      </c>
    </row>
    <row r="338" spans="1:8" ht="15" thickBot="1" x14ac:dyDescent="0.35">
      <c r="A338" s="17">
        <v>336</v>
      </c>
      <c r="B338" s="6">
        <v>337</v>
      </c>
      <c r="C338" s="6">
        <v>0.2273</v>
      </c>
      <c r="D338" s="6">
        <v>0.48</v>
      </c>
      <c r="E338" s="6">
        <v>0.22389999999999999</v>
      </c>
      <c r="F338" s="6">
        <v>15</v>
      </c>
      <c r="G338" s="6">
        <v>74</v>
      </c>
      <c r="H338" s="18">
        <v>89</v>
      </c>
    </row>
    <row r="339" spans="1:8" ht="15" thickBot="1" x14ac:dyDescent="0.35">
      <c r="A339" s="17">
        <v>337</v>
      </c>
      <c r="B339" s="6">
        <v>338</v>
      </c>
      <c r="C339" s="6">
        <v>0.2576</v>
      </c>
      <c r="D339" s="6">
        <v>0.38</v>
      </c>
      <c r="E339" s="6">
        <v>0.29849999999999999</v>
      </c>
      <c r="F339" s="6">
        <v>21</v>
      </c>
      <c r="G339" s="6">
        <v>80</v>
      </c>
      <c r="H339" s="18">
        <v>101</v>
      </c>
    </row>
    <row r="340" spans="1:8" ht="15" thickBot="1" x14ac:dyDescent="0.35">
      <c r="A340" s="17">
        <v>338</v>
      </c>
      <c r="B340" s="6">
        <v>339</v>
      </c>
      <c r="C340" s="6">
        <v>0.28789999999999999</v>
      </c>
      <c r="D340" s="6">
        <v>0.39</v>
      </c>
      <c r="E340" s="6">
        <v>0.28360000000000002</v>
      </c>
      <c r="F340" s="6">
        <v>26</v>
      </c>
      <c r="G340" s="6">
        <v>92</v>
      </c>
      <c r="H340" s="18">
        <v>118</v>
      </c>
    </row>
    <row r="341" spans="1:8" ht="15" thickBot="1" x14ac:dyDescent="0.35">
      <c r="A341" s="17">
        <v>339</v>
      </c>
      <c r="B341" s="6">
        <v>340</v>
      </c>
      <c r="C341" s="6">
        <v>0.31819999999999998</v>
      </c>
      <c r="D341" s="6">
        <v>0.36</v>
      </c>
      <c r="E341" s="6">
        <v>0.19400000000000001</v>
      </c>
      <c r="F341" s="6">
        <v>21</v>
      </c>
      <c r="G341" s="6">
        <v>108</v>
      </c>
      <c r="H341" s="18">
        <v>129</v>
      </c>
    </row>
    <row r="342" spans="1:8" ht="15" thickBot="1" x14ac:dyDescent="0.35">
      <c r="A342" s="17">
        <v>340</v>
      </c>
      <c r="B342" s="6">
        <v>341</v>
      </c>
      <c r="C342" s="6">
        <v>0.33329999999999999</v>
      </c>
      <c r="D342" s="6">
        <v>0.34</v>
      </c>
      <c r="E342" s="6">
        <v>0.19400000000000001</v>
      </c>
      <c r="F342" s="6">
        <v>33</v>
      </c>
      <c r="G342" s="6">
        <v>95</v>
      </c>
      <c r="H342" s="18">
        <v>128</v>
      </c>
    </row>
    <row r="343" spans="1:8" ht="15" thickBot="1" x14ac:dyDescent="0.35">
      <c r="A343" s="17">
        <v>341</v>
      </c>
      <c r="B343" s="6">
        <v>342</v>
      </c>
      <c r="C343" s="6">
        <v>0.30299999999999999</v>
      </c>
      <c r="D343" s="6">
        <v>0.36</v>
      </c>
      <c r="E343" s="6">
        <v>0.28360000000000002</v>
      </c>
      <c r="F343" s="6">
        <v>29</v>
      </c>
      <c r="G343" s="6">
        <v>54</v>
      </c>
      <c r="H343" s="18">
        <v>83</v>
      </c>
    </row>
    <row r="344" spans="1:8" ht="15" thickBot="1" x14ac:dyDescent="0.35">
      <c r="A344" s="17">
        <v>342</v>
      </c>
      <c r="B344" s="6">
        <v>343</v>
      </c>
      <c r="C344" s="6">
        <v>0.28789999999999999</v>
      </c>
      <c r="D344" s="6">
        <v>0.45</v>
      </c>
      <c r="E344" s="6">
        <v>0.25369999999999998</v>
      </c>
      <c r="F344" s="6">
        <v>15</v>
      </c>
      <c r="G344" s="6">
        <v>69</v>
      </c>
      <c r="H344" s="18">
        <v>84</v>
      </c>
    </row>
    <row r="345" spans="1:8" ht="15" thickBot="1" x14ac:dyDescent="0.35">
      <c r="A345" s="17">
        <v>343</v>
      </c>
      <c r="B345" s="6">
        <v>344</v>
      </c>
      <c r="C345" s="6">
        <v>0.30299999999999999</v>
      </c>
      <c r="D345" s="6">
        <v>0.39</v>
      </c>
      <c r="E345" s="6">
        <v>0.25369999999999998</v>
      </c>
      <c r="F345" s="6">
        <v>14</v>
      </c>
      <c r="G345" s="6">
        <v>60</v>
      </c>
      <c r="H345" s="18">
        <v>74</v>
      </c>
    </row>
    <row r="346" spans="1:8" ht="15" thickBot="1" x14ac:dyDescent="0.35">
      <c r="A346" s="17">
        <v>344</v>
      </c>
      <c r="B346" s="6">
        <v>345</v>
      </c>
      <c r="C346" s="6">
        <v>0.30299999999999999</v>
      </c>
      <c r="D346" s="6">
        <v>0.39</v>
      </c>
      <c r="E346" s="6">
        <v>0.25369999999999998</v>
      </c>
      <c r="F346" s="6">
        <v>6</v>
      </c>
      <c r="G346" s="6">
        <v>35</v>
      </c>
      <c r="H346" s="18">
        <v>41</v>
      </c>
    </row>
    <row r="347" spans="1:8" ht="15" thickBot="1" x14ac:dyDescent="0.35">
      <c r="A347" s="17">
        <v>345</v>
      </c>
      <c r="B347" s="6">
        <v>346</v>
      </c>
      <c r="C347" s="6">
        <v>0.30299999999999999</v>
      </c>
      <c r="D347" s="6">
        <v>0.39</v>
      </c>
      <c r="E347" s="6">
        <v>0.22389999999999999</v>
      </c>
      <c r="F347" s="6">
        <v>6</v>
      </c>
      <c r="G347" s="6">
        <v>51</v>
      </c>
      <c r="H347" s="18">
        <v>57</v>
      </c>
    </row>
    <row r="348" spans="1:8" ht="15" thickBot="1" x14ac:dyDescent="0.35">
      <c r="A348" s="17">
        <v>346</v>
      </c>
      <c r="B348" s="6">
        <v>347</v>
      </c>
      <c r="C348" s="6">
        <v>0.31819999999999998</v>
      </c>
      <c r="D348" s="6">
        <v>0.42</v>
      </c>
      <c r="E348" s="6">
        <v>0.1045</v>
      </c>
      <c r="F348" s="6">
        <v>0</v>
      </c>
      <c r="G348" s="6">
        <v>26</v>
      </c>
      <c r="H348" s="18">
        <v>26</v>
      </c>
    </row>
    <row r="349" spans="1:8" ht="15" thickBot="1" x14ac:dyDescent="0.35">
      <c r="A349" s="17">
        <v>347</v>
      </c>
      <c r="B349" s="6">
        <v>348</v>
      </c>
      <c r="C349" s="6">
        <v>0.28789999999999999</v>
      </c>
      <c r="D349" s="6">
        <v>0.45</v>
      </c>
      <c r="E349" s="6">
        <v>0.28360000000000002</v>
      </c>
      <c r="F349" s="6">
        <v>5</v>
      </c>
      <c r="G349" s="6">
        <v>39</v>
      </c>
      <c r="H349" s="18">
        <v>44</v>
      </c>
    </row>
    <row r="350" spans="1:8" ht="15" thickBot="1" x14ac:dyDescent="0.35">
      <c r="A350" s="17">
        <v>348</v>
      </c>
      <c r="B350" s="6">
        <v>349</v>
      </c>
      <c r="C350" s="6">
        <v>0.30299999999999999</v>
      </c>
      <c r="D350" s="6">
        <v>0.56000000000000005</v>
      </c>
      <c r="E350" s="6">
        <v>0</v>
      </c>
      <c r="F350" s="6">
        <v>6</v>
      </c>
      <c r="G350" s="6">
        <v>33</v>
      </c>
      <c r="H350" s="18">
        <v>39</v>
      </c>
    </row>
    <row r="351" spans="1:8" ht="15" thickBot="1" x14ac:dyDescent="0.35">
      <c r="A351" s="17">
        <v>349</v>
      </c>
      <c r="B351" s="6">
        <v>350</v>
      </c>
      <c r="C351" s="6">
        <v>0.2727</v>
      </c>
      <c r="D351" s="6">
        <v>0.56000000000000005</v>
      </c>
      <c r="E351" s="6">
        <v>0.1343</v>
      </c>
      <c r="F351" s="6">
        <v>4</v>
      </c>
      <c r="G351" s="6">
        <v>19</v>
      </c>
      <c r="H351" s="18">
        <v>23</v>
      </c>
    </row>
    <row r="352" spans="1:8" ht="15" thickBot="1" x14ac:dyDescent="0.35">
      <c r="A352" s="17">
        <v>350</v>
      </c>
      <c r="B352" s="6">
        <v>351</v>
      </c>
      <c r="C352" s="6">
        <v>0.28789999999999999</v>
      </c>
      <c r="D352" s="6">
        <v>0.56000000000000005</v>
      </c>
      <c r="E352" s="6">
        <v>8.9599999999999999E-2</v>
      </c>
      <c r="F352" s="6">
        <v>3</v>
      </c>
      <c r="G352" s="6">
        <v>13</v>
      </c>
      <c r="H352" s="18">
        <v>16</v>
      </c>
    </row>
    <row r="353" spans="1:8" ht="15" thickBot="1" x14ac:dyDescent="0.35">
      <c r="A353" s="17">
        <v>351</v>
      </c>
      <c r="B353" s="6">
        <v>352</v>
      </c>
      <c r="C353" s="6">
        <v>0.2727</v>
      </c>
      <c r="D353" s="6">
        <v>0.69</v>
      </c>
      <c r="E353" s="6">
        <v>0</v>
      </c>
      <c r="F353" s="6">
        <v>9</v>
      </c>
      <c r="G353" s="6">
        <v>6</v>
      </c>
      <c r="H353" s="18">
        <v>15</v>
      </c>
    </row>
    <row r="354" spans="1:8" ht="15" thickBot="1" x14ac:dyDescent="0.35">
      <c r="A354" s="17">
        <v>352</v>
      </c>
      <c r="B354" s="6">
        <v>353</v>
      </c>
      <c r="C354" s="6">
        <v>0.2576</v>
      </c>
      <c r="D354" s="6">
        <v>0.56000000000000005</v>
      </c>
      <c r="E354" s="6">
        <v>0.16420000000000001</v>
      </c>
      <c r="F354" s="6">
        <v>0</v>
      </c>
      <c r="G354" s="6">
        <v>1</v>
      </c>
      <c r="H354" s="18">
        <v>1</v>
      </c>
    </row>
    <row r="355" spans="1:8" ht="15" thickBot="1" x14ac:dyDescent="0.35">
      <c r="A355" s="17">
        <v>353</v>
      </c>
      <c r="B355" s="6">
        <v>354</v>
      </c>
      <c r="C355" s="6">
        <v>0.2576</v>
      </c>
      <c r="D355" s="6">
        <v>0.56000000000000005</v>
      </c>
      <c r="E355" s="6">
        <v>0.16420000000000001</v>
      </c>
      <c r="F355" s="6">
        <v>1</v>
      </c>
      <c r="G355" s="6">
        <v>1</v>
      </c>
      <c r="H355" s="18">
        <v>2</v>
      </c>
    </row>
    <row r="356" spans="1:8" ht="15" thickBot="1" x14ac:dyDescent="0.35">
      <c r="A356" s="17">
        <v>354</v>
      </c>
      <c r="B356" s="6">
        <v>355</v>
      </c>
      <c r="C356" s="6">
        <v>0.2576</v>
      </c>
      <c r="D356" s="6">
        <v>0.56000000000000005</v>
      </c>
      <c r="E356" s="6">
        <v>0.16420000000000001</v>
      </c>
      <c r="F356" s="6">
        <v>0</v>
      </c>
      <c r="G356" s="6">
        <v>1</v>
      </c>
      <c r="H356" s="18">
        <v>1</v>
      </c>
    </row>
    <row r="357" spans="1:8" ht="15" thickBot="1" x14ac:dyDescent="0.35">
      <c r="A357" s="17">
        <v>355</v>
      </c>
      <c r="B357" s="6">
        <v>356</v>
      </c>
      <c r="C357" s="6">
        <v>0.21210000000000001</v>
      </c>
      <c r="D357" s="6">
        <v>0.56000000000000005</v>
      </c>
      <c r="E357" s="6">
        <v>0.29849999999999999</v>
      </c>
      <c r="F357" s="6">
        <v>0</v>
      </c>
      <c r="G357" s="6">
        <v>3</v>
      </c>
      <c r="H357" s="18">
        <v>3</v>
      </c>
    </row>
    <row r="358" spans="1:8" ht="15" thickBot="1" x14ac:dyDescent="0.35">
      <c r="A358" s="17">
        <v>356</v>
      </c>
      <c r="B358" s="6">
        <v>357</v>
      </c>
      <c r="C358" s="6">
        <v>0.21210000000000001</v>
      </c>
      <c r="D358" s="6">
        <v>0.55000000000000004</v>
      </c>
      <c r="E358" s="6">
        <v>0.28360000000000002</v>
      </c>
      <c r="F358" s="6">
        <v>0</v>
      </c>
      <c r="G358" s="6">
        <v>18</v>
      </c>
      <c r="H358" s="18">
        <v>18</v>
      </c>
    </row>
    <row r="359" spans="1:8" ht="15" thickBot="1" x14ac:dyDescent="0.35">
      <c r="A359" s="17">
        <v>357</v>
      </c>
      <c r="B359" s="6">
        <v>358</v>
      </c>
      <c r="C359" s="6">
        <v>0.21210000000000001</v>
      </c>
      <c r="D359" s="6">
        <v>0.51</v>
      </c>
      <c r="E359" s="6">
        <v>0.25369999999999998</v>
      </c>
      <c r="F359" s="6">
        <v>3</v>
      </c>
      <c r="G359" s="6">
        <v>29</v>
      </c>
      <c r="H359" s="18">
        <v>32</v>
      </c>
    </row>
    <row r="360" spans="1:8" ht="15" thickBot="1" x14ac:dyDescent="0.35">
      <c r="A360" s="17">
        <v>358</v>
      </c>
      <c r="B360" s="6">
        <v>359</v>
      </c>
      <c r="C360" s="6">
        <v>0.21210000000000001</v>
      </c>
      <c r="D360" s="6">
        <v>0.51</v>
      </c>
      <c r="E360" s="6">
        <v>0.28360000000000002</v>
      </c>
      <c r="F360" s="6">
        <v>8</v>
      </c>
      <c r="G360" s="6">
        <v>71</v>
      </c>
      <c r="H360" s="18">
        <v>79</v>
      </c>
    </row>
    <row r="361" spans="1:8" ht="15" thickBot="1" x14ac:dyDescent="0.35">
      <c r="A361" s="17">
        <v>359</v>
      </c>
      <c r="B361" s="6">
        <v>360</v>
      </c>
      <c r="C361" s="6">
        <v>0.2273</v>
      </c>
      <c r="D361" s="6">
        <v>0.44</v>
      </c>
      <c r="E361" s="6">
        <v>0.25369999999999998</v>
      </c>
      <c r="F361" s="6">
        <v>23</v>
      </c>
      <c r="G361" s="6">
        <v>70</v>
      </c>
      <c r="H361" s="18">
        <v>93</v>
      </c>
    </row>
    <row r="362" spans="1:8" ht="15" thickBot="1" x14ac:dyDescent="0.35">
      <c r="A362" s="17">
        <v>360</v>
      </c>
      <c r="B362" s="6">
        <v>361</v>
      </c>
      <c r="C362" s="6">
        <v>0.21210000000000001</v>
      </c>
      <c r="D362" s="6">
        <v>0.41</v>
      </c>
      <c r="E362" s="6">
        <v>0.28360000000000002</v>
      </c>
      <c r="F362" s="6">
        <v>29</v>
      </c>
      <c r="G362" s="6">
        <v>75</v>
      </c>
      <c r="H362" s="18">
        <v>104</v>
      </c>
    </row>
    <row r="363" spans="1:8" ht="15" thickBot="1" x14ac:dyDescent="0.35">
      <c r="A363" s="17">
        <v>361</v>
      </c>
      <c r="B363" s="6">
        <v>362</v>
      </c>
      <c r="C363" s="6">
        <v>0.2273</v>
      </c>
      <c r="D363" s="6">
        <v>0.35</v>
      </c>
      <c r="E363" s="6">
        <v>0.29849999999999999</v>
      </c>
      <c r="F363" s="6">
        <v>23</v>
      </c>
      <c r="G363" s="6">
        <v>95</v>
      </c>
      <c r="H363" s="18">
        <v>118</v>
      </c>
    </row>
    <row r="364" spans="1:8" ht="15" thickBot="1" x14ac:dyDescent="0.35">
      <c r="A364" s="17">
        <v>362</v>
      </c>
      <c r="B364" s="6">
        <v>363</v>
      </c>
      <c r="C364" s="6">
        <v>0.2727</v>
      </c>
      <c r="D364" s="6">
        <v>0.36</v>
      </c>
      <c r="E364" s="6">
        <v>0.25369999999999998</v>
      </c>
      <c r="F364" s="6">
        <v>22</v>
      </c>
      <c r="G364" s="6">
        <v>69</v>
      </c>
      <c r="H364" s="18">
        <v>91</v>
      </c>
    </row>
    <row r="365" spans="1:8" ht="15" thickBot="1" x14ac:dyDescent="0.35">
      <c r="A365" s="17">
        <v>363</v>
      </c>
      <c r="B365" s="6">
        <v>364</v>
      </c>
      <c r="C365" s="6">
        <v>0.2424</v>
      </c>
      <c r="D365" s="6">
        <v>0.38</v>
      </c>
      <c r="E365" s="6">
        <v>0.25369999999999998</v>
      </c>
      <c r="F365" s="6">
        <v>35</v>
      </c>
      <c r="G365" s="6">
        <v>78</v>
      </c>
      <c r="H365" s="18">
        <v>113</v>
      </c>
    </row>
    <row r="366" spans="1:8" ht="15" thickBot="1" x14ac:dyDescent="0.35">
      <c r="A366" s="17">
        <v>364</v>
      </c>
      <c r="B366" s="6">
        <v>365</v>
      </c>
      <c r="C366" s="6">
        <v>0.2273</v>
      </c>
      <c r="D366" s="6">
        <v>0.38</v>
      </c>
      <c r="E366" s="6">
        <v>0.22389999999999999</v>
      </c>
      <c r="F366" s="6">
        <v>22</v>
      </c>
      <c r="G366" s="6">
        <v>77</v>
      </c>
      <c r="H366" s="18">
        <v>99</v>
      </c>
    </row>
    <row r="367" spans="1:8" ht="15" thickBot="1" x14ac:dyDescent="0.35">
      <c r="A367" s="17">
        <v>365</v>
      </c>
      <c r="B367" s="6">
        <v>366</v>
      </c>
      <c r="C367" s="6">
        <v>0.21210000000000001</v>
      </c>
      <c r="D367" s="6">
        <v>0.37</v>
      </c>
      <c r="E367" s="6">
        <v>0.25369999999999998</v>
      </c>
      <c r="F367" s="6">
        <v>23</v>
      </c>
      <c r="G367" s="6">
        <v>82</v>
      </c>
      <c r="H367" s="18">
        <v>105</v>
      </c>
    </row>
    <row r="368" spans="1:8" ht="15" thickBot="1" x14ac:dyDescent="0.35">
      <c r="A368" s="17">
        <v>366</v>
      </c>
      <c r="B368" s="6">
        <v>367</v>
      </c>
      <c r="C368" s="6">
        <v>0.21210000000000001</v>
      </c>
      <c r="D368" s="6">
        <v>0.4</v>
      </c>
      <c r="E368" s="6">
        <v>0.16420000000000001</v>
      </c>
      <c r="F368" s="6">
        <v>11</v>
      </c>
      <c r="G368" s="6">
        <v>56</v>
      </c>
      <c r="H368" s="18">
        <v>67</v>
      </c>
    </row>
    <row r="369" spans="1:8" ht="15" thickBot="1" x14ac:dyDescent="0.35">
      <c r="A369" s="17">
        <v>367</v>
      </c>
      <c r="B369" s="6">
        <v>368</v>
      </c>
      <c r="C369" s="6">
        <v>0.19700000000000001</v>
      </c>
      <c r="D369" s="6">
        <v>0.47</v>
      </c>
      <c r="E369" s="6">
        <v>0.1343</v>
      </c>
      <c r="F369" s="6">
        <v>14</v>
      </c>
      <c r="G369" s="6">
        <v>47</v>
      </c>
      <c r="H369" s="18">
        <v>61</v>
      </c>
    </row>
    <row r="370" spans="1:8" ht="15" thickBot="1" x14ac:dyDescent="0.35">
      <c r="A370" s="17">
        <v>368</v>
      </c>
      <c r="B370" s="6">
        <v>369</v>
      </c>
      <c r="C370" s="6">
        <v>0.19700000000000001</v>
      </c>
      <c r="D370" s="6">
        <v>0.47</v>
      </c>
      <c r="E370" s="6">
        <v>0.16420000000000001</v>
      </c>
      <c r="F370" s="6">
        <v>7</v>
      </c>
      <c r="G370" s="6">
        <v>50</v>
      </c>
      <c r="H370" s="18">
        <v>57</v>
      </c>
    </row>
    <row r="371" spans="1:8" ht="15" thickBot="1" x14ac:dyDescent="0.35">
      <c r="A371" s="17">
        <v>369</v>
      </c>
      <c r="B371" s="6">
        <v>370</v>
      </c>
      <c r="C371" s="6">
        <v>0.19700000000000001</v>
      </c>
      <c r="D371" s="6">
        <v>0.51</v>
      </c>
      <c r="E371" s="6">
        <v>0.16420000000000001</v>
      </c>
      <c r="F371" s="6">
        <v>6</v>
      </c>
      <c r="G371" s="6">
        <v>22</v>
      </c>
      <c r="H371" s="18">
        <v>28</v>
      </c>
    </row>
    <row r="372" spans="1:8" ht="15" thickBot="1" x14ac:dyDescent="0.35">
      <c r="A372" s="17">
        <v>370</v>
      </c>
      <c r="B372" s="6">
        <v>371</v>
      </c>
      <c r="C372" s="6">
        <v>0.21210000000000001</v>
      </c>
      <c r="D372" s="6">
        <v>0.49</v>
      </c>
      <c r="E372" s="6">
        <v>0.1343</v>
      </c>
      <c r="F372" s="6">
        <v>2</v>
      </c>
      <c r="G372" s="6">
        <v>19</v>
      </c>
      <c r="H372" s="18">
        <v>21</v>
      </c>
    </row>
    <row r="373" spans="1:8" ht="15" thickBot="1" x14ac:dyDescent="0.35">
      <c r="A373" s="17">
        <v>371</v>
      </c>
      <c r="B373" s="6">
        <v>372</v>
      </c>
      <c r="C373" s="6">
        <v>0.2273</v>
      </c>
      <c r="D373" s="6">
        <v>0.4</v>
      </c>
      <c r="E373" s="6">
        <v>0.1045</v>
      </c>
      <c r="F373" s="6">
        <v>0</v>
      </c>
      <c r="G373" s="6">
        <v>18</v>
      </c>
      <c r="H373" s="18">
        <v>18</v>
      </c>
    </row>
    <row r="374" spans="1:8" ht="15" thickBot="1" x14ac:dyDescent="0.35">
      <c r="A374" s="17">
        <v>372</v>
      </c>
      <c r="B374" s="6">
        <v>373</v>
      </c>
      <c r="C374" s="6">
        <v>0.19700000000000001</v>
      </c>
      <c r="D374" s="6">
        <v>0.47</v>
      </c>
      <c r="E374" s="6">
        <v>0.22389999999999999</v>
      </c>
      <c r="F374" s="6">
        <v>1</v>
      </c>
      <c r="G374" s="6">
        <v>16</v>
      </c>
      <c r="H374" s="18">
        <v>17</v>
      </c>
    </row>
    <row r="375" spans="1:8" ht="15" thickBot="1" x14ac:dyDescent="0.35">
      <c r="A375" s="17">
        <v>373</v>
      </c>
      <c r="B375" s="6">
        <v>374</v>
      </c>
      <c r="C375" s="6">
        <v>0.19700000000000001</v>
      </c>
      <c r="D375" s="6">
        <v>0.44</v>
      </c>
      <c r="E375" s="6">
        <v>0.19400000000000001</v>
      </c>
      <c r="F375" s="6">
        <v>1</v>
      </c>
      <c r="G375" s="6">
        <v>15</v>
      </c>
      <c r="H375" s="18">
        <v>16</v>
      </c>
    </row>
    <row r="376" spans="1:8" ht="15" thickBot="1" x14ac:dyDescent="0.35">
      <c r="A376" s="17">
        <v>374</v>
      </c>
      <c r="B376" s="6">
        <v>375</v>
      </c>
      <c r="C376" s="6">
        <v>0.16669999999999999</v>
      </c>
      <c r="D376" s="6">
        <v>0.43</v>
      </c>
      <c r="E376" s="6">
        <v>0.25369999999999998</v>
      </c>
      <c r="F376" s="6">
        <v>0</v>
      </c>
      <c r="G376" s="6">
        <v>8</v>
      </c>
      <c r="H376" s="18">
        <v>8</v>
      </c>
    </row>
    <row r="377" spans="1:8" ht="15" thickBot="1" x14ac:dyDescent="0.35">
      <c r="A377" s="17">
        <v>375</v>
      </c>
      <c r="B377" s="6">
        <v>376</v>
      </c>
      <c r="C377" s="6">
        <v>0.18179999999999999</v>
      </c>
      <c r="D377" s="6">
        <v>0.43</v>
      </c>
      <c r="E377" s="6">
        <v>0.19400000000000001</v>
      </c>
      <c r="F377" s="6">
        <v>0</v>
      </c>
      <c r="G377" s="6">
        <v>2</v>
      </c>
      <c r="H377" s="18">
        <v>2</v>
      </c>
    </row>
    <row r="378" spans="1:8" ht="15" thickBot="1" x14ac:dyDescent="0.35">
      <c r="A378" s="17">
        <v>376</v>
      </c>
      <c r="B378" s="6">
        <v>377</v>
      </c>
      <c r="C378" s="6">
        <v>0.19700000000000001</v>
      </c>
      <c r="D378" s="6">
        <v>0.43</v>
      </c>
      <c r="E378" s="6">
        <v>0.1343</v>
      </c>
      <c r="F378" s="6">
        <v>1</v>
      </c>
      <c r="G378" s="6">
        <v>2</v>
      </c>
      <c r="H378" s="18">
        <v>3</v>
      </c>
    </row>
    <row r="379" spans="1:8" ht="15" thickBot="1" x14ac:dyDescent="0.35">
      <c r="A379" s="17">
        <v>377</v>
      </c>
      <c r="B379" s="6">
        <v>378</v>
      </c>
      <c r="C379" s="6">
        <v>0.19700000000000001</v>
      </c>
      <c r="D379" s="6">
        <v>0.43</v>
      </c>
      <c r="E379" s="6">
        <v>0.16420000000000001</v>
      </c>
      <c r="F379" s="6">
        <v>0</v>
      </c>
      <c r="G379" s="6">
        <v>1</v>
      </c>
      <c r="H379" s="18">
        <v>1</v>
      </c>
    </row>
    <row r="380" spans="1:8" ht="15" thickBot="1" x14ac:dyDescent="0.35">
      <c r="A380" s="17">
        <v>378</v>
      </c>
      <c r="B380" s="6">
        <v>379</v>
      </c>
      <c r="C380" s="6">
        <v>0.18179999999999999</v>
      </c>
      <c r="D380" s="6">
        <v>0.43</v>
      </c>
      <c r="E380" s="6">
        <v>0.19400000000000001</v>
      </c>
      <c r="F380" s="6">
        <v>0</v>
      </c>
      <c r="G380" s="6">
        <v>5</v>
      </c>
      <c r="H380" s="18">
        <v>5</v>
      </c>
    </row>
    <row r="381" spans="1:8" ht="15" thickBot="1" x14ac:dyDescent="0.35">
      <c r="A381" s="17">
        <v>379</v>
      </c>
      <c r="B381" s="6">
        <v>380</v>
      </c>
      <c r="C381" s="6">
        <v>0.18179999999999999</v>
      </c>
      <c r="D381" s="6">
        <v>0.5</v>
      </c>
      <c r="E381" s="6">
        <v>0.1343</v>
      </c>
      <c r="F381" s="6">
        <v>4</v>
      </c>
      <c r="G381" s="6">
        <v>9</v>
      </c>
      <c r="H381" s="18">
        <v>13</v>
      </c>
    </row>
    <row r="382" spans="1:8" ht="15" thickBot="1" x14ac:dyDescent="0.35">
      <c r="A382" s="17">
        <v>380</v>
      </c>
      <c r="B382" s="6">
        <v>381</v>
      </c>
      <c r="C382" s="6">
        <v>0.1515</v>
      </c>
      <c r="D382" s="6">
        <v>0.47</v>
      </c>
      <c r="E382" s="6">
        <v>0.22389999999999999</v>
      </c>
      <c r="F382" s="6">
        <v>3</v>
      </c>
      <c r="G382" s="6">
        <v>30</v>
      </c>
      <c r="H382" s="18">
        <v>33</v>
      </c>
    </row>
    <row r="383" spans="1:8" ht="15" thickBot="1" x14ac:dyDescent="0.35">
      <c r="A383" s="17">
        <v>381</v>
      </c>
      <c r="B383" s="6">
        <v>382</v>
      </c>
      <c r="C383" s="6">
        <v>0.1515</v>
      </c>
      <c r="D383" s="6">
        <v>0.47</v>
      </c>
      <c r="E383" s="6">
        <v>0.22389999999999999</v>
      </c>
      <c r="F383" s="6">
        <v>8</v>
      </c>
      <c r="G383" s="6">
        <v>39</v>
      </c>
      <c r="H383" s="18">
        <v>47</v>
      </c>
    </row>
    <row r="384" spans="1:8" ht="15" thickBot="1" x14ac:dyDescent="0.35">
      <c r="A384" s="17">
        <v>382</v>
      </c>
      <c r="B384" s="6">
        <v>383</v>
      </c>
      <c r="C384" s="6">
        <v>0.1515</v>
      </c>
      <c r="D384" s="6">
        <v>0.5</v>
      </c>
      <c r="E384" s="6">
        <v>0.25369999999999998</v>
      </c>
      <c r="F384" s="6">
        <v>7</v>
      </c>
      <c r="G384" s="6">
        <v>50</v>
      </c>
      <c r="H384" s="18">
        <v>57</v>
      </c>
    </row>
    <row r="385" spans="1:8" ht="15" thickBot="1" x14ac:dyDescent="0.35">
      <c r="A385" s="17">
        <v>383</v>
      </c>
      <c r="B385" s="6">
        <v>384</v>
      </c>
      <c r="C385" s="6">
        <v>0.1515</v>
      </c>
      <c r="D385" s="6">
        <v>0.55000000000000004</v>
      </c>
      <c r="E385" s="6">
        <v>0.19400000000000001</v>
      </c>
      <c r="F385" s="6">
        <v>9</v>
      </c>
      <c r="G385" s="6">
        <v>55</v>
      </c>
      <c r="H385" s="18">
        <v>64</v>
      </c>
    </row>
    <row r="386" spans="1:8" ht="15" thickBot="1" x14ac:dyDescent="0.35">
      <c r="A386" s="17">
        <v>384</v>
      </c>
      <c r="B386" s="6">
        <v>385</v>
      </c>
      <c r="C386" s="6">
        <v>0.19700000000000001</v>
      </c>
      <c r="D386" s="6">
        <v>0.47</v>
      </c>
      <c r="E386" s="6">
        <v>0.1343</v>
      </c>
      <c r="F386" s="6">
        <v>10</v>
      </c>
      <c r="G386" s="6">
        <v>70</v>
      </c>
      <c r="H386" s="18">
        <v>80</v>
      </c>
    </row>
    <row r="387" spans="1:8" ht="15" thickBot="1" x14ac:dyDescent="0.35">
      <c r="A387" s="17">
        <v>385</v>
      </c>
      <c r="B387" s="6">
        <v>386</v>
      </c>
      <c r="C387" s="6">
        <v>0.19700000000000001</v>
      </c>
      <c r="D387" s="6">
        <v>0.47</v>
      </c>
      <c r="E387" s="6">
        <v>0.1343</v>
      </c>
      <c r="F387" s="6">
        <v>13</v>
      </c>
      <c r="G387" s="6">
        <v>80</v>
      </c>
      <c r="H387" s="18">
        <v>93</v>
      </c>
    </row>
    <row r="388" spans="1:8" ht="15" thickBot="1" x14ac:dyDescent="0.35">
      <c r="A388" s="17">
        <v>386</v>
      </c>
      <c r="B388" s="6">
        <v>387</v>
      </c>
      <c r="C388" s="6">
        <v>0.21210000000000001</v>
      </c>
      <c r="D388" s="6">
        <v>0.43</v>
      </c>
      <c r="E388" s="6">
        <v>0.1045</v>
      </c>
      <c r="F388" s="6">
        <v>12</v>
      </c>
      <c r="G388" s="6">
        <v>74</v>
      </c>
      <c r="H388" s="18">
        <v>86</v>
      </c>
    </row>
    <row r="389" spans="1:8" ht="15" thickBot="1" x14ac:dyDescent="0.35">
      <c r="A389" s="17">
        <v>387</v>
      </c>
      <c r="B389" s="6">
        <v>388</v>
      </c>
      <c r="C389" s="6">
        <v>0.21210000000000001</v>
      </c>
      <c r="D389" s="6">
        <v>0.47</v>
      </c>
      <c r="E389" s="6">
        <v>0.16420000000000001</v>
      </c>
      <c r="F389" s="6">
        <v>21</v>
      </c>
      <c r="G389" s="6">
        <v>72</v>
      </c>
      <c r="H389" s="18">
        <v>93</v>
      </c>
    </row>
    <row r="390" spans="1:8" ht="15" thickBot="1" x14ac:dyDescent="0.35">
      <c r="A390" s="17">
        <v>388</v>
      </c>
      <c r="B390" s="6">
        <v>389</v>
      </c>
      <c r="C390" s="6">
        <v>0.21210000000000001</v>
      </c>
      <c r="D390" s="6">
        <v>0.47</v>
      </c>
      <c r="E390" s="6">
        <v>0.16420000000000001</v>
      </c>
      <c r="F390" s="6">
        <v>6</v>
      </c>
      <c r="G390" s="6">
        <v>76</v>
      </c>
      <c r="H390" s="18">
        <v>82</v>
      </c>
    </row>
    <row r="391" spans="1:8" ht="15" thickBot="1" x14ac:dyDescent="0.35">
      <c r="A391" s="17">
        <v>389</v>
      </c>
      <c r="B391" s="6">
        <v>390</v>
      </c>
      <c r="C391" s="6">
        <v>0.19700000000000001</v>
      </c>
      <c r="D391" s="6">
        <v>0.51</v>
      </c>
      <c r="E391" s="6">
        <v>0.19400000000000001</v>
      </c>
      <c r="F391" s="6">
        <v>4</v>
      </c>
      <c r="G391" s="6">
        <v>67</v>
      </c>
      <c r="H391" s="18">
        <v>71</v>
      </c>
    </row>
    <row r="392" spans="1:8" ht="15" thickBot="1" x14ac:dyDescent="0.35">
      <c r="A392" s="17">
        <v>390</v>
      </c>
      <c r="B392" s="6">
        <v>391</v>
      </c>
      <c r="C392" s="6">
        <v>0.16669999999999999</v>
      </c>
      <c r="D392" s="6">
        <v>0.55000000000000004</v>
      </c>
      <c r="E392" s="6">
        <v>0.25369999999999998</v>
      </c>
      <c r="F392" s="6">
        <v>7</v>
      </c>
      <c r="G392" s="6">
        <v>85</v>
      </c>
      <c r="H392" s="18">
        <v>92</v>
      </c>
    </row>
    <row r="393" spans="1:8" ht="15" thickBot="1" x14ac:dyDescent="0.35">
      <c r="A393" s="17">
        <v>391</v>
      </c>
      <c r="B393" s="6">
        <v>392</v>
      </c>
      <c r="C393" s="6">
        <v>0.18179999999999999</v>
      </c>
      <c r="D393" s="6">
        <v>0.59</v>
      </c>
      <c r="E393" s="6">
        <v>0.19400000000000001</v>
      </c>
      <c r="F393" s="6">
        <v>2</v>
      </c>
      <c r="G393" s="6">
        <v>58</v>
      </c>
      <c r="H393" s="18">
        <v>60</v>
      </c>
    </row>
    <row r="394" spans="1:8" ht="15" thickBot="1" x14ac:dyDescent="0.35">
      <c r="A394" s="17">
        <v>392</v>
      </c>
      <c r="B394" s="6">
        <v>393</v>
      </c>
      <c r="C394" s="6">
        <v>0.1515</v>
      </c>
      <c r="D394" s="6">
        <v>0.8</v>
      </c>
      <c r="E394" s="6">
        <v>0.19400000000000001</v>
      </c>
      <c r="F394" s="6">
        <v>4</v>
      </c>
      <c r="G394" s="6">
        <v>29</v>
      </c>
      <c r="H394" s="18">
        <v>33</v>
      </c>
    </row>
    <row r="395" spans="1:8" ht="15" thickBot="1" x14ac:dyDescent="0.35">
      <c r="A395" s="17">
        <v>393</v>
      </c>
      <c r="B395" s="6">
        <v>394</v>
      </c>
      <c r="C395" s="6">
        <v>0.1515</v>
      </c>
      <c r="D395" s="6">
        <v>0.8</v>
      </c>
      <c r="E395" s="6">
        <v>0.19400000000000001</v>
      </c>
      <c r="F395" s="6">
        <v>3</v>
      </c>
      <c r="G395" s="6">
        <v>24</v>
      </c>
      <c r="H395" s="18">
        <v>27</v>
      </c>
    </row>
    <row r="396" spans="1:8" ht="15" thickBot="1" x14ac:dyDescent="0.35">
      <c r="A396" s="17">
        <v>394</v>
      </c>
      <c r="B396" s="6">
        <v>395</v>
      </c>
      <c r="C396" s="6">
        <v>0.1212</v>
      </c>
      <c r="D396" s="6">
        <v>0.93</v>
      </c>
      <c r="E396" s="6">
        <v>0.25369999999999998</v>
      </c>
      <c r="F396" s="6">
        <v>0</v>
      </c>
      <c r="G396" s="6">
        <v>13</v>
      </c>
      <c r="H396" s="18">
        <v>13</v>
      </c>
    </row>
    <row r="397" spans="1:8" ht="15" thickBot="1" x14ac:dyDescent="0.35">
      <c r="A397" s="17">
        <v>395</v>
      </c>
      <c r="B397" s="6">
        <v>396</v>
      </c>
      <c r="C397" s="6">
        <v>0.13639999999999999</v>
      </c>
      <c r="D397" s="6">
        <v>0.86</v>
      </c>
      <c r="E397" s="6">
        <v>0.28360000000000002</v>
      </c>
      <c r="F397" s="6">
        <v>1</v>
      </c>
      <c r="G397" s="6">
        <v>3</v>
      </c>
      <c r="H397" s="18">
        <v>4</v>
      </c>
    </row>
    <row r="398" spans="1:8" ht="15" thickBot="1" x14ac:dyDescent="0.35">
      <c r="A398" s="17">
        <v>396</v>
      </c>
      <c r="B398" s="6">
        <v>397</v>
      </c>
      <c r="C398" s="6">
        <v>0.18179999999999999</v>
      </c>
      <c r="D398" s="6">
        <v>0.86</v>
      </c>
      <c r="E398" s="6">
        <v>0.32840000000000003</v>
      </c>
      <c r="F398" s="6">
        <v>0</v>
      </c>
      <c r="G398" s="6">
        <v>3</v>
      </c>
      <c r="H398" s="18">
        <v>3</v>
      </c>
    </row>
    <row r="399" spans="1:8" ht="15" thickBot="1" x14ac:dyDescent="0.35">
      <c r="A399" s="17">
        <v>397</v>
      </c>
      <c r="B399" s="6">
        <v>398</v>
      </c>
      <c r="C399" s="6">
        <v>0.19700000000000001</v>
      </c>
      <c r="D399" s="6">
        <v>0.86</v>
      </c>
      <c r="E399" s="6">
        <v>0.22389999999999999</v>
      </c>
      <c r="F399" s="6">
        <v>0</v>
      </c>
      <c r="G399" s="6">
        <v>22</v>
      </c>
      <c r="H399" s="18">
        <v>22</v>
      </c>
    </row>
    <row r="400" spans="1:8" ht="15" thickBot="1" x14ac:dyDescent="0.35">
      <c r="A400" s="17">
        <v>398</v>
      </c>
      <c r="B400" s="6">
        <v>399</v>
      </c>
      <c r="C400" s="6">
        <v>0.2273</v>
      </c>
      <c r="D400" s="6">
        <v>0.8</v>
      </c>
      <c r="E400" s="6">
        <v>0.16420000000000001</v>
      </c>
      <c r="F400" s="6">
        <v>2</v>
      </c>
      <c r="G400" s="6">
        <v>26</v>
      </c>
      <c r="H400" s="18">
        <v>28</v>
      </c>
    </row>
    <row r="401" spans="1:8" ht="15" thickBot="1" x14ac:dyDescent="0.35">
      <c r="A401" s="17">
        <v>399</v>
      </c>
      <c r="B401" s="6">
        <v>400</v>
      </c>
      <c r="C401" s="6">
        <v>0.2273</v>
      </c>
      <c r="D401" s="6">
        <v>0.87</v>
      </c>
      <c r="E401" s="6">
        <v>0.16420000000000001</v>
      </c>
      <c r="F401" s="6">
        <v>3</v>
      </c>
      <c r="G401" s="6">
        <v>32</v>
      </c>
      <c r="H401" s="18">
        <v>35</v>
      </c>
    </row>
    <row r="402" spans="1:8" ht="15" thickBot="1" x14ac:dyDescent="0.35">
      <c r="A402" s="17">
        <v>400</v>
      </c>
      <c r="B402" s="6">
        <v>401</v>
      </c>
      <c r="C402" s="6">
        <v>0.2273</v>
      </c>
      <c r="D402" s="6">
        <v>0.87</v>
      </c>
      <c r="E402" s="6">
        <v>0.19400000000000001</v>
      </c>
      <c r="F402" s="6">
        <v>0</v>
      </c>
      <c r="G402" s="6">
        <v>61</v>
      </c>
      <c r="H402" s="18">
        <v>61</v>
      </c>
    </row>
    <row r="403" spans="1:8" ht="15" thickBot="1" x14ac:dyDescent="0.35">
      <c r="A403" s="17">
        <v>401</v>
      </c>
      <c r="B403" s="6">
        <v>402</v>
      </c>
      <c r="C403" s="6">
        <v>0.2273</v>
      </c>
      <c r="D403" s="6">
        <v>0.82</v>
      </c>
      <c r="E403" s="6">
        <v>0.19400000000000001</v>
      </c>
      <c r="F403" s="6">
        <v>1</v>
      </c>
      <c r="G403" s="6">
        <v>124</v>
      </c>
      <c r="H403" s="18">
        <v>125</v>
      </c>
    </row>
    <row r="404" spans="1:8" ht="15" thickBot="1" x14ac:dyDescent="0.35">
      <c r="A404" s="17">
        <v>402</v>
      </c>
      <c r="B404" s="6">
        <v>403</v>
      </c>
      <c r="C404" s="6">
        <v>0.2273</v>
      </c>
      <c r="D404" s="6">
        <v>0.8</v>
      </c>
      <c r="E404" s="6">
        <v>0.16420000000000001</v>
      </c>
      <c r="F404" s="6">
        <v>1</v>
      </c>
      <c r="G404" s="6">
        <v>132</v>
      </c>
      <c r="H404" s="18">
        <v>133</v>
      </c>
    </row>
    <row r="405" spans="1:8" ht="15" thickBot="1" x14ac:dyDescent="0.35">
      <c r="A405" s="17">
        <v>403</v>
      </c>
      <c r="B405" s="6">
        <v>404</v>
      </c>
      <c r="C405" s="6">
        <v>0.2273</v>
      </c>
      <c r="D405" s="6">
        <v>0.8</v>
      </c>
      <c r="E405" s="6">
        <v>0.1343</v>
      </c>
      <c r="F405" s="6">
        <v>1</v>
      </c>
      <c r="G405" s="6">
        <v>98</v>
      </c>
      <c r="H405" s="18">
        <v>99</v>
      </c>
    </row>
    <row r="406" spans="1:8" ht="15" thickBot="1" x14ac:dyDescent="0.35">
      <c r="A406" s="17">
        <v>404</v>
      </c>
      <c r="B406" s="6">
        <v>405</v>
      </c>
      <c r="C406" s="6">
        <v>0.2727</v>
      </c>
      <c r="D406" s="6">
        <v>0.87</v>
      </c>
      <c r="E406" s="6">
        <v>0</v>
      </c>
      <c r="F406" s="6">
        <v>0</v>
      </c>
      <c r="G406" s="6">
        <v>83</v>
      </c>
      <c r="H406" s="18">
        <v>83</v>
      </c>
    </row>
    <row r="407" spans="1:8" ht="15" thickBot="1" x14ac:dyDescent="0.35">
      <c r="A407" s="17">
        <v>405</v>
      </c>
      <c r="B407" s="6">
        <v>406</v>
      </c>
      <c r="C407" s="6">
        <v>0.2424</v>
      </c>
      <c r="D407" s="6">
        <v>0.93</v>
      </c>
      <c r="E407" s="6">
        <v>0.1045</v>
      </c>
      <c r="F407" s="6">
        <v>0</v>
      </c>
      <c r="G407" s="6">
        <v>41</v>
      </c>
      <c r="H407" s="18">
        <v>41</v>
      </c>
    </row>
    <row r="408" spans="1:8" ht="15" thickBot="1" x14ac:dyDescent="0.35">
      <c r="A408" s="17">
        <v>406</v>
      </c>
      <c r="B408" s="6">
        <v>407</v>
      </c>
      <c r="C408" s="6">
        <v>0.2576</v>
      </c>
      <c r="D408" s="6">
        <v>0.93</v>
      </c>
      <c r="E408" s="6">
        <v>8.9599999999999999E-2</v>
      </c>
      <c r="F408" s="6">
        <v>0</v>
      </c>
      <c r="G408" s="6">
        <v>33</v>
      </c>
      <c r="H408" s="18">
        <v>33</v>
      </c>
    </row>
    <row r="409" spans="1:8" ht="15" thickBot="1" x14ac:dyDescent="0.35">
      <c r="A409" s="17">
        <v>407</v>
      </c>
      <c r="B409" s="6">
        <v>408</v>
      </c>
      <c r="C409" s="6">
        <v>0.2727</v>
      </c>
      <c r="D409" s="6">
        <v>0.93</v>
      </c>
      <c r="E409" s="6">
        <v>0</v>
      </c>
      <c r="F409" s="6">
        <v>1</v>
      </c>
      <c r="G409" s="6">
        <v>19</v>
      </c>
      <c r="H409" s="18">
        <v>20</v>
      </c>
    </row>
    <row r="410" spans="1:8" ht="15" thickBot="1" x14ac:dyDescent="0.35">
      <c r="A410" s="17">
        <v>408</v>
      </c>
      <c r="B410" s="6">
        <v>409</v>
      </c>
      <c r="C410" s="6">
        <v>0.2727</v>
      </c>
      <c r="D410" s="6">
        <v>0.93</v>
      </c>
      <c r="E410" s="6">
        <v>0</v>
      </c>
      <c r="F410" s="6">
        <v>0</v>
      </c>
      <c r="G410" s="6">
        <v>3</v>
      </c>
      <c r="H410" s="18">
        <v>3</v>
      </c>
    </row>
    <row r="411" spans="1:8" ht="15" thickBot="1" x14ac:dyDescent="0.35">
      <c r="A411" s="17">
        <v>409</v>
      </c>
      <c r="B411" s="6">
        <v>410</v>
      </c>
      <c r="C411" s="6">
        <v>0.2273</v>
      </c>
      <c r="D411" s="6">
        <v>0.93</v>
      </c>
      <c r="E411" s="6">
        <v>0.1343</v>
      </c>
      <c r="F411" s="6">
        <v>1</v>
      </c>
      <c r="G411" s="6">
        <v>6</v>
      </c>
      <c r="H411" s="18">
        <v>7</v>
      </c>
    </row>
    <row r="412" spans="1:8" ht="15" thickBot="1" x14ac:dyDescent="0.35">
      <c r="A412" s="17">
        <v>410</v>
      </c>
      <c r="B412" s="6">
        <v>411</v>
      </c>
      <c r="C412" s="6">
        <v>0.2273</v>
      </c>
      <c r="D412" s="6">
        <v>0.93</v>
      </c>
      <c r="E412" s="6">
        <v>0.1343</v>
      </c>
      <c r="F412" s="6">
        <v>0</v>
      </c>
      <c r="G412" s="6">
        <v>3</v>
      </c>
      <c r="H412" s="18">
        <v>3</v>
      </c>
    </row>
    <row r="413" spans="1:8" ht="15" thickBot="1" x14ac:dyDescent="0.35">
      <c r="A413" s="17">
        <v>411</v>
      </c>
      <c r="B413" s="6">
        <v>412</v>
      </c>
      <c r="C413" s="6">
        <v>0.2273</v>
      </c>
      <c r="D413" s="6">
        <v>0.93</v>
      </c>
      <c r="E413" s="6">
        <v>0.1343</v>
      </c>
      <c r="F413" s="6">
        <v>1</v>
      </c>
      <c r="G413" s="6">
        <v>1</v>
      </c>
      <c r="H413" s="18">
        <v>2</v>
      </c>
    </row>
    <row r="414" spans="1:8" ht="15" thickBot="1" x14ac:dyDescent="0.35">
      <c r="A414" s="17">
        <v>412</v>
      </c>
      <c r="B414" s="6">
        <v>413</v>
      </c>
      <c r="C414" s="6">
        <v>0.2576</v>
      </c>
      <c r="D414" s="6">
        <v>0.93</v>
      </c>
      <c r="E414" s="6">
        <v>8.9599999999999999E-2</v>
      </c>
      <c r="F414" s="6">
        <v>0</v>
      </c>
      <c r="G414" s="6">
        <v>7</v>
      </c>
      <c r="H414" s="18">
        <v>7</v>
      </c>
    </row>
    <row r="415" spans="1:8" ht="15" thickBot="1" x14ac:dyDescent="0.35">
      <c r="A415" s="17">
        <v>413</v>
      </c>
      <c r="B415" s="6">
        <v>414</v>
      </c>
      <c r="C415" s="6">
        <v>0.2576</v>
      </c>
      <c r="D415" s="6">
        <v>0.93</v>
      </c>
      <c r="E415" s="6">
        <v>8.9599999999999999E-2</v>
      </c>
      <c r="F415" s="6">
        <v>0</v>
      </c>
      <c r="G415" s="6">
        <v>32</v>
      </c>
      <c r="H415" s="18">
        <v>32</v>
      </c>
    </row>
    <row r="416" spans="1:8" ht="15" thickBot="1" x14ac:dyDescent="0.35">
      <c r="A416" s="17">
        <v>414</v>
      </c>
      <c r="B416" s="6">
        <v>415</v>
      </c>
      <c r="C416" s="6">
        <v>0.2576</v>
      </c>
      <c r="D416" s="6">
        <v>0.92</v>
      </c>
      <c r="E416" s="6">
        <v>0.1045</v>
      </c>
      <c r="F416" s="6">
        <v>1</v>
      </c>
      <c r="G416" s="6">
        <v>89</v>
      </c>
      <c r="H416" s="18">
        <v>90</v>
      </c>
    </row>
    <row r="417" spans="1:8" ht="15" thickBot="1" x14ac:dyDescent="0.35">
      <c r="A417" s="17">
        <v>415</v>
      </c>
      <c r="B417" s="6">
        <v>416</v>
      </c>
      <c r="C417" s="6">
        <v>0.2576</v>
      </c>
      <c r="D417" s="6">
        <v>0.93</v>
      </c>
      <c r="E417" s="6">
        <v>0.1045</v>
      </c>
      <c r="F417" s="6">
        <v>1</v>
      </c>
      <c r="G417" s="6">
        <v>196</v>
      </c>
      <c r="H417" s="18">
        <v>197</v>
      </c>
    </row>
    <row r="418" spans="1:8" ht="15" thickBot="1" x14ac:dyDescent="0.35">
      <c r="A418" s="17">
        <v>416</v>
      </c>
      <c r="B418" s="6">
        <v>417</v>
      </c>
      <c r="C418" s="6">
        <v>0.2576</v>
      </c>
      <c r="D418" s="6">
        <v>0.93</v>
      </c>
      <c r="E418" s="6">
        <v>0.1045</v>
      </c>
      <c r="F418" s="6">
        <v>2</v>
      </c>
      <c r="G418" s="6">
        <v>107</v>
      </c>
      <c r="H418" s="18">
        <v>109</v>
      </c>
    </row>
    <row r="419" spans="1:8" ht="15" thickBot="1" x14ac:dyDescent="0.35">
      <c r="A419" s="17">
        <v>417</v>
      </c>
      <c r="B419" s="6">
        <v>418</v>
      </c>
      <c r="C419" s="6">
        <v>0.2727</v>
      </c>
      <c r="D419" s="6">
        <v>0.93</v>
      </c>
      <c r="E419" s="6">
        <v>0.1343</v>
      </c>
      <c r="F419" s="6">
        <v>1</v>
      </c>
      <c r="G419" s="6">
        <v>46</v>
      </c>
      <c r="H419" s="18">
        <v>47</v>
      </c>
    </row>
    <row r="420" spans="1:8" ht="15" thickBot="1" x14ac:dyDescent="0.35">
      <c r="A420" s="17">
        <v>418</v>
      </c>
      <c r="B420" s="6">
        <v>419</v>
      </c>
      <c r="C420" s="6">
        <v>0.30299999999999999</v>
      </c>
      <c r="D420" s="6">
        <v>0.87</v>
      </c>
      <c r="E420" s="6">
        <v>8.9599999999999999E-2</v>
      </c>
      <c r="F420" s="6">
        <v>5</v>
      </c>
      <c r="G420" s="6">
        <v>47</v>
      </c>
      <c r="H420" s="18">
        <v>52</v>
      </c>
    </row>
    <row r="421" spans="1:8" ht="15" thickBot="1" x14ac:dyDescent="0.35">
      <c r="A421" s="17">
        <v>419</v>
      </c>
      <c r="B421" s="6">
        <v>420</v>
      </c>
      <c r="C421" s="6">
        <v>0.31819999999999998</v>
      </c>
      <c r="D421" s="6">
        <v>0.81</v>
      </c>
      <c r="E421" s="6">
        <v>8.9599999999999999E-2</v>
      </c>
      <c r="F421" s="6">
        <v>5</v>
      </c>
      <c r="G421" s="6">
        <v>65</v>
      </c>
      <c r="H421" s="18">
        <v>70</v>
      </c>
    </row>
    <row r="422" spans="1:8" ht="15" thickBot="1" x14ac:dyDescent="0.35">
      <c r="A422" s="17">
        <v>420</v>
      </c>
      <c r="B422" s="6">
        <v>421</v>
      </c>
      <c r="C422" s="6">
        <v>0.40910000000000002</v>
      </c>
      <c r="D422" s="6">
        <v>0.62</v>
      </c>
      <c r="E422" s="6">
        <v>0.28360000000000002</v>
      </c>
      <c r="F422" s="6">
        <v>11</v>
      </c>
      <c r="G422" s="6">
        <v>67</v>
      </c>
      <c r="H422" s="18">
        <v>78</v>
      </c>
    </row>
    <row r="423" spans="1:8" ht="15" thickBot="1" x14ac:dyDescent="0.35">
      <c r="A423" s="17">
        <v>421</v>
      </c>
      <c r="B423" s="6">
        <v>422</v>
      </c>
      <c r="C423" s="6">
        <v>0.40910000000000002</v>
      </c>
      <c r="D423" s="6">
        <v>0.57999999999999996</v>
      </c>
      <c r="E423" s="6">
        <v>0.25369999999999998</v>
      </c>
      <c r="F423" s="6">
        <v>7</v>
      </c>
      <c r="G423" s="6">
        <v>68</v>
      </c>
      <c r="H423" s="18">
        <v>75</v>
      </c>
    </row>
    <row r="424" spans="1:8" ht="15" thickBot="1" x14ac:dyDescent="0.35">
      <c r="A424" s="17">
        <v>422</v>
      </c>
      <c r="B424" s="6">
        <v>423</v>
      </c>
      <c r="C424" s="6">
        <v>0.40910000000000002</v>
      </c>
      <c r="D424" s="6">
        <v>0.54</v>
      </c>
      <c r="E424" s="6">
        <v>0.28360000000000002</v>
      </c>
      <c r="F424" s="6">
        <v>4</v>
      </c>
      <c r="G424" s="6">
        <v>78</v>
      </c>
      <c r="H424" s="18">
        <v>82</v>
      </c>
    </row>
    <row r="425" spans="1:8" ht="15" thickBot="1" x14ac:dyDescent="0.35">
      <c r="A425" s="17">
        <v>423</v>
      </c>
      <c r="B425" s="6">
        <v>424</v>
      </c>
      <c r="C425" s="6">
        <v>0.39389999999999997</v>
      </c>
      <c r="D425" s="6">
        <v>0.57999999999999996</v>
      </c>
      <c r="E425" s="6">
        <v>0.3881</v>
      </c>
      <c r="F425" s="6">
        <v>10</v>
      </c>
      <c r="G425" s="6">
        <v>94</v>
      </c>
      <c r="H425" s="18">
        <v>104</v>
      </c>
    </row>
    <row r="426" spans="1:8" ht="15" thickBot="1" x14ac:dyDescent="0.35">
      <c r="A426" s="17">
        <v>424</v>
      </c>
      <c r="B426" s="6">
        <v>425</v>
      </c>
      <c r="C426" s="6">
        <v>0.33329999999999999</v>
      </c>
      <c r="D426" s="6">
        <v>0.56999999999999995</v>
      </c>
      <c r="E426" s="6">
        <v>0.32840000000000003</v>
      </c>
      <c r="F426" s="6">
        <v>7</v>
      </c>
      <c r="G426" s="6">
        <v>190</v>
      </c>
      <c r="H426" s="18">
        <v>197</v>
      </c>
    </row>
    <row r="427" spans="1:8" ht="15" thickBot="1" x14ac:dyDescent="0.35">
      <c r="A427" s="17">
        <v>425</v>
      </c>
      <c r="B427" s="6">
        <v>426</v>
      </c>
      <c r="C427" s="6">
        <v>0.31819999999999998</v>
      </c>
      <c r="D427" s="6">
        <v>0.61</v>
      </c>
      <c r="E427" s="6">
        <v>0.28360000000000002</v>
      </c>
      <c r="F427" s="6">
        <v>5</v>
      </c>
      <c r="G427" s="6">
        <v>156</v>
      </c>
      <c r="H427" s="18">
        <v>161</v>
      </c>
    </row>
    <row r="428" spans="1:8" ht="15" thickBot="1" x14ac:dyDescent="0.35">
      <c r="A428" s="17">
        <v>426</v>
      </c>
      <c r="B428" s="6">
        <v>427</v>
      </c>
      <c r="C428" s="6">
        <v>0.28789999999999999</v>
      </c>
      <c r="D428" s="6">
        <v>0.56999999999999995</v>
      </c>
      <c r="E428" s="6">
        <v>0.41789999999999999</v>
      </c>
      <c r="F428" s="6">
        <v>4</v>
      </c>
      <c r="G428" s="6">
        <v>108</v>
      </c>
      <c r="H428" s="18">
        <v>112</v>
      </c>
    </row>
    <row r="429" spans="1:8" ht="15" thickBot="1" x14ac:dyDescent="0.35">
      <c r="A429" s="17">
        <v>427</v>
      </c>
      <c r="B429" s="6">
        <v>428</v>
      </c>
      <c r="C429" s="6">
        <v>0.30299999999999999</v>
      </c>
      <c r="D429" s="6">
        <v>0.49</v>
      </c>
      <c r="E429" s="6">
        <v>0.29849999999999999</v>
      </c>
      <c r="F429" s="6">
        <v>2</v>
      </c>
      <c r="G429" s="6">
        <v>74</v>
      </c>
      <c r="H429" s="18">
        <v>76</v>
      </c>
    </row>
    <row r="430" spans="1:8" ht="15" thickBot="1" x14ac:dyDescent="0.35">
      <c r="A430" s="17">
        <v>428</v>
      </c>
      <c r="B430" s="6">
        <v>429</v>
      </c>
      <c r="C430" s="6">
        <v>0.28789999999999999</v>
      </c>
      <c r="D430" s="6">
        <v>0.49</v>
      </c>
      <c r="E430" s="6">
        <v>0.41789999999999999</v>
      </c>
      <c r="F430" s="6">
        <v>4</v>
      </c>
      <c r="G430" s="6">
        <v>55</v>
      </c>
      <c r="H430" s="18">
        <v>59</v>
      </c>
    </row>
    <row r="431" spans="1:8" ht="15" thickBot="1" x14ac:dyDescent="0.35">
      <c r="A431" s="17">
        <v>429</v>
      </c>
      <c r="B431" s="6">
        <v>430</v>
      </c>
      <c r="C431" s="6">
        <v>0.30299999999999999</v>
      </c>
      <c r="D431" s="6">
        <v>0.52</v>
      </c>
      <c r="E431" s="6">
        <v>0.16420000000000001</v>
      </c>
      <c r="F431" s="6">
        <v>6</v>
      </c>
      <c r="G431" s="6">
        <v>53</v>
      </c>
      <c r="H431" s="18">
        <v>59</v>
      </c>
    </row>
    <row r="432" spans="1:8" ht="15" thickBot="1" x14ac:dyDescent="0.35">
      <c r="A432" s="17">
        <v>430</v>
      </c>
      <c r="B432" s="6">
        <v>431</v>
      </c>
      <c r="C432" s="6">
        <v>0.2727</v>
      </c>
      <c r="D432" s="6">
        <v>0.52</v>
      </c>
      <c r="E432" s="6">
        <v>0.4627</v>
      </c>
      <c r="F432" s="6">
        <v>1</v>
      </c>
      <c r="G432" s="6">
        <v>27</v>
      </c>
      <c r="H432" s="18">
        <v>28</v>
      </c>
    </row>
    <row r="433" spans="1:8" ht="15" thickBot="1" x14ac:dyDescent="0.35">
      <c r="A433" s="17">
        <v>431</v>
      </c>
      <c r="B433" s="6">
        <v>432</v>
      </c>
      <c r="C433" s="6">
        <v>0.2273</v>
      </c>
      <c r="D433" s="6">
        <v>0.56000000000000005</v>
      </c>
      <c r="E433" s="6">
        <v>0.3881</v>
      </c>
      <c r="F433" s="6">
        <v>5</v>
      </c>
      <c r="G433" s="6">
        <v>8</v>
      </c>
      <c r="H433" s="18">
        <v>13</v>
      </c>
    </row>
    <row r="434" spans="1:8" ht="15" thickBot="1" x14ac:dyDescent="0.35">
      <c r="A434" s="17">
        <v>432</v>
      </c>
      <c r="B434" s="6">
        <v>433</v>
      </c>
      <c r="C434" s="6">
        <v>0.2727</v>
      </c>
      <c r="D434" s="6">
        <v>0.56000000000000005</v>
      </c>
      <c r="E434" s="6">
        <v>0</v>
      </c>
      <c r="F434" s="6">
        <v>2</v>
      </c>
      <c r="G434" s="6">
        <v>3</v>
      </c>
      <c r="H434" s="18">
        <v>5</v>
      </c>
    </row>
    <row r="435" spans="1:8" ht="15" thickBot="1" x14ac:dyDescent="0.35">
      <c r="A435" s="17">
        <v>433</v>
      </c>
      <c r="B435" s="6">
        <v>434</v>
      </c>
      <c r="C435" s="6">
        <v>0.2727</v>
      </c>
      <c r="D435" s="6">
        <v>0.56000000000000005</v>
      </c>
      <c r="E435" s="6">
        <v>0</v>
      </c>
      <c r="F435" s="6">
        <v>0</v>
      </c>
      <c r="G435" s="6">
        <v>2</v>
      </c>
      <c r="H435" s="18">
        <v>2</v>
      </c>
    </row>
    <row r="436" spans="1:8" ht="15" thickBot="1" x14ac:dyDescent="0.35">
      <c r="A436" s="17">
        <v>434</v>
      </c>
      <c r="B436" s="6">
        <v>435</v>
      </c>
      <c r="C436" s="6">
        <v>0.2576</v>
      </c>
      <c r="D436" s="6">
        <v>0.56000000000000005</v>
      </c>
      <c r="E436" s="6">
        <v>0.16420000000000001</v>
      </c>
      <c r="F436" s="6">
        <v>0</v>
      </c>
      <c r="G436" s="6">
        <v>1</v>
      </c>
      <c r="H436" s="18">
        <v>1</v>
      </c>
    </row>
    <row r="437" spans="1:8" ht="15" thickBot="1" x14ac:dyDescent="0.35">
      <c r="A437" s="17">
        <v>435</v>
      </c>
      <c r="B437" s="6">
        <v>436</v>
      </c>
      <c r="C437" s="6">
        <v>0.2576</v>
      </c>
      <c r="D437" s="6">
        <v>0.56000000000000005</v>
      </c>
      <c r="E437" s="6">
        <v>0.16420000000000001</v>
      </c>
      <c r="F437" s="6">
        <v>0</v>
      </c>
      <c r="G437" s="6">
        <v>1</v>
      </c>
      <c r="H437" s="18">
        <v>1</v>
      </c>
    </row>
    <row r="438" spans="1:8" ht="15" thickBot="1" x14ac:dyDescent="0.35">
      <c r="A438" s="17">
        <v>436</v>
      </c>
      <c r="B438" s="6">
        <v>437</v>
      </c>
      <c r="C438" s="6">
        <v>0.2273</v>
      </c>
      <c r="D438" s="6">
        <v>0.6</v>
      </c>
      <c r="E438" s="6">
        <v>0.22389999999999999</v>
      </c>
      <c r="F438" s="6">
        <v>0</v>
      </c>
      <c r="G438" s="6">
        <v>6</v>
      </c>
      <c r="H438" s="18">
        <v>6</v>
      </c>
    </row>
    <row r="439" spans="1:8" ht="15" thickBot="1" x14ac:dyDescent="0.35">
      <c r="A439" s="17">
        <v>437</v>
      </c>
      <c r="B439" s="6">
        <v>438</v>
      </c>
      <c r="C439" s="6">
        <v>0.21210000000000001</v>
      </c>
      <c r="D439" s="6">
        <v>0.6</v>
      </c>
      <c r="E439" s="6">
        <v>0.22389999999999999</v>
      </c>
      <c r="F439" s="6">
        <v>0</v>
      </c>
      <c r="G439" s="6">
        <v>35</v>
      </c>
      <c r="H439" s="18">
        <v>35</v>
      </c>
    </row>
    <row r="440" spans="1:8" ht="15" thickBot="1" x14ac:dyDescent="0.35">
      <c r="A440" s="17">
        <v>438</v>
      </c>
      <c r="B440" s="6">
        <v>439</v>
      </c>
      <c r="C440" s="6">
        <v>0.21210000000000001</v>
      </c>
      <c r="D440" s="6">
        <v>0.55000000000000004</v>
      </c>
      <c r="E440" s="6">
        <v>0.22389999999999999</v>
      </c>
      <c r="F440" s="6">
        <v>1</v>
      </c>
      <c r="G440" s="6">
        <v>100</v>
      </c>
      <c r="H440" s="18">
        <v>101</v>
      </c>
    </row>
    <row r="441" spans="1:8" ht="15" thickBot="1" x14ac:dyDescent="0.35">
      <c r="A441" s="17">
        <v>439</v>
      </c>
      <c r="B441" s="6">
        <v>440</v>
      </c>
      <c r="C441" s="6">
        <v>0.21210000000000001</v>
      </c>
      <c r="D441" s="6">
        <v>0.55000000000000004</v>
      </c>
      <c r="E441" s="6">
        <v>0.28360000000000002</v>
      </c>
      <c r="F441" s="6">
        <v>2</v>
      </c>
      <c r="G441" s="6">
        <v>247</v>
      </c>
      <c r="H441" s="18">
        <v>249</v>
      </c>
    </row>
    <row r="442" spans="1:8" ht="15" thickBot="1" x14ac:dyDescent="0.35">
      <c r="A442" s="17">
        <v>440</v>
      </c>
      <c r="B442" s="6">
        <v>441</v>
      </c>
      <c r="C442" s="6">
        <v>0.2273</v>
      </c>
      <c r="D442" s="6">
        <v>0.52</v>
      </c>
      <c r="E442" s="6">
        <v>0.22389999999999999</v>
      </c>
      <c r="F442" s="6">
        <v>3</v>
      </c>
      <c r="G442" s="6">
        <v>140</v>
      </c>
      <c r="H442" s="18">
        <v>143</v>
      </c>
    </row>
    <row r="443" spans="1:8" ht="15" thickBot="1" x14ac:dyDescent="0.35">
      <c r="A443" s="17">
        <v>441</v>
      </c>
      <c r="B443" s="6">
        <v>442</v>
      </c>
      <c r="C443" s="6">
        <v>0.2273</v>
      </c>
      <c r="D443" s="6">
        <v>0.48</v>
      </c>
      <c r="E443" s="6">
        <v>0.29849999999999999</v>
      </c>
      <c r="F443" s="6">
        <v>1</v>
      </c>
      <c r="G443" s="6">
        <v>56</v>
      </c>
      <c r="H443" s="18">
        <v>57</v>
      </c>
    </row>
    <row r="444" spans="1:8" ht="15" thickBot="1" x14ac:dyDescent="0.35">
      <c r="A444" s="17">
        <v>442</v>
      </c>
      <c r="B444" s="6">
        <v>443</v>
      </c>
      <c r="C444" s="6">
        <v>0.2727</v>
      </c>
      <c r="D444" s="6">
        <v>0.45</v>
      </c>
      <c r="E444" s="6">
        <v>0.16420000000000001</v>
      </c>
      <c r="F444" s="6">
        <v>5</v>
      </c>
      <c r="G444" s="6">
        <v>63</v>
      </c>
      <c r="H444" s="18">
        <v>68</v>
      </c>
    </row>
    <row r="445" spans="1:8" ht="15" thickBot="1" x14ac:dyDescent="0.35">
      <c r="A445" s="17">
        <v>443</v>
      </c>
      <c r="B445" s="6">
        <v>444</v>
      </c>
      <c r="C445" s="6">
        <v>0.33329999999999999</v>
      </c>
      <c r="D445" s="6">
        <v>0.42</v>
      </c>
      <c r="E445" s="6">
        <v>0</v>
      </c>
      <c r="F445" s="6">
        <v>7</v>
      </c>
      <c r="G445" s="6">
        <v>77</v>
      </c>
      <c r="H445" s="18">
        <v>84</v>
      </c>
    </row>
    <row r="446" spans="1:8" ht="15" thickBot="1" x14ac:dyDescent="0.35">
      <c r="A446" s="17">
        <v>444</v>
      </c>
      <c r="B446" s="6">
        <v>445</v>
      </c>
      <c r="C446" s="6">
        <v>0.28789999999999999</v>
      </c>
      <c r="D446" s="6">
        <v>0.45</v>
      </c>
      <c r="E446" s="6">
        <v>0.1045</v>
      </c>
      <c r="F446" s="6">
        <v>12</v>
      </c>
      <c r="G446" s="6">
        <v>86</v>
      </c>
      <c r="H446" s="18">
        <v>98</v>
      </c>
    </row>
    <row r="447" spans="1:8" ht="15" thickBot="1" x14ac:dyDescent="0.35">
      <c r="A447" s="17">
        <v>445</v>
      </c>
      <c r="B447" s="6">
        <v>446</v>
      </c>
      <c r="C447" s="6">
        <v>0.30299999999999999</v>
      </c>
      <c r="D447" s="6">
        <v>0.45</v>
      </c>
      <c r="E447" s="6">
        <v>0.1343</v>
      </c>
      <c r="F447" s="6">
        <v>6</v>
      </c>
      <c r="G447" s="6">
        <v>75</v>
      </c>
      <c r="H447" s="18">
        <v>81</v>
      </c>
    </row>
    <row r="448" spans="1:8" ht="15" thickBot="1" x14ac:dyDescent="0.35">
      <c r="A448" s="17">
        <v>446</v>
      </c>
      <c r="B448" s="6">
        <v>447</v>
      </c>
      <c r="C448" s="6">
        <v>0.31819999999999998</v>
      </c>
      <c r="D448" s="6">
        <v>0.45</v>
      </c>
      <c r="E448" s="6">
        <v>0.19400000000000001</v>
      </c>
      <c r="F448" s="6">
        <v>8</v>
      </c>
      <c r="G448" s="6">
        <v>62</v>
      </c>
      <c r="H448" s="18">
        <v>70</v>
      </c>
    </row>
    <row r="449" spans="1:8" ht="15" thickBot="1" x14ac:dyDescent="0.35">
      <c r="A449" s="17">
        <v>447</v>
      </c>
      <c r="B449" s="6">
        <v>448</v>
      </c>
      <c r="C449" s="6">
        <v>0.30299999999999999</v>
      </c>
      <c r="D449" s="6">
        <v>0.49</v>
      </c>
      <c r="E449" s="6">
        <v>0.1343</v>
      </c>
      <c r="F449" s="6">
        <v>8</v>
      </c>
      <c r="G449" s="6">
        <v>83</v>
      </c>
      <c r="H449" s="18">
        <v>91</v>
      </c>
    </row>
    <row r="450" spans="1:8" ht="15" thickBot="1" x14ac:dyDescent="0.35">
      <c r="A450" s="17">
        <v>448</v>
      </c>
      <c r="B450" s="6">
        <v>449</v>
      </c>
      <c r="C450" s="6">
        <v>0.31819999999999998</v>
      </c>
      <c r="D450" s="6">
        <v>0.49</v>
      </c>
      <c r="E450" s="6">
        <v>0.1045</v>
      </c>
      <c r="F450" s="6">
        <v>8</v>
      </c>
      <c r="G450" s="6">
        <v>207</v>
      </c>
      <c r="H450" s="18">
        <v>215</v>
      </c>
    </row>
    <row r="451" spans="1:8" ht="15" thickBot="1" x14ac:dyDescent="0.35">
      <c r="A451" s="17">
        <v>449</v>
      </c>
      <c r="B451" s="6">
        <v>450</v>
      </c>
      <c r="C451" s="6">
        <v>0.2576</v>
      </c>
      <c r="D451" s="6">
        <v>0.56000000000000005</v>
      </c>
      <c r="E451" s="6">
        <v>0.19400000000000001</v>
      </c>
      <c r="F451" s="6">
        <v>1</v>
      </c>
      <c r="G451" s="6">
        <v>184</v>
      </c>
      <c r="H451" s="18">
        <v>185</v>
      </c>
    </row>
    <row r="452" spans="1:8" ht="15" thickBot="1" x14ac:dyDescent="0.35">
      <c r="A452" s="17">
        <v>450</v>
      </c>
      <c r="B452" s="6">
        <v>451</v>
      </c>
      <c r="C452" s="6">
        <v>0.2273</v>
      </c>
      <c r="D452" s="6">
        <v>0.56000000000000005</v>
      </c>
      <c r="E452" s="6">
        <v>0.32840000000000003</v>
      </c>
      <c r="F452" s="6">
        <v>6</v>
      </c>
      <c r="G452" s="6">
        <v>146</v>
      </c>
      <c r="H452" s="18">
        <v>152</v>
      </c>
    </row>
    <row r="453" spans="1:8" ht="15" thickBot="1" x14ac:dyDescent="0.35">
      <c r="A453" s="17">
        <v>451</v>
      </c>
      <c r="B453" s="6">
        <v>452</v>
      </c>
      <c r="C453" s="6">
        <v>0.2424</v>
      </c>
      <c r="D453" s="6">
        <v>0.6</v>
      </c>
      <c r="E453" s="6">
        <v>0.28360000000000002</v>
      </c>
      <c r="F453" s="6">
        <v>2</v>
      </c>
      <c r="G453" s="6">
        <v>124</v>
      </c>
      <c r="H453" s="18">
        <v>126</v>
      </c>
    </row>
    <row r="454" spans="1:8" ht="15" thickBot="1" x14ac:dyDescent="0.35">
      <c r="A454" s="17">
        <v>452</v>
      </c>
      <c r="B454" s="6">
        <v>453</v>
      </c>
      <c r="C454" s="6">
        <v>0.2273</v>
      </c>
      <c r="D454" s="6">
        <v>0.6</v>
      </c>
      <c r="E454" s="6">
        <v>0.25369999999999998</v>
      </c>
      <c r="F454" s="6">
        <v>3</v>
      </c>
      <c r="G454" s="6">
        <v>54</v>
      </c>
      <c r="H454" s="18">
        <v>57</v>
      </c>
    </row>
    <row r="455" spans="1:8" ht="15" thickBot="1" x14ac:dyDescent="0.35">
      <c r="A455" s="17">
        <v>453</v>
      </c>
      <c r="B455" s="6">
        <v>454</v>
      </c>
      <c r="C455" s="6">
        <v>0.21210000000000001</v>
      </c>
      <c r="D455" s="6">
        <v>0.65</v>
      </c>
      <c r="E455" s="6">
        <v>0.28360000000000002</v>
      </c>
      <c r="F455" s="6">
        <v>0</v>
      </c>
      <c r="G455" s="6">
        <v>56</v>
      </c>
      <c r="H455" s="18">
        <v>56</v>
      </c>
    </row>
    <row r="456" spans="1:8" ht="15" thickBot="1" x14ac:dyDescent="0.35">
      <c r="A456" s="17">
        <v>454</v>
      </c>
      <c r="B456" s="6">
        <v>455</v>
      </c>
      <c r="C456" s="6">
        <v>0.21210000000000001</v>
      </c>
      <c r="D456" s="6">
        <v>0.65</v>
      </c>
      <c r="E456" s="6">
        <v>0.32840000000000003</v>
      </c>
      <c r="F456" s="6">
        <v>3</v>
      </c>
      <c r="G456" s="6">
        <v>28</v>
      </c>
      <c r="H456" s="18">
        <v>31</v>
      </c>
    </row>
    <row r="457" spans="1:8" ht="15" thickBot="1" x14ac:dyDescent="0.35">
      <c r="A457" s="17">
        <v>455</v>
      </c>
      <c r="B457" s="6">
        <v>456</v>
      </c>
      <c r="C457" s="6">
        <v>0.2273</v>
      </c>
      <c r="D457" s="6">
        <v>0.7</v>
      </c>
      <c r="E457" s="6">
        <v>0.25369999999999998</v>
      </c>
      <c r="F457" s="6">
        <v>1</v>
      </c>
      <c r="G457" s="6">
        <v>20</v>
      </c>
      <c r="H457" s="18">
        <v>21</v>
      </c>
    </row>
    <row r="458" spans="1:8" ht="15" thickBot="1" x14ac:dyDescent="0.35">
      <c r="A458" s="17">
        <v>456</v>
      </c>
      <c r="B458" s="6">
        <v>457</v>
      </c>
      <c r="C458" s="6">
        <v>0.2273</v>
      </c>
      <c r="D458" s="6">
        <v>0.7</v>
      </c>
      <c r="E458" s="6">
        <v>0.25369999999999998</v>
      </c>
      <c r="F458" s="6">
        <v>0</v>
      </c>
      <c r="G458" s="6">
        <v>6</v>
      </c>
      <c r="H458" s="18">
        <v>6</v>
      </c>
    </row>
    <row r="459" spans="1:8" ht="15" thickBot="1" x14ac:dyDescent="0.35">
      <c r="A459" s="17">
        <v>457</v>
      </c>
      <c r="B459" s="6">
        <v>458</v>
      </c>
      <c r="C459" s="6">
        <v>0.2424</v>
      </c>
      <c r="D459" s="6">
        <v>0.75</v>
      </c>
      <c r="E459" s="6">
        <v>0.16420000000000001</v>
      </c>
      <c r="F459" s="6">
        <v>0</v>
      </c>
      <c r="G459" s="6">
        <v>2</v>
      </c>
      <c r="H459" s="18">
        <v>2</v>
      </c>
    </row>
    <row r="460" spans="1:8" ht="15" thickBot="1" x14ac:dyDescent="0.35">
      <c r="A460" s="17">
        <v>458</v>
      </c>
      <c r="B460" s="6">
        <v>459</v>
      </c>
      <c r="C460" s="6">
        <v>0.21210000000000001</v>
      </c>
      <c r="D460" s="6">
        <v>0.8</v>
      </c>
      <c r="E460" s="6">
        <v>0.29849999999999999</v>
      </c>
      <c r="F460" s="6">
        <v>0</v>
      </c>
      <c r="G460" s="6">
        <v>1</v>
      </c>
      <c r="H460" s="18">
        <v>1</v>
      </c>
    </row>
    <row r="461" spans="1:8" ht="15" thickBot="1" x14ac:dyDescent="0.35">
      <c r="A461" s="17">
        <v>459</v>
      </c>
      <c r="B461" s="6">
        <v>460</v>
      </c>
      <c r="C461" s="6">
        <v>0.2576</v>
      </c>
      <c r="D461" s="6">
        <v>0.87</v>
      </c>
      <c r="E461" s="6">
        <v>8.9599999999999999E-2</v>
      </c>
      <c r="F461" s="6">
        <v>0</v>
      </c>
      <c r="G461" s="6">
        <v>1</v>
      </c>
      <c r="H461" s="18">
        <v>1</v>
      </c>
    </row>
    <row r="462" spans="1:8" ht="15" thickBot="1" x14ac:dyDescent="0.35">
      <c r="A462" s="17">
        <v>460</v>
      </c>
      <c r="B462" s="6">
        <v>461</v>
      </c>
      <c r="C462" s="6">
        <v>0.19700000000000001</v>
      </c>
      <c r="D462" s="6">
        <v>0.6</v>
      </c>
      <c r="E462" s="6">
        <v>0.41789999999999999</v>
      </c>
      <c r="F462" s="6">
        <v>1</v>
      </c>
      <c r="G462" s="6">
        <v>4</v>
      </c>
      <c r="H462" s="18">
        <v>5</v>
      </c>
    </row>
    <row r="463" spans="1:8" ht="15" thickBot="1" x14ac:dyDescent="0.35">
      <c r="A463" s="17">
        <v>461</v>
      </c>
      <c r="B463" s="6">
        <v>462</v>
      </c>
      <c r="C463" s="6">
        <v>0.21210000000000001</v>
      </c>
      <c r="D463" s="6">
        <v>0.55000000000000004</v>
      </c>
      <c r="E463" s="6">
        <v>0.25369999999999998</v>
      </c>
      <c r="F463" s="6">
        <v>0</v>
      </c>
      <c r="G463" s="6">
        <v>27</v>
      </c>
      <c r="H463" s="18">
        <v>27</v>
      </c>
    </row>
    <row r="464" spans="1:8" ht="15" thickBot="1" x14ac:dyDescent="0.35">
      <c r="A464" s="17">
        <v>462</v>
      </c>
      <c r="B464" s="6">
        <v>463</v>
      </c>
      <c r="C464" s="6">
        <v>0.18179999999999999</v>
      </c>
      <c r="D464" s="6">
        <v>0.51</v>
      </c>
      <c r="E464" s="6">
        <v>0.28360000000000002</v>
      </c>
      <c r="F464" s="6">
        <v>2</v>
      </c>
      <c r="G464" s="6">
        <v>66</v>
      </c>
      <c r="H464" s="18">
        <v>68</v>
      </c>
    </row>
    <row r="465" spans="1:8" ht="15" thickBot="1" x14ac:dyDescent="0.35">
      <c r="A465" s="17">
        <v>463</v>
      </c>
      <c r="B465" s="6">
        <v>464</v>
      </c>
      <c r="C465" s="6">
        <v>0.18179999999999999</v>
      </c>
      <c r="D465" s="6">
        <v>0.47</v>
      </c>
      <c r="E465" s="6">
        <v>0.32840000000000003</v>
      </c>
      <c r="F465" s="6">
        <v>7</v>
      </c>
      <c r="G465" s="6">
        <v>210</v>
      </c>
      <c r="H465" s="18">
        <v>217</v>
      </c>
    </row>
    <row r="466" spans="1:8" ht="15" thickBot="1" x14ac:dyDescent="0.35">
      <c r="A466" s="17">
        <v>464</v>
      </c>
      <c r="B466" s="6">
        <v>465</v>
      </c>
      <c r="C466" s="6">
        <v>0.18179999999999999</v>
      </c>
      <c r="D466" s="6">
        <v>0.51</v>
      </c>
      <c r="E466" s="6">
        <v>0.35820000000000002</v>
      </c>
      <c r="F466" s="6">
        <v>7</v>
      </c>
      <c r="G466" s="6">
        <v>159</v>
      </c>
      <c r="H466" s="18">
        <v>166</v>
      </c>
    </row>
    <row r="467" spans="1:8" ht="15" thickBot="1" x14ac:dyDescent="0.35">
      <c r="A467" s="17">
        <v>465</v>
      </c>
      <c r="B467" s="6">
        <v>466</v>
      </c>
      <c r="C467" s="6">
        <v>0.16669999999999999</v>
      </c>
      <c r="D467" s="6">
        <v>0.47</v>
      </c>
      <c r="E467" s="6">
        <v>0.4627</v>
      </c>
      <c r="F467" s="6">
        <v>6</v>
      </c>
      <c r="G467" s="6">
        <v>57</v>
      </c>
      <c r="H467" s="18">
        <v>63</v>
      </c>
    </row>
    <row r="468" spans="1:8" ht="15" thickBot="1" x14ac:dyDescent="0.35">
      <c r="A468" s="17">
        <v>466</v>
      </c>
      <c r="B468" s="6">
        <v>467</v>
      </c>
      <c r="C468" s="6">
        <v>0.18179999999999999</v>
      </c>
      <c r="D468" s="6">
        <v>0.41</v>
      </c>
      <c r="E468" s="6">
        <v>0.4627</v>
      </c>
      <c r="F468" s="6">
        <v>6</v>
      </c>
      <c r="G468" s="6">
        <v>53</v>
      </c>
      <c r="H468" s="18">
        <v>59</v>
      </c>
    </row>
    <row r="469" spans="1:8" ht="15" thickBot="1" x14ac:dyDescent="0.35">
      <c r="A469" s="17">
        <v>467</v>
      </c>
      <c r="B469" s="6">
        <v>468</v>
      </c>
      <c r="C469" s="6">
        <v>0.18179999999999999</v>
      </c>
      <c r="D469" s="6">
        <v>0.27</v>
      </c>
      <c r="E469" s="6">
        <v>0.58209999999999995</v>
      </c>
      <c r="F469" s="6">
        <v>11</v>
      </c>
      <c r="G469" s="6">
        <v>67</v>
      </c>
      <c r="H469" s="18">
        <v>78</v>
      </c>
    </row>
    <row r="470" spans="1:8" ht="15" thickBot="1" x14ac:dyDescent="0.35">
      <c r="A470" s="17">
        <v>468</v>
      </c>
      <c r="B470" s="6">
        <v>469</v>
      </c>
      <c r="C470" s="6">
        <v>0.1515</v>
      </c>
      <c r="D470" s="6">
        <v>0.21</v>
      </c>
      <c r="E470" s="6">
        <v>0.58209999999999995</v>
      </c>
      <c r="F470" s="6">
        <v>8</v>
      </c>
      <c r="G470" s="6">
        <v>65</v>
      </c>
      <c r="H470" s="18">
        <v>73</v>
      </c>
    </row>
    <row r="471" spans="1:8" ht="15" thickBot="1" x14ac:dyDescent="0.35">
      <c r="A471" s="17">
        <v>469</v>
      </c>
      <c r="B471" s="6">
        <v>470</v>
      </c>
      <c r="C471" s="6">
        <v>0.1515</v>
      </c>
      <c r="D471" s="6">
        <v>0.25</v>
      </c>
      <c r="E471" s="6">
        <v>0.52239999999999998</v>
      </c>
      <c r="F471" s="6">
        <v>6</v>
      </c>
      <c r="G471" s="6">
        <v>56</v>
      </c>
      <c r="H471" s="18">
        <v>62</v>
      </c>
    </row>
    <row r="472" spans="1:8" ht="15" thickBot="1" x14ac:dyDescent="0.35">
      <c r="A472" s="17">
        <v>470</v>
      </c>
      <c r="B472" s="6">
        <v>471</v>
      </c>
      <c r="C472" s="6">
        <v>0.1212</v>
      </c>
      <c r="D472" s="6">
        <v>0.26</v>
      </c>
      <c r="E472" s="6">
        <v>0.44779999999999998</v>
      </c>
      <c r="F472" s="6">
        <v>4</v>
      </c>
      <c r="G472" s="6">
        <v>61</v>
      </c>
      <c r="H472" s="18">
        <v>65</v>
      </c>
    </row>
    <row r="473" spans="1:8" ht="15" thickBot="1" x14ac:dyDescent="0.35">
      <c r="A473" s="17">
        <v>471</v>
      </c>
      <c r="B473" s="6">
        <v>472</v>
      </c>
      <c r="C473" s="6">
        <v>0.13639999999999999</v>
      </c>
      <c r="D473" s="6">
        <v>0.26</v>
      </c>
      <c r="E473" s="6">
        <v>0.35820000000000002</v>
      </c>
      <c r="F473" s="6">
        <v>0</v>
      </c>
      <c r="G473" s="6">
        <v>97</v>
      </c>
      <c r="H473" s="18">
        <v>97</v>
      </c>
    </row>
    <row r="474" spans="1:8" ht="15" thickBot="1" x14ac:dyDescent="0.35">
      <c r="A474" s="17">
        <v>472</v>
      </c>
      <c r="B474" s="6">
        <v>473</v>
      </c>
      <c r="C474" s="6">
        <v>0.1212</v>
      </c>
      <c r="D474" s="6">
        <v>0.28000000000000003</v>
      </c>
      <c r="E474" s="6">
        <v>0.35820000000000002</v>
      </c>
      <c r="F474" s="6">
        <v>10</v>
      </c>
      <c r="G474" s="6">
        <v>151</v>
      </c>
      <c r="H474" s="18">
        <v>161</v>
      </c>
    </row>
    <row r="475" spans="1:8" ht="15" thickBot="1" x14ac:dyDescent="0.35">
      <c r="A475" s="17">
        <v>473</v>
      </c>
      <c r="B475" s="6">
        <v>474</v>
      </c>
      <c r="C475" s="6">
        <v>0.1212</v>
      </c>
      <c r="D475" s="6">
        <v>0.3</v>
      </c>
      <c r="E475" s="6">
        <v>0.25369999999999998</v>
      </c>
      <c r="F475" s="6">
        <v>1</v>
      </c>
      <c r="G475" s="6">
        <v>119</v>
      </c>
      <c r="H475" s="18">
        <v>120</v>
      </c>
    </row>
    <row r="476" spans="1:8" ht="15" thickBot="1" x14ac:dyDescent="0.35">
      <c r="A476" s="17">
        <v>474</v>
      </c>
      <c r="B476" s="6">
        <v>475</v>
      </c>
      <c r="C476" s="6">
        <v>0.1061</v>
      </c>
      <c r="D476" s="6">
        <v>0.3</v>
      </c>
      <c r="E476" s="6">
        <v>0.32840000000000003</v>
      </c>
      <c r="F476" s="6">
        <v>3</v>
      </c>
      <c r="G476" s="6">
        <v>93</v>
      </c>
      <c r="H476" s="18">
        <v>96</v>
      </c>
    </row>
    <row r="477" spans="1:8" ht="15" thickBot="1" x14ac:dyDescent="0.35">
      <c r="A477" s="17">
        <v>475</v>
      </c>
      <c r="B477" s="6">
        <v>476</v>
      </c>
      <c r="C477" s="6">
        <v>7.5800000000000006E-2</v>
      </c>
      <c r="D477" s="6">
        <v>0.33</v>
      </c>
      <c r="E477" s="6">
        <v>0.41789999999999999</v>
      </c>
      <c r="F477" s="6">
        <v>1</v>
      </c>
      <c r="G477" s="6">
        <v>52</v>
      </c>
      <c r="H477" s="18">
        <v>53</v>
      </c>
    </row>
    <row r="478" spans="1:8" ht="15" thickBot="1" x14ac:dyDescent="0.35">
      <c r="A478" s="17">
        <v>476</v>
      </c>
      <c r="B478" s="6">
        <v>477</v>
      </c>
      <c r="C478" s="6">
        <v>7.5800000000000006E-2</v>
      </c>
      <c r="D478" s="6">
        <v>0.38</v>
      </c>
      <c r="E478" s="6">
        <v>0.28360000000000002</v>
      </c>
      <c r="F478" s="6">
        <v>0</v>
      </c>
      <c r="G478" s="6">
        <v>41</v>
      </c>
      <c r="H478" s="18">
        <v>41</v>
      </c>
    </row>
    <row r="479" spans="1:8" ht="15" thickBot="1" x14ac:dyDescent="0.35">
      <c r="A479" s="17">
        <v>477</v>
      </c>
      <c r="B479" s="6">
        <v>478</v>
      </c>
      <c r="C479" s="6">
        <v>3.0300000000000001E-2</v>
      </c>
      <c r="D479" s="6">
        <v>0.41</v>
      </c>
      <c r="E479" s="6">
        <v>0.3881</v>
      </c>
      <c r="F479" s="6">
        <v>1</v>
      </c>
      <c r="G479" s="6">
        <v>33</v>
      </c>
      <c r="H479" s="18">
        <v>34</v>
      </c>
    </row>
    <row r="480" spans="1:8" ht="15" thickBot="1" x14ac:dyDescent="0.35">
      <c r="A480" s="17">
        <v>478</v>
      </c>
      <c r="B480" s="6">
        <v>479</v>
      </c>
      <c r="C480" s="6">
        <v>4.5499999999999999E-2</v>
      </c>
      <c r="D480" s="6">
        <v>0.38</v>
      </c>
      <c r="E480" s="6">
        <v>0.32840000000000003</v>
      </c>
      <c r="F480" s="6">
        <v>0</v>
      </c>
      <c r="G480" s="6">
        <v>27</v>
      </c>
      <c r="H480" s="18">
        <v>27</v>
      </c>
    </row>
    <row r="481" spans="1:8" ht="15" thickBot="1" x14ac:dyDescent="0.35">
      <c r="A481" s="17">
        <v>479</v>
      </c>
      <c r="B481" s="6">
        <v>480</v>
      </c>
      <c r="C481" s="6">
        <v>3.0300000000000001E-2</v>
      </c>
      <c r="D481" s="6">
        <v>0.45</v>
      </c>
      <c r="E481" s="6">
        <v>0.25369999999999998</v>
      </c>
      <c r="F481" s="6">
        <v>0</v>
      </c>
      <c r="G481" s="6">
        <v>13</v>
      </c>
      <c r="H481" s="18">
        <v>13</v>
      </c>
    </row>
    <row r="482" spans="1:8" ht="15" thickBot="1" x14ac:dyDescent="0.35">
      <c r="A482" s="17">
        <v>480</v>
      </c>
      <c r="B482" s="6">
        <v>481</v>
      </c>
      <c r="C482" s="6">
        <v>0</v>
      </c>
      <c r="D482" s="6">
        <v>0.41</v>
      </c>
      <c r="E482" s="6">
        <v>0.3881</v>
      </c>
      <c r="F482" s="6">
        <v>3</v>
      </c>
      <c r="G482" s="6">
        <v>9</v>
      </c>
      <c r="H482" s="18">
        <v>12</v>
      </c>
    </row>
    <row r="483" spans="1:8" ht="15" thickBot="1" x14ac:dyDescent="0.35">
      <c r="A483" s="17">
        <v>481</v>
      </c>
      <c r="B483" s="6">
        <v>482</v>
      </c>
      <c r="C483" s="6">
        <v>3.0300000000000001E-2</v>
      </c>
      <c r="D483" s="6">
        <v>0.41</v>
      </c>
      <c r="E483" s="6">
        <v>0.25369999999999998</v>
      </c>
      <c r="F483" s="6">
        <v>0</v>
      </c>
      <c r="G483" s="6">
        <v>11</v>
      </c>
      <c r="H483" s="18">
        <v>11</v>
      </c>
    </row>
    <row r="484" spans="1:8" ht="15" thickBot="1" x14ac:dyDescent="0.35">
      <c r="A484" s="17">
        <v>482</v>
      </c>
      <c r="B484" s="6">
        <v>483</v>
      </c>
      <c r="C484" s="6">
        <v>3.0300000000000001E-2</v>
      </c>
      <c r="D484" s="6">
        <v>0.41</v>
      </c>
      <c r="E484" s="6">
        <v>0.28360000000000002</v>
      </c>
      <c r="F484" s="6">
        <v>1</v>
      </c>
      <c r="G484" s="6">
        <v>6</v>
      </c>
      <c r="H484" s="18">
        <v>7</v>
      </c>
    </row>
    <row r="485" spans="1:8" ht="15" thickBot="1" x14ac:dyDescent="0.35">
      <c r="A485" s="17">
        <v>483</v>
      </c>
      <c r="B485" s="6">
        <v>484</v>
      </c>
      <c r="C485" s="6">
        <v>1.52E-2</v>
      </c>
      <c r="D485" s="6">
        <v>0.48</v>
      </c>
      <c r="E485" s="6">
        <v>0.29849999999999999</v>
      </c>
      <c r="F485" s="6">
        <v>0</v>
      </c>
      <c r="G485" s="6">
        <v>3</v>
      </c>
      <c r="H485" s="18">
        <v>3</v>
      </c>
    </row>
    <row r="486" spans="1:8" ht="15" thickBot="1" x14ac:dyDescent="0.35">
      <c r="A486" s="17">
        <v>484</v>
      </c>
      <c r="B486" s="6">
        <v>485</v>
      </c>
      <c r="C486" s="6">
        <v>3.0300000000000001E-2</v>
      </c>
      <c r="D486" s="6">
        <v>0.44</v>
      </c>
      <c r="E486" s="6">
        <v>0.22389999999999999</v>
      </c>
      <c r="F486" s="6">
        <v>0</v>
      </c>
      <c r="G486" s="6">
        <v>2</v>
      </c>
      <c r="H486" s="18">
        <v>2</v>
      </c>
    </row>
    <row r="487" spans="1:8" ht="15" thickBot="1" x14ac:dyDescent="0.35">
      <c r="A487" s="17">
        <v>485</v>
      </c>
      <c r="B487" s="6">
        <v>486</v>
      </c>
      <c r="C487" s="6">
        <v>1.52E-2</v>
      </c>
      <c r="D487" s="6">
        <v>0.44</v>
      </c>
      <c r="E487" s="6">
        <v>0.28360000000000002</v>
      </c>
      <c r="F487" s="6">
        <v>0</v>
      </c>
      <c r="G487" s="6">
        <v>8</v>
      </c>
      <c r="H487" s="18">
        <v>8</v>
      </c>
    </row>
    <row r="488" spans="1:8" ht="15" thickBot="1" x14ac:dyDescent="0.35">
      <c r="A488" s="17">
        <v>486</v>
      </c>
      <c r="B488" s="6">
        <v>487</v>
      </c>
      <c r="C488" s="6">
        <v>0</v>
      </c>
      <c r="D488" s="6">
        <v>0.44</v>
      </c>
      <c r="E488" s="6">
        <v>0.32840000000000003</v>
      </c>
      <c r="F488" s="6">
        <v>1</v>
      </c>
      <c r="G488" s="6">
        <v>26</v>
      </c>
      <c r="H488" s="18">
        <v>27</v>
      </c>
    </row>
    <row r="489" spans="1:8" ht="15" thickBot="1" x14ac:dyDescent="0.35">
      <c r="A489" s="17">
        <v>487</v>
      </c>
      <c r="B489" s="6">
        <v>488</v>
      </c>
      <c r="C489" s="6">
        <v>3.0300000000000001E-2</v>
      </c>
      <c r="D489" s="6">
        <v>0.41</v>
      </c>
      <c r="E489" s="6">
        <v>0.25369999999999998</v>
      </c>
      <c r="F489" s="6">
        <v>3</v>
      </c>
      <c r="G489" s="6">
        <v>37</v>
      </c>
      <c r="H489" s="18">
        <v>40</v>
      </c>
    </row>
    <row r="490" spans="1:8" ht="15" thickBot="1" x14ac:dyDescent="0.35">
      <c r="A490" s="17">
        <v>488</v>
      </c>
      <c r="B490" s="6">
        <v>489</v>
      </c>
      <c r="C490" s="6">
        <v>6.0600000000000001E-2</v>
      </c>
      <c r="D490" s="6">
        <v>0.41</v>
      </c>
      <c r="E490" s="6">
        <v>0.16420000000000001</v>
      </c>
      <c r="F490" s="6">
        <v>3</v>
      </c>
      <c r="G490" s="6">
        <v>50</v>
      </c>
      <c r="H490" s="18">
        <v>53</v>
      </c>
    </row>
    <row r="491" spans="1:8" ht="15" thickBot="1" x14ac:dyDescent="0.35">
      <c r="A491" s="17">
        <v>489</v>
      </c>
      <c r="B491" s="6">
        <v>490</v>
      </c>
      <c r="C491" s="6">
        <v>7.5800000000000006E-2</v>
      </c>
      <c r="D491" s="6">
        <v>0.38</v>
      </c>
      <c r="E491" s="6">
        <v>0.1343</v>
      </c>
      <c r="F491" s="6">
        <v>4</v>
      </c>
      <c r="G491" s="6">
        <v>59</v>
      </c>
      <c r="H491" s="18">
        <v>63</v>
      </c>
    </row>
    <row r="492" spans="1:8" ht="15" thickBot="1" x14ac:dyDescent="0.35">
      <c r="A492" s="17">
        <v>490</v>
      </c>
      <c r="B492" s="6">
        <v>491</v>
      </c>
      <c r="C492" s="6">
        <v>0.1061</v>
      </c>
      <c r="D492" s="6">
        <v>0.38</v>
      </c>
      <c r="E492" s="6">
        <v>0.1045</v>
      </c>
      <c r="F492" s="6">
        <v>10</v>
      </c>
      <c r="G492" s="6">
        <v>60</v>
      </c>
      <c r="H492" s="18">
        <v>70</v>
      </c>
    </row>
    <row r="493" spans="1:8" ht="15" thickBot="1" x14ac:dyDescent="0.35">
      <c r="A493" s="17">
        <v>491</v>
      </c>
      <c r="B493" s="6">
        <v>492</v>
      </c>
      <c r="C493" s="6">
        <v>0.16669999999999999</v>
      </c>
      <c r="D493" s="6">
        <v>0.35</v>
      </c>
      <c r="E493" s="6">
        <v>0</v>
      </c>
      <c r="F493" s="6">
        <v>12</v>
      </c>
      <c r="G493" s="6">
        <v>72</v>
      </c>
      <c r="H493" s="18">
        <v>84</v>
      </c>
    </row>
    <row r="494" spans="1:8" ht="15" thickBot="1" x14ac:dyDescent="0.35">
      <c r="A494" s="17">
        <v>492</v>
      </c>
      <c r="B494" s="6">
        <v>493</v>
      </c>
      <c r="C494" s="6">
        <v>0.13639999999999999</v>
      </c>
      <c r="D494" s="6">
        <v>0.33</v>
      </c>
      <c r="E494" s="6">
        <v>0.1045</v>
      </c>
      <c r="F494" s="6">
        <v>11</v>
      </c>
      <c r="G494" s="6">
        <v>64</v>
      </c>
      <c r="H494" s="18">
        <v>75</v>
      </c>
    </row>
    <row r="495" spans="1:8" ht="15" thickBot="1" x14ac:dyDescent="0.35">
      <c r="A495" s="17">
        <v>493</v>
      </c>
      <c r="B495" s="6">
        <v>494</v>
      </c>
      <c r="C495" s="6">
        <v>0.1515</v>
      </c>
      <c r="D495" s="6">
        <v>0.28000000000000003</v>
      </c>
      <c r="E495" s="6">
        <v>0</v>
      </c>
      <c r="F495" s="6">
        <v>10</v>
      </c>
      <c r="G495" s="6">
        <v>93</v>
      </c>
      <c r="H495" s="18">
        <v>103</v>
      </c>
    </row>
    <row r="496" spans="1:8" ht="15" thickBot="1" x14ac:dyDescent="0.35">
      <c r="A496" s="17">
        <v>494</v>
      </c>
      <c r="B496" s="6">
        <v>495</v>
      </c>
      <c r="C496" s="6">
        <v>0.13639999999999999</v>
      </c>
      <c r="D496" s="6">
        <v>0.28000000000000003</v>
      </c>
      <c r="E496" s="6">
        <v>0.19400000000000001</v>
      </c>
      <c r="F496" s="6">
        <v>11</v>
      </c>
      <c r="G496" s="6">
        <v>72</v>
      </c>
      <c r="H496" s="18">
        <v>83</v>
      </c>
    </row>
    <row r="497" spans="1:8" ht="15" thickBot="1" x14ac:dyDescent="0.35">
      <c r="A497" s="17">
        <v>495</v>
      </c>
      <c r="B497" s="6">
        <v>496</v>
      </c>
      <c r="C497" s="6">
        <v>0.19700000000000001</v>
      </c>
      <c r="D497" s="6">
        <v>0.28000000000000003</v>
      </c>
      <c r="E497" s="6">
        <v>0</v>
      </c>
      <c r="F497" s="6">
        <v>8</v>
      </c>
      <c r="G497" s="6">
        <v>59</v>
      </c>
      <c r="H497" s="18">
        <v>67</v>
      </c>
    </row>
    <row r="498" spans="1:8" ht="15" thickBot="1" x14ac:dyDescent="0.35">
      <c r="A498" s="17">
        <v>496</v>
      </c>
      <c r="B498" s="6">
        <v>497</v>
      </c>
      <c r="C498" s="6">
        <v>9.0899999999999995E-2</v>
      </c>
      <c r="D498" s="6">
        <v>0.35</v>
      </c>
      <c r="E498" s="6">
        <v>0.19400000000000001</v>
      </c>
      <c r="F498" s="6">
        <v>0</v>
      </c>
      <c r="G498" s="6">
        <v>54</v>
      </c>
      <c r="H498" s="18">
        <v>54</v>
      </c>
    </row>
    <row r="499" spans="1:8" ht="15" thickBot="1" x14ac:dyDescent="0.35">
      <c r="A499" s="17">
        <v>497</v>
      </c>
      <c r="B499" s="6">
        <v>498</v>
      </c>
      <c r="C499" s="6">
        <v>0.1061</v>
      </c>
      <c r="D499" s="6">
        <v>0.35</v>
      </c>
      <c r="E499" s="6">
        <v>0.1343</v>
      </c>
      <c r="F499" s="6">
        <v>6</v>
      </c>
      <c r="G499" s="6">
        <v>53</v>
      </c>
      <c r="H499" s="18">
        <v>59</v>
      </c>
    </row>
    <row r="500" spans="1:8" ht="15" thickBot="1" x14ac:dyDescent="0.35">
      <c r="A500" s="17">
        <v>498</v>
      </c>
      <c r="B500" s="6">
        <v>499</v>
      </c>
      <c r="C500" s="6">
        <v>7.5800000000000006E-2</v>
      </c>
      <c r="D500" s="6">
        <v>0.45</v>
      </c>
      <c r="E500" s="6">
        <v>0.16420000000000001</v>
      </c>
      <c r="F500" s="6">
        <v>1</v>
      </c>
      <c r="G500" s="6">
        <v>44</v>
      </c>
      <c r="H500" s="18">
        <v>45</v>
      </c>
    </row>
    <row r="501" spans="1:8" ht="15" thickBot="1" x14ac:dyDescent="0.35">
      <c r="A501" s="17">
        <v>499</v>
      </c>
      <c r="B501" s="6">
        <v>500</v>
      </c>
      <c r="C501" s="6">
        <v>0.1061</v>
      </c>
      <c r="D501" s="6">
        <v>0.41</v>
      </c>
      <c r="E501" s="6">
        <v>8.9599999999999999E-2</v>
      </c>
      <c r="F501" s="6">
        <v>0</v>
      </c>
      <c r="G501" s="6">
        <v>39</v>
      </c>
      <c r="H501" s="18">
        <v>39</v>
      </c>
    </row>
    <row r="502" spans="1:8" ht="15" thickBot="1" x14ac:dyDescent="0.35">
      <c r="A502" s="17">
        <v>500</v>
      </c>
      <c r="B502" s="6">
        <v>501</v>
      </c>
      <c r="C502" s="6">
        <v>0.1515</v>
      </c>
      <c r="D502" s="6">
        <v>0.49</v>
      </c>
      <c r="E502" s="6">
        <v>0</v>
      </c>
      <c r="F502" s="6">
        <v>7</v>
      </c>
      <c r="G502" s="6">
        <v>23</v>
      </c>
      <c r="H502" s="18">
        <v>30</v>
      </c>
    </row>
    <row r="503" spans="1:8" ht="15" thickBot="1" x14ac:dyDescent="0.35">
      <c r="A503" s="17">
        <v>501</v>
      </c>
      <c r="B503" s="6">
        <v>502</v>
      </c>
      <c r="C503" s="6">
        <v>7.5800000000000006E-2</v>
      </c>
      <c r="D503" s="6">
        <v>0.56999999999999995</v>
      </c>
      <c r="E503" s="6">
        <v>0.1045</v>
      </c>
      <c r="F503" s="6">
        <v>2</v>
      </c>
      <c r="G503" s="6">
        <v>31</v>
      </c>
      <c r="H503" s="18">
        <v>33</v>
      </c>
    </row>
    <row r="504" spans="1:8" ht="15" thickBot="1" x14ac:dyDescent="0.35">
      <c r="A504" s="17">
        <v>502</v>
      </c>
      <c r="B504" s="6">
        <v>503</v>
      </c>
      <c r="C504" s="6">
        <v>7.5800000000000006E-2</v>
      </c>
      <c r="D504" s="6">
        <v>0.56999999999999995</v>
      </c>
      <c r="E504" s="6">
        <v>0.1045</v>
      </c>
      <c r="F504" s="6">
        <v>2</v>
      </c>
      <c r="G504" s="6">
        <v>20</v>
      </c>
      <c r="H504" s="18">
        <v>22</v>
      </c>
    </row>
    <row r="505" spans="1:8" ht="15" thickBot="1" x14ac:dyDescent="0.35">
      <c r="A505" s="17">
        <v>503</v>
      </c>
      <c r="B505" s="6">
        <v>504</v>
      </c>
      <c r="C505" s="6">
        <v>7.5800000000000006E-2</v>
      </c>
      <c r="D505" s="6">
        <v>0.56999999999999995</v>
      </c>
      <c r="E505" s="6">
        <v>0.1045</v>
      </c>
      <c r="F505" s="6">
        <v>1</v>
      </c>
      <c r="G505" s="6">
        <v>12</v>
      </c>
      <c r="H505" s="18">
        <v>13</v>
      </c>
    </row>
    <row r="506" spans="1:8" ht="15" thickBot="1" x14ac:dyDescent="0.35">
      <c r="A506" s="17">
        <v>504</v>
      </c>
      <c r="B506" s="6">
        <v>505</v>
      </c>
      <c r="C506" s="6">
        <v>6.0600000000000001E-2</v>
      </c>
      <c r="D506" s="6">
        <v>0.62</v>
      </c>
      <c r="E506" s="6">
        <v>0.1343</v>
      </c>
      <c r="F506" s="6">
        <v>3</v>
      </c>
      <c r="G506" s="6">
        <v>15</v>
      </c>
      <c r="H506" s="18">
        <v>18</v>
      </c>
    </row>
    <row r="507" spans="1:8" ht="15" thickBot="1" x14ac:dyDescent="0.35">
      <c r="A507" s="17">
        <v>505</v>
      </c>
      <c r="B507" s="6">
        <v>506</v>
      </c>
      <c r="C507" s="6">
        <v>6.0600000000000001E-2</v>
      </c>
      <c r="D507" s="6">
        <v>0.62</v>
      </c>
      <c r="E507" s="6">
        <v>0.1343</v>
      </c>
      <c r="F507" s="6">
        <v>1</v>
      </c>
      <c r="G507" s="6">
        <v>4</v>
      </c>
      <c r="H507" s="18">
        <v>5</v>
      </c>
    </row>
    <row r="508" spans="1:8" ht="15" thickBot="1" x14ac:dyDescent="0.35">
      <c r="A508" s="17">
        <v>506</v>
      </c>
      <c r="B508" s="6">
        <v>507</v>
      </c>
      <c r="C508" s="6">
        <v>7.5800000000000006E-2</v>
      </c>
      <c r="D508" s="6">
        <v>0.56999999999999995</v>
      </c>
      <c r="E508" s="6">
        <v>0.1045</v>
      </c>
      <c r="F508" s="6">
        <v>0</v>
      </c>
      <c r="G508" s="6">
        <v>3</v>
      </c>
      <c r="H508" s="18">
        <v>3</v>
      </c>
    </row>
    <row r="509" spans="1:8" ht="15" thickBot="1" x14ac:dyDescent="0.35">
      <c r="A509" s="17">
        <v>507</v>
      </c>
      <c r="B509" s="6">
        <v>508</v>
      </c>
      <c r="C509" s="6">
        <v>7.5800000000000006E-2</v>
      </c>
      <c r="D509" s="6">
        <v>0.56999999999999995</v>
      </c>
      <c r="E509" s="6">
        <v>0.1045</v>
      </c>
      <c r="F509" s="6">
        <v>0</v>
      </c>
      <c r="G509" s="6">
        <v>1</v>
      </c>
      <c r="H509" s="18">
        <v>1</v>
      </c>
    </row>
    <row r="510" spans="1:8" ht="15" thickBot="1" x14ac:dyDescent="0.35">
      <c r="A510" s="17">
        <v>508</v>
      </c>
      <c r="B510" s="6">
        <v>509</v>
      </c>
      <c r="C510" s="6">
        <v>0.1061</v>
      </c>
      <c r="D510" s="6">
        <v>0.57999999999999996</v>
      </c>
      <c r="E510" s="6">
        <v>0.16420000000000001</v>
      </c>
      <c r="F510" s="6">
        <v>1</v>
      </c>
      <c r="G510" s="6">
        <v>1</v>
      </c>
      <c r="H510" s="18">
        <v>2</v>
      </c>
    </row>
    <row r="511" spans="1:8" ht="15" thickBot="1" x14ac:dyDescent="0.35">
      <c r="A511" s="17">
        <v>509</v>
      </c>
      <c r="B511" s="6">
        <v>510</v>
      </c>
      <c r="C511" s="6">
        <v>7.5800000000000006E-2</v>
      </c>
      <c r="D511" s="6">
        <v>0.62</v>
      </c>
      <c r="E511" s="6">
        <v>0.16420000000000001</v>
      </c>
      <c r="F511" s="6">
        <v>2</v>
      </c>
      <c r="G511" s="6">
        <v>17</v>
      </c>
      <c r="H511" s="18">
        <v>19</v>
      </c>
    </row>
    <row r="512" spans="1:8" ht="15" thickBot="1" x14ac:dyDescent="0.35">
      <c r="A512" s="17">
        <v>510</v>
      </c>
      <c r="B512" s="6">
        <v>511</v>
      </c>
      <c r="C512" s="6">
        <v>7.5800000000000006E-2</v>
      </c>
      <c r="D512" s="6">
        <v>0.54</v>
      </c>
      <c r="E512" s="6">
        <v>0.35820000000000002</v>
      </c>
      <c r="F512" s="6">
        <v>3</v>
      </c>
      <c r="G512" s="6">
        <v>25</v>
      </c>
      <c r="H512" s="18">
        <v>28</v>
      </c>
    </row>
    <row r="513" spans="1:8" ht="15" thickBot="1" x14ac:dyDescent="0.35">
      <c r="A513" s="17">
        <v>511</v>
      </c>
      <c r="B513" s="6">
        <v>512</v>
      </c>
      <c r="C513" s="6">
        <v>0.1061</v>
      </c>
      <c r="D513" s="6">
        <v>0.46</v>
      </c>
      <c r="E513" s="6">
        <v>0.3881</v>
      </c>
      <c r="F513" s="6">
        <v>7</v>
      </c>
      <c r="G513" s="6">
        <v>51</v>
      </c>
      <c r="H513" s="18">
        <v>58</v>
      </c>
    </row>
    <row r="514" spans="1:8" ht="15" thickBot="1" x14ac:dyDescent="0.35">
      <c r="A514" s="17">
        <v>512</v>
      </c>
      <c r="B514" s="6">
        <v>513</v>
      </c>
      <c r="C514" s="6">
        <v>0.13639999999999999</v>
      </c>
      <c r="D514" s="6">
        <v>0.43</v>
      </c>
      <c r="E514" s="6">
        <v>0.22389999999999999</v>
      </c>
      <c r="F514" s="6">
        <v>22</v>
      </c>
      <c r="G514" s="6">
        <v>77</v>
      </c>
      <c r="H514" s="18">
        <v>99</v>
      </c>
    </row>
    <row r="515" spans="1:8" ht="15" thickBot="1" x14ac:dyDescent="0.35">
      <c r="A515" s="17">
        <v>513</v>
      </c>
      <c r="B515" s="6">
        <v>514</v>
      </c>
      <c r="C515" s="6">
        <v>0.1212</v>
      </c>
      <c r="D515" s="6">
        <v>0.37</v>
      </c>
      <c r="E515" s="6">
        <v>0.4627</v>
      </c>
      <c r="F515" s="6">
        <v>24</v>
      </c>
      <c r="G515" s="6">
        <v>92</v>
      </c>
      <c r="H515" s="18">
        <v>116</v>
      </c>
    </row>
    <row r="516" spans="1:8" ht="15" thickBot="1" x14ac:dyDescent="0.35">
      <c r="A516" s="17">
        <v>514</v>
      </c>
      <c r="B516" s="6">
        <v>515</v>
      </c>
      <c r="C516" s="6">
        <v>0.1061</v>
      </c>
      <c r="D516" s="6">
        <v>0.33</v>
      </c>
      <c r="E516" s="6">
        <v>0.3881</v>
      </c>
      <c r="F516" s="6">
        <v>12</v>
      </c>
      <c r="G516" s="6">
        <v>75</v>
      </c>
      <c r="H516" s="18">
        <v>87</v>
      </c>
    </row>
    <row r="517" spans="1:8" ht="15" thickBot="1" x14ac:dyDescent="0.35">
      <c r="A517" s="17">
        <v>515</v>
      </c>
      <c r="B517" s="6">
        <v>516</v>
      </c>
      <c r="C517" s="6">
        <v>0.13639999999999999</v>
      </c>
      <c r="D517" s="6">
        <v>0.28000000000000003</v>
      </c>
      <c r="E517" s="6">
        <v>0.35820000000000002</v>
      </c>
      <c r="F517" s="6">
        <v>17</v>
      </c>
      <c r="G517" s="6">
        <v>93</v>
      </c>
      <c r="H517" s="18">
        <v>110</v>
      </c>
    </row>
    <row r="518" spans="1:8" ht="15" thickBot="1" x14ac:dyDescent="0.35">
      <c r="A518" s="17">
        <v>516</v>
      </c>
      <c r="B518" s="6">
        <v>517</v>
      </c>
      <c r="C518" s="6">
        <v>0.13639999999999999</v>
      </c>
      <c r="D518" s="6">
        <v>0.28000000000000003</v>
      </c>
      <c r="E518" s="6">
        <v>0.35820000000000002</v>
      </c>
      <c r="F518" s="6">
        <v>13</v>
      </c>
      <c r="G518" s="6">
        <v>64</v>
      </c>
      <c r="H518" s="18">
        <v>77</v>
      </c>
    </row>
    <row r="519" spans="1:8" ht="15" thickBot="1" x14ac:dyDescent="0.35">
      <c r="A519" s="17">
        <v>517</v>
      </c>
      <c r="B519" s="6">
        <v>518</v>
      </c>
      <c r="C519" s="6">
        <v>0.13639999999999999</v>
      </c>
      <c r="D519" s="6">
        <v>0.26</v>
      </c>
      <c r="E519" s="6">
        <v>0.32840000000000003</v>
      </c>
      <c r="F519" s="6">
        <v>9</v>
      </c>
      <c r="G519" s="6">
        <v>56</v>
      </c>
      <c r="H519" s="18">
        <v>65</v>
      </c>
    </row>
    <row r="520" spans="1:8" ht="15" thickBot="1" x14ac:dyDescent="0.35">
      <c r="A520" s="17">
        <v>518</v>
      </c>
      <c r="B520" s="6">
        <v>519</v>
      </c>
      <c r="C520" s="6">
        <v>0.1061</v>
      </c>
      <c r="D520" s="6">
        <v>0.26</v>
      </c>
      <c r="E520" s="6">
        <v>0.3881</v>
      </c>
      <c r="F520" s="6">
        <v>5</v>
      </c>
      <c r="G520" s="6">
        <v>50</v>
      </c>
      <c r="H520" s="18">
        <v>55</v>
      </c>
    </row>
    <row r="521" spans="1:8" ht="15" thickBot="1" x14ac:dyDescent="0.35">
      <c r="A521" s="17">
        <v>519</v>
      </c>
      <c r="B521" s="6">
        <v>520</v>
      </c>
      <c r="C521" s="6">
        <v>0.1212</v>
      </c>
      <c r="D521" s="6">
        <v>0.3</v>
      </c>
      <c r="E521" s="6">
        <v>0.25369999999999998</v>
      </c>
      <c r="F521" s="6">
        <v>5</v>
      </c>
      <c r="G521" s="6">
        <v>44</v>
      </c>
      <c r="H521" s="18">
        <v>49</v>
      </c>
    </row>
    <row r="522" spans="1:8" ht="15" thickBot="1" x14ac:dyDescent="0.35">
      <c r="A522" s="17">
        <v>520</v>
      </c>
      <c r="B522" s="6">
        <v>521</v>
      </c>
      <c r="C522" s="6">
        <v>0.1212</v>
      </c>
      <c r="D522" s="6">
        <v>0.3</v>
      </c>
      <c r="E522" s="6">
        <v>0.28360000000000002</v>
      </c>
      <c r="F522" s="6">
        <v>5</v>
      </c>
      <c r="G522" s="6">
        <v>45</v>
      </c>
      <c r="H522" s="18">
        <v>50</v>
      </c>
    </row>
    <row r="523" spans="1:8" ht="15" thickBot="1" x14ac:dyDescent="0.35">
      <c r="A523" s="17">
        <v>521</v>
      </c>
      <c r="B523" s="6">
        <v>522</v>
      </c>
      <c r="C523" s="6">
        <v>0.1061</v>
      </c>
      <c r="D523" s="6">
        <v>0.36</v>
      </c>
      <c r="E523" s="6">
        <v>0.25369999999999998</v>
      </c>
      <c r="F523" s="6">
        <v>4</v>
      </c>
      <c r="G523" s="6">
        <v>31</v>
      </c>
      <c r="H523" s="18">
        <v>35</v>
      </c>
    </row>
    <row r="524" spans="1:8" ht="15" thickBot="1" x14ac:dyDescent="0.35">
      <c r="A524" s="17">
        <v>522</v>
      </c>
      <c r="B524" s="6">
        <v>523</v>
      </c>
      <c r="C524" s="6">
        <v>0.1061</v>
      </c>
      <c r="D524" s="6">
        <v>0.36</v>
      </c>
      <c r="E524" s="6">
        <v>0.19400000000000001</v>
      </c>
      <c r="F524" s="6">
        <v>5</v>
      </c>
      <c r="G524" s="6">
        <v>20</v>
      </c>
      <c r="H524" s="18">
        <v>25</v>
      </c>
    </row>
    <row r="525" spans="1:8" ht="15" thickBot="1" x14ac:dyDescent="0.35">
      <c r="A525" s="17">
        <v>523</v>
      </c>
      <c r="B525" s="6">
        <v>524</v>
      </c>
      <c r="C525" s="6">
        <v>9.0899999999999995E-2</v>
      </c>
      <c r="D525" s="6">
        <v>0.38</v>
      </c>
      <c r="E525" s="6">
        <v>0.19400000000000001</v>
      </c>
      <c r="F525" s="6">
        <v>5</v>
      </c>
      <c r="G525" s="6">
        <v>23</v>
      </c>
      <c r="H525" s="18">
        <v>28</v>
      </c>
    </row>
    <row r="526" spans="1:8" ht="15" thickBot="1" x14ac:dyDescent="0.35">
      <c r="A526" s="17">
        <v>524</v>
      </c>
      <c r="B526" s="6">
        <v>525</v>
      </c>
      <c r="C526" s="6">
        <v>6.0600000000000001E-2</v>
      </c>
      <c r="D526" s="6">
        <v>0.41</v>
      </c>
      <c r="E526" s="6">
        <v>0.22389999999999999</v>
      </c>
      <c r="F526" s="6">
        <v>4</v>
      </c>
      <c r="G526" s="6">
        <v>17</v>
      </c>
      <c r="H526" s="18">
        <v>21</v>
      </c>
    </row>
    <row r="527" spans="1:8" ht="15" thickBot="1" x14ac:dyDescent="0.35">
      <c r="A527" s="17">
        <v>525</v>
      </c>
      <c r="B527" s="6">
        <v>526</v>
      </c>
      <c r="C527" s="6">
        <v>6.0600000000000001E-2</v>
      </c>
      <c r="D527" s="6">
        <v>0.41</v>
      </c>
      <c r="E527" s="6">
        <v>0.19400000000000001</v>
      </c>
      <c r="F527" s="6">
        <v>0</v>
      </c>
      <c r="G527" s="6">
        <v>7</v>
      </c>
      <c r="H527" s="18">
        <v>7</v>
      </c>
    </row>
    <row r="528" spans="1:8" ht="15" thickBot="1" x14ac:dyDescent="0.35">
      <c r="A528" s="17">
        <v>526</v>
      </c>
      <c r="B528" s="6">
        <v>527</v>
      </c>
      <c r="C528" s="6">
        <v>4.5499999999999999E-2</v>
      </c>
      <c r="D528" s="6">
        <v>0.45</v>
      </c>
      <c r="E528" s="6">
        <v>0.19400000000000001</v>
      </c>
      <c r="F528" s="6">
        <v>0</v>
      </c>
      <c r="G528" s="6">
        <v>1</v>
      </c>
      <c r="H528" s="18">
        <v>1</v>
      </c>
    </row>
    <row r="529" spans="1:8" ht="15" thickBot="1" x14ac:dyDescent="0.35">
      <c r="A529" s="17">
        <v>527</v>
      </c>
      <c r="B529" s="6">
        <v>528</v>
      </c>
      <c r="C529" s="6">
        <v>3.0300000000000001E-2</v>
      </c>
      <c r="D529" s="6">
        <v>0.45</v>
      </c>
      <c r="E529" s="6">
        <v>0.25369999999999998</v>
      </c>
      <c r="F529" s="6">
        <v>0</v>
      </c>
      <c r="G529" s="6">
        <v>1</v>
      </c>
      <c r="H529" s="18">
        <v>1</v>
      </c>
    </row>
    <row r="530" spans="1:8" ht="15" thickBot="1" x14ac:dyDescent="0.35">
      <c r="A530" s="17">
        <v>528</v>
      </c>
      <c r="B530" s="6">
        <v>529</v>
      </c>
      <c r="C530" s="6">
        <v>6.0600000000000001E-2</v>
      </c>
      <c r="D530" s="6">
        <v>0.48</v>
      </c>
      <c r="E530" s="6">
        <v>0.1343</v>
      </c>
      <c r="F530" s="6">
        <v>0</v>
      </c>
      <c r="G530" s="6">
        <v>1</v>
      </c>
      <c r="H530" s="18">
        <v>1</v>
      </c>
    </row>
    <row r="531" spans="1:8" ht="15" thickBot="1" x14ac:dyDescent="0.35">
      <c r="A531" s="17">
        <v>529</v>
      </c>
      <c r="B531" s="6">
        <v>530</v>
      </c>
      <c r="C531" s="6">
        <v>6.0600000000000001E-2</v>
      </c>
      <c r="D531" s="6">
        <v>0.48</v>
      </c>
      <c r="E531" s="6">
        <v>0.1343</v>
      </c>
      <c r="F531" s="6">
        <v>0</v>
      </c>
      <c r="G531" s="6">
        <v>5</v>
      </c>
      <c r="H531" s="18">
        <v>5</v>
      </c>
    </row>
    <row r="532" spans="1:8" ht="15" thickBot="1" x14ac:dyDescent="0.35">
      <c r="A532" s="17">
        <v>530</v>
      </c>
      <c r="B532" s="6">
        <v>531</v>
      </c>
      <c r="C532" s="6">
        <v>7.5800000000000006E-2</v>
      </c>
      <c r="D532" s="6">
        <v>0.48</v>
      </c>
      <c r="E532" s="6">
        <v>8.9599999999999999E-2</v>
      </c>
      <c r="F532" s="6">
        <v>0</v>
      </c>
      <c r="G532" s="6">
        <v>15</v>
      </c>
      <c r="H532" s="18">
        <v>15</v>
      </c>
    </row>
    <row r="533" spans="1:8" ht="15" thickBot="1" x14ac:dyDescent="0.35">
      <c r="A533" s="17">
        <v>531</v>
      </c>
      <c r="B533" s="6">
        <v>532</v>
      </c>
      <c r="C533" s="6">
        <v>0.1212</v>
      </c>
      <c r="D533" s="6">
        <v>0.48</v>
      </c>
      <c r="E533" s="6">
        <v>0</v>
      </c>
      <c r="F533" s="6">
        <v>5</v>
      </c>
      <c r="G533" s="6">
        <v>79</v>
      </c>
      <c r="H533" s="18">
        <v>84</v>
      </c>
    </row>
    <row r="534" spans="1:8" ht="15" thickBot="1" x14ac:dyDescent="0.35">
      <c r="A534" s="17">
        <v>532</v>
      </c>
      <c r="B534" s="6">
        <v>533</v>
      </c>
      <c r="C534" s="6">
        <v>0.13639999999999999</v>
      </c>
      <c r="D534" s="6">
        <v>0.49</v>
      </c>
      <c r="E534" s="6">
        <v>0</v>
      </c>
      <c r="F534" s="6">
        <v>6</v>
      </c>
      <c r="G534" s="6">
        <v>171</v>
      </c>
      <c r="H534" s="18">
        <v>177</v>
      </c>
    </row>
    <row r="535" spans="1:8" ht="15" thickBot="1" x14ac:dyDescent="0.35">
      <c r="A535" s="17">
        <v>533</v>
      </c>
      <c r="B535" s="6">
        <v>534</v>
      </c>
      <c r="C535" s="6">
        <v>0.1515</v>
      </c>
      <c r="D535" s="6">
        <v>0.41</v>
      </c>
      <c r="E535" s="6">
        <v>0</v>
      </c>
      <c r="F535" s="6">
        <v>4</v>
      </c>
      <c r="G535" s="6">
        <v>98</v>
      </c>
      <c r="H535" s="18">
        <v>102</v>
      </c>
    </row>
    <row r="536" spans="1:8" ht="15" thickBot="1" x14ac:dyDescent="0.35">
      <c r="A536" s="17">
        <v>534</v>
      </c>
      <c r="B536" s="6">
        <v>535</v>
      </c>
      <c r="C536" s="6">
        <v>0.13639999999999999</v>
      </c>
      <c r="D536" s="6">
        <v>0.42</v>
      </c>
      <c r="E536" s="6">
        <v>0</v>
      </c>
      <c r="F536" s="6">
        <v>6</v>
      </c>
      <c r="G536" s="6">
        <v>34</v>
      </c>
      <c r="H536" s="18">
        <v>40</v>
      </c>
    </row>
    <row r="537" spans="1:8" ht="15" thickBot="1" x14ac:dyDescent="0.35">
      <c r="A537" s="17">
        <v>535</v>
      </c>
      <c r="B537" s="6">
        <v>536</v>
      </c>
      <c r="C537" s="6">
        <v>0.1212</v>
      </c>
      <c r="D537" s="6">
        <v>0.46</v>
      </c>
      <c r="E537" s="6">
        <v>0.1343</v>
      </c>
      <c r="F537" s="6">
        <v>3</v>
      </c>
      <c r="G537" s="6">
        <v>43</v>
      </c>
      <c r="H537" s="18">
        <v>46</v>
      </c>
    </row>
    <row r="538" spans="1:8" ht="15" thickBot="1" x14ac:dyDescent="0.35">
      <c r="A538" s="17">
        <v>536</v>
      </c>
      <c r="B538" s="6">
        <v>537</v>
      </c>
      <c r="C538" s="6">
        <v>0.13639999999999999</v>
      </c>
      <c r="D538" s="6">
        <v>0.42</v>
      </c>
      <c r="E538" s="6">
        <v>0.19400000000000001</v>
      </c>
      <c r="F538" s="6">
        <v>11</v>
      </c>
      <c r="G538" s="6">
        <v>52</v>
      </c>
      <c r="H538" s="18">
        <v>63</v>
      </c>
    </row>
    <row r="539" spans="1:8" ht="15" thickBot="1" x14ac:dyDescent="0.35">
      <c r="A539" s="17">
        <v>537</v>
      </c>
      <c r="B539" s="6">
        <v>538</v>
      </c>
      <c r="C539" s="6">
        <v>0.13639999999999999</v>
      </c>
      <c r="D539" s="6">
        <v>0.43</v>
      </c>
      <c r="E539" s="6">
        <v>0.22389999999999999</v>
      </c>
      <c r="F539" s="6">
        <v>6</v>
      </c>
      <c r="G539" s="6">
        <v>54</v>
      </c>
      <c r="H539" s="18">
        <v>60</v>
      </c>
    </row>
    <row r="540" spans="1:8" ht="15" thickBot="1" x14ac:dyDescent="0.35">
      <c r="A540" s="17">
        <v>538</v>
      </c>
      <c r="B540" s="6">
        <v>539</v>
      </c>
      <c r="C540" s="6">
        <v>0.13639999999999999</v>
      </c>
      <c r="D540" s="6">
        <v>0.46</v>
      </c>
      <c r="E540" s="6">
        <v>0.22389999999999999</v>
      </c>
      <c r="F540" s="6">
        <v>2</v>
      </c>
      <c r="G540" s="6">
        <v>43</v>
      </c>
      <c r="H540" s="18">
        <v>45</v>
      </c>
    </row>
    <row r="541" spans="1:8" ht="15" thickBot="1" x14ac:dyDescent="0.35">
      <c r="A541" s="17">
        <v>539</v>
      </c>
      <c r="B541" s="6">
        <v>540</v>
      </c>
      <c r="C541" s="6">
        <v>0.16669999999999999</v>
      </c>
      <c r="D541" s="6">
        <v>0.4</v>
      </c>
      <c r="E541" s="6">
        <v>0.16420000000000001</v>
      </c>
      <c r="F541" s="6">
        <v>7</v>
      </c>
      <c r="G541" s="6">
        <v>50</v>
      </c>
      <c r="H541" s="18">
        <v>57</v>
      </c>
    </row>
    <row r="542" spans="1:8" ht="15" thickBot="1" x14ac:dyDescent="0.35">
      <c r="A542" s="17">
        <v>540</v>
      </c>
      <c r="B542" s="6">
        <v>541</v>
      </c>
      <c r="C542" s="6">
        <v>0.1515</v>
      </c>
      <c r="D542" s="6">
        <v>0.47</v>
      </c>
      <c r="E542" s="6">
        <v>0.25369999999999998</v>
      </c>
      <c r="F542" s="6">
        <v>4</v>
      </c>
      <c r="G542" s="6">
        <v>66</v>
      </c>
      <c r="H542" s="18">
        <v>70</v>
      </c>
    </row>
    <row r="543" spans="1:8" ht="15" thickBot="1" x14ac:dyDescent="0.35">
      <c r="A543" s="17">
        <v>541</v>
      </c>
      <c r="B543" s="6">
        <v>542</v>
      </c>
      <c r="C543" s="6">
        <v>0.1212</v>
      </c>
      <c r="D543" s="6">
        <v>0.5</v>
      </c>
      <c r="E543" s="6">
        <v>0.25369999999999998</v>
      </c>
      <c r="F543" s="6">
        <v>6</v>
      </c>
      <c r="G543" s="6">
        <v>178</v>
      </c>
      <c r="H543" s="18">
        <v>184</v>
      </c>
    </row>
    <row r="544" spans="1:8" ht="15" thickBot="1" x14ac:dyDescent="0.35">
      <c r="A544" s="17">
        <v>542</v>
      </c>
      <c r="B544" s="6">
        <v>543</v>
      </c>
      <c r="C544" s="6">
        <v>0.13639999999999999</v>
      </c>
      <c r="D544" s="6">
        <v>0.59</v>
      </c>
      <c r="E544" s="6">
        <v>0.19400000000000001</v>
      </c>
      <c r="F544" s="6">
        <v>8</v>
      </c>
      <c r="G544" s="6">
        <v>145</v>
      </c>
      <c r="H544" s="18">
        <v>153</v>
      </c>
    </row>
    <row r="545" spans="1:8" ht="15" thickBot="1" x14ac:dyDescent="0.35">
      <c r="A545" s="17">
        <v>543</v>
      </c>
      <c r="B545" s="6">
        <v>544</v>
      </c>
      <c r="C545" s="6">
        <v>0.1515</v>
      </c>
      <c r="D545" s="6">
        <v>0.54</v>
      </c>
      <c r="E545" s="6">
        <v>0.16420000000000001</v>
      </c>
      <c r="F545" s="6">
        <v>5</v>
      </c>
      <c r="G545" s="6">
        <v>101</v>
      </c>
      <c r="H545" s="18">
        <v>106</v>
      </c>
    </row>
    <row r="546" spans="1:8" ht="15" thickBot="1" x14ac:dyDescent="0.35">
      <c r="A546" s="17">
        <v>544</v>
      </c>
      <c r="B546" s="6">
        <v>545</v>
      </c>
      <c r="C546" s="6">
        <v>0.13639999999999999</v>
      </c>
      <c r="D546" s="6">
        <v>0.59</v>
      </c>
      <c r="E546" s="6">
        <v>0.19400000000000001</v>
      </c>
      <c r="F546" s="6">
        <v>1</v>
      </c>
      <c r="G546" s="6">
        <v>80</v>
      </c>
      <c r="H546" s="18">
        <v>81</v>
      </c>
    </row>
    <row r="547" spans="1:8" ht="15" thickBot="1" x14ac:dyDescent="0.35">
      <c r="A547" s="17">
        <v>545</v>
      </c>
      <c r="B547" s="6">
        <v>546</v>
      </c>
      <c r="C547" s="6">
        <v>0.1515</v>
      </c>
      <c r="D547" s="6">
        <v>0.63</v>
      </c>
      <c r="E547" s="6">
        <v>0.16420000000000001</v>
      </c>
      <c r="F547" s="6">
        <v>6</v>
      </c>
      <c r="G547" s="6">
        <v>53</v>
      </c>
      <c r="H547" s="18">
        <v>59</v>
      </c>
    </row>
    <row r="548" spans="1:8" ht="15" thickBot="1" x14ac:dyDescent="0.35">
      <c r="A548" s="17">
        <v>546</v>
      </c>
      <c r="B548" s="6">
        <v>547</v>
      </c>
      <c r="C548" s="6">
        <v>0.13639999999999999</v>
      </c>
      <c r="D548" s="6">
        <v>0.63</v>
      </c>
      <c r="E548" s="6">
        <v>0.22389999999999999</v>
      </c>
      <c r="F548" s="6">
        <v>3</v>
      </c>
      <c r="G548" s="6">
        <v>32</v>
      </c>
      <c r="H548" s="18">
        <v>35</v>
      </c>
    </row>
    <row r="549" spans="1:8" ht="15" thickBot="1" x14ac:dyDescent="0.35">
      <c r="A549" s="17">
        <v>547</v>
      </c>
      <c r="B549" s="6">
        <v>548</v>
      </c>
      <c r="C549" s="6">
        <v>0.1515</v>
      </c>
      <c r="D549" s="6">
        <v>0.64</v>
      </c>
      <c r="E549" s="6">
        <v>0.25369999999999998</v>
      </c>
      <c r="F549" s="6">
        <v>3</v>
      </c>
      <c r="G549" s="6">
        <v>21</v>
      </c>
      <c r="H549" s="18">
        <v>24</v>
      </c>
    </row>
    <row r="550" spans="1:8" ht="15" thickBot="1" x14ac:dyDescent="0.35">
      <c r="A550" s="17">
        <v>548</v>
      </c>
      <c r="B550" s="6">
        <v>549</v>
      </c>
      <c r="C550" s="6">
        <v>0.13639999999999999</v>
      </c>
      <c r="D550" s="6">
        <v>0.69</v>
      </c>
      <c r="E550" s="6">
        <v>0.28360000000000002</v>
      </c>
      <c r="F550" s="6">
        <v>3</v>
      </c>
      <c r="G550" s="6">
        <v>6</v>
      </c>
      <c r="H550" s="18">
        <v>9</v>
      </c>
    </row>
    <row r="551" spans="1:8" ht="15" thickBot="1" x14ac:dyDescent="0.35">
      <c r="A551" s="17">
        <v>549</v>
      </c>
      <c r="B551" s="6">
        <v>550</v>
      </c>
      <c r="C551" s="6">
        <v>0.16669999999999999</v>
      </c>
      <c r="D551" s="6">
        <v>0.69</v>
      </c>
      <c r="E551" s="6">
        <v>0.16420000000000001</v>
      </c>
      <c r="F551" s="6">
        <v>0</v>
      </c>
      <c r="G551" s="6">
        <v>5</v>
      </c>
      <c r="H551" s="18">
        <v>5</v>
      </c>
    </row>
    <row r="552" spans="1:8" ht="15" thickBot="1" x14ac:dyDescent="0.35">
      <c r="A552" s="17">
        <v>550</v>
      </c>
      <c r="B552" s="6">
        <v>551</v>
      </c>
      <c r="C552" s="6">
        <v>0.1515</v>
      </c>
      <c r="D552" s="6">
        <v>0.69</v>
      </c>
      <c r="E552" s="6">
        <v>0.22389999999999999</v>
      </c>
      <c r="F552" s="6">
        <v>0</v>
      </c>
      <c r="G552" s="6">
        <v>2</v>
      </c>
      <c r="H552" s="18">
        <v>2</v>
      </c>
    </row>
    <row r="553" spans="1:8" ht="15" thickBot="1" x14ac:dyDescent="0.35">
      <c r="A553" s="17">
        <v>551</v>
      </c>
      <c r="B553" s="6">
        <v>552</v>
      </c>
      <c r="C553" s="6">
        <v>0.16669999999999999</v>
      </c>
      <c r="D553" s="6">
        <v>0.74</v>
      </c>
      <c r="E553" s="6">
        <v>0.1045</v>
      </c>
      <c r="F553" s="6">
        <v>0</v>
      </c>
      <c r="G553" s="6">
        <v>1</v>
      </c>
      <c r="H553" s="18">
        <v>1</v>
      </c>
    </row>
    <row r="554" spans="1:8" ht="15" thickBot="1" x14ac:dyDescent="0.35">
      <c r="A554" s="17">
        <v>552</v>
      </c>
      <c r="B554" s="6">
        <v>553</v>
      </c>
      <c r="C554" s="6">
        <v>0.13639999999999999</v>
      </c>
      <c r="D554" s="6">
        <v>0.74</v>
      </c>
      <c r="E554" s="6">
        <v>0.22389999999999999</v>
      </c>
      <c r="F554" s="6">
        <v>0</v>
      </c>
      <c r="G554" s="6">
        <v>9</v>
      </c>
      <c r="H554" s="18">
        <v>9</v>
      </c>
    </row>
    <row r="555" spans="1:8" ht="15" thickBot="1" x14ac:dyDescent="0.35">
      <c r="A555" s="17">
        <v>553</v>
      </c>
      <c r="B555" s="6">
        <v>554</v>
      </c>
      <c r="C555" s="6">
        <v>0.18179999999999999</v>
      </c>
      <c r="D555" s="6">
        <v>0.74</v>
      </c>
      <c r="E555" s="6">
        <v>0.1045</v>
      </c>
      <c r="F555" s="6">
        <v>1</v>
      </c>
      <c r="G555" s="6">
        <v>35</v>
      </c>
      <c r="H555" s="18">
        <v>36</v>
      </c>
    </row>
    <row r="556" spans="1:8" ht="15" thickBot="1" x14ac:dyDescent="0.35">
      <c r="A556" s="17">
        <v>554</v>
      </c>
      <c r="B556" s="6">
        <v>555</v>
      </c>
      <c r="C556" s="6">
        <v>0.1515</v>
      </c>
      <c r="D556" s="6">
        <v>0.74</v>
      </c>
      <c r="E556" s="6">
        <v>0.22389999999999999</v>
      </c>
      <c r="F556" s="6">
        <v>5</v>
      </c>
      <c r="G556" s="6">
        <v>103</v>
      </c>
      <c r="H556" s="18">
        <v>108</v>
      </c>
    </row>
    <row r="557" spans="1:8" ht="15" thickBot="1" x14ac:dyDescent="0.35">
      <c r="A557" s="17">
        <v>555</v>
      </c>
      <c r="B557" s="6">
        <v>556</v>
      </c>
      <c r="C557" s="6">
        <v>0.18179999999999999</v>
      </c>
      <c r="D557" s="6">
        <v>0.74</v>
      </c>
      <c r="E557" s="6">
        <v>0.1343</v>
      </c>
      <c r="F557" s="6">
        <v>5</v>
      </c>
      <c r="G557" s="6">
        <v>233</v>
      </c>
      <c r="H557" s="18">
        <v>238</v>
      </c>
    </row>
    <row r="558" spans="1:8" ht="15" thickBot="1" x14ac:dyDescent="0.35">
      <c r="A558" s="17">
        <v>556</v>
      </c>
      <c r="B558" s="6">
        <v>557</v>
      </c>
      <c r="C558" s="6">
        <v>0.2273</v>
      </c>
      <c r="D558" s="6">
        <v>0.64</v>
      </c>
      <c r="E558" s="6">
        <v>8.9599999999999999E-2</v>
      </c>
      <c r="F558" s="6">
        <v>10</v>
      </c>
      <c r="G558" s="6">
        <v>134</v>
      </c>
      <c r="H558" s="18">
        <v>144</v>
      </c>
    </row>
    <row r="559" spans="1:8" ht="15" thickBot="1" x14ac:dyDescent="0.35">
      <c r="A559" s="17">
        <v>557</v>
      </c>
      <c r="B559" s="6">
        <v>558</v>
      </c>
      <c r="C559" s="6">
        <v>0.2424</v>
      </c>
      <c r="D559" s="6">
        <v>0.6</v>
      </c>
      <c r="E559" s="6">
        <v>0.1045</v>
      </c>
      <c r="F559" s="6">
        <v>6</v>
      </c>
      <c r="G559" s="6">
        <v>49</v>
      </c>
      <c r="H559" s="18">
        <v>55</v>
      </c>
    </row>
    <row r="560" spans="1:8" ht="15" thickBot="1" x14ac:dyDescent="0.35">
      <c r="A560" s="17">
        <v>558</v>
      </c>
      <c r="B560" s="6">
        <v>559</v>
      </c>
      <c r="C560" s="6">
        <v>0.2424</v>
      </c>
      <c r="D560" s="6">
        <v>0.6</v>
      </c>
      <c r="E560" s="6">
        <v>0.1343</v>
      </c>
      <c r="F560" s="6">
        <v>6</v>
      </c>
      <c r="G560" s="6">
        <v>55</v>
      </c>
      <c r="H560" s="18">
        <v>61</v>
      </c>
    </row>
    <row r="561" spans="1:8" ht="15" thickBot="1" x14ac:dyDescent="0.35">
      <c r="A561" s="17">
        <v>559</v>
      </c>
      <c r="B561" s="6">
        <v>560</v>
      </c>
      <c r="C561" s="6">
        <v>0.28789999999999999</v>
      </c>
      <c r="D561" s="6">
        <v>0.56000000000000005</v>
      </c>
      <c r="E561" s="6">
        <v>8.9599999999999999E-2</v>
      </c>
      <c r="F561" s="6">
        <v>21</v>
      </c>
      <c r="G561" s="6">
        <v>85</v>
      </c>
      <c r="H561" s="18">
        <v>106</v>
      </c>
    </row>
    <row r="562" spans="1:8" ht="15" thickBot="1" x14ac:dyDescent="0.35">
      <c r="A562" s="17">
        <v>560</v>
      </c>
      <c r="B562" s="6">
        <v>561</v>
      </c>
      <c r="C562" s="6">
        <v>0.2727</v>
      </c>
      <c r="D562" s="6">
        <v>0.56000000000000005</v>
      </c>
      <c r="E562" s="6">
        <v>0.1343</v>
      </c>
      <c r="F562" s="6">
        <v>21</v>
      </c>
      <c r="G562" s="6">
        <v>72</v>
      </c>
      <c r="H562" s="18">
        <v>93</v>
      </c>
    </row>
    <row r="563" spans="1:8" ht="15" thickBot="1" x14ac:dyDescent="0.35">
      <c r="A563" s="17">
        <v>561</v>
      </c>
      <c r="B563" s="6">
        <v>562</v>
      </c>
      <c r="C563" s="6">
        <v>0.33329999999999999</v>
      </c>
      <c r="D563" s="6">
        <v>0.45</v>
      </c>
      <c r="E563" s="6">
        <v>0</v>
      </c>
      <c r="F563" s="6">
        <v>11</v>
      </c>
      <c r="G563" s="6">
        <v>57</v>
      </c>
      <c r="H563" s="18">
        <v>68</v>
      </c>
    </row>
    <row r="564" spans="1:8" ht="15" thickBot="1" x14ac:dyDescent="0.35">
      <c r="A564" s="17">
        <v>562</v>
      </c>
      <c r="B564" s="6">
        <v>563</v>
      </c>
      <c r="C564" s="6">
        <v>0.34849999999999998</v>
      </c>
      <c r="D564" s="6">
        <v>0.42</v>
      </c>
      <c r="E564" s="6">
        <v>0</v>
      </c>
      <c r="F564" s="6">
        <v>21</v>
      </c>
      <c r="G564" s="6">
        <v>63</v>
      </c>
      <c r="H564" s="18">
        <v>84</v>
      </c>
    </row>
    <row r="565" spans="1:8" ht="15" thickBot="1" x14ac:dyDescent="0.35">
      <c r="A565" s="17">
        <v>563</v>
      </c>
      <c r="B565" s="6">
        <v>564</v>
      </c>
      <c r="C565" s="6">
        <v>0.34849999999999998</v>
      </c>
      <c r="D565" s="6">
        <v>0.42</v>
      </c>
      <c r="E565" s="6">
        <v>0</v>
      </c>
      <c r="F565" s="6">
        <v>14</v>
      </c>
      <c r="G565" s="6">
        <v>102</v>
      </c>
      <c r="H565" s="18">
        <v>116</v>
      </c>
    </row>
    <row r="566" spans="1:8" ht="15" thickBot="1" x14ac:dyDescent="0.35">
      <c r="A566" s="17">
        <v>564</v>
      </c>
      <c r="B566" s="6">
        <v>565</v>
      </c>
      <c r="C566" s="6">
        <v>0.33329999999999999</v>
      </c>
      <c r="D566" s="6">
        <v>0.45</v>
      </c>
      <c r="E566" s="6">
        <v>0</v>
      </c>
      <c r="F566" s="6">
        <v>14</v>
      </c>
      <c r="G566" s="6">
        <v>208</v>
      </c>
      <c r="H566" s="18">
        <v>222</v>
      </c>
    </row>
    <row r="567" spans="1:8" ht="15" thickBot="1" x14ac:dyDescent="0.35">
      <c r="A567" s="17">
        <v>565</v>
      </c>
      <c r="B567" s="6">
        <v>566</v>
      </c>
      <c r="C567" s="6">
        <v>0.31819999999999998</v>
      </c>
      <c r="D567" s="6">
        <v>0.49</v>
      </c>
      <c r="E567" s="6">
        <v>8.9599999999999999E-2</v>
      </c>
      <c r="F567" s="6">
        <v>7</v>
      </c>
      <c r="G567" s="6">
        <v>218</v>
      </c>
      <c r="H567" s="18">
        <v>225</v>
      </c>
    </row>
    <row r="568" spans="1:8" ht="15" thickBot="1" x14ac:dyDescent="0.35">
      <c r="A568" s="17">
        <v>566</v>
      </c>
      <c r="B568" s="6">
        <v>567</v>
      </c>
      <c r="C568" s="6">
        <v>0.2576</v>
      </c>
      <c r="D568" s="6">
        <v>0.65</v>
      </c>
      <c r="E568" s="6">
        <v>0.16420000000000001</v>
      </c>
      <c r="F568" s="6">
        <v>13</v>
      </c>
      <c r="G568" s="6">
        <v>133</v>
      </c>
      <c r="H568" s="18">
        <v>146</v>
      </c>
    </row>
    <row r="569" spans="1:8" ht="15" thickBot="1" x14ac:dyDescent="0.35">
      <c r="A569" s="17">
        <v>567</v>
      </c>
      <c r="B569" s="6">
        <v>568</v>
      </c>
      <c r="C569" s="6">
        <v>0.2273</v>
      </c>
      <c r="D569" s="6">
        <v>0.65</v>
      </c>
      <c r="E569" s="6">
        <v>0.19400000000000001</v>
      </c>
      <c r="F569" s="6">
        <v>16</v>
      </c>
      <c r="G569" s="6">
        <v>103</v>
      </c>
      <c r="H569" s="18">
        <v>119</v>
      </c>
    </row>
    <row r="570" spans="1:8" ht="15" thickBot="1" x14ac:dyDescent="0.35">
      <c r="A570" s="17">
        <v>568</v>
      </c>
      <c r="B570" s="6">
        <v>569</v>
      </c>
      <c r="C570" s="6">
        <v>0.2273</v>
      </c>
      <c r="D570" s="6">
        <v>0.65</v>
      </c>
      <c r="E570" s="6">
        <v>0.19400000000000001</v>
      </c>
      <c r="F570" s="6">
        <v>5</v>
      </c>
      <c r="G570" s="6">
        <v>40</v>
      </c>
      <c r="H570" s="18">
        <v>45</v>
      </c>
    </row>
    <row r="571" spans="1:8" ht="15" thickBot="1" x14ac:dyDescent="0.35">
      <c r="A571" s="17">
        <v>569</v>
      </c>
      <c r="B571" s="6">
        <v>570</v>
      </c>
      <c r="C571" s="6">
        <v>0.2273</v>
      </c>
      <c r="D571" s="6">
        <v>0.64</v>
      </c>
      <c r="E571" s="6">
        <v>0.16420000000000001</v>
      </c>
      <c r="F571" s="6">
        <v>4</v>
      </c>
      <c r="G571" s="6">
        <v>49</v>
      </c>
      <c r="H571" s="18">
        <v>53</v>
      </c>
    </row>
    <row r="572" spans="1:8" ht="15" thickBot="1" x14ac:dyDescent="0.35">
      <c r="A572" s="17">
        <v>570</v>
      </c>
      <c r="B572" s="6">
        <v>571</v>
      </c>
      <c r="C572" s="6">
        <v>0.2273</v>
      </c>
      <c r="D572" s="6">
        <v>0.64</v>
      </c>
      <c r="E572" s="6">
        <v>0.16420000000000001</v>
      </c>
      <c r="F572" s="6">
        <v>3</v>
      </c>
      <c r="G572" s="6">
        <v>37</v>
      </c>
      <c r="H572" s="18">
        <v>40</v>
      </c>
    </row>
    <row r="573" spans="1:8" ht="15" thickBot="1" x14ac:dyDescent="0.35">
      <c r="A573" s="17">
        <v>571</v>
      </c>
      <c r="B573" s="6">
        <v>572</v>
      </c>
      <c r="C573" s="6">
        <v>0.2273</v>
      </c>
      <c r="D573" s="6">
        <v>0.69</v>
      </c>
      <c r="E573" s="6">
        <v>0.1343</v>
      </c>
      <c r="F573" s="6">
        <v>3</v>
      </c>
      <c r="G573" s="6">
        <v>14</v>
      </c>
      <c r="H573" s="18">
        <v>17</v>
      </c>
    </row>
    <row r="574" spans="1:8" ht="15" thickBot="1" x14ac:dyDescent="0.35">
      <c r="A574" s="17">
        <v>572</v>
      </c>
      <c r="B574" s="6">
        <v>573</v>
      </c>
      <c r="C574" s="6">
        <v>0.2424</v>
      </c>
      <c r="D574" s="6">
        <v>0.65</v>
      </c>
      <c r="E574" s="6">
        <v>0.1343</v>
      </c>
      <c r="F574" s="6">
        <v>0</v>
      </c>
      <c r="G574" s="6">
        <v>5</v>
      </c>
      <c r="H574" s="18">
        <v>5</v>
      </c>
    </row>
    <row r="575" spans="1:8" ht="15" thickBot="1" x14ac:dyDescent="0.35">
      <c r="A575" s="17">
        <v>573</v>
      </c>
      <c r="B575" s="6">
        <v>574</v>
      </c>
      <c r="C575" s="6">
        <v>0.2273</v>
      </c>
      <c r="D575" s="6">
        <v>0.69</v>
      </c>
      <c r="E575" s="6">
        <v>0.19400000000000001</v>
      </c>
      <c r="F575" s="6">
        <v>3</v>
      </c>
      <c r="G575" s="6">
        <v>7</v>
      </c>
      <c r="H575" s="18">
        <v>10</v>
      </c>
    </row>
    <row r="576" spans="1:8" ht="15" thickBot="1" x14ac:dyDescent="0.35">
      <c r="A576" s="17">
        <v>574</v>
      </c>
      <c r="B576" s="6">
        <v>575</v>
      </c>
      <c r="C576" s="6">
        <v>0.18179999999999999</v>
      </c>
      <c r="D576" s="6">
        <v>0.86</v>
      </c>
      <c r="E576" s="6">
        <v>0.28360000000000002</v>
      </c>
      <c r="F576" s="6">
        <v>0</v>
      </c>
      <c r="G576" s="6">
        <v>1</v>
      </c>
      <c r="H576" s="18">
        <v>1</v>
      </c>
    </row>
    <row r="577" spans="1:8" ht="15" thickBot="1" x14ac:dyDescent="0.35">
      <c r="A577" s="17">
        <v>575</v>
      </c>
      <c r="B577" s="6">
        <v>576</v>
      </c>
      <c r="C577" s="6">
        <v>0.18179999999999999</v>
      </c>
      <c r="D577" s="6">
        <v>0.86</v>
      </c>
      <c r="E577" s="6">
        <v>0.28360000000000002</v>
      </c>
      <c r="F577" s="6">
        <v>0</v>
      </c>
      <c r="G577" s="6">
        <v>8</v>
      </c>
      <c r="H577" s="18">
        <v>8</v>
      </c>
    </row>
    <row r="578" spans="1:8" ht="15" thickBot="1" x14ac:dyDescent="0.35">
      <c r="A578" s="17">
        <v>576</v>
      </c>
      <c r="B578" s="6">
        <v>577</v>
      </c>
      <c r="C578" s="6">
        <v>0.21210000000000001</v>
      </c>
      <c r="D578" s="6">
        <v>0.87</v>
      </c>
      <c r="E578" s="6">
        <v>0.29849999999999999</v>
      </c>
      <c r="F578" s="6">
        <v>1</v>
      </c>
      <c r="G578" s="6">
        <v>29</v>
      </c>
      <c r="H578" s="18">
        <v>30</v>
      </c>
    </row>
    <row r="579" spans="1:8" ht="15" thickBot="1" x14ac:dyDescent="0.35">
      <c r="A579" s="17">
        <v>577</v>
      </c>
      <c r="B579" s="6">
        <v>578</v>
      </c>
      <c r="C579" s="6">
        <v>0.21210000000000001</v>
      </c>
      <c r="D579" s="6">
        <v>0.87</v>
      </c>
      <c r="E579" s="6">
        <v>0.29849999999999999</v>
      </c>
      <c r="F579" s="6">
        <v>3</v>
      </c>
      <c r="G579" s="6">
        <v>69</v>
      </c>
      <c r="H579" s="18">
        <v>72</v>
      </c>
    </row>
    <row r="580" spans="1:8" ht="15" thickBot="1" x14ac:dyDescent="0.35">
      <c r="A580" s="17">
        <v>578</v>
      </c>
      <c r="B580" s="6">
        <v>579</v>
      </c>
      <c r="C580" s="6">
        <v>0.21210000000000001</v>
      </c>
      <c r="D580" s="6">
        <v>0.87</v>
      </c>
      <c r="E580" s="6">
        <v>0.29849999999999999</v>
      </c>
      <c r="F580" s="6">
        <v>3</v>
      </c>
      <c r="G580" s="6">
        <v>55</v>
      </c>
      <c r="H580" s="18">
        <v>58</v>
      </c>
    </row>
    <row r="581" spans="1:8" ht="15" thickBot="1" x14ac:dyDescent="0.35">
      <c r="A581" s="17">
        <v>579</v>
      </c>
      <c r="B581" s="6">
        <v>580</v>
      </c>
      <c r="C581" s="6">
        <v>0.21210000000000001</v>
      </c>
      <c r="D581" s="6">
        <v>0.93</v>
      </c>
      <c r="E581" s="6">
        <v>0.28360000000000002</v>
      </c>
      <c r="F581" s="6">
        <v>2</v>
      </c>
      <c r="G581" s="6">
        <v>26</v>
      </c>
      <c r="H581" s="18">
        <v>28</v>
      </c>
    </row>
    <row r="582" spans="1:8" ht="15" thickBot="1" x14ac:dyDescent="0.35">
      <c r="A582" s="17">
        <v>580</v>
      </c>
      <c r="B582" s="6">
        <v>581</v>
      </c>
      <c r="C582" s="6">
        <v>0.19700000000000001</v>
      </c>
      <c r="D582" s="6">
        <v>0.93</v>
      </c>
      <c r="E582" s="6">
        <v>0.32840000000000003</v>
      </c>
      <c r="F582" s="6">
        <v>6</v>
      </c>
      <c r="G582" s="6">
        <v>35</v>
      </c>
      <c r="H582" s="18">
        <v>41</v>
      </c>
    </row>
    <row r="583" spans="1:8" ht="15" thickBot="1" x14ac:dyDescent="0.35">
      <c r="A583" s="17">
        <v>581</v>
      </c>
      <c r="B583" s="6">
        <v>582</v>
      </c>
      <c r="C583" s="6">
        <v>0.19700000000000001</v>
      </c>
      <c r="D583" s="6">
        <v>0.93</v>
      </c>
      <c r="E583" s="6">
        <v>0.32840000000000003</v>
      </c>
      <c r="F583" s="6">
        <v>7</v>
      </c>
      <c r="G583" s="6">
        <v>41</v>
      </c>
      <c r="H583" s="18">
        <v>48</v>
      </c>
    </row>
    <row r="584" spans="1:8" ht="15" thickBot="1" x14ac:dyDescent="0.35">
      <c r="A584" s="17">
        <v>582</v>
      </c>
      <c r="B584" s="6">
        <v>583</v>
      </c>
      <c r="C584" s="6">
        <v>0.19700000000000001</v>
      </c>
      <c r="D584" s="6">
        <v>0.93</v>
      </c>
      <c r="E584" s="6">
        <v>0.32840000000000003</v>
      </c>
      <c r="F584" s="6">
        <v>4</v>
      </c>
      <c r="G584" s="6">
        <v>43</v>
      </c>
      <c r="H584" s="18">
        <v>47</v>
      </c>
    </row>
    <row r="585" spans="1:8" ht="15" thickBot="1" x14ac:dyDescent="0.35">
      <c r="A585" s="17">
        <v>583</v>
      </c>
      <c r="B585" s="6">
        <v>584</v>
      </c>
      <c r="C585" s="6">
        <v>0.19700000000000001</v>
      </c>
      <c r="D585" s="6">
        <v>0.93</v>
      </c>
      <c r="E585" s="6">
        <v>0.35820000000000002</v>
      </c>
      <c r="F585" s="6">
        <v>0</v>
      </c>
      <c r="G585" s="6">
        <v>36</v>
      </c>
      <c r="H585" s="18">
        <v>36</v>
      </c>
    </row>
    <row r="586" spans="1:8" ht="15" thickBot="1" x14ac:dyDescent="0.35">
      <c r="A586" s="17">
        <v>584</v>
      </c>
      <c r="B586" s="6">
        <v>585</v>
      </c>
      <c r="C586" s="6">
        <v>0.18179999999999999</v>
      </c>
      <c r="D586" s="6">
        <v>0.93</v>
      </c>
      <c r="E586" s="6">
        <v>0.4627</v>
      </c>
      <c r="F586" s="6">
        <v>1</v>
      </c>
      <c r="G586" s="6">
        <v>42</v>
      </c>
      <c r="H586" s="18">
        <v>43</v>
      </c>
    </row>
    <row r="587" spans="1:8" ht="15" thickBot="1" x14ac:dyDescent="0.35">
      <c r="A587" s="17">
        <v>585</v>
      </c>
      <c r="B587" s="6">
        <v>586</v>
      </c>
      <c r="C587" s="6">
        <v>0.19700000000000001</v>
      </c>
      <c r="D587" s="6">
        <v>0.93</v>
      </c>
      <c r="E587" s="6">
        <v>0.32840000000000003</v>
      </c>
      <c r="F587" s="6">
        <v>1</v>
      </c>
      <c r="G587" s="6">
        <v>35</v>
      </c>
      <c r="H587" s="18">
        <v>36</v>
      </c>
    </row>
    <row r="588" spans="1:8" ht="15" thickBot="1" x14ac:dyDescent="0.35">
      <c r="A588" s="17">
        <v>586</v>
      </c>
      <c r="B588" s="6">
        <v>587</v>
      </c>
      <c r="C588" s="6">
        <v>0.18179999999999999</v>
      </c>
      <c r="D588" s="6">
        <v>0.93</v>
      </c>
      <c r="E588" s="6">
        <v>0.35820000000000002</v>
      </c>
      <c r="F588" s="6">
        <v>0</v>
      </c>
      <c r="G588" s="6">
        <v>26</v>
      </c>
      <c r="H588" s="18">
        <v>26</v>
      </c>
    </row>
    <row r="589" spans="1:8" ht="15" thickBot="1" x14ac:dyDescent="0.35">
      <c r="A589" s="17">
        <v>587</v>
      </c>
      <c r="B589" s="6">
        <v>588</v>
      </c>
      <c r="C589" s="6">
        <v>0.2273</v>
      </c>
      <c r="D589" s="6">
        <v>0.55000000000000004</v>
      </c>
      <c r="E589" s="6">
        <v>0.19400000000000001</v>
      </c>
      <c r="F589" s="6">
        <v>1</v>
      </c>
      <c r="G589" s="6">
        <v>23</v>
      </c>
      <c r="H589" s="18">
        <v>24</v>
      </c>
    </row>
    <row r="590" spans="1:8" ht="15" thickBot="1" x14ac:dyDescent="0.35">
      <c r="A590" s="17">
        <v>588</v>
      </c>
      <c r="B590" s="6">
        <v>589</v>
      </c>
      <c r="C590" s="6">
        <v>0.2424</v>
      </c>
      <c r="D590" s="6">
        <v>0.55000000000000004</v>
      </c>
      <c r="E590" s="6">
        <v>0.1045</v>
      </c>
      <c r="F590" s="6">
        <v>2</v>
      </c>
      <c r="G590" s="6">
        <v>82</v>
      </c>
      <c r="H590" s="18">
        <v>84</v>
      </c>
    </row>
    <row r="591" spans="1:8" ht="15" thickBot="1" x14ac:dyDescent="0.35">
      <c r="A591" s="17">
        <v>589</v>
      </c>
      <c r="B591" s="6">
        <v>590</v>
      </c>
      <c r="C591" s="6">
        <v>0.2273</v>
      </c>
      <c r="D591" s="6">
        <v>0.69</v>
      </c>
      <c r="E591" s="6">
        <v>8.9599999999999999E-2</v>
      </c>
      <c r="F591" s="6">
        <v>3</v>
      </c>
      <c r="G591" s="6">
        <v>101</v>
      </c>
      <c r="H591" s="18">
        <v>104</v>
      </c>
    </row>
    <row r="592" spans="1:8" ht="15" thickBot="1" x14ac:dyDescent="0.35">
      <c r="A592" s="17">
        <v>590</v>
      </c>
      <c r="B592" s="6">
        <v>591</v>
      </c>
      <c r="C592" s="6">
        <v>0.2273</v>
      </c>
      <c r="D592" s="6">
        <v>0.69</v>
      </c>
      <c r="E592" s="6">
        <v>8.9599999999999999E-2</v>
      </c>
      <c r="F592" s="6">
        <v>3</v>
      </c>
      <c r="G592" s="6">
        <v>76</v>
      </c>
      <c r="H592" s="18">
        <v>79</v>
      </c>
    </row>
    <row r="593" spans="1:8" ht="15" thickBot="1" x14ac:dyDescent="0.35">
      <c r="A593" s="17">
        <v>591</v>
      </c>
      <c r="B593" s="6">
        <v>592</v>
      </c>
      <c r="C593" s="6">
        <v>0.21210000000000001</v>
      </c>
      <c r="D593" s="6">
        <v>0.74</v>
      </c>
      <c r="E593" s="6">
        <v>8.9599999999999999E-2</v>
      </c>
      <c r="F593" s="6">
        <v>4</v>
      </c>
      <c r="G593" s="6">
        <v>55</v>
      </c>
      <c r="H593" s="18">
        <v>59</v>
      </c>
    </row>
    <row r="594" spans="1:8" ht="15" thickBot="1" x14ac:dyDescent="0.35">
      <c r="A594" s="17">
        <v>592</v>
      </c>
      <c r="B594" s="6">
        <v>593</v>
      </c>
      <c r="C594" s="6">
        <v>0.21210000000000001</v>
      </c>
      <c r="D594" s="6">
        <v>0.74</v>
      </c>
      <c r="E594" s="6">
        <v>8.9599999999999999E-2</v>
      </c>
      <c r="F594" s="6">
        <v>2</v>
      </c>
      <c r="G594" s="6">
        <v>36</v>
      </c>
      <c r="H594" s="18">
        <v>38</v>
      </c>
    </row>
    <row r="595" spans="1:8" ht="15" thickBot="1" x14ac:dyDescent="0.35">
      <c r="A595" s="17">
        <v>593</v>
      </c>
      <c r="B595" s="6">
        <v>594</v>
      </c>
      <c r="C595" s="6">
        <v>0.21210000000000001</v>
      </c>
      <c r="D595" s="6">
        <v>0.74</v>
      </c>
      <c r="E595" s="6">
        <v>8.9599999999999999E-2</v>
      </c>
      <c r="F595" s="6">
        <v>0</v>
      </c>
      <c r="G595" s="6">
        <v>27</v>
      </c>
      <c r="H595" s="18">
        <v>27</v>
      </c>
    </row>
    <row r="596" spans="1:8" ht="15" thickBot="1" x14ac:dyDescent="0.35">
      <c r="A596" s="17">
        <v>594</v>
      </c>
      <c r="B596" s="6">
        <v>595</v>
      </c>
      <c r="C596" s="6">
        <v>0.19700000000000001</v>
      </c>
      <c r="D596" s="6">
        <v>0.8</v>
      </c>
      <c r="E596" s="6">
        <v>0.16420000000000001</v>
      </c>
      <c r="F596" s="6">
        <v>0</v>
      </c>
      <c r="G596" s="6">
        <v>16</v>
      </c>
      <c r="H596" s="18">
        <v>16</v>
      </c>
    </row>
    <row r="597" spans="1:8" ht="15" thickBot="1" x14ac:dyDescent="0.35">
      <c r="A597" s="17">
        <v>595</v>
      </c>
      <c r="B597" s="6">
        <v>596</v>
      </c>
      <c r="C597" s="6">
        <v>0.21210000000000001</v>
      </c>
      <c r="D597" s="6">
        <v>0.75</v>
      </c>
      <c r="E597" s="6">
        <v>0.1343</v>
      </c>
      <c r="F597" s="6">
        <v>0</v>
      </c>
      <c r="G597" s="6">
        <v>9</v>
      </c>
      <c r="H597" s="18">
        <v>9</v>
      </c>
    </row>
    <row r="598" spans="1:8" ht="15" thickBot="1" x14ac:dyDescent="0.35">
      <c r="A598" s="17">
        <v>596</v>
      </c>
      <c r="B598" s="6">
        <v>597</v>
      </c>
      <c r="C598" s="6">
        <v>0.21210000000000001</v>
      </c>
      <c r="D598" s="6">
        <v>0.75</v>
      </c>
      <c r="E598" s="6">
        <v>0.1343</v>
      </c>
      <c r="F598" s="6">
        <v>1</v>
      </c>
      <c r="G598" s="6">
        <v>2</v>
      </c>
      <c r="H598" s="18">
        <v>3</v>
      </c>
    </row>
    <row r="599" spans="1:8" ht="15" thickBot="1" x14ac:dyDescent="0.35">
      <c r="A599" s="17">
        <v>597</v>
      </c>
      <c r="B599" s="6">
        <v>598</v>
      </c>
      <c r="C599" s="6">
        <v>0.21210000000000001</v>
      </c>
      <c r="D599" s="6">
        <v>0.75</v>
      </c>
      <c r="E599" s="6">
        <v>0.16420000000000001</v>
      </c>
      <c r="F599" s="6">
        <v>0</v>
      </c>
      <c r="G599" s="6">
        <v>2</v>
      </c>
      <c r="H599" s="18">
        <v>2</v>
      </c>
    </row>
    <row r="600" spans="1:8" ht="15" thickBot="1" x14ac:dyDescent="0.35">
      <c r="A600" s="17">
        <v>598</v>
      </c>
      <c r="B600" s="6">
        <v>599</v>
      </c>
      <c r="C600" s="6">
        <v>0.2273</v>
      </c>
      <c r="D600" s="6">
        <v>0.75</v>
      </c>
      <c r="E600" s="6">
        <v>0.1045</v>
      </c>
      <c r="F600" s="6">
        <v>1</v>
      </c>
      <c r="G600" s="6">
        <v>0</v>
      </c>
      <c r="H600" s="18">
        <v>1</v>
      </c>
    </row>
    <row r="601" spans="1:8" ht="15" thickBot="1" x14ac:dyDescent="0.35">
      <c r="A601" s="17">
        <v>599</v>
      </c>
      <c r="B601" s="6">
        <v>600</v>
      </c>
      <c r="C601" s="6">
        <v>0.21210000000000001</v>
      </c>
      <c r="D601" s="6">
        <v>0.8</v>
      </c>
      <c r="E601" s="6">
        <v>0.1045</v>
      </c>
      <c r="F601" s="6">
        <v>0</v>
      </c>
      <c r="G601" s="6">
        <v>4</v>
      </c>
      <c r="H601" s="18">
        <v>4</v>
      </c>
    </row>
    <row r="602" spans="1:8" ht="15" thickBot="1" x14ac:dyDescent="0.35">
      <c r="A602" s="17">
        <v>600</v>
      </c>
      <c r="B602" s="6">
        <v>601</v>
      </c>
      <c r="C602" s="6">
        <v>0.19700000000000001</v>
      </c>
      <c r="D602" s="6">
        <v>0.8</v>
      </c>
      <c r="E602" s="6">
        <v>0.1343</v>
      </c>
      <c r="F602" s="6">
        <v>0</v>
      </c>
      <c r="G602" s="6">
        <v>16</v>
      </c>
      <c r="H602" s="18">
        <v>16</v>
      </c>
    </row>
    <row r="603" spans="1:8" ht="15" thickBot="1" x14ac:dyDescent="0.35">
      <c r="A603" s="17">
        <v>601</v>
      </c>
      <c r="B603" s="6">
        <v>602</v>
      </c>
      <c r="C603" s="6">
        <v>0.19700000000000001</v>
      </c>
      <c r="D603" s="6">
        <v>0.86</v>
      </c>
      <c r="E603" s="6">
        <v>8.9599999999999999E-2</v>
      </c>
      <c r="F603" s="6">
        <v>2</v>
      </c>
      <c r="G603" s="6">
        <v>58</v>
      </c>
      <c r="H603" s="18">
        <v>60</v>
      </c>
    </row>
    <row r="604" spans="1:8" ht="15" thickBot="1" x14ac:dyDescent="0.35">
      <c r="A604" s="17">
        <v>602</v>
      </c>
      <c r="B604" s="6">
        <v>603</v>
      </c>
      <c r="C604" s="6">
        <v>0.19700000000000001</v>
      </c>
      <c r="D604" s="6">
        <v>0.86</v>
      </c>
      <c r="E604" s="6">
        <v>8.9599999999999999E-2</v>
      </c>
      <c r="F604" s="6">
        <v>2</v>
      </c>
      <c r="G604" s="6">
        <v>155</v>
      </c>
      <c r="H604" s="18">
        <v>157</v>
      </c>
    </row>
    <row r="605" spans="1:8" ht="15" thickBot="1" x14ac:dyDescent="0.35">
      <c r="A605" s="17">
        <v>603</v>
      </c>
      <c r="B605" s="6">
        <v>604</v>
      </c>
      <c r="C605" s="6">
        <v>0.21210000000000001</v>
      </c>
      <c r="D605" s="6">
        <v>0.86</v>
      </c>
      <c r="E605" s="6">
        <v>8.9599999999999999E-2</v>
      </c>
      <c r="F605" s="6">
        <v>6</v>
      </c>
      <c r="G605" s="6">
        <v>95</v>
      </c>
      <c r="H605" s="18">
        <v>101</v>
      </c>
    </row>
    <row r="606" spans="1:8" ht="15" thickBot="1" x14ac:dyDescent="0.35">
      <c r="A606" s="17">
        <v>604</v>
      </c>
      <c r="B606" s="6">
        <v>605</v>
      </c>
      <c r="C606" s="6">
        <v>0.21210000000000001</v>
      </c>
      <c r="D606" s="6">
        <v>0.86</v>
      </c>
      <c r="E606" s="6">
        <v>0.1045</v>
      </c>
      <c r="F606" s="6">
        <v>0</v>
      </c>
      <c r="G606" s="6">
        <v>49</v>
      </c>
      <c r="H606" s="18">
        <v>49</v>
      </c>
    </row>
    <row r="607" spans="1:8" ht="15" thickBot="1" x14ac:dyDescent="0.35">
      <c r="A607" s="17">
        <v>605</v>
      </c>
      <c r="B607" s="6">
        <v>606</v>
      </c>
      <c r="C607" s="6">
        <v>0.21210000000000001</v>
      </c>
      <c r="D607" s="6">
        <v>0.93</v>
      </c>
      <c r="E607" s="6">
        <v>0.1045</v>
      </c>
      <c r="F607" s="6">
        <v>0</v>
      </c>
      <c r="G607" s="6">
        <v>30</v>
      </c>
      <c r="H607" s="18">
        <v>30</v>
      </c>
    </row>
    <row r="608" spans="1:8" ht="15" thickBot="1" x14ac:dyDescent="0.35">
      <c r="A608" s="17">
        <v>606</v>
      </c>
      <c r="B608" s="6">
        <v>607</v>
      </c>
      <c r="C608" s="6">
        <v>0.21210000000000001</v>
      </c>
      <c r="D608" s="6">
        <v>0.93</v>
      </c>
      <c r="E608" s="6">
        <v>0.1045</v>
      </c>
      <c r="F608" s="6">
        <v>1</v>
      </c>
      <c r="G608" s="6">
        <v>28</v>
      </c>
      <c r="H608" s="18">
        <v>29</v>
      </c>
    </row>
    <row r="609" spans="1:8" ht="15" thickBot="1" x14ac:dyDescent="0.35">
      <c r="A609" s="17">
        <v>607</v>
      </c>
      <c r="B609" s="6">
        <v>608</v>
      </c>
      <c r="C609" s="6">
        <v>0.21210000000000001</v>
      </c>
      <c r="D609" s="6">
        <v>0.93</v>
      </c>
      <c r="E609" s="6">
        <v>0.1045</v>
      </c>
      <c r="F609" s="6">
        <v>0</v>
      </c>
      <c r="G609" s="6">
        <v>31</v>
      </c>
      <c r="H609" s="18">
        <v>31</v>
      </c>
    </row>
    <row r="610" spans="1:8" ht="15" thickBot="1" x14ac:dyDescent="0.35">
      <c r="A610" s="17">
        <v>608</v>
      </c>
      <c r="B610" s="6">
        <v>609</v>
      </c>
      <c r="C610" s="6">
        <v>0.2727</v>
      </c>
      <c r="D610" s="6">
        <v>0.8</v>
      </c>
      <c r="E610" s="6">
        <v>0</v>
      </c>
      <c r="F610" s="6">
        <v>2</v>
      </c>
      <c r="G610" s="6">
        <v>36</v>
      </c>
      <c r="H610" s="18">
        <v>38</v>
      </c>
    </row>
    <row r="611" spans="1:8" x14ac:dyDescent="0.3">
      <c r="A611" s="22">
        <v>609</v>
      </c>
      <c r="B611" s="23">
        <v>610</v>
      </c>
      <c r="C611" s="23">
        <v>0.2576</v>
      </c>
      <c r="D611" s="23">
        <v>0.86</v>
      </c>
      <c r="E611" s="23">
        <v>0</v>
      </c>
      <c r="F611" s="23">
        <v>1</v>
      </c>
      <c r="G611" s="23">
        <v>40</v>
      </c>
      <c r="H611" s="24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B420-9B1A-49FA-9AD8-C817E0E64993}">
  <sheetPr>
    <tabColor rgb="FF00B050"/>
  </sheetPr>
  <dimension ref="A1:V612"/>
  <sheetViews>
    <sheetView topLeftCell="E1" workbookViewId="0">
      <selection activeCell="I12" sqref="I12"/>
    </sheetView>
  </sheetViews>
  <sheetFormatPr defaultRowHeight="14.4" x14ac:dyDescent="0.3"/>
  <cols>
    <col min="1" max="9" width="10.6640625" bestFit="1" customWidth="1"/>
    <col min="10" max="22" width="11.6640625" bestFit="1" customWidth="1"/>
    <col min="23" max="23" width="9" bestFit="1" customWidth="1"/>
    <col min="24" max="24" width="15.33203125" bestFit="1" customWidth="1"/>
    <col min="25" max="25" width="9" bestFit="1" customWidth="1"/>
    <col min="26" max="26" width="4.6640625" bestFit="1" customWidth="1"/>
    <col min="27" max="27" width="7.5546875" bestFit="1" customWidth="1"/>
    <col min="28" max="28" width="4.88671875" bestFit="1" customWidth="1"/>
    <col min="29" max="29" width="9.33203125" bestFit="1" customWidth="1"/>
    <col min="30" max="30" width="10.5546875" bestFit="1" customWidth="1"/>
    <col min="31" max="31" width="12" bestFit="1" customWidth="1"/>
    <col min="32" max="32" width="7.6640625" bestFit="1" customWidth="1"/>
    <col min="33" max="33" width="8.6640625" bestFit="1" customWidth="1"/>
    <col min="34" max="34" width="6.88671875" bestFit="1" customWidth="1"/>
    <col min="35" max="35" width="12.33203125" bestFit="1" customWidth="1"/>
    <col min="36" max="36" width="8.6640625" bestFit="1" customWidth="1"/>
    <col min="37" max="37" width="11.6640625" bestFit="1" customWidth="1"/>
    <col min="38" max="38" width="5.88671875" bestFit="1" customWidth="1"/>
    <col min="39" max="39" width="10.33203125" bestFit="1" customWidth="1"/>
    <col min="40" max="40" width="8.44140625" bestFit="1" customWidth="1"/>
    <col min="41" max="41" width="13.88671875" bestFit="1" customWidth="1"/>
    <col min="42" max="42" width="10.33203125" bestFit="1" customWidth="1"/>
    <col min="43" max="43" width="13.33203125" bestFit="1" customWidth="1"/>
    <col min="44" max="44" width="7.44140625" bestFit="1" customWidth="1"/>
  </cols>
  <sheetData>
    <row r="1" spans="1:22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 spans="1:2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</row>
    <row r="3" spans="1:22" x14ac:dyDescent="0.3">
      <c r="A3">
        <v>1</v>
      </c>
      <c r="B3">
        <v>40544</v>
      </c>
      <c r="C3">
        <v>1</v>
      </c>
      <c r="D3">
        <v>0</v>
      </c>
      <c r="E3">
        <v>1</v>
      </c>
      <c r="F3">
        <v>0</v>
      </c>
      <c r="G3" t="b">
        <v>0</v>
      </c>
      <c r="H3">
        <v>6</v>
      </c>
      <c r="I3">
        <v>1</v>
      </c>
      <c r="J3">
        <v>0.24</v>
      </c>
      <c r="K3">
        <v>0.28789999999999999</v>
      </c>
      <c r="L3">
        <v>0.81</v>
      </c>
      <c r="M3">
        <v>0</v>
      </c>
      <c r="N3">
        <v>3</v>
      </c>
      <c r="O3">
        <v>13</v>
      </c>
      <c r="P3">
        <v>16</v>
      </c>
      <c r="Q3">
        <v>0.28789999999999999</v>
      </c>
      <c r="R3">
        <v>0.81</v>
      </c>
      <c r="S3">
        <v>0</v>
      </c>
      <c r="T3">
        <v>3</v>
      </c>
      <c r="U3">
        <v>13</v>
      </c>
      <c r="V3">
        <v>16</v>
      </c>
    </row>
    <row r="4" spans="1:22" x14ac:dyDescent="0.3">
      <c r="A4">
        <v>2</v>
      </c>
      <c r="B4">
        <v>40544</v>
      </c>
      <c r="C4">
        <v>1</v>
      </c>
      <c r="D4">
        <v>0</v>
      </c>
      <c r="E4">
        <v>1</v>
      </c>
      <c r="F4">
        <v>1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8</v>
      </c>
      <c r="O4">
        <v>32</v>
      </c>
      <c r="P4">
        <v>40</v>
      </c>
      <c r="Q4">
        <v>0.2727</v>
      </c>
      <c r="R4">
        <v>0.8</v>
      </c>
      <c r="S4">
        <v>0</v>
      </c>
      <c r="T4">
        <v>8</v>
      </c>
      <c r="U4">
        <v>32</v>
      </c>
      <c r="V4">
        <v>40</v>
      </c>
    </row>
    <row r="5" spans="1:22" x14ac:dyDescent="0.3">
      <c r="A5">
        <v>3</v>
      </c>
      <c r="B5">
        <v>40544</v>
      </c>
      <c r="C5">
        <v>1</v>
      </c>
      <c r="D5">
        <v>0</v>
      </c>
      <c r="E5">
        <v>1</v>
      </c>
      <c r="F5">
        <v>2</v>
      </c>
      <c r="G5" t="b">
        <v>0</v>
      </c>
      <c r="H5">
        <v>6</v>
      </c>
      <c r="I5">
        <v>1</v>
      </c>
      <c r="J5">
        <v>0.22</v>
      </c>
      <c r="K5">
        <v>0.2727</v>
      </c>
      <c r="L5">
        <v>0.8</v>
      </c>
      <c r="M5">
        <v>0</v>
      </c>
      <c r="N5">
        <v>5</v>
      </c>
      <c r="O5">
        <v>27</v>
      </c>
      <c r="P5">
        <v>32</v>
      </c>
      <c r="Q5">
        <v>0.2727</v>
      </c>
      <c r="R5">
        <v>0.8</v>
      </c>
      <c r="S5">
        <v>0</v>
      </c>
      <c r="T5">
        <v>5</v>
      </c>
      <c r="U5">
        <v>27</v>
      </c>
      <c r="V5">
        <v>32</v>
      </c>
    </row>
    <row r="6" spans="1:22" x14ac:dyDescent="0.3">
      <c r="A6">
        <v>4</v>
      </c>
      <c r="B6">
        <v>40544</v>
      </c>
      <c r="C6">
        <v>1</v>
      </c>
      <c r="D6">
        <v>0</v>
      </c>
      <c r="E6">
        <v>1</v>
      </c>
      <c r="F6">
        <v>3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3</v>
      </c>
      <c r="O6">
        <v>10</v>
      </c>
      <c r="P6">
        <v>13</v>
      </c>
      <c r="Q6">
        <v>0.28789999999999999</v>
      </c>
      <c r="R6">
        <v>0.75</v>
      </c>
      <c r="S6">
        <v>0</v>
      </c>
      <c r="T6">
        <v>3</v>
      </c>
      <c r="U6">
        <v>10</v>
      </c>
      <c r="V6">
        <v>13</v>
      </c>
    </row>
    <row r="7" spans="1:22" x14ac:dyDescent="0.3">
      <c r="A7">
        <v>5</v>
      </c>
      <c r="B7">
        <v>40544</v>
      </c>
      <c r="C7">
        <v>1</v>
      </c>
      <c r="D7">
        <v>0</v>
      </c>
      <c r="E7">
        <v>1</v>
      </c>
      <c r="F7">
        <v>4</v>
      </c>
      <c r="G7" t="b">
        <v>0</v>
      </c>
      <c r="H7">
        <v>6</v>
      </c>
      <c r="I7">
        <v>1</v>
      </c>
      <c r="J7">
        <v>0.24</v>
      </c>
      <c r="K7">
        <v>0.28789999999999999</v>
      </c>
      <c r="L7">
        <v>0.75</v>
      </c>
      <c r="M7">
        <v>0</v>
      </c>
      <c r="N7">
        <v>0</v>
      </c>
      <c r="O7">
        <v>1</v>
      </c>
      <c r="P7">
        <v>1</v>
      </c>
      <c r="Q7">
        <v>0.28789999999999999</v>
      </c>
      <c r="R7">
        <v>0.75</v>
      </c>
      <c r="S7">
        <v>0</v>
      </c>
      <c r="T7">
        <v>0</v>
      </c>
      <c r="U7">
        <v>1</v>
      </c>
      <c r="V7">
        <v>1</v>
      </c>
    </row>
    <row r="8" spans="1:22" x14ac:dyDescent="0.3">
      <c r="A8">
        <v>6</v>
      </c>
      <c r="B8">
        <v>40544</v>
      </c>
      <c r="C8">
        <v>1</v>
      </c>
      <c r="D8">
        <v>0</v>
      </c>
      <c r="E8">
        <v>1</v>
      </c>
      <c r="F8">
        <v>5</v>
      </c>
      <c r="G8" t="b">
        <v>0</v>
      </c>
      <c r="H8">
        <v>6</v>
      </c>
      <c r="I8">
        <v>2</v>
      </c>
      <c r="J8">
        <v>0.24</v>
      </c>
      <c r="K8">
        <v>0.2576</v>
      </c>
      <c r="L8">
        <v>0.75</v>
      </c>
      <c r="M8">
        <v>8.9599999999999999E-2</v>
      </c>
      <c r="N8">
        <v>0</v>
      </c>
      <c r="O8">
        <v>1</v>
      </c>
      <c r="P8">
        <v>1</v>
      </c>
      <c r="Q8">
        <v>0.2576</v>
      </c>
      <c r="R8">
        <v>0.75</v>
      </c>
      <c r="S8">
        <v>8.9599999999999999E-2</v>
      </c>
      <c r="T8">
        <v>0</v>
      </c>
      <c r="U8">
        <v>1</v>
      </c>
      <c r="V8">
        <v>1</v>
      </c>
    </row>
    <row r="9" spans="1:22" x14ac:dyDescent="0.3">
      <c r="A9">
        <v>7</v>
      </c>
      <c r="B9">
        <v>40544</v>
      </c>
      <c r="C9">
        <v>1</v>
      </c>
      <c r="D9">
        <v>0</v>
      </c>
      <c r="E9">
        <v>1</v>
      </c>
      <c r="F9">
        <v>6</v>
      </c>
      <c r="G9" t="b">
        <v>0</v>
      </c>
      <c r="H9">
        <v>6</v>
      </c>
      <c r="I9">
        <v>1</v>
      </c>
      <c r="J9">
        <v>0.22</v>
      </c>
      <c r="K9">
        <v>0.2727</v>
      </c>
      <c r="L9">
        <v>0.8</v>
      </c>
      <c r="M9">
        <v>0</v>
      </c>
      <c r="N9">
        <v>2</v>
      </c>
      <c r="O9">
        <v>0</v>
      </c>
      <c r="P9">
        <v>2</v>
      </c>
      <c r="Q9">
        <v>0.2727</v>
      </c>
      <c r="R9">
        <v>0.8</v>
      </c>
      <c r="S9">
        <v>0</v>
      </c>
      <c r="T9">
        <v>2</v>
      </c>
      <c r="U9">
        <v>0</v>
      </c>
      <c r="V9">
        <v>2</v>
      </c>
    </row>
    <row r="10" spans="1:22" x14ac:dyDescent="0.3">
      <c r="A10">
        <v>8</v>
      </c>
      <c r="B10">
        <v>40544</v>
      </c>
      <c r="C10">
        <v>1</v>
      </c>
      <c r="D10">
        <v>0</v>
      </c>
      <c r="E10">
        <v>1</v>
      </c>
      <c r="F10">
        <v>7</v>
      </c>
      <c r="G10" t="b">
        <v>0</v>
      </c>
      <c r="H10">
        <v>6</v>
      </c>
      <c r="I10">
        <v>1</v>
      </c>
      <c r="J10">
        <v>0.2</v>
      </c>
      <c r="K10">
        <v>0.2576</v>
      </c>
      <c r="L10">
        <v>0.86</v>
      </c>
      <c r="M10">
        <v>0</v>
      </c>
      <c r="N10">
        <v>1</v>
      </c>
      <c r="O10">
        <v>2</v>
      </c>
      <c r="P10">
        <v>3</v>
      </c>
      <c r="Q10">
        <v>0.2576</v>
      </c>
      <c r="R10">
        <v>0.86</v>
      </c>
      <c r="S10">
        <v>0</v>
      </c>
      <c r="T10">
        <v>1</v>
      </c>
      <c r="U10">
        <v>2</v>
      </c>
      <c r="V10">
        <v>3</v>
      </c>
    </row>
    <row r="11" spans="1:22" x14ac:dyDescent="0.3">
      <c r="A11">
        <v>9</v>
      </c>
      <c r="B11">
        <v>40544</v>
      </c>
      <c r="C11">
        <v>1</v>
      </c>
      <c r="D11">
        <v>0</v>
      </c>
      <c r="E11">
        <v>1</v>
      </c>
      <c r="F11">
        <v>8</v>
      </c>
      <c r="G11" t="b">
        <v>0</v>
      </c>
      <c r="H11">
        <v>6</v>
      </c>
      <c r="I11">
        <v>1</v>
      </c>
      <c r="J11">
        <v>0.24</v>
      </c>
      <c r="L11">
        <v>0.75</v>
      </c>
      <c r="M11">
        <v>0</v>
      </c>
      <c r="N11">
        <v>1</v>
      </c>
      <c r="O11">
        <v>7</v>
      </c>
      <c r="P11">
        <v>8</v>
      </c>
      <c r="R11">
        <v>0.75</v>
      </c>
      <c r="S11">
        <v>0</v>
      </c>
      <c r="T11">
        <v>1</v>
      </c>
      <c r="U11">
        <v>7</v>
      </c>
      <c r="V11">
        <v>8</v>
      </c>
    </row>
    <row r="12" spans="1:22" x14ac:dyDescent="0.3">
      <c r="A12">
        <v>10</v>
      </c>
      <c r="B12">
        <v>40544</v>
      </c>
      <c r="C12">
        <v>1</v>
      </c>
      <c r="D12">
        <v>0</v>
      </c>
      <c r="E12">
        <v>1</v>
      </c>
      <c r="F12">
        <v>9</v>
      </c>
      <c r="G12" t="b">
        <v>0</v>
      </c>
      <c r="H12">
        <v>6</v>
      </c>
      <c r="I12">
        <v>1</v>
      </c>
      <c r="J12">
        <v>0.32</v>
      </c>
      <c r="K12">
        <v>0.34849999999999998</v>
      </c>
      <c r="L12">
        <v>0.76</v>
      </c>
      <c r="M12">
        <v>0</v>
      </c>
      <c r="N12">
        <v>8</v>
      </c>
      <c r="O12">
        <v>6</v>
      </c>
      <c r="P12">
        <v>14</v>
      </c>
      <c r="Q12">
        <v>0.34849999999999998</v>
      </c>
      <c r="R12">
        <v>0.76</v>
      </c>
      <c r="S12">
        <v>0</v>
      </c>
      <c r="T12">
        <v>8</v>
      </c>
      <c r="U12">
        <v>6</v>
      </c>
      <c r="V12">
        <v>14</v>
      </c>
    </row>
    <row r="13" spans="1:22" x14ac:dyDescent="0.3">
      <c r="A13">
        <v>11</v>
      </c>
      <c r="B13">
        <v>40544</v>
      </c>
      <c r="C13">
        <v>1</v>
      </c>
      <c r="D13">
        <v>0</v>
      </c>
      <c r="E13">
        <v>1</v>
      </c>
      <c r="F13">
        <v>10</v>
      </c>
      <c r="G13" t="b">
        <v>0</v>
      </c>
      <c r="H13">
        <v>6</v>
      </c>
      <c r="I13">
        <v>1</v>
      </c>
      <c r="J13">
        <v>0.38</v>
      </c>
      <c r="K13">
        <v>0.39389999999999997</v>
      </c>
      <c r="L13">
        <v>0.76</v>
      </c>
      <c r="M13">
        <v>0.25369999999999998</v>
      </c>
      <c r="N13">
        <v>12</v>
      </c>
      <c r="O13">
        <v>24</v>
      </c>
      <c r="P13">
        <v>36</v>
      </c>
      <c r="Q13">
        <v>0.39389999999999997</v>
      </c>
      <c r="R13">
        <v>0.76</v>
      </c>
      <c r="S13">
        <v>0.25369999999999998</v>
      </c>
      <c r="T13">
        <v>12</v>
      </c>
      <c r="U13">
        <v>24</v>
      </c>
      <c r="V13">
        <v>36</v>
      </c>
    </row>
    <row r="14" spans="1:22" x14ac:dyDescent="0.3">
      <c r="A14">
        <v>12</v>
      </c>
      <c r="B14">
        <v>40544</v>
      </c>
      <c r="C14">
        <v>1</v>
      </c>
      <c r="D14">
        <v>0</v>
      </c>
      <c r="E14">
        <v>1</v>
      </c>
      <c r="F14">
        <v>11</v>
      </c>
      <c r="G14" t="b">
        <v>0</v>
      </c>
      <c r="H14">
        <v>6</v>
      </c>
      <c r="I14">
        <v>1</v>
      </c>
      <c r="J14">
        <v>0.36</v>
      </c>
      <c r="K14">
        <v>0.33329999999999999</v>
      </c>
      <c r="L14">
        <v>0.81</v>
      </c>
      <c r="M14">
        <v>0.28360000000000002</v>
      </c>
      <c r="N14">
        <v>26</v>
      </c>
      <c r="O14">
        <v>30</v>
      </c>
      <c r="P14">
        <v>56</v>
      </c>
      <c r="Q14">
        <v>0.33329999999999999</v>
      </c>
      <c r="R14">
        <v>0.81</v>
      </c>
      <c r="S14">
        <v>0.28360000000000002</v>
      </c>
      <c r="T14">
        <v>26</v>
      </c>
      <c r="U14">
        <v>30</v>
      </c>
      <c r="V14">
        <v>56</v>
      </c>
    </row>
    <row r="15" spans="1:22" x14ac:dyDescent="0.3">
      <c r="A15">
        <v>13</v>
      </c>
      <c r="B15">
        <v>40544</v>
      </c>
      <c r="C15">
        <v>1</v>
      </c>
      <c r="D15">
        <v>0</v>
      </c>
      <c r="E15">
        <v>1</v>
      </c>
      <c r="F15">
        <v>12</v>
      </c>
      <c r="G15" t="b">
        <v>0</v>
      </c>
      <c r="H15">
        <v>6</v>
      </c>
      <c r="I15">
        <v>1</v>
      </c>
      <c r="J15">
        <v>0.42</v>
      </c>
      <c r="K15">
        <v>0.42420000000000002</v>
      </c>
      <c r="L15">
        <v>0.77</v>
      </c>
      <c r="M15">
        <v>0.28360000000000002</v>
      </c>
      <c r="N15">
        <v>29</v>
      </c>
      <c r="O15">
        <v>55</v>
      </c>
      <c r="P15">
        <v>84</v>
      </c>
      <c r="Q15">
        <v>0.42420000000000002</v>
      </c>
      <c r="R15">
        <v>0.77</v>
      </c>
      <c r="S15">
        <v>0.28360000000000002</v>
      </c>
      <c r="T15">
        <v>29</v>
      </c>
      <c r="U15">
        <v>55</v>
      </c>
      <c r="V15">
        <v>84</v>
      </c>
    </row>
    <row r="16" spans="1:22" x14ac:dyDescent="0.3">
      <c r="A16">
        <v>14</v>
      </c>
      <c r="B16">
        <v>40544</v>
      </c>
      <c r="C16">
        <v>1</v>
      </c>
      <c r="D16">
        <v>0</v>
      </c>
      <c r="E16">
        <v>1</v>
      </c>
      <c r="F16">
        <v>13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0.29849999999999999</v>
      </c>
      <c r="N16">
        <v>47</v>
      </c>
      <c r="O16">
        <v>47</v>
      </c>
      <c r="P16">
        <v>94</v>
      </c>
      <c r="Q16">
        <v>0.45450000000000002</v>
      </c>
      <c r="R16">
        <v>0.72</v>
      </c>
      <c r="S16">
        <v>0.29849999999999999</v>
      </c>
      <c r="T16">
        <v>47</v>
      </c>
      <c r="U16">
        <v>47</v>
      </c>
      <c r="V16">
        <v>94</v>
      </c>
    </row>
    <row r="17" spans="1:22" x14ac:dyDescent="0.3">
      <c r="A17">
        <v>15</v>
      </c>
      <c r="B17">
        <v>40544</v>
      </c>
      <c r="C17">
        <v>1</v>
      </c>
      <c r="D17">
        <v>0</v>
      </c>
      <c r="E17">
        <v>1</v>
      </c>
      <c r="F17">
        <v>14</v>
      </c>
      <c r="G17" t="b">
        <v>0</v>
      </c>
      <c r="H17">
        <v>6</v>
      </c>
      <c r="I17">
        <v>2</v>
      </c>
      <c r="J17">
        <v>0.46</v>
      </c>
      <c r="K17">
        <v>0.45450000000000002</v>
      </c>
      <c r="L17">
        <v>0.72</v>
      </c>
      <c r="M17">
        <v>0.28360000000000002</v>
      </c>
      <c r="N17">
        <v>35</v>
      </c>
      <c r="O17">
        <v>71</v>
      </c>
      <c r="P17">
        <v>106</v>
      </c>
      <c r="Q17">
        <v>0.45450000000000002</v>
      </c>
      <c r="R17">
        <v>0.72</v>
      </c>
      <c r="S17">
        <v>0.28360000000000002</v>
      </c>
      <c r="T17">
        <v>35</v>
      </c>
      <c r="U17">
        <v>71</v>
      </c>
      <c r="V17">
        <v>106</v>
      </c>
    </row>
    <row r="18" spans="1:22" x14ac:dyDescent="0.3">
      <c r="A18">
        <v>16</v>
      </c>
      <c r="B18">
        <v>40544</v>
      </c>
      <c r="C18">
        <v>1</v>
      </c>
      <c r="D18">
        <v>0</v>
      </c>
      <c r="E18">
        <v>1</v>
      </c>
      <c r="F18">
        <v>15</v>
      </c>
      <c r="G18" t="b">
        <v>0</v>
      </c>
      <c r="H18">
        <v>6</v>
      </c>
      <c r="I18">
        <v>2</v>
      </c>
      <c r="J18">
        <v>0.44</v>
      </c>
      <c r="K18">
        <v>0.43940000000000001</v>
      </c>
      <c r="L18">
        <v>0.77</v>
      </c>
      <c r="M18">
        <v>0.29849999999999999</v>
      </c>
      <c r="N18">
        <v>40</v>
      </c>
      <c r="O18">
        <v>70</v>
      </c>
      <c r="P18">
        <v>110</v>
      </c>
      <c r="Q18">
        <v>0.43940000000000001</v>
      </c>
      <c r="R18">
        <v>0.77</v>
      </c>
      <c r="S18">
        <v>0.29849999999999999</v>
      </c>
      <c r="T18">
        <v>40</v>
      </c>
      <c r="U18">
        <v>70</v>
      </c>
      <c r="V18">
        <v>110</v>
      </c>
    </row>
    <row r="19" spans="1:22" x14ac:dyDescent="0.3">
      <c r="A19">
        <v>17</v>
      </c>
      <c r="B19">
        <v>40544</v>
      </c>
      <c r="C19">
        <v>1</v>
      </c>
      <c r="D19">
        <v>0</v>
      </c>
      <c r="E19">
        <v>1</v>
      </c>
      <c r="F19">
        <v>16</v>
      </c>
      <c r="G19" t="b">
        <v>0</v>
      </c>
      <c r="H19">
        <v>6</v>
      </c>
      <c r="I19">
        <v>2</v>
      </c>
      <c r="J19">
        <v>0.42</v>
      </c>
      <c r="K19">
        <v>0.42420000000000002</v>
      </c>
      <c r="L19">
        <v>0.82</v>
      </c>
      <c r="M19">
        <v>0.29849999999999999</v>
      </c>
      <c r="N19">
        <v>41</v>
      </c>
      <c r="O19">
        <v>52</v>
      </c>
      <c r="P19">
        <v>93</v>
      </c>
      <c r="Q19">
        <v>0.42420000000000002</v>
      </c>
      <c r="R19">
        <v>0.82</v>
      </c>
      <c r="S19">
        <v>0.29849999999999999</v>
      </c>
      <c r="T19">
        <v>41</v>
      </c>
      <c r="U19">
        <v>52</v>
      </c>
      <c r="V19">
        <v>93</v>
      </c>
    </row>
    <row r="20" spans="1:22" x14ac:dyDescent="0.3">
      <c r="A20">
        <v>18</v>
      </c>
      <c r="B20">
        <v>40544</v>
      </c>
      <c r="C20">
        <v>1</v>
      </c>
      <c r="D20">
        <v>0</v>
      </c>
      <c r="E20">
        <v>1</v>
      </c>
      <c r="F20">
        <v>17</v>
      </c>
      <c r="G20" t="b">
        <v>0</v>
      </c>
      <c r="H20">
        <v>6</v>
      </c>
      <c r="I20">
        <v>2</v>
      </c>
      <c r="J20">
        <v>0.44</v>
      </c>
      <c r="L20">
        <v>0.82</v>
      </c>
      <c r="M20">
        <v>0.28360000000000002</v>
      </c>
      <c r="N20">
        <v>15</v>
      </c>
      <c r="O20">
        <v>52</v>
      </c>
      <c r="P20">
        <v>67</v>
      </c>
      <c r="R20">
        <v>0.82</v>
      </c>
      <c r="S20">
        <v>0.28360000000000002</v>
      </c>
      <c r="T20">
        <v>15</v>
      </c>
      <c r="U20">
        <v>52</v>
      </c>
      <c r="V20">
        <v>67</v>
      </c>
    </row>
    <row r="21" spans="1:22" x14ac:dyDescent="0.3">
      <c r="A21">
        <v>19</v>
      </c>
      <c r="B21">
        <v>40544</v>
      </c>
      <c r="C21">
        <v>1</v>
      </c>
      <c r="D21">
        <v>0</v>
      </c>
      <c r="E21">
        <v>1</v>
      </c>
      <c r="F21">
        <v>18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9</v>
      </c>
      <c r="O21">
        <v>26</v>
      </c>
      <c r="P21">
        <v>35</v>
      </c>
      <c r="Q21">
        <v>0.42420000000000002</v>
      </c>
      <c r="R21">
        <v>0.88</v>
      </c>
      <c r="S21">
        <v>0.25369999999999998</v>
      </c>
      <c r="T21">
        <v>9</v>
      </c>
      <c r="U21">
        <v>26</v>
      </c>
      <c r="V21">
        <v>35</v>
      </c>
    </row>
    <row r="22" spans="1:22" x14ac:dyDescent="0.3">
      <c r="A22">
        <v>20</v>
      </c>
      <c r="B22">
        <v>40544</v>
      </c>
      <c r="C22">
        <v>1</v>
      </c>
      <c r="D22">
        <v>0</v>
      </c>
      <c r="E22">
        <v>1</v>
      </c>
      <c r="F22">
        <v>19</v>
      </c>
      <c r="G22" t="b">
        <v>0</v>
      </c>
      <c r="H22">
        <v>6</v>
      </c>
      <c r="I22">
        <v>3</v>
      </c>
      <c r="J22">
        <v>0.42</v>
      </c>
      <c r="K22">
        <v>0.42420000000000002</v>
      </c>
      <c r="L22">
        <v>0.88</v>
      </c>
      <c r="M22">
        <v>0.25369999999999998</v>
      </c>
      <c r="N22">
        <v>6</v>
      </c>
      <c r="O22">
        <v>31</v>
      </c>
      <c r="P22">
        <v>37</v>
      </c>
      <c r="Q22">
        <v>0.42420000000000002</v>
      </c>
      <c r="R22">
        <v>0.88</v>
      </c>
      <c r="S22">
        <v>0.25369999999999998</v>
      </c>
      <c r="T22">
        <v>6</v>
      </c>
      <c r="U22">
        <v>31</v>
      </c>
      <c r="V22">
        <v>37</v>
      </c>
    </row>
    <row r="23" spans="1:22" x14ac:dyDescent="0.3">
      <c r="A23">
        <v>21</v>
      </c>
      <c r="B23">
        <v>40544</v>
      </c>
      <c r="C23">
        <v>1</v>
      </c>
      <c r="D23">
        <v>0</v>
      </c>
      <c r="E23">
        <v>1</v>
      </c>
      <c r="F23">
        <v>20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0.25369999999999998</v>
      </c>
      <c r="N23">
        <v>11</v>
      </c>
      <c r="O23">
        <v>25</v>
      </c>
      <c r="P23">
        <v>36</v>
      </c>
      <c r="Q23">
        <v>0.40910000000000002</v>
      </c>
      <c r="R23">
        <v>0.87</v>
      </c>
      <c r="S23">
        <v>0.25369999999999998</v>
      </c>
      <c r="T23">
        <v>11</v>
      </c>
      <c r="U23">
        <v>25</v>
      </c>
      <c r="V23">
        <v>36</v>
      </c>
    </row>
    <row r="24" spans="1:22" x14ac:dyDescent="0.3">
      <c r="A24">
        <v>22</v>
      </c>
      <c r="B24">
        <v>40544</v>
      </c>
      <c r="C24">
        <v>1</v>
      </c>
      <c r="D24">
        <v>0</v>
      </c>
      <c r="E24">
        <v>1</v>
      </c>
      <c r="F24">
        <v>21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0.87</v>
      </c>
      <c r="M24">
        <v>0.19400000000000001</v>
      </c>
      <c r="N24">
        <v>3</v>
      </c>
      <c r="O24">
        <v>31</v>
      </c>
      <c r="P24">
        <v>34</v>
      </c>
      <c r="Q24">
        <v>0.40910000000000002</v>
      </c>
      <c r="R24">
        <v>0.87</v>
      </c>
      <c r="S24">
        <v>0.19400000000000001</v>
      </c>
      <c r="T24">
        <v>3</v>
      </c>
      <c r="U24">
        <v>31</v>
      </c>
      <c r="V24">
        <v>34</v>
      </c>
    </row>
    <row r="25" spans="1:22" x14ac:dyDescent="0.3">
      <c r="A25">
        <v>23</v>
      </c>
      <c r="B25">
        <v>40544</v>
      </c>
      <c r="C25">
        <v>1</v>
      </c>
      <c r="D25">
        <v>0</v>
      </c>
      <c r="E25">
        <v>1</v>
      </c>
      <c r="F25">
        <v>22</v>
      </c>
      <c r="G25" t="b">
        <v>0</v>
      </c>
      <c r="H25">
        <v>6</v>
      </c>
      <c r="I25">
        <v>2</v>
      </c>
      <c r="J25">
        <v>0.4</v>
      </c>
      <c r="K25">
        <v>0.40910000000000002</v>
      </c>
      <c r="L25">
        <v>0.94</v>
      </c>
      <c r="M25">
        <v>0.22389999999999999</v>
      </c>
      <c r="N25">
        <v>11</v>
      </c>
      <c r="O25">
        <v>17</v>
      </c>
      <c r="P25">
        <v>28</v>
      </c>
      <c r="Q25">
        <v>0.40910000000000002</v>
      </c>
      <c r="R25">
        <v>0.94</v>
      </c>
      <c r="S25">
        <v>0.22389999999999999</v>
      </c>
      <c r="T25">
        <v>11</v>
      </c>
      <c r="U25">
        <v>17</v>
      </c>
      <c r="V25">
        <v>28</v>
      </c>
    </row>
    <row r="26" spans="1:22" x14ac:dyDescent="0.3">
      <c r="A26">
        <v>24</v>
      </c>
      <c r="B26">
        <v>40544</v>
      </c>
      <c r="C26">
        <v>1</v>
      </c>
      <c r="D26">
        <v>0</v>
      </c>
      <c r="E26">
        <v>1</v>
      </c>
      <c r="F26">
        <v>23</v>
      </c>
      <c r="G26" t="b">
        <v>0</v>
      </c>
      <c r="H26">
        <v>6</v>
      </c>
      <c r="I26">
        <v>2</v>
      </c>
      <c r="J26">
        <v>0.46</v>
      </c>
      <c r="L26">
        <v>0.88</v>
      </c>
      <c r="M26">
        <v>0.29849999999999999</v>
      </c>
      <c r="N26">
        <v>15</v>
      </c>
      <c r="O26">
        <v>24</v>
      </c>
      <c r="P26">
        <v>39</v>
      </c>
      <c r="R26">
        <v>0.88</v>
      </c>
      <c r="S26">
        <v>0.29849999999999999</v>
      </c>
      <c r="T26">
        <v>15</v>
      </c>
      <c r="U26">
        <v>24</v>
      </c>
      <c r="V26">
        <v>39</v>
      </c>
    </row>
    <row r="27" spans="1:22" x14ac:dyDescent="0.3">
      <c r="A27">
        <v>25</v>
      </c>
      <c r="B27">
        <v>40545</v>
      </c>
      <c r="C27">
        <v>1</v>
      </c>
      <c r="D27">
        <v>0</v>
      </c>
      <c r="E27">
        <v>1</v>
      </c>
      <c r="F27">
        <v>0</v>
      </c>
      <c r="G27" t="b">
        <v>0</v>
      </c>
      <c r="H27">
        <v>0</v>
      </c>
      <c r="I27">
        <v>2</v>
      </c>
      <c r="J27">
        <v>0.46</v>
      </c>
      <c r="K27">
        <v>0.45450000000000002</v>
      </c>
      <c r="L27">
        <v>0.88</v>
      </c>
      <c r="M27">
        <v>0.29849999999999999</v>
      </c>
      <c r="N27">
        <v>4</v>
      </c>
      <c r="O27">
        <v>13</v>
      </c>
      <c r="P27">
        <v>17</v>
      </c>
      <c r="Q27">
        <v>0.45450000000000002</v>
      </c>
      <c r="R27">
        <v>0.88</v>
      </c>
      <c r="S27">
        <v>0.29849999999999999</v>
      </c>
      <c r="T27">
        <v>4</v>
      </c>
      <c r="U27">
        <v>13</v>
      </c>
      <c r="V27">
        <v>17</v>
      </c>
    </row>
    <row r="28" spans="1:22" x14ac:dyDescent="0.3">
      <c r="A28">
        <v>26</v>
      </c>
      <c r="B28">
        <v>40545</v>
      </c>
      <c r="C28">
        <v>1</v>
      </c>
      <c r="D28">
        <v>0</v>
      </c>
      <c r="E28">
        <v>1</v>
      </c>
      <c r="F28">
        <v>1</v>
      </c>
      <c r="G28" t="b">
        <v>0</v>
      </c>
      <c r="H28">
        <v>0</v>
      </c>
      <c r="I28">
        <v>2</v>
      </c>
      <c r="J28">
        <v>0.44</v>
      </c>
      <c r="K28">
        <v>0.43940000000000001</v>
      </c>
      <c r="L28">
        <v>0.94</v>
      </c>
      <c r="M28">
        <v>0.25369999999999998</v>
      </c>
      <c r="N28">
        <v>1</v>
      </c>
      <c r="O28">
        <v>16</v>
      </c>
      <c r="P28">
        <v>17</v>
      </c>
      <c r="Q28">
        <v>0.43940000000000001</v>
      </c>
      <c r="R28">
        <v>0.94</v>
      </c>
      <c r="S28">
        <v>0.25369999999999998</v>
      </c>
      <c r="T28">
        <v>1</v>
      </c>
      <c r="U28">
        <v>16</v>
      </c>
      <c r="V28">
        <v>17</v>
      </c>
    </row>
    <row r="29" spans="1:22" x14ac:dyDescent="0.3">
      <c r="A29">
        <v>27</v>
      </c>
      <c r="B29">
        <v>40545</v>
      </c>
      <c r="C29">
        <v>1</v>
      </c>
      <c r="D29">
        <v>0</v>
      </c>
      <c r="E29">
        <v>1</v>
      </c>
      <c r="F29">
        <v>2</v>
      </c>
      <c r="G29" t="b">
        <v>0</v>
      </c>
      <c r="H29">
        <v>0</v>
      </c>
      <c r="I29">
        <v>2</v>
      </c>
      <c r="J29">
        <v>0.42</v>
      </c>
      <c r="K29">
        <v>0.42420000000000002</v>
      </c>
      <c r="L29">
        <v>1</v>
      </c>
      <c r="M29">
        <v>0.28360000000000002</v>
      </c>
      <c r="N29">
        <v>1</v>
      </c>
      <c r="O29">
        <v>8</v>
      </c>
      <c r="P29">
        <v>9</v>
      </c>
      <c r="Q29">
        <v>0.42420000000000002</v>
      </c>
      <c r="R29">
        <v>1</v>
      </c>
      <c r="S29">
        <v>0.28360000000000002</v>
      </c>
      <c r="T29">
        <v>1</v>
      </c>
      <c r="U29">
        <v>8</v>
      </c>
      <c r="V29">
        <v>9</v>
      </c>
    </row>
    <row r="30" spans="1:22" x14ac:dyDescent="0.3">
      <c r="A30">
        <v>28</v>
      </c>
      <c r="B30">
        <v>40545</v>
      </c>
      <c r="C30">
        <v>1</v>
      </c>
      <c r="D30">
        <v>0</v>
      </c>
      <c r="E30">
        <v>1</v>
      </c>
      <c r="F30">
        <v>3</v>
      </c>
      <c r="G30" t="b">
        <v>0</v>
      </c>
      <c r="H30">
        <v>0</v>
      </c>
      <c r="I30">
        <v>2</v>
      </c>
      <c r="J30">
        <v>0.46</v>
      </c>
      <c r="K30">
        <v>0.45450000000000002</v>
      </c>
      <c r="L30">
        <v>0.94</v>
      </c>
      <c r="M30">
        <v>0.19400000000000001</v>
      </c>
      <c r="N30">
        <v>2</v>
      </c>
      <c r="O30">
        <v>4</v>
      </c>
      <c r="P30">
        <v>6</v>
      </c>
      <c r="Q30">
        <v>0.45450000000000002</v>
      </c>
      <c r="R30">
        <v>0.94</v>
      </c>
      <c r="S30">
        <v>0.19400000000000001</v>
      </c>
      <c r="T30">
        <v>2</v>
      </c>
      <c r="U30">
        <v>4</v>
      </c>
      <c r="V30">
        <v>6</v>
      </c>
    </row>
    <row r="31" spans="1:22" x14ac:dyDescent="0.3">
      <c r="A31">
        <v>29</v>
      </c>
      <c r="B31">
        <v>40545</v>
      </c>
      <c r="C31">
        <v>1</v>
      </c>
      <c r="D31">
        <v>0</v>
      </c>
      <c r="E31">
        <v>1</v>
      </c>
      <c r="F31">
        <v>4</v>
      </c>
      <c r="G31" t="b">
        <v>0</v>
      </c>
      <c r="H31">
        <v>0</v>
      </c>
      <c r="I31">
        <v>2</v>
      </c>
      <c r="J31">
        <v>0.46</v>
      </c>
      <c r="L31">
        <v>0.94</v>
      </c>
      <c r="M31">
        <v>0.19400000000000001</v>
      </c>
      <c r="N31">
        <v>2</v>
      </c>
      <c r="O31">
        <v>1</v>
      </c>
      <c r="P31">
        <v>3</v>
      </c>
      <c r="R31">
        <v>0.94</v>
      </c>
      <c r="S31">
        <v>0.19400000000000001</v>
      </c>
      <c r="T31">
        <v>2</v>
      </c>
      <c r="U31">
        <v>1</v>
      </c>
      <c r="V31">
        <v>3</v>
      </c>
    </row>
    <row r="32" spans="1:22" x14ac:dyDescent="0.3">
      <c r="A32">
        <v>30</v>
      </c>
      <c r="B32">
        <v>40545</v>
      </c>
      <c r="C32">
        <v>1</v>
      </c>
      <c r="D32">
        <v>0</v>
      </c>
      <c r="E32">
        <v>1</v>
      </c>
      <c r="F32">
        <v>6</v>
      </c>
      <c r="G32" t="b">
        <v>0</v>
      </c>
      <c r="H32">
        <v>0</v>
      </c>
      <c r="I32">
        <v>3</v>
      </c>
      <c r="J32">
        <v>0.42</v>
      </c>
      <c r="K32">
        <v>0.42420000000000002</v>
      </c>
      <c r="L32">
        <v>0.77</v>
      </c>
      <c r="M32">
        <v>0.29849999999999999</v>
      </c>
      <c r="N32">
        <v>0</v>
      </c>
      <c r="O32">
        <v>2</v>
      </c>
      <c r="P32">
        <v>2</v>
      </c>
      <c r="Q32">
        <v>0.42420000000000002</v>
      </c>
      <c r="R32">
        <v>0.77</v>
      </c>
      <c r="S32">
        <v>0.29849999999999999</v>
      </c>
      <c r="T32">
        <v>0</v>
      </c>
      <c r="U32">
        <v>2</v>
      </c>
      <c r="V32">
        <v>2</v>
      </c>
    </row>
    <row r="33" spans="1:22" x14ac:dyDescent="0.3">
      <c r="A33">
        <v>31</v>
      </c>
      <c r="B33">
        <v>40545</v>
      </c>
      <c r="C33">
        <v>1</v>
      </c>
      <c r="D33">
        <v>0</v>
      </c>
      <c r="E33">
        <v>1</v>
      </c>
      <c r="F33">
        <v>7</v>
      </c>
      <c r="G33" t="b">
        <v>0</v>
      </c>
      <c r="H33">
        <v>0</v>
      </c>
      <c r="I33">
        <v>2</v>
      </c>
      <c r="J33">
        <v>0.4</v>
      </c>
      <c r="K33">
        <v>0.40910000000000002</v>
      </c>
      <c r="L33">
        <v>0.76</v>
      </c>
      <c r="M33">
        <v>0.19400000000000001</v>
      </c>
      <c r="N33">
        <v>0</v>
      </c>
      <c r="O33">
        <v>1</v>
      </c>
      <c r="P33">
        <v>1</v>
      </c>
      <c r="Q33">
        <v>0.40910000000000002</v>
      </c>
      <c r="R33">
        <v>0.76</v>
      </c>
      <c r="S33">
        <v>0.19400000000000001</v>
      </c>
      <c r="T33">
        <v>0</v>
      </c>
      <c r="U33">
        <v>1</v>
      </c>
      <c r="V33">
        <v>1</v>
      </c>
    </row>
    <row r="34" spans="1:22" x14ac:dyDescent="0.3">
      <c r="A34">
        <v>32</v>
      </c>
      <c r="B34">
        <v>40545</v>
      </c>
      <c r="C34">
        <v>1</v>
      </c>
      <c r="D34">
        <v>0</v>
      </c>
      <c r="E34">
        <v>1</v>
      </c>
      <c r="F34">
        <v>8</v>
      </c>
      <c r="G34" t="b">
        <v>0</v>
      </c>
      <c r="H34">
        <v>0</v>
      </c>
      <c r="I34">
        <v>3</v>
      </c>
      <c r="J34">
        <v>0.4</v>
      </c>
      <c r="K34">
        <v>0.40910000000000002</v>
      </c>
      <c r="L34">
        <v>0.71</v>
      </c>
      <c r="M34">
        <v>0.22389999999999999</v>
      </c>
      <c r="N34">
        <v>0</v>
      </c>
      <c r="O34">
        <v>8</v>
      </c>
      <c r="P34">
        <v>8</v>
      </c>
      <c r="Q34">
        <v>0.40910000000000002</v>
      </c>
      <c r="R34">
        <v>0.71</v>
      </c>
      <c r="S34">
        <v>0.22389999999999999</v>
      </c>
      <c r="T34">
        <v>0</v>
      </c>
      <c r="U34">
        <v>8</v>
      </c>
      <c r="V34">
        <v>8</v>
      </c>
    </row>
    <row r="35" spans="1:22" x14ac:dyDescent="0.3">
      <c r="A35">
        <v>33</v>
      </c>
      <c r="B35">
        <v>40545</v>
      </c>
      <c r="C35">
        <v>1</v>
      </c>
      <c r="D35">
        <v>0</v>
      </c>
      <c r="E35">
        <v>1</v>
      </c>
      <c r="F35">
        <v>9</v>
      </c>
      <c r="G35" t="b">
        <v>0</v>
      </c>
      <c r="H35">
        <v>0</v>
      </c>
      <c r="I35">
        <v>2</v>
      </c>
      <c r="J35">
        <v>0.38</v>
      </c>
      <c r="L35">
        <v>0.76</v>
      </c>
      <c r="M35">
        <v>0.22389999999999999</v>
      </c>
      <c r="N35">
        <v>1</v>
      </c>
      <c r="O35">
        <v>19</v>
      </c>
      <c r="P35">
        <v>20</v>
      </c>
      <c r="R35">
        <v>0.76</v>
      </c>
      <c r="S35">
        <v>0.22389999999999999</v>
      </c>
      <c r="T35">
        <v>1</v>
      </c>
      <c r="U35">
        <v>19</v>
      </c>
      <c r="V35">
        <v>20</v>
      </c>
    </row>
    <row r="36" spans="1:22" x14ac:dyDescent="0.3">
      <c r="A36">
        <v>34</v>
      </c>
      <c r="B36">
        <v>40545</v>
      </c>
      <c r="C36">
        <v>1</v>
      </c>
      <c r="D36">
        <v>0</v>
      </c>
      <c r="E36">
        <v>1</v>
      </c>
      <c r="F36">
        <v>10</v>
      </c>
      <c r="G36" t="b">
        <v>0</v>
      </c>
      <c r="H36">
        <v>0</v>
      </c>
      <c r="I36">
        <v>2</v>
      </c>
      <c r="J36">
        <v>0.36</v>
      </c>
      <c r="K36">
        <v>0.34849999999999998</v>
      </c>
      <c r="L36">
        <v>0.81</v>
      </c>
      <c r="M36">
        <v>0.22389999999999999</v>
      </c>
      <c r="N36">
        <v>7</v>
      </c>
      <c r="O36">
        <v>46</v>
      </c>
      <c r="P36">
        <v>53</v>
      </c>
      <c r="Q36">
        <v>0.34849999999999998</v>
      </c>
      <c r="R36">
        <v>0.81</v>
      </c>
      <c r="S36">
        <v>0.22389999999999999</v>
      </c>
      <c r="T36">
        <v>7</v>
      </c>
      <c r="U36">
        <v>46</v>
      </c>
      <c r="V36">
        <v>53</v>
      </c>
    </row>
    <row r="37" spans="1:22" x14ac:dyDescent="0.3">
      <c r="A37">
        <v>35</v>
      </c>
      <c r="B37">
        <v>40545</v>
      </c>
      <c r="C37">
        <v>1</v>
      </c>
      <c r="D37">
        <v>0</v>
      </c>
      <c r="E37">
        <v>1</v>
      </c>
      <c r="F37">
        <v>11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0.71</v>
      </c>
      <c r="M37">
        <v>0.25369999999999998</v>
      </c>
      <c r="N37">
        <v>16</v>
      </c>
      <c r="O37">
        <v>54</v>
      </c>
      <c r="P37">
        <v>70</v>
      </c>
      <c r="Q37">
        <v>0.33329999999999999</v>
      </c>
      <c r="R37">
        <v>0.71</v>
      </c>
      <c r="S37">
        <v>0.25369999999999998</v>
      </c>
      <c r="T37">
        <v>16</v>
      </c>
      <c r="U37">
        <v>54</v>
      </c>
      <c r="V37">
        <v>70</v>
      </c>
    </row>
    <row r="38" spans="1:22" x14ac:dyDescent="0.3">
      <c r="A38">
        <v>36</v>
      </c>
      <c r="B38">
        <v>40545</v>
      </c>
      <c r="C38">
        <v>1</v>
      </c>
      <c r="D38">
        <v>0</v>
      </c>
      <c r="E38">
        <v>1</v>
      </c>
      <c r="F38">
        <v>12</v>
      </c>
      <c r="G38" t="b">
        <v>0</v>
      </c>
      <c r="H38">
        <v>0</v>
      </c>
      <c r="I38">
        <v>2</v>
      </c>
      <c r="J38">
        <v>0.36</v>
      </c>
      <c r="K38">
        <v>0.33329999999999999</v>
      </c>
      <c r="L38">
        <v>0.66</v>
      </c>
      <c r="M38">
        <v>0.29849999999999999</v>
      </c>
      <c r="N38">
        <v>20</v>
      </c>
      <c r="O38">
        <v>73</v>
      </c>
      <c r="P38">
        <v>93</v>
      </c>
      <c r="Q38">
        <v>0.33329999999999999</v>
      </c>
      <c r="R38">
        <v>0.66</v>
      </c>
      <c r="S38">
        <v>0.29849999999999999</v>
      </c>
      <c r="T38">
        <v>20</v>
      </c>
      <c r="U38">
        <v>73</v>
      </c>
      <c r="V38">
        <v>93</v>
      </c>
    </row>
    <row r="39" spans="1:22" x14ac:dyDescent="0.3">
      <c r="A39">
        <v>37</v>
      </c>
      <c r="B39">
        <v>40545</v>
      </c>
      <c r="C39">
        <v>1</v>
      </c>
      <c r="D39">
        <v>0</v>
      </c>
      <c r="E39">
        <v>1</v>
      </c>
      <c r="F39">
        <v>13</v>
      </c>
      <c r="G39" t="b">
        <v>0</v>
      </c>
      <c r="H39">
        <v>0</v>
      </c>
      <c r="I39">
        <v>2</v>
      </c>
      <c r="J39">
        <v>0.36</v>
      </c>
      <c r="K39">
        <v>0.34849999999999998</v>
      </c>
      <c r="L39">
        <v>0.66</v>
      </c>
      <c r="M39">
        <v>0.1343</v>
      </c>
      <c r="N39">
        <v>11</v>
      </c>
      <c r="O39">
        <v>64</v>
      </c>
      <c r="P39">
        <v>75</v>
      </c>
      <c r="Q39">
        <v>0.34849999999999998</v>
      </c>
      <c r="R39">
        <v>0.66</v>
      </c>
      <c r="S39">
        <v>0.1343</v>
      </c>
      <c r="T39">
        <v>11</v>
      </c>
      <c r="U39">
        <v>64</v>
      </c>
      <c r="V39">
        <v>75</v>
      </c>
    </row>
    <row r="40" spans="1:22" x14ac:dyDescent="0.3">
      <c r="A40">
        <v>38</v>
      </c>
      <c r="B40">
        <v>40545</v>
      </c>
      <c r="C40">
        <v>1</v>
      </c>
      <c r="D40">
        <v>0</v>
      </c>
      <c r="E40">
        <v>1</v>
      </c>
      <c r="F40">
        <v>14</v>
      </c>
      <c r="G40" t="b">
        <v>0</v>
      </c>
      <c r="H40">
        <v>0</v>
      </c>
      <c r="I40">
        <v>3</v>
      </c>
      <c r="J40">
        <v>0.36</v>
      </c>
      <c r="L40">
        <v>0.76</v>
      </c>
      <c r="M40">
        <v>0.19400000000000001</v>
      </c>
      <c r="N40">
        <v>4</v>
      </c>
      <c r="O40">
        <v>55</v>
      </c>
      <c r="P40">
        <v>59</v>
      </c>
      <c r="R40">
        <v>0.76</v>
      </c>
      <c r="S40">
        <v>0.19400000000000001</v>
      </c>
      <c r="T40">
        <v>4</v>
      </c>
      <c r="U40">
        <v>55</v>
      </c>
      <c r="V40">
        <v>59</v>
      </c>
    </row>
    <row r="41" spans="1:22" x14ac:dyDescent="0.3">
      <c r="A41">
        <v>39</v>
      </c>
      <c r="B41">
        <v>40545</v>
      </c>
      <c r="C41">
        <v>1</v>
      </c>
      <c r="D41">
        <v>0</v>
      </c>
      <c r="E41">
        <v>1</v>
      </c>
      <c r="F41">
        <v>15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0.81</v>
      </c>
      <c r="M41">
        <v>0.16420000000000001</v>
      </c>
      <c r="N41">
        <v>19</v>
      </c>
      <c r="O41">
        <v>55</v>
      </c>
      <c r="P41">
        <v>74</v>
      </c>
      <c r="Q41">
        <v>0.33329999999999999</v>
      </c>
      <c r="R41">
        <v>0.81</v>
      </c>
      <c r="S41">
        <v>0.16420000000000001</v>
      </c>
      <c r="T41">
        <v>19</v>
      </c>
      <c r="U41">
        <v>55</v>
      </c>
      <c r="V41">
        <v>74</v>
      </c>
    </row>
    <row r="42" spans="1:22" x14ac:dyDescent="0.3">
      <c r="A42">
        <v>40</v>
      </c>
      <c r="B42">
        <v>40545</v>
      </c>
      <c r="C42">
        <v>1</v>
      </c>
      <c r="D42">
        <v>0</v>
      </c>
      <c r="E42">
        <v>1</v>
      </c>
      <c r="F42">
        <v>16</v>
      </c>
      <c r="G42" t="b">
        <v>0</v>
      </c>
      <c r="H42">
        <v>0</v>
      </c>
      <c r="I42">
        <v>3</v>
      </c>
      <c r="J42">
        <v>0.34</v>
      </c>
      <c r="K42">
        <v>0.33329999999999999</v>
      </c>
      <c r="L42">
        <v>0.71</v>
      </c>
      <c r="M42">
        <v>0.16420000000000001</v>
      </c>
      <c r="N42">
        <v>9</v>
      </c>
      <c r="O42">
        <v>67</v>
      </c>
      <c r="P42">
        <v>76</v>
      </c>
      <c r="Q42">
        <v>0.33329999999999999</v>
      </c>
      <c r="R42">
        <v>0.71</v>
      </c>
      <c r="S42">
        <v>0.16420000000000001</v>
      </c>
      <c r="T42">
        <v>9</v>
      </c>
      <c r="U42">
        <v>67</v>
      </c>
      <c r="V42">
        <v>76</v>
      </c>
    </row>
    <row r="43" spans="1:22" x14ac:dyDescent="0.3">
      <c r="A43">
        <v>41</v>
      </c>
      <c r="B43">
        <v>40545</v>
      </c>
      <c r="C43">
        <v>1</v>
      </c>
      <c r="D43">
        <v>0</v>
      </c>
      <c r="E43">
        <v>1</v>
      </c>
      <c r="F43">
        <v>17</v>
      </c>
      <c r="G43" t="b">
        <v>0</v>
      </c>
      <c r="H43">
        <v>0</v>
      </c>
      <c r="I43">
        <v>1</v>
      </c>
      <c r="J43">
        <v>0.34</v>
      </c>
      <c r="K43">
        <v>0.33329999999999999</v>
      </c>
      <c r="L43">
        <v>0.56999999999999995</v>
      </c>
      <c r="M43">
        <v>0.19400000000000001</v>
      </c>
      <c r="N43">
        <v>7</v>
      </c>
      <c r="O43">
        <v>58</v>
      </c>
      <c r="P43">
        <v>65</v>
      </c>
      <c r="Q43">
        <v>0.33329999999999999</v>
      </c>
      <c r="R43">
        <v>0.56999999999999995</v>
      </c>
      <c r="S43">
        <v>0.19400000000000001</v>
      </c>
      <c r="T43">
        <v>7</v>
      </c>
      <c r="U43">
        <v>58</v>
      </c>
      <c r="V43">
        <v>65</v>
      </c>
    </row>
    <row r="44" spans="1:22" x14ac:dyDescent="0.3">
      <c r="A44">
        <v>42</v>
      </c>
      <c r="B44">
        <v>40545</v>
      </c>
      <c r="C44">
        <v>1</v>
      </c>
      <c r="D44">
        <v>0</v>
      </c>
      <c r="E44">
        <v>1</v>
      </c>
      <c r="F44">
        <v>18</v>
      </c>
      <c r="G44" t="b">
        <v>0</v>
      </c>
      <c r="H44">
        <v>0</v>
      </c>
      <c r="I44">
        <v>2</v>
      </c>
      <c r="J44">
        <v>0.36</v>
      </c>
      <c r="K44">
        <v>0.33329999999999999</v>
      </c>
      <c r="L44">
        <v>0.46</v>
      </c>
      <c r="M44">
        <v>0.32840000000000003</v>
      </c>
      <c r="N44">
        <v>10</v>
      </c>
      <c r="O44">
        <v>43</v>
      </c>
      <c r="P44">
        <v>53</v>
      </c>
      <c r="Q44">
        <v>0.33329999999999999</v>
      </c>
      <c r="R44">
        <v>0.46</v>
      </c>
      <c r="S44">
        <v>0.32840000000000003</v>
      </c>
      <c r="T44">
        <v>10</v>
      </c>
      <c r="U44">
        <v>43</v>
      </c>
      <c r="V44">
        <v>53</v>
      </c>
    </row>
    <row r="45" spans="1:22" x14ac:dyDescent="0.3">
      <c r="A45">
        <v>43</v>
      </c>
      <c r="B45">
        <v>40545</v>
      </c>
      <c r="C45">
        <v>1</v>
      </c>
      <c r="D45">
        <v>0</v>
      </c>
      <c r="E45">
        <v>1</v>
      </c>
      <c r="F45">
        <v>19</v>
      </c>
      <c r="G45" t="b">
        <v>0</v>
      </c>
      <c r="H45">
        <v>0</v>
      </c>
      <c r="I45">
        <v>1</v>
      </c>
      <c r="J45">
        <v>0.32</v>
      </c>
      <c r="K45">
        <v>0.28789999999999999</v>
      </c>
      <c r="L45">
        <v>0.42</v>
      </c>
      <c r="M45">
        <v>0.44779999999999998</v>
      </c>
      <c r="N45">
        <v>1</v>
      </c>
      <c r="O45">
        <v>29</v>
      </c>
      <c r="P45">
        <v>30</v>
      </c>
      <c r="Q45">
        <v>0.28789999999999999</v>
      </c>
      <c r="R45">
        <v>0.42</v>
      </c>
      <c r="S45">
        <v>0.44779999999999998</v>
      </c>
      <c r="T45">
        <v>1</v>
      </c>
      <c r="U45">
        <v>29</v>
      </c>
      <c r="V45">
        <v>30</v>
      </c>
    </row>
    <row r="46" spans="1:22" x14ac:dyDescent="0.3">
      <c r="A46">
        <v>44</v>
      </c>
      <c r="B46">
        <v>40545</v>
      </c>
      <c r="C46">
        <v>1</v>
      </c>
      <c r="D46">
        <v>0</v>
      </c>
      <c r="E46">
        <v>1</v>
      </c>
      <c r="F46">
        <v>20</v>
      </c>
      <c r="G46" t="b">
        <v>0</v>
      </c>
      <c r="H46">
        <v>0</v>
      </c>
      <c r="I46">
        <v>1</v>
      </c>
      <c r="J46">
        <v>0.3</v>
      </c>
      <c r="L46">
        <v>0.39</v>
      </c>
      <c r="M46">
        <v>0.35820000000000002</v>
      </c>
      <c r="N46">
        <v>5</v>
      </c>
      <c r="O46">
        <v>17</v>
      </c>
      <c r="P46">
        <v>22</v>
      </c>
      <c r="R46">
        <v>0.39</v>
      </c>
      <c r="S46">
        <v>0.35820000000000002</v>
      </c>
      <c r="T46">
        <v>5</v>
      </c>
      <c r="U46">
        <v>17</v>
      </c>
      <c r="V46">
        <v>22</v>
      </c>
    </row>
    <row r="47" spans="1:22" x14ac:dyDescent="0.3">
      <c r="A47">
        <v>45</v>
      </c>
      <c r="B47">
        <v>40545</v>
      </c>
      <c r="C47">
        <v>1</v>
      </c>
      <c r="D47">
        <v>0</v>
      </c>
      <c r="E47">
        <v>1</v>
      </c>
      <c r="F47">
        <v>21</v>
      </c>
      <c r="G47" t="b">
        <v>0</v>
      </c>
      <c r="H47">
        <v>0</v>
      </c>
      <c r="I47">
        <v>1</v>
      </c>
      <c r="J47">
        <v>0.26</v>
      </c>
      <c r="K47">
        <v>0.2273</v>
      </c>
      <c r="L47">
        <v>0.44</v>
      </c>
      <c r="M47">
        <v>0.32840000000000003</v>
      </c>
      <c r="N47">
        <v>11</v>
      </c>
      <c r="O47">
        <v>20</v>
      </c>
      <c r="P47">
        <v>31</v>
      </c>
      <c r="Q47">
        <v>0.2273</v>
      </c>
      <c r="R47">
        <v>0.44</v>
      </c>
      <c r="S47">
        <v>0.32840000000000003</v>
      </c>
      <c r="T47">
        <v>11</v>
      </c>
      <c r="U47">
        <v>20</v>
      </c>
      <c r="V47">
        <v>31</v>
      </c>
    </row>
    <row r="48" spans="1:22" x14ac:dyDescent="0.3">
      <c r="A48">
        <v>46</v>
      </c>
      <c r="B48">
        <v>40545</v>
      </c>
      <c r="C48">
        <v>1</v>
      </c>
      <c r="D48">
        <v>0</v>
      </c>
      <c r="E48">
        <v>1</v>
      </c>
      <c r="F48">
        <v>22</v>
      </c>
      <c r="G48" t="b">
        <v>0</v>
      </c>
      <c r="H48">
        <v>0</v>
      </c>
      <c r="I48">
        <v>1</v>
      </c>
      <c r="J48">
        <v>0.24</v>
      </c>
      <c r="K48">
        <v>0.21210000000000001</v>
      </c>
      <c r="L48">
        <v>0.44</v>
      </c>
      <c r="M48">
        <v>0.29849999999999999</v>
      </c>
      <c r="N48">
        <v>0</v>
      </c>
      <c r="O48">
        <v>9</v>
      </c>
      <c r="P48">
        <v>9</v>
      </c>
      <c r="Q48">
        <v>0.21210000000000001</v>
      </c>
      <c r="R48">
        <v>0.44</v>
      </c>
      <c r="S48">
        <v>0.29849999999999999</v>
      </c>
      <c r="T48">
        <v>0</v>
      </c>
      <c r="U48">
        <v>9</v>
      </c>
      <c r="V48">
        <v>9</v>
      </c>
    </row>
    <row r="49" spans="1:22" x14ac:dyDescent="0.3">
      <c r="A49">
        <v>47</v>
      </c>
      <c r="B49">
        <v>40545</v>
      </c>
      <c r="C49">
        <v>1</v>
      </c>
      <c r="D49">
        <v>0</v>
      </c>
      <c r="E49">
        <v>1</v>
      </c>
      <c r="F49">
        <v>23</v>
      </c>
      <c r="G49" t="b">
        <v>0</v>
      </c>
      <c r="H49">
        <v>0</v>
      </c>
      <c r="I49">
        <v>1</v>
      </c>
      <c r="J49">
        <v>0.22</v>
      </c>
      <c r="K49">
        <v>0.2273</v>
      </c>
      <c r="L49">
        <v>0.47</v>
      </c>
      <c r="M49">
        <v>0.16420000000000001</v>
      </c>
      <c r="N49">
        <v>0</v>
      </c>
      <c r="O49">
        <v>8</v>
      </c>
      <c r="P49">
        <v>8</v>
      </c>
      <c r="Q49">
        <v>0.2273</v>
      </c>
      <c r="R49">
        <v>0.47</v>
      </c>
      <c r="S49">
        <v>0.16420000000000001</v>
      </c>
      <c r="T49">
        <v>0</v>
      </c>
      <c r="U49">
        <v>8</v>
      </c>
      <c r="V49">
        <v>8</v>
      </c>
    </row>
    <row r="50" spans="1:22" x14ac:dyDescent="0.3">
      <c r="A50">
        <v>48</v>
      </c>
      <c r="B50">
        <v>40546</v>
      </c>
      <c r="C50">
        <v>1</v>
      </c>
      <c r="D50">
        <v>0</v>
      </c>
      <c r="E50">
        <v>1</v>
      </c>
      <c r="F50">
        <v>0</v>
      </c>
      <c r="G50" t="b">
        <v>0</v>
      </c>
      <c r="H50">
        <v>1</v>
      </c>
      <c r="I50">
        <v>1</v>
      </c>
      <c r="J50">
        <v>0.22</v>
      </c>
      <c r="K50">
        <v>0.19700000000000001</v>
      </c>
      <c r="L50">
        <v>0.44</v>
      </c>
      <c r="M50">
        <v>0.35820000000000002</v>
      </c>
      <c r="N50">
        <v>0</v>
      </c>
      <c r="O50">
        <v>5</v>
      </c>
      <c r="P50">
        <v>5</v>
      </c>
      <c r="Q50">
        <v>0.19700000000000001</v>
      </c>
      <c r="R50">
        <v>0.44</v>
      </c>
      <c r="S50">
        <v>0.35820000000000002</v>
      </c>
      <c r="T50">
        <v>0</v>
      </c>
      <c r="U50">
        <v>5</v>
      </c>
      <c r="V50">
        <v>5</v>
      </c>
    </row>
    <row r="51" spans="1:22" x14ac:dyDescent="0.3">
      <c r="A51">
        <v>49</v>
      </c>
      <c r="B51">
        <v>40546</v>
      </c>
      <c r="C51">
        <v>1</v>
      </c>
      <c r="D51">
        <v>0</v>
      </c>
      <c r="E51">
        <v>1</v>
      </c>
      <c r="F51">
        <v>1</v>
      </c>
      <c r="G51" t="b">
        <v>0</v>
      </c>
      <c r="H51">
        <v>1</v>
      </c>
      <c r="I51">
        <v>1</v>
      </c>
      <c r="J51">
        <v>0.2</v>
      </c>
      <c r="L51">
        <v>0.44</v>
      </c>
      <c r="M51">
        <v>0.41789999999999999</v>
      </c>
      <c r="N51">
        <v>0</v>
      </c>
      <c r="O51">
        <v>2</v>
      </c>
      <c r="P51">
        <v>2</v>
      </c>
      <c r="R51">
        <v>0.44</v>
      </c>
      <c r="S51">
        <v>0.41789999999999999</v>
      </c>
      <c r="T51">
        <v>0</v>
      </c>
      <c r="U51">
        <v>2</v>
      </c>
      <c r="V51">
        <v>2</v>
      </c>
    </row>
    <row r="52" spans="1:22" x14ac:dyDescent="0.3">
      <c r="A52">
        <v>50</v>
      </c>
      <c r="B52">
        <v>40546</v>
      </c>
      <c r="C52">
        <v>1</v>
      </c>
      <c r="D52">
        <v>0</v>
      </c>
      <c r="E52">
        <v>1</v>
      </c>
      <c r="F52">
        <v>4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0.3881</v>
      </c>
      <c r="N52">
        <v>0</v>
      </c>
      <c r="O52">
        <v>1</v>
      </c>
      <c r="P52">
        <v>1</v>
      </c>
      <c r="Q52">
        <v>0.13639999999999999</v>
      </c>
      <c r="R52">
        <v>0.47</v>
      </c>
      <c r="S52">
        <v>0.3881</v>
      </c>
      <c r="T52">
        <v>0</v>
      </c>
      <c r="U52">
        <v>1</v>
      </c>
      <c r="V52">
        <v>1</v>
      </c>
    </row>
    <row r="53" spans="1:22" x14ac:dyDescent="0.3">
      <c r="A53">
        <v>51</v>
      </c>
      <c r="B53">
        <v>40546</v>
      </c>
      <c r="C53">
        <v>1</v>
      </c>
      <c r="D53">
        <v>0</v>
      </c>
      <c r="E53">
        <v>1</v>
      </c>
      <c r="F53">
        <v>5</v>
      </c>
      <c r="G53" t="b">
        <v>0</v>
      </c>
      <c r="H53">
        <v>1</v>
      </c>
      <c r="I53">
        <v>1</v>
      </c>
      <c r="J53">
        <v>0.16</v>
      </c>
      <c r="K53">
        <v>0.13639999999999999</v>
      </c>
      <c r="L53">
        <v>0.47</v>
      </c>
      <c r="M53">
        <v>0.28360000000000002</v>
      </c>
      <c r="N53">
        <v>0</v>
      </c>
      <c r="O53">
        <v>3</v>
      </c>
      <c r="P53">
        <v>3</v>
      </c>
      <c r="Q53">
        <v>0.13639999999999999</v>
      </c>
      <c r="R53">
        <v>0.47</v>
      </c>
      <c r="S53">
        <v>0.28360000000000002</v>
      </c>
      <c r="T53">
        <v>0</v>
      </c>
      <c r="U53">
        <v>3</v>
      </c>
      <c r="V53">
        <v>3</v>
      </c>
    </row>
    <row r="54" spans="1:22" x14ac:dyDescent="0.3">
      <c r="A54">
        <v>52</v>
      </c>
      <c r="B54">
        <v>40546</v>
      </c>
      <c r="C54">
        <v>1</v>
      </c>
      <c r="D54">
        <v>0</v>
      </c>
      <c r="E54">
        <v>1</v>
      </c>
      <c r="F54">
        <v>6</v>
      </c>
      <c r="G54" t="b">
        <v>0</v>
      </c>
      <c r="H54">
        <v>1</v>
      </c>
      <c r="I54">
        <v>1</v>
      </c>
      <c r="J54">
        <v>0.14000000000000001</v>
      </c>
      <c r="K54">
        <v>0.1061</v>
      </c>
      <c r="L54">
        <v>0.5</v>
      </c>
      <c r="M54">
        <v>0.3881</v>
      </c>
      <c r="N54">
        <v>0</v>
      </c>
      <c r="O54">
        <v>30</v>
      </c>
      <c r="P54">
        <v>30</v>
      </c>
      <c r="Q54">
        <v>0.1061</v>
      </c>
      <c r="R54">
        <v>0.5</v>
      </c>
      <c r="S54">
        <v>0.3881</v>
      </c>
      <c r="T54">
        <v>0</v>
      </c>
      <c r="U54">
        <v>30</v>
      </c>
      <c r="V54">
        <v>30</v>
      </c>
    </row>
    <row r="55" spans="1:22" x14ac:dyDescent="0.3">
      <c r="A55">
        <v>53</v>
      </c>
      <c r="B55">
        <v>40546</v>
      </c>
      <c r="C55">
        <v>1</v>
      </c>
      <c r="D55">
        <v>0</v>
      </c>
      <c r="E55">
        <v>1</v>
      </c>
      <c r="F55">
        <v>7</v>
      </c>
      <c r="G55" t="b">
        <v>0</v>
      </c>
      <c r="H55">
        <v>1</v>
      </c>
      <c r="I55">
        <v>1</v>
      </c>
      <c r="J55">
        <v>0.14000000000000001</v>
      </c>
      <c r="K55">
        <v>0.13639999999999999</v>
      </c>
      <c r="L55">
        <v>0.5</v>
      </c>
      <c r="M55">
        <v>0.19400000000000001</v>
      </c>
      <c r="N55">
        <v>1</v>
      </c>
      <c r="O55">
        <v>63</v>
      </c>
      <c r="P55">
        <v>64</v>
      </c>
      <c r="Q55">
        <v>0.13639999999999999</v>
      </c>
      <c r="R55">
        <v>0.5</v>
      </c>
      <c r="S55">
        <v>0.19400000000000001</v>
      </c>
      <c r="T55">
        <v>1</v>
      </c>
      <c r="U55">
        <v>63</v>
      </c>
      <c r="V55">
        <v>64</v>
      </c>
    </row>
    <row r="56" spans="1:22" x14ac:dyDescent="0.3">
      <c r="A56">
        <v>54</v>
      </c>
      <c r="B56">
        <v>40546</v>
      </c>
      <c r="C56">
        <v>1</v>
      </c>
      <c r="D56">
        <v>0</v>
      </c>
      <c r="E56">
        <v>1</v>
      </c>
      <c r="F56">
        <v>8</v>
      </c>
      <c r="G56" t="b">
        <v>0</v>
      </c>
      <c r="H56">
        <v>1</v>
      </c>
      <c r="I56">
        <v>1</v>
      </c>
      <c r="J56">
        <v>0.14000000000000001</v>
      </c>
      <c r="K56">
        <v>0.1212</v>
      </c>
      <c r="L56">
        <v>0.5</v>
      </c>
      <c r="M56">
        <v>0.28360000000000002</v>
      </c>
      <c r="N56">
        <v>1</v>
      </c>
      <c r="O56">
        <v>153</v>
      </c>
      <c r="P56">
        <v>154</v>
      </c>
      <c r="Q56">
        <v>0.1212</v>
      </c>
      <c r="R56">
        <v>0.5</v>
      </c>
      <c r="S56">
        <v>0.28360000000000002</v>
      </c>
      <c r="T56">
        <v>1</v>
      </c>
      <c r="U56">
        <v>153</v>
      </c>
      <c r="V56">
        <v>154</v>
      </c>
    </row>
    <row r="57" spans="1:22" x14ac:dyDescent="0.3">
      <c r="A57">
        <v>55</v>
      </c>
      <c r="B57">
        <v>40546</v>
      </c>
      <c r="C57">
        <v>1</v>
      </c>
      <c r="D57">
        <v>0</v>
      </c>
      <c r="E57">
        <v>1</v>
      </c>
      <c r="F57">
        <v>9</v>
      </c>
      <c r="G57" t="b">
        <v>0</v>
      </c>
      <c r="H57">
        <v>1</v>
      </c>
      <c r="I57">
        <v>1</v>
      </c>
      <c r="J57">
        <v>0.16</v>
      </c>
      <c r="K57">
        <v>0.13639999999999999</v>
      </c>
      <c r="L57">
        <v>0.43</v>
      </c>
      <c r="M57">
        <v>0.3881</v>
      </c>
      <c r="N57">
        <v>7</v>
      </c>
      <c r="O57">
        <v>81</v>
      </c>
      <c r="P57">
        <v>88</v>
      </c>
      <c r="Q57">
        <v>0.13639999999999999</v>
      </c>
      <c r="R57">
        <v>0.43</v>
      </c>
      <c r="S57">
        <v>0.3881</v>
      </c>
      <c r="T57">
        <v>7</v>
      </c>
      <c r="U57">
        <v>81</v>
      </c>
      <c r="V57">
        <v>88</v>
      </c>
    </row>
    <row r="58" spans="1:22" x14ac:dyDescent="0.3">
      <c r="A58">
        <v>56</v>
      </c>
      <c r="B58">
        <v>40546</v>
      </c>
      <c r="C58">
        <v>1</v>
      </c>
      <c r="D58">
        <v>0</v>
      </c>
      <c r="E58">
        <v>1</v>
      </c>
      <c r="F58">
        <v>10</v>
      </c>
      <c r="G58" t="b">
        <v>0</v>
      </c>
      <c r="H58">
        <v>1</v>
      </c>
      <c r="I58">
        <v>1</v>
      </c>
      <c r="J58">
        <v>0.18</v>
      </c>
      <c r="K58">
        <v>0.16669999999999999</v>
      </c>
      <c r="L58">
        <v>0.43</v>
      </c>
      <c r="M58">
        <v>0.25369999999999998</v>
      </c>
      <c r="N58">
        <v>11</v>
      </c>
      <c r="O58">
        <v>33</v>
      </c>
      <c r="P58">
        <v>44</v>
      </c>
      <c r="Q58">
        <v>0.16669999999999999</v>
      </c>
      <c r="R58">
        <v>0.43</v>
      </c>
      <c r="S58">
        <v>0.25369999999999998</v>
      </c>
      <c r="T58">
        <v>11</v>
      </c>
      <c r="U58">
        <v>33</v>
      </c>
      <c r="V58">
        <v>44</v>
      </c>
    </row>
    <row r="59" spans="1:22" x14ac:dyDescent="0.3">
      <c r="A59">
        <v>57</v>
      </c>
      <c r="B59">
        <v>40546</v>
      </c>
      <c r="C59">
        <v>1</v>
      </c>
      <c r="D59">
        <v>0</v>
      </c>
      <c r="E59">
        <v>1</v>
      </c>
      <c r="F59">
        <v>11</v>
      </c>
      <c r="G59" t="b">
        <v>0</v>
      </c>
      <c r="H59">
        <v>1</v>
      </c>
      <c r="I59">
        <v>1</v>
      </c>
      <c r="J59">
        <v>0.2</v>
      </c>
      <c r="K59">
        <v>0.18179999999999999</v>
      </c>
      <c r="L59">
        <v>0.4</v>
      </c>
      <c r="M59">
        <v>0.32840000000000003</v>
      </c>
      <c r="N59">
        <v>10</v>
      </c>
      <c r="O59">
        <v>41</v>
      </c>
      <c r="P59">
        <v>51</v>
      </c>
      <c r="Q59">
        <v>0.18179999999999999</v>
      </c>
      <c r="R59">
        <v>0.4</v>
      </c>
      <c r="S59">
        <v>0.32840000000000003</v>
      </c>
      <c r="T59">
        <v>10</v>
      </c>
      <c r="U59">
        <v>41</v>
      </c>
      <c r="V59">
        <v>51</v>
      </c>
    </row>
    <row r="60" spans="1:22" x14ac:dyDescent="0.3">
      <c r="A60">
        <v>58</v>
      </c>
      <c r="B60">
        <v>40546</v>
      </c>
      <c r="C60">
        <v>1</v>
      </c>
      <c r="D60">
        <v>0</v>
      </c>
      <c r="E60">
        <v>1</v>
      </c>
      <c r="F60">
        <v>12</v>
      </c>
      <c r="G60" t="b">
        <v>0</v>
      </c>
      <c r="H60">
        <v>1</v>
      </c>
      <c r="I60">
        <v>1</v>
      </c>
      <c r="J60">
        <v>0.22</v>
      </c>
      <c r="K60">
        <v>0.21210000000000001</v>
      </c>
      <c r="L60">
        <v>0.35</v>
      </c>
      <c r="M60">
        <v>0.29849999999999999</v>
      </c>
      <c r="N60">
        <v>13</v>
      </c>
      <c r="O60">
        <v>48</v>
      </c>
      <c r="P60">
        <v>61</v>
      </c>
      <c r="Q60">
        <v>0.21210000000000001</v>
      </c>
      <c r="R60">
        <v>0.35</v>
      </c>
      <c r="S60">
        <v>0.29849999999999999</v>
      </c>
      <c r="T60">
        <v>13</v>
      </c>
      <c r="U60">
        <v>48</v>
      </c>
      <c r="V60">
        <v>61</v>
      </c>
    </row>
    <row r="61" spans="1:22" x14ac:dyDescent="0.3">
      <c r="A61">
        <v>59</v>
      </c>
      <c r="B61">
        <v>40546</v>
      </c>
      <c r="C61">
        <v>1</v>
      </c>
      <c r="D61">
        <v>0</v>
      </c>
      <c r="E61">
        <v>1</v>
      </c>
      <c r="F61">
        <v>13</v>
      </c>
      <c r="G61" t="b">
        <v>0</v>
      </c>
      <c r="H61">
        <v>1</v>
      </c>
      <c r="I61">
        <v>1</v>
      </c>
      <c r="J61">
        <v>0.24</v>
      </c>
      <c r="L61">
        <v>0.35</v>
      </c>
      <c r="M61">
        <v>0.28360000000000002</v>
      </c>
      <c r="N61">
        <v>8</v>
      </c>
      <c r="O61">
        <v>53</v>
      </c>
      <c r="P61">
        <v>61</v>
      </c>
      <c r="R61">
        <v>0.35</v>
      </c>
      <c r="S61">
        <v>0.28360000000000002</v>
      </c>
      <c r="T61">
        <v>8</v>
      </c>
      <c r="U61">
        <v>53</v>
      </c>
      <c r="V61">
        <v>61</v>
      </c>
    </row>
    <row r="62" spans="1:22" x14ac:dyDescent="0.3">
      <c r="A62">
        <v>60</v>
      </c>
      <c r="B62">
        <v>40546</v>
      </c>
      <c r="C62">
        <v>1</v>
      </c>
      <c r="D62">
        <v>0</v>
      </c>
      <c r="E62">
        <v>1</v>
      </c>
      <c r="F62">
        <v>14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0.28360000000000002</v>
      </c>
      <c r="N62">
        <v>11</v>
      </c>
      <c r="O62">
        <v>66</v>
      </c>
      <c r="P62">
        <v>77</v>
      </c>
      <c r="Q62">
        <v>0.2424</v>
      </c>
      <c r="R62">
        <v>0.3</v>
      </c>
      <c r="S62">
        <v>0.28360000000000002</v>
      </c>
      <c r="T62">
        <v>11</v>
      </c>
      <c r="U62">
        <v>66</v>
      </c>
      <c r="V62">
        <v>77</v>
      </c>
    </row>
    <row r="63" spans="1:22" x14ac:dyDescent="0.3">
      <c r="A63">
        <v>61</v>
      </c>
      <c r="B63">
        <v>40546</v>
      </c>
      <c r="C63">
        <v>1</v>
      </c>
      <c r="D63">
        <v>0</v>
      </c>
      <c r="E63">
        <v>1</v>
      </c>
      <c r="F63">
        <v>15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14</v>
      </c>
      <c r="O63">
        <v>58</v>
      </c>
      <c r="P63">
        <v>72</v>
      </c>
      <c r="Q63">
        <v>0.2424</v>
      </c>
      <c r="R63">
        <v>0.3</v>
      </c>
      <c r="S63">
        <v>0.25369999999999998</v>
      </c>
      <c r="T63">
        <v>14</v>
      </c>
      <c r="U63">
        <v>58</v>
      </c>
      <c r="V63">
        <v>72</v>
      </c>
    </row>
    <row r="64" spans="1:22" x14ac:dyDescent="0.3">
      <c r="A64">
        <v>62</v>
      </c>
      <c r="B64">
        <v>40546</v>
      </c>
      <c r="C64">
        <v>1</v>
      </c>
      <c r="D64">
        <v>0</v>
      </c>
      <c r="E64">
        <v>1</v>
      </c>
      <c r="F64">
        <v>16</v>
      </c>
      <c r="G64" t="b">
        <v>0</v>
      </c>
      <c r="H64">
        <v>1</v>
      </c>
      <c r="I64">
        <v>1</v>
      </c>
      <c r="J64">
        <v>0.26</v>
      </c>
      <c r="K64">
        <v>0.2424</v>
      </c>
      <c r="L64">
        <v>0.3</v>
      </c>
      <c r="M64">
        <v>0.25369999999999998</v>
      </c>
      <c r="N64">
        <v>9</v>
      </c>
      <c r="O64">
        <v>67</v>
      </c>
      <c r="P64">
        <v>76</v>
      </c>
      <c r="Q64">
        <v>0.2424</v>
      </c>
      <c r="R64">
        <v>0.3</v>
      </c>
      <c r="S64">
        <v>0.25369999999999998</v>
      </c>
      <c r="T64">
        <v>9</v>
      </c>
      <c r="U64">
        <v>67</v>
      </c>
      <c r="V64">
        <v>76</v>
      </c>
    </row>
    <row r="65" spans="1:22" x14ac:dyDescent="0.3">
      <c r="A65">
        <v>63</v>
      </c>
      <c r="B65">
        <v>40546</v>
      </c>
      <c r="C65">
        <v>1</v>
      </c>
      <c r="D65">
        <v>0</v>
      </c>
      <c r="E65">
        <v>1</v>
      </c>
      <c r="F65">
        <v>17</v>
      </c>
      <c r="G65" t="b">
        <v>0</v>
      </c>
      <c r="H65">
        <v>1</v>
      </c>
      <c r="I65">
        <v>1</v>
      </c>
      <c r="J65">
        <v>0.24</v>
      </c>
      <c r="K65">
        <v>0.2273</v>
      </c>
      <c r="L65">
        <v>0.3</v>
      </c>
      <c r="M65">
        <v>0.22389999999999999</v>
      </c>
      <c r="N65">
        <v>11</v>
      </c>
      <c r="O65">
        <v>146</v>
      </c>
      <c r="P65">
        <v>157</v>
      </c>
      <c r="Q65">
        <v>0.2273</v>
      </c>
      <c r="R65">
        <v>0.3</v>
      </c>
      <c r="S65">
        <v>0.22389999999999999</v>
      </c>
      <c r="T65">
        <v>11</v>
      </c>
      <c r="U65">
        <v>146</v>
      </c>
      <c r="V65">
        <v>157</v>
      </c>
    </row>
    <row r="66" spans="1:22" x14ac:dyDescent="0.3">
      <c r="A66">
        <v>64</v>
      </c>
      <c r="B66">
        <v>40546</v>
      </c>
      <c r="C66">
        <v>1</v>
      </c>
      <c r="D66">
        <v>0</v>
      </c>
      <c r="E66">
        <v>1</v>
      </c>
      <c r="F66">
        <v>18</v>
      </c>
      <c r="G66" t="b">
        <v>0</v>
      </c>
      <c r="H66">
        <v>1</v>
      </c>
      <c r="I66">
        <v>1</v>
      </c>
      <c r="J66">
        <v>0.24</v>
      </c>
      <c r="K66">
        <v>0.2576</v>
      </c>
      <c r="L66">
        <v>0.32</v>
      </c>
      <c r="M66">
        <v>0.1045</v>
      </c>
      <c r="N66">
        <v>9</v>
      </c>
      <c r="O66">
        <v>148</v>
      </c>
      <c r="P66">
        <v>157</v>
      </c>
      <c r="Q66">
        <v>0.2576</v>
      </c>
      <c r="R66">
        <v>0.32</v>
      </c>
      <c r="S66">
        <v>0.1045</v>
      </c>
      <c r="T66">
        <v>9</v>
      </c>
      <c r="U66">
        <v>148</v>
      </c>
      <c r="V66">
        <v>157</v>
      </c>
    </row>
    <row r="67" spans="1:22" x14ac:dyDescent="0.3">
      <c r="A67">
        <v>65</v>
      </c>
      <c r="B67">
        <v>40546</v>
      </c>
      <c r="C67">
        <v>1</v>
      </c>
      <c r="D67">
        <v>0</v>
      </c>
      <c r="E67">
        <v>1</v>
      </c>
      <c r="F67">
        <v>19</v>
      </c>
      <c r="G67" t="b">
        <v>0</v>
      </c>
      <c r="H67">
        <v>1</v>
      </c>
      <c r="I67">
        <v>1</v>
      </c>
      <c r="J67">
        <v>0.2</v>
      </c>
      <c r="K67">
        <v>0.2576</v>
      </c>
      <c r="L67">
        <v>0.47</v>
      </c>
      <c r="M67">
        <v>0</v>
      </c>
      <c r="N67">
        <v>8</v>
      </c>
      <c r="O67">
        <v>102</v>
      </c>
      <c r="P67">
        <v>110</v>
      </c>
      <c r="Q67">
        <v>0.2576</v>
      </c>
      <c r="R67">
        <v>0.47</v>
      </c>
      <c r="S67">
        <v>0</v>
      </c>
      <c r="T67">
        <v>8</v>
      </c>
      <c r="U67">
        <v>102</v>
      </c>
      <c r="V67">
        <v>110</v>
      </c>
    </row>
    <row r="68" spans="1:22" x14ac:dyDescent="0.3">
      <c r="A68">
        <v>66</v>
      </c>
      <c r="B68">
        <v>40546</v>
      </c>
      <c r="C68">
        <v>1</v>
      </c>
      <c r="D68">
        <v>0</v>
      </c>
      <c r="E68">
        <v>1</v>
      </c>
      <c r="F68">
        <v>20</v>
      </c>
      <c r="G68" t="b">
        <v>0</v>
      </c>
      <c r="H68">
        <v>1</v>
      </c>
      <c r="I68">
        <v>1</v>
      </c>
      <c r="J68">
        <v>0.2</v>
      </c>
      <c r="L68">
        <v>0.47</v>
      </c>
      <c r="M68">
        <v>0.1045</v>
      </c>
      <c r="N68">
        <v>3</v>
      </c>
      <c r="O68">
        <v>49</v>
      </c>
      <c r="P68">
        <v>52</v>
      </c>
      <c r="R68">
        <v>0.47</v>
      </c>
      <c r="S68">
        <v>0.1045</v>
      </c>
      <c r="T68">
        <v>3</v>
      </c>
      <c r="U68">
        <v>49</v>
      </c>
      <c r="V68">
        <v>52</v>
      </c>
    </row>
    <row r="69" spans="1:22" x14ac:dyDescent="0.3">
      <c r="A69">
        <v>67</v>
      </c>
      <c r="B69">
        <v>40546</v>
      </c>
      <c r="C69">
        <v>1</v>
      </c>
      <c r="D69">
        <v>0</v>
      </c>
      <c r="E69">
        <v>1</v>
      </c>
      <c r="F69">
        <v>21</v>
      </c>
      <c r="G69" t="b">
        <v>0</v>
      </c>
      <c r="H69">
        <v>1</v>
      </c>
      <c r="I69">
        <v>1</v>
      </c>
      <c r="J69">
        <v>0.18</v>
      </c>
      <c r="K69">
        <v>0.19700000000000001</v>
      </c>
      <c r="L69">
        <v>0.64</v>
      </c>
      <c r="M69">
        <v>0.1343</v>
      </c>
      <c r="N69">
        <v>3</v>
      </c>
      <c r="O69">
        <v>49</v>
      </c>
      <c r="P69">
        <v>52</v>
      </c>
      <c r="Q69">
        <v>0.19700000000000001</v>
      </c>
      <c r="R69">
        <v>0.64</v>
      </c>
      <c r="S69">
        <v>0.1343</v>
      </c>
      <c r="T69">
        <v>3</v>
      </c>
      <c r="U69">
        <v>49</v>
      </c>
      <c r="V69">
        <v>52</v>
      </c>
    </row>
    <row r="70" spans="1:22" x14ac:dyDescent="0.3">
      <c r="A70">
        <v>68</v>
      </c>
      <c r="B70">
        <v>40546</v>
      </c>
      <c r="C70">
        <v>1</v>
      </c>
      <c r="D70">
        <v>0</v>
      </c>
      <c r="E70">
        <v>1</v>
      </c>
      <c r="F70">
        <v>22</v>
      </c>
      <c r="G70" t="b">
        <v>0</v>
      </c>
      <c r="H70">
        <v>1</v>
      </c>
      <c r="I70">
        <v>1</v>
      </c>
      <c r="J70">
        <v>0.14000000000000001</v>
      </c>
      <c r="K70">
        <v>0.1515</v>
      </c>
      <c r="L70">
        <v>0.69</v>
      </c>
      <c r="M70">
        <v>0.1343</v>
      </c>
      <c r="N70">
        <v>0</v>
      </c>
      <c r="O70">
        <v>20</v>
      </c>
      <c r="P70">
        <v>20</v>
      </c>
      <c r="Q70">
        <v>0.1515</v>
      </c>
      <c r="R70">
        <v>0.69</v>
      </c>
      <c r="S70">
        <v>0.1343</v>
      </c>
      <c r="T70">
        <v>0</v>
      </c>
      <c r="U70">
        <v>20</v>
      </c>
      <c r="V70">
        <v>20</v>
      </c>
    </row>
    <row r="71" spans="1:22" x14ac:dyDescent="0.3">
      <c r="A71">
        <v>69</v>
      </c>
      <c r="B71">
        <v>40546</v>
      </c>
      <c r="C71">
        <v>1</v>
      </c>
      <c r="D71">
        <v>0</v>
      </c>
      <c r="E71">
        <v>1</v>
      </c>
      <c r="F71">
        <v>23</v>
      </c>
      <c r="G71" t="b">
        <v>0</v>
      </c>
      <c r="H71">
        <v>1</v>
      </c>
      <c r="I71">
        <v>1</v>
      </c>
      <c r="J71">
        <v>0.18</v>
      </c>
      <c r="K71">
        <v>0.21210000000000001</v>
      </c>
      <c r="L71">
        <v>0.55000000000000004</v>
      </c>
      <c r="M71">
        <v>0.1045</v>
      </c>
      <c r="N71">
        <v>1</v>
      </c>
      <c r="O71">
        <v>11</v>
      </c>
      <c r="P71">
        <v>12</v>
      </c>
      <c r="Q71">
        <v>0.21210000000000001</v>
      </c>
      <c r="R71">
        <v>0.55000000000000004</v>
      </c>
      <c r="S71">
        <v>0.1045</v>
      </c>
      <c r="T71">
        <v>1</v>
      </c>
      <c r="U71">
        <v>11</v>
      </c>
      <c r="V71">
        <v>12</v>
      </c>
    </row>
    <row r="72" spans="1:22" x14ac:dyDescent="0.3">
      <c r="A72">
        <v>70</v>
      </c>
      <c r="B72">
        <v>40547</v>
      </c>
      <c r="C72">
        <v>1</v>
      </c>
      <c r="D72">
        <v>0</v>
      </c>
      <c r="E72">
        <v>1</v>
      </c>
      <c r="F72">
        <v>0</v>
      </c>
      <c r="G72" t="b">
        <v>0</v>
      </c>
      <c r="H72">
        <v>2</v>
      </c>
      <c r="I72">
        <v>1</v>
      </c>
      <c r="J72">
        <v>0.16</v>
      </c>
      <c r="L72">
        <v>0.55000000000000004</v>
      </c>
      <c r="M72">
        <v>0.1045</v>
      </c>
      <c r="N72">
        <v>0</v>
      </c>
      <c r="O72">
        <v>5</v>
      </c>
      <c r="P72">
        <v>5</v>
      </c>
      <c r="R72">
        <v>0.55000000000000004</v>
      </c>
      <c r="S72">
        <v>0.1045</v>
      </c>
      <c r="T72">
        <v>0</v>
      </c>
      <c r="U72">
        <v>5</v>
      </c>
      <c r="V72">
        <v>5</v>
      </c>
    </row>
    <row r="73" spans="1:22" x14ac:dyDescent="0.3">
      <c r="A73">
        <v>71</v>
      </c>
      <c r="B73">
        <v>40547</v>
      </c>
      <c r="C73">
        <v>1</v>
      </c>
      <c r="D73">
        <v>0</v>
      </c>
      <c r="E73">
        <v>1</v>
      </c>
      <c r="F73">
        <v>1</v>
      </c>
      <c r="G73" t="b">
        <v>0</v>
      </c>
      <c r="H73">
        <v>2</v>
      </c>
      <c r="I73">
        <v>1</v>
      </c>
      <c r="J73">
        <v>0.16</v>
      </c>
      <c r="K73">
        <v>0.18179999999999999</v>
      </c>
      <c r="L73">
        <v>0.59</v>
      </c>
      <c r="M73">
        <v>0.1045</v>
      </c>
      <c r="N73">
        <v>0</v>
      </c>
      <c r="O73">
        <v>2</v>
      </c>
      <c r="P73">
        <v>2</v>
      </c>
      <c r="Q73">
        <v>0.18179999999999999</v>
      </c>
      <c r="R73">
        <v>0.59</v>
      </c>
      <c r="S73">
        <v>0.1045</v>
      </c>
      <c r="T73">
        <v>0</v>
      </c>
      <c r="U73">
        <v>2</v>
      </c>
      <c r="V73">
        <v>2</v>
      </c>
    </row>
    <row r="74" spans="1:22" x14ac:dyDescent="0.3">
      <c r="A74">
        <v>72</v>
      </c>
      <c r="B74">
        <v>40547</v>
      </c>
      <c r="C74">
        <v>1</v>
      </c>
      <c r="D74">
        <v>0</v>
      </c>
      <c r="E74">
        <v>1</v>
      </c>
      <c r="F74">
        <v>2</v>
      </c>
      <c r="G74" t="b">
        <v>0</v>
      </c>
      <c r="H74">
        <v>2</v>
      </c>
      <c r="I74">
        <v>1</v>
      </c>
      <c r="J74">
        <v>0.14000000000000001</v>
      </c>
      <c r="K74">
        <v>0.1515</v>
      </c>
      <c r="L74">
        <v>0.63</v>
      </c>
      <c r="M74">
        <v>0.1343</v>
      </c>
      <c r="N74">
        <v>0</v>
      </c>
      <c r="O74">
        <v>1</v>
      </c>
      <c r="P74">
        <v>1</v>
      </c>
      <c r="Q74">
        <v>0.1515</v>
      </c>
      <c r="R74">
        <v>0.63</v>
      </c>
      <c r="S74">
        <v>0.1343</v>
      </c>
      <c r="T74">
        <v>0</v>
      </c>
      <c r="U74">
        <v>1</v>
      </c>
      <c r="V74">
        <v>1</v>
      </c>
    </row>
    <row r="75" spans="1:22" x14ac:dyDescent="0.3">
      <c r="A75">
        <v>73</v>
      </c>
      <c r="B75">
        <v>40547</v>
      </c>
      <c r="C75">
        <v>1</v>
      </c>
      <c r="D75">
        <v>0</v>
      </c>
      <c r="E75">
        <v>1</v>
      </c>
      <c r="F75">
        <v>4</v>
      </c>
      <c r="G75" t="b">
        <v>0</v>
      </c>
      <c r="H75">
        <v>2</v>
      </c>
      <c r="I75">
        <v>1</v>
      </c>
      <c r="J75">
        <v>0.14000000000000001</v>
      </c>
      <c r="K75">
        <v>0.18179999999999999</v>
      </c>
      <c r="L75">
        <v>0.63</v>
      </c>
      <c r="M75">
        <v>8.9599999999999999E-2</v>
      </c>
      <c r="N75">
        <v>0</v>
      </c>
      <c r="O75">
        <v>2</v>
      </c>
      <c r="P75">
        <v>2</v>
      </c>
      <c r="Q75">
        <v>0.18179999999999999</v>
      </c>
      <c r="R75">
        <v>0.63</v>
      </c>
      <c r="S75">
        <v>8.9599999999999999E-2</v>
      </c>
      <c r="T75">
        <v>0</v>
      </c>
      <c r="U75">
        <v>2</v>
      </c>
      <c r="V75">
        <v>2</v>
      </c>
    </row>
    <row r="76" spans="1:22" x14ac:dyDescent="0.3">
      <c r="A76">
        <v>74</v>
      </c>
      <c r="B76">
        <v>40547</v>
      </c>
      <c r="C76">
        <v>1</v>
      </c>
      <c r="D76">
        <v>0</v>
      </c>
      <c r="E76">
        <v>1</v>
      </c>
      <c r="F76">
        <v>5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0.68</v>
      </c>
      <c r="M76">
        <v>0.1045</v>
      </c>
      <c r="N76">
        <v>0</v>
      </c>
      <c r="O76">
        <v>4</v>
      </c>
      <c r="P76">
        <v>4</v>
      </c>
      <c r="Q76">
        <v>0.1515</v>
      </c>
      <c r="R76">
        <v>0.68</v>
      </c>
      <c r="S76">
        <v>0.1045</v>
      </c>
      <c r="T76">
        <v>0</v>
      </c>
      <c r="U76">
        <v>4</v>
      </c>
      <c r="V76">
        <v>4</v>
      </c>
    </row>
    <row r="77" spans="1:22" x14ac:dyDescent="0.3">
      <c r="A77">
        <v>75</v>
      </c>
      <c r="B77">
        <v>40547</v>
      </c>
      <c r="C77">
        <v>1</v>
      </c>
      <c r="D77">
        <v>0</v>
      </c>
      <c r="E77">
        <v>1</v>
      </c>
      <c r="F77">
        <v>6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0.1045</v>
      </c>
      <c r="N77">
        <v>0</v>
      </c>
      <c r="O77">
        <v>36</v>
      </c>
      <c r="P77">
        <v>36</v>
      </c>
      <c r="Q77">
        <v>0.1515</v>
      </c>
      <c r="R77">
        <v>0.74</v>
      </c>
      <c r="S77">
        <v>0.1045</v>
      </c>
      <c r="T77">
        <v>0</v>
      </c>
      <c r="U77">
        <v>36</v>
      </c>
      <c r="V77">
        <v>36</v>
      </c>
    </row>
    <row r="78" spans="1:22" x14ac:dyDescent="0.3">
      <c r="A78">
        <v>76</v>
      </c>
      <c r="B78">
        <v>40547</v>
      </c>
      <c r="C78">
        <v>1</v>
      </c>
      <c r="D78">
        <v>0</v>
      </c>
      <c r="E78">
        <v>1</v>
      </c>
      <c r="F78">
        <v>7</v>
      </c>
      <c r="G78" t="b">
        <v>0</v>
      </c>
      <c r="H78">
        <v>2</v>
      </c>
      <c r="I78">
        <v>1</v>
      </c>
      <c r="J78">
        <v>0.12</v>
      </c>
      <c r="K78">
        <v>0.1515</v>
      </c>
      <c r="L78">
        <v>0.74</v>
      </c>
      <c r="M78">
        <v>0.1343</v>
      </c>
      <c r="N78">
        <v>2</v>
      </c>
      <c r="O78">
        <v>92</v>
      </c>
      <c r="P78">
        <v>94</v>
      </c>
      <c r="Q78">
        <v>0.1515</v>
      </c>
      <c r="R78">
        <v>0.74</v>
      </c>
      <c r="S78">
        <v>0.1343</v>
      </c>
      <c r="T78">
        <v>2</v>
      </c>
      <c r="U78">
        <v>92</v>
      </c>
      <c r="V78">
        <v>94</v>
      </c>
    </row>
    <row r="79" spans="1:22" x14ac:dyDescent="0.3">
      <c r="A79">
        <v>77</v>
      </c>
      <c r="B79">
        <v>40547</v>
      </c>
      <c r="C79">
        <v>1</v>
      </c>
      <c r="D79">
        <v>0</v>
      </c>
      <c r="E79">
        <v>1</v>
      </c>
      <c r="F79">
        <v>8</v>
      </c>
      <c r="G79" t="b">
        <v>0</v>
      </c>
      <c r="H79">
        <v>2</v>
      </c>
      <c r="I79">
        <v>1</v>
      </c>
      <c r="J79">
        <v>0.14000000000000001</v>
      </c>
      <c r="K79">
        <v>0.1515</v>
      </c>
      <c r="L79">
        <v>0.69</v>
      </c>
      <c r="M79">
        <v>0.16420000000000001</v>
      </c>
      <c r="N79">
        <v>2</v>
      </c>
      <c r="O79">
        <v>177</v>
      </c>
      <c r="P79">
        <v>179</v>
      </c>
      <c r="Q79">
        <v>0.1515</v>
      </c>
      <c r="R79">
        <v>0.69</v>
      </c>
      <c r="S79">
        <v>0.16420000000000001</v>
      </c>
      <c r="T79">
        <v>2</v>
      </c>
      <c r="U79">
        <v>177</v>
      </c>
      <c r="V79">
        <v>179</v>
      </c>
    </row>
    <row r="80" spans="1:22" x14ac:dyDescent="0.3">
      <c r="A80">
        <v>78</v>
      </c>
      <c r="B80">
        <v>40547</v>
      </c>
      <c r="C80">
        <v>1</v>
      </c>
      <c r="D80">
        <v>0</v>
      </c>
      <c r="E80">
        <v>1</v>
      </c>
      <c r="F80">
        <v>9</v>
      </c>
      <c r="G80" t="b">
        <v>0</v>
      </c>
      <c r="H80">
        <v>2</v>
      </c>
      <c r="I80">
        <v>1</v>
      </c>
      <c r="J80">
        <v>0.16</v>
      </c>
      <c r="K80">
        <v>0.1515</v>
      </c>
      <c r="L80">
        <v>0.64</v>
      </c>
      <c r="M80">
        <v>0.22389999999999999</v>
      </c>
      <c r="N80">
        <v>2</v>
      </c>
      <c r="O80">
        <v>98</v>
      </c>
      <c r="P80">
        <v>100</v>
      </c>
      <c r="Q80">
        <v>0.1515</v>
      </c>
      <c r="R80">
        <v>0.64</v>
      </c>
      <c r="S80">
        <v>0.22389999999999999</v>
      </c>
      <c r="T80">
        <v>2</v>
      </c>
      <c r="U80">
        <v>98</v>
      </c>
      <c r="V80">
        <v>100</v>
      </c>
    </row>
    <row r="81" spans="1:22" x14ac:dyDescent="0.3">
      <c r="A81">
        <v>79</v>
      </c>
      <c r="B81">
        <v>40547</v>
      </c>
      <c r="C81">
        <v>1</v>
      </c>
      <c r="D81">
        <v>0</v>
      </c>
      <c r="E81">
        <v>1</v>
      </c>
      <c r="F81">
        <v>10</v>
      </c>
      <c r="G81" t="b">
        <v>0</v>
      </c>
      <c r="H81">
        <v>2</v>
      </c>
      <c r="I81">
        <v>2</v>
      </c>
      <c r="J81">
        <v>0.16</v>
      </c>
      <c r="K81">
        <v>0.13639999999999999</v>
      </c>
      <c r="L81">
        <v>0.69</v>
      </c>
      <c r="M81">
        <v>0.32840000000000003</v>
      </c>
      <c r="N81">
        <v>5</v>
      </c>
      <c r="O81">
        <v>37</v>
      </c>
      <c r="P81">
        <v>42</v>
      </c>
      <c r="Q81">
        <v>0.13639999999999999</v>
      </c>
      <c r="R81">
        <v>0.69</v>
      </c>
      <c r="S81">
        <v>0.32840000000000003</v>
      </c>
      <c r="T81">
        <v>5</v>
      </c>
      <c r="U81">
        <v>37</v>
      </c>
      <c r="V81">
        <v>42</v>
      </c>
    </row>
    <row r="82" spans="1:22" x14ac:dyDescent="0.3">
      <c r="A82">
        <v>80</v>
      </c>
      <c r="B82">
        <v>40547</v>
      </c>
      <c r="C82">
        <v>1</v>
      </c>
      <c r="D82">
        <v>0</v>
      </c>
      <c r="E82">
        <v>1</v>
      </c>
      <c r="F82">
        <v>11</v>
      </c>
      <c r="G82" t="b">
        <v>0</v>
      </c>
      <c r="H82">
        <v>2</v>
      </c>
      <c r="I82">
        <v>1</v>
      </c>
      <c r="J82">
        <v>0.22</v>
      </c>
      <c r="K82">
        <v>0.21210000000000001</v>
      </c>
      <c r="L82">
        <v>0.51</v>
      </c>
      <c r="M82">
        <v>0.29849999999999999</v>
      </c>
      <c r="N82">
        <v>7</v>
      </c>
      <c r="O82">
        <v>50</v>
      </c>
      <c r="P82">
        <v>57</v>
      </c>
      <c r="Q82">
        <v>0.21210000000000001</v>
      </c>
      <c r="R82">
        <v>0.51</v>
      </c>
      <c r="S82">
        <v>0.29849999999999999</v>
      </c>
      <c r="T82">
        <v>7</v>
      </c>
      <c r="U82">
        <v>50</v>
      </c>
      <c r="V82">
        <v>57</v>
      </c>
    </row>
    <row r="83" spans="1:22" x14ac:dyDescent="0.3">
      <c r="A83">
        <v>81</v>
      </c>
      <c r="B83">
        <v>40547</v>
      </c>
      <c r="C83">
        <v>1</v>
      </c>
      <c r="D83">
        <v>0</v>
      </c>
      <c r="E83">
        <v>1</v>
      </c>
      <c r="F83">
        <v>12</v>
      </c>
      <c r="G83" t="b">
        <v>0</v>
      </c>
      <c r="H83">
        <v>2</v>
      </c>
      <c r="I83">
        <v>1</v>
      </c>
      <c r="J83">
        <v>0.22</v>
      </c>
      <c r="K83">
        <v>0.2273</v>
      </c>
      <c r="L83">
        <v>0.51</v>
      </c>
      <c r="M83">
        <v>0.16420000000000001</v>
      </c>
      <c r="N83">
        <v>12</v>
      </c>
      <c r="O83">
        <v>66</v>
      </c>
      <c r="P83">
        <v>78</v>
      </c>
      <c r="Q83">
        <v>0.2273</v>
      </c>
      <c r="R83">
        <v>0.51</v>
      </c>
      <c r="S83">
        <v>0.16420000000000001</v>
      </c>
      <c r="T83">
        <v>12</v>
      </c>
      <c r="U83">
        <v>66</v>
      </c>
      <c r="V83">
        <v>78</v>
      </c>
    </row>
    <row r="84" spans="1:22" x14ac:dyDescent="0.3">
      <c r="A84">
        <v>82</v>
      </c>
      <c r="B84">
        <v>40547</v>
      </c>
      <c r="C84">
        <v>1</v>
      </c>
      <c r="D84">
        <v>0</v>
      </c>
      <c r="E84">
        <v>1</v>
      </c>
      <c r="F84">
        <v>13</v>
      </c>
      <c r="G84" t="b">
        <v>0</v>
      </c>
      <c r="H84">
        <v>2</v>
      </c>
      <c r="I84">
        <v>1</v>
      </c>
      <c r="J84">
        <v>0.24</v>
      </c>
      <c r="K84">
        <v>0.2273</v>
      </c>
      <c r="L84">
        <v>0.56000000000000005</v>
      </c>
      <c r="M84">
        <v>0.19400000000000001</v>
      </c>
      <c r="N84">
        <v>18</v>
      </c>
      <c r="O84">
        <v>79</v>
      </c>
      <c r="P84">
        <v>97</v>
      </c>
      <c r="Q84">
        <v>0.2273</v>
      </c>
      <c r="R84">
        <v>0.56000000000000005</v>
      </c>
      <c r="S84">
        <v>0.19400000000000001</v>
      </c>
      <c r="T84">
        <v>18</v>
      </c>
      <c r="U84">
        <v>79</v>
      </c>
      <c r="V84">
        <v>97</v>
      </c>
    </row>
    <row r="85" spans="1:22" x14ac:dyDescent="0.3">
      <c r="A85">
        <v>83</v>
      </c>
      <c r="B85">
        <v>40547</v>
      </c>
      <c r="C85">
        <v>1</v>
      </c>
      <c r="D85">
        <v>0</v>
      </c>
      <c r="E85">
        <v>1</v>
      </c>
      <c r="F85">
        <v>14</v>
      </c>
      <c r="G85" t="b">
        <v>0</v>
      </c>
      <c r="H85">
        <v>2</v>
      </c>
      <c r="I85">
        <v>1</v>
      </c>
      <c r="J85">
        <v>0.26</v>
      </c>
      <c r="K85">
        <v>0.2576</v>
      </c>
      <c r="L85">
        <v>0.52</v>
      </c>
      <c r="M85">
        <v>0.22389999999999999</v>
      </c>
      <c r="N85">
        <v>9</v>
      </c>
      <c r="O85">
        <v>54</v>
      </c>
      <c r="P85">
        <v>63</v>
      </c>
      <c r="Q85">
        <v>0.2576</v>
      </c>
      <c r="R85">
        <v>0.52</v>
      </c>
      <c r="S85">
        <v>0.22389999999999999</v>
      </c>
      <c r="T85">
        <v>9</v>
      </c>
      <c r="U85">
        <v>54</v>
      </c>
      <c r="V85">
        <v>63</v>
      </c>
    </row>
    <row r="86" spans="1:22" x14ac:dyDescent="0.3">
      <c r="A86">
        <v>84</v>
      </c>
      <c r="B86">
        <v>40547</v>
      </c>
      <c r="C86">
        <v>1</v>
      </c>
      <c r="D86">
        <v>0</v>
      </c>
      <c r="E86">
        <v>1</v>
      </c>
      <c r="F86">
        <v>15</v>
      </c>
      <c r="G86" t="b">
        <v>0</v>
      </c>
      <c r="H86">
        <v>2</v>
      </c>
      <c r="I86">
        <v>1</v>
      </c>
      <c r="J86">
        <v>0.28000000000000003</v>
      </c>
      <c r="K86">
        <v>0.2727</v>
      </c>
      <c r="L86">
        <v>0.52</v>
      </c>
      <c r="M86">
        <v>0.25369999999999998</v>
      </c>
      <c r="N86">
        <v>17</v>
      </c>
      <c r="O86">
        <v>48</v>
      </c>
      <c r="P86">
        <v>65</v>
      </c>
      <c r="Q86">
        <v>0.2727</v>
      </c>
      <c r="R86">
        <v>0.52</v>
      </c>
      <c r="S86">
        <v>0.25369999999999998</v>
      </c>
      <c r="T86">
        <v>17</v>
      </c>
      <c r="U86">
        <v>48</v>
      </c>
      <c r="V86">
        <v>65</v>
      </c>
    </row>
    <row r="87" spans="1:22" x14ac:dyDescent="0.3">
      <c r="A87">
        <v>85</v>
      </c>
      <c r="B87">
        <v>40547</v>
      </c>
      <c r="C87">
        <v>1</v>
      </c>
      <c r="D87">
        <v>0</v>
      </c>
      <c r="E87">
        <v>1</v>
      </c>
      <c r="F87">
        <v>16</v>
      </c>
      <c r="G87" t="b">
        <v>0</v>
      </c>
      <c r="H87">
        <v>2</v>
      </c>
      <c r="I87">
        <v>1</v>
      </c>
      <c r="J87">
        <v>0.3</v>
      </c>
      <c r="K87">
        <v>0.28789999999999999</v>
      </c>
      <c r="L87">
        <v>0.49</v>
      </c>
      <c r="M87">
        <v>0.25369999999999998</v>
      </c>
      <c r="N87">
        <v>15</v>
      </c>
      <c r="O87">
        <v>68</v>
      </c>
      <c r="P87">
        <v>83</v>
      </c>
      <c r="Q87">
        <v>0.28789999999999999</v>
      </c>
      <c r="R87">
        <v>0.49</v>
      </c>
      <c r="S87">
        <v>0.25369999999999998</v>
      </c>
      <c r="T87">
        <v>15</v>
      </c>
      <c r="U87">
        <v>68</v>
      </c>
      <c r="V87">
        <v>83</v>
      </c>
    </row>
    <row r="88" spans="1:22" x14ac:dyDescent="0.3">
      <c r="A88">
        <v>86</v>
      </c>
      <c r="B88">
        <v>40547</v>
      </c>
      <c r="C88">
        <v>1</v>
      </c>
      <c r="D88">
        <v>0</v>
      </c>
      <c r="E88">
        <v>1</v>
      </c>
      <c r="F88">
        <v>17</v>
      </c>
      <c r="G88" t="b">
        <v>0</v>
      </c>
      <c r="H88">
        <v>2</v>
      </c>
      <c r="I88">
        <v>1</v>
      </c>
      <c r="J88">
        <v>0.28000000000000003</v>
      </c>
      <c r="K88">
        <v>0.2727</v>
      </c>
      <c r="L88">
        <v>0.48</v>
      </c>
      <c r="M88">
        <v>0.22389999999999999</v>
      </c>
      <c r="N88">
        <v>10</v>
      </c>
      <c r="O88">
        <v>202</v>
      </c>
      <c r="P88">
        <v>212</v>
      </c>
      <c r="Q88">
        <v>0.2727</v>
      </c>
      <c r="R88">
        <v>0.48</v>
      </c>
      <c r="S88">
        <v>0.22389999999999999</v>
      </c>
      <c r="T88">
        <v>10</v>
      </c>
      <c r="U88">
        <v>202</v>
      </c>
      <c r="V88">
        <v>212</v>
      </c>
    </row>
    <row r="89" spans="1:22" x14ac:dyDescent="0.3">
      <c r="A89">
        <v>87</v>
      </c>
      <c r="B89">
        <v>40547</v>
      </c>
      <c r="C89">
        <v>1</v>
      </c>
      <c r="D89">
        <v>0</v>
      </c>
      <c r="E89">
        <v>1</v>
      </c>
      <c r="F89">
        <v>18</v>
      </c>
      <c r="G89" t="b">
        <v>0</v>
      </c>
      <c r="H89">
        <v>2</v>
      </c>
      <c r="I89">
        <v>1</v>
      </c>
      <c r="J89">
        <v>0.26</v>
      </c>
      <c r="K89">
        <v>0.2576</v>
      </c>
      <c r="L89">
        <v>0.48</v>
      </c>
      <c r="M89">
        <v>0.19400000000000001</v>
      </c>
      <c r="N89">
        <v>3</v>
      </c>
      <c r="O89">
        <v>179</v>
      </c>
      <c r="P89">
        <v>182</v>
      </c>
      <c r="Q89">
        <v>0.2576</v>
      </c>
      <c r="R89">
        <v>0.48</v>
      </c>
      <c r="S89">
        <v>0.19400000000000001</v>
      </c>
      <c r="T89">
        <v>3</v>
      </c>
      <c r="U89">
        <v>179</v>
      </c>
      <c r="V89">
        <v>182</v>
      </c>
    </row>
    <row r="90" spans="1:22" x14ac:dyDescent="0.3">
      <c r="A90">
        <v>88</v>
      </c>
      <c r="B90">
        <v>40547</v>
      </c>
      <c r="C90">
        <v>1</v>
      </c>
      <c r="D90">
        <v>0</v>
      </c>
      <c r="E90">
        <v>1</v>
      </c>
      <c r="F90">
        <v>19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2</v>
      </c>
      <c r="O90">
        <v>110</v>
      </c>
      <c r="P90">
        <v>112</v>
      </c>
      <c r="Q90">
        <v>0.2576</v>
      </c>
      <c r="R90">
        <v>0.48</v>
      </c>
      <c r="S90">
        <v>0.1045</v>
      </c>
      <c r="T90">
        <v>2</v>
      </c>
      <c r="U90">
        <v>110</v>
      </c>
      <c r="V90">
        <v>112</v>
      </c>
    </row>
    <row r="91" spans="1:22" x14ac:dyDescent="0.3">
      <c r="A91">
        <v>89</v>
      </c>
      <c r="B91">
        <v>40547</v>
      </c>
      <c r="C91">
        <v>1</v>
      </c>
      <c r="D91">
        <v>0</v>
      </c>
      <c r="E91">
        <v>1</v>
      </c>
      <c r="F91">
        <v>20</v>
      </c>
      <c r="G91" t="b">
        <v>0</v>
      </c>
      <c r="H91">
        <v>2</v>
      </c>
      <c r="I91">
        <v>1</v>
      </c>
      <c r="J91">
        <v>0.24</v>
      </c>
      <c r="K91">
        <v>0.2576</v>
      </c>
      <c r="L91">
        <v>0.48</v>
      </c>
      <c r="M91">
        <v>0.1045</v>
      </c>
      <c r="N91">
        <v>1</v>
      </c>
      <c r="O91">
        <v>53</v>
      </c>
      <c r="P91">
        <v>54</v>
      </c>
      <c r="Q91">
        <v>0.2576</v>
      </c>
      <c r="R91">
        <v>0.48</v>
      </c>
      <c r="S91">
        <v>0.1045</v>
      </c>
      <c r="T91">
        <v>1</v>
      </c>
      <c r="U91">
        <v>53</v>
      </c>
      <c r="V91">
        <v>54</v>
      </c>
    </row>
    <row r="92" spans="1:22" x14ac:dyDescent="0.3">
      <c r="A92">
        <v>90</v>
      </c>
      <c r="B92">
        <v>40547</v>
      </c>
      <c r="C92">
        <v>1</v>
      </c>
      <c r="D92">
        <v>0</v>
      </c>
      <c r="E92">
        <v>1</v>
      </c>
      <c r="F92">
        <v>21</v>
      </c>
      <c r="G92" t="b">
        <v>0</v>
      </c>
      <c r="H92">
        <v>2</v>
      </c>
      <c r="I92">
        <v>1</v>
      </c>
      <c r="J92">
        <v>0.22</v>
      </c>
      <c r="K92">
        <v>0.2727</v>
      </c>
      <c r="L92">
        <v>0.64</v>
      </c>
      <c r="M92">
        <v>0</v>
      </c>
      <c r="N92">
        <v>0</v>
      </c>
      <c r="O92">
        <v>48</v>
      </c>
      <c r="P92">
        <v>48</v>
      </c>
      <c r="Q92">
        <v>0.2727</v>
      </c>
      <c r="R92">
        <v>0.64</v>
      </c>
      <c r="S92">
        <v>0</v>
      </c>
      <c r="T92">
        <v>0</v>
      </c>
      <c r="U92">
        <v>48</v>
      </c>
      <c r="V92">
        <v>48</v>
      </c>
    </row>
    <row r="93" spans="1:22" x14ac:dyDescent="0.3">
      <c r="A93">
        <v>91</v>
      </c>
      <c r="B93">
        <v>40547</v>
      </c>
      <c r="C93">
        <v>1</v>
      </c>
      <c r="D93">
        <v>0</v>
      </c>
      <c r="E93">
        <v>1</v>
      </c>
      <c r="F93">
        <v>22</v>
      </c>
      <c r="G93" t="b">
        <v>0</v>
      </c>
      <c r="H93">
        <v>2</v>
      </c>
      <c r="I93">
        <v>1</v>
      </c>
      <c r="J93">
        <v>0.22</v>
      </c>
      <c r="K93">
        <v>0.2576</v>
      </c>
      <c r="L93">
        <v>0.64</v>
      </c>
      <c r="M93">
        <v>8.9599999999999999E-2</v>
      </c>
      <c r="N93">
        <v>1</v>
      </c>
      <c r="O93">
        <v>34</v>
      </c>
      <c r="P93">
        <v>35</v>
      </c>
      <c r="Q93">
        <v>0.2576</v>
      </c>
      <c r="R93">
        <v>0.64</v>
      </c>
      <c r="S93">
        <v>8.9599999999999999E-2</v>
      </c>
      <c r="T93">
        <v>1</v>
      </c>
      <c r="U93">
        <v>34</v>
      </c>
      <c r="V93">
        <v>35</v>
      </c>
    </row>
    <row r="94" spans="1:22" x14ac:dyDescent="0.3">
      <c r="A94">
        <v>92</v>
      </c>
      <c r="B94">
        <v>40547</v>
      </c>
      <c r="C94">
        <v>1</v>
      </c>
      <c r="D94">
        <v>0</v>
      </c>
      <c r="E94">
        <v>1</v>
      </c>
      <c r="F94">
        <v>23</v>
      </c>
      <c r="G94" t="b">
        <v>0</v>
      </c>
      <c r="H94">
        <v>2</v>
      </c>
      <c r="I94">
        <v>1</v>
      </c>
      <c r="J94">
        <v>0.2</v>
      </c>
      <c r="K94">
        <v>0.2273</v>
      </c>
      <c r="L94">
        <v>0.69</v>
      </c>
      <c r="M94">
        <v>8.9599999999999999E-2</v>
      </c>
      <c r="N94">
        <v>2</v>
      </c>
      <c r="O94">
        <v>9</v>
      </c>
      <c r="P94">
        <v>11</v>
      </c>
      <c r="Q94">
        <v>0.2273</v>
      </c>
      <c r="R94">
        <v>0.69</v>
      </c>
      <c r="S94">
        <v>8.9599999999999999E-2</v>
      </c>
      <c r="T94">
        <v>2</v>
      </c>
      <c r="U94">
        <v>9</v>
      </c>
      <c r="V94">
        <v>11</v>
      </c>
    </row>
    <row r="95" spans="1:22" x14ac:dyDescent="0.3">
      <c r="A95">
        <v>93</v>
      </c>
      <c r="B95">
        <v>40548</v>
      </c>
      <c r="C95">
        <v>1</v>
      </c>
      <c r="D95">
        <v>0</v>
      </c>
      <c r="E95">
        <v>1</v>
      </c>
      <c r="F95">
        <v>0</v>
      </c>
      <c r="G95" t="b">
        <v>0</v>
      </c>
      <c r="H95">
        <v>3</v>
      </c>
      <c r="I95">
        <v>1</v>
      </c>
      <c r="J95">
        <v>0.2</v>
      </c>
      <c r="K95">
        <v>0.2576</v>
      </c>
      <c r="L95">
        <v>0.64</v>
      </c>
      <c r="M95">
        <v>0</v>
      </c>
      <c r="N95">
        <v>0</v>
      </c>
      <c r="O95">
        <v>6</v>
      </c>
      <c r="P95">
        <v>6</v>
      </c>
      <c r="Q95">
        <v>0.2576</v>
      </c>
      <c r="R95">
        <v>0.64</v>
      </c>
      <c r="S95">
        <v>0</v>
      </c>
      <c r="T95">
        <v>0</v>
      </c>
      <c r="U95">
        <v>6</v>
      </c>
      <c r="V95">
        <v>6</v>
      </c>
    </row>
    <row r="96" spans="1:22" x14ac:dyDescent="0.3">
      <c r="A96">
        <v>94</v>
      </c>
      <c r="B96">
        <v>40548</v>
      </c>
      <c r="C96">
        <v>1</v>
      </c>
      <c r="D96">
        <v>0</v>
      </c>
      <c r="E96">
        <v>1</v>
      </c>
      <c r="F96">
        <v>1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6</v>
      </c>
      <c r="P96">
        <v>6</v>
      </c>
      <c r="Q96">
        <v>0.19700000000000001</v>
      </c>
      <c r="R96">
        <v>0.74</v>
      </c>
      <c r="S96">
        <v>8.9599999999999999E-2</v>
      </c>
      <c r="T96">
        <v>0</v>
      </c>
      <c r="U96">
        <v>6</v>
      </c>
      <c r="V96">
        <v>6</v>
      </c>
    </row>
    <row r="97" spans="1:22" x14ac:dyDescent="0.3">
      <c r="A97">
        <v>95</v>
      </c>
      <c r="B97">
        <v>40548</v>
      </c>
      <c r="C97">
        <v>1</v>
      </c>
      <c r="D97">
        <v>0</v>
      </c>
      <c r="E97">
        <v>1</v>
      </c>
      <c r="F97">
        <v>2</v>
      </c>
      <c r="G97" t="b">
        <v>0</v>
      </c>
      <c r="H97">
        <v>3</v>
      </c>
      <c r="I97">
        <v>1</v>
      </c>
      <c r="J97">
        <v>0.16</v>
      </c>
      <c r="K97">
        <v>0.19700000000000001</v>
      </c>
      <c r="L97">
        <v>0.74</v>
      </c>
      <c r="M97">
        <v>8.9599999999999999E-2</v>
      </c>
      <c r="N97">
        <v>0</v>
      </c>
      <c r="O97">
        <v>2</v>
      </c>
      <c r="P97">
        <v>2</v>
      </c>
      <c r="Q97">
        <v>0.19700000000000001</v>
      </c>
      <c r="R97">
        <v>0.74</v>
      </c>
      <c r="S97">
        <v>8.9599999999999999E-2</v>
      </c>
      <c r="T97">
        <v>0</v>
      </c>
      <c r="U97">
        <v>2</v>
      </c>
      <c r="V97">
        <v>2</v>
      </c>
    </row>
    <row r="98" spans="1:22" x14ac:dyDescent="0.3">
      <c r="A98">
        <v>96</v>
      </c>
      <c r="B98">
        <v>40548</v>
      </c>
      <c r="C98">
        <v>1</v>
      </c>
      <c r="D98">
        <v>0</v>
      </c>
      <c r="E98">
        <v>1</v>
      </c>
      <c r="F98">
        <v>4</v>
      </c>
      <c r="G98" t="b">
        <v>0</v>
      </c>
      <c r="H98">
        <v>3</v>
      </c>
      <c r="I98">
        <v>1</v>
      </c>
      <c r="J98">
        <v>0.24</v>
      </c>
      <c r="K98">
        <v>0.2273</v>
      </c>
      <c r="L98">
        <v>0.48</v>
      </c>
      <c r="M98">
        <v>0.22389999999999999</v>
      </c>
      <c r="N98">
        <v>0</v>
      </c>
      <c r="O98">
        <v>2</v>
      </c>
      <c r="P98">
        <v>2</v>
      </c>
      <c r="Q98">
        <v>0.2273</v>
      </c>
      <c r="R98">
        <v>0.48</v>
      </c>
      <c r="S98">
        <v>0.22389999999999999</v>
      </c>
      <c r="T98">
        <v>0</v>
      </c>
      <c r="U98">
        <v>2</v>
      </c>
      <c r="V98">
        <v>2</v>
      </c>
    </row>
    <row r="99" spans="1:22" x14ac:dyDescent="0.3">
      <c r="A99">
        <v>97</v>
      </c>
      <c r="B99">
        <v>40548</v>
      </c>
      <c r="C99">
        <v>1</v>
      </c>
      <c r="D99">
        <v>0</v>
      </c>
      <c r="E99">
        <v>1</v>
      </c>
      <c r="F99">
        <v>5</v>
      </c>
      <c r="G99" t="b">
        <v>0</v>
      </c>
      <c r="H99">
        <v>3</v>
      </c>
      <c r="I99">
        <v>1</v>
      </c>
      <c r="J99">
        <v>0.22</v>
      </c>
      <c r="K99">
        <v>0.2273</v>
      </c>
      <c r="L99">
        <v>0.47</v>
      </c>
      <c r="M99">
        <v>0.16420000000000001</v>
      </c>
      <c r="N99">
        <v>0</v>
      </c>
      <c r="O99">
        <v>3</v>
      </c>
      <c r="P99">
        <v>3</v>
      </c>
      <c r="Q99">
        <v>0.2273</v>
      </c>
      <c r="R99">
        <v>0.47</v>
      </c>
      <c r="S99">
        <v>0.16420000000000001</v>
      </c>
      <c r="T99">
        <v>0</v>
      </c>
      <c r="U99">
        <v>3</v>
      </c>
      <c r="V99">
        <v>3</v>
      </c>
    </row>
    <row r="100" spans="1:22" x14ac:dyDescent="0.3">
      <c r="A100">
        <v>98</v>
      </c>
      <c r="B100">
        <v>40548</v>
      </c>
      <c r="C100">
        <v>1</v>
      </c>
      <c r="D100">
        <v>0</v>
      </c>
      <c r="E100">
        <v>1</v>
      </c>
      <c r="F100">
        <v>6</v>
      </c>
      <c r="G100" t="b">
        <v>0</v>
      </c>
      <c r="H100">
        <v>3</v>
      </c>
      <c r="I100">
        <v>1</v>
      </c>
      <c r="J100">
        <v>0.2</v>
      </c>
      <c r="K100">
        <v>0.19700000000000001</v>
      </c>
      <c r="L100">
        <v>0.47</v>
      </c>
      <c r="M100">
        <v>0.22389999999999999</v>
      </c>
      <c r="N100">
        <v>0</v>
      </c>
      <c r="O100">
        <v>33</v>
      </c>
      <c r="P100">
        <v>33</v>
      </c>
      <c r="Q100">
        <v>0.19700000000000001</v>
      </c>
      <c r="R100">
        <v>0.47</v>
      </c>
      <c r="S100">
        <v>0.22389999999999999</v>
      </c>
      <c r="T100">
        <v>0</v>
      </c>
      <c r="U100">
        <v>33</v>
      </c>
      <c r="V100">
        <v>33</v>
      </c>
    </row>
    <row r="101" spans="1:22" x14ac:dyDescent="0.3">
      <c r="A101">
        <v>99</v>
      </c>
      <c r="B101">
        <v>40548</v>
      </c>
      <c r="C101">
        <v>1</v>
      </c>
      <c r="D101">
        <v>0</v>
      </c>
      <c r="E101">
        <v>1</v>
      </c>
      <c r="F101">
        <v>7</v>
      </c>
      <c r="G101" t="b">
        <v>0</v>
      </c>
      <c r="H101">
        <v>3</v>
      </c>
      <c r="I101">
        <v>1</v>
      </c>
      <c r="J101">
        <v>0.18</v>
      </c>
      <c r="K101">
        <v>0.18179999999999999</v>
      </c>
      <c r="L101">
        <v>0.43</v>
      </c>
      <c r="M101">
        <v>0.19400000000000001</v>
      </c>
      <c r="N101">
        <v>1</v>
      </c>
      <c r="O101">
        <v>87</v>
      </c>
      <c r="P101">
        <v>88</v>
      </c>
      <c r="Q101">
        <v>0.18179999999999999</v>
      </c>
      <c r="R101">
        <v>0.43</v>
      </c>
      <c r="S101">
        <v>0.19400000000000001</v>
      </c>
      <c r="T101">
        <v>1</v>
      </c>
      <c r="U101">
        <v>87</v>
      </c>
      <c r="V101">
        <v>88</v>
      </c>
    </row>
    <row r="102" spans="1:22" x14ac:dyDescent="0.3">
      <c r="A102">
        <v>100</v>
      </c>
      <c r="B102">
        <v>40548</v>
      </c>
      <c r="C102">
        <v>1</v>
      </c>
      <c r="D102">
        <v>0</v>
      </c>
      <c r="E102">
        <v>1</v>
      </c>
      <c r="F102">
        <v>8</v>
      </c>
      <c r="G102" t="b">
        <v>0</v>
      </c>
      <c r="H102">
        <v>3</v>
      </c>
      <c r="I102">
        <v>1</v>
      </c>
      <c r="J102">
        <v>0.2</v>
      </c>
      <c r="K102">
        <v>0.18179999999999999</v>
      </c>
      <c r="L102">
        <v>0.4</v>
      </c>
      <c r="M102">
        <v>0.29849999999999999</v>
      </c>
      <c r="N102">
        <v>3</v>
      </c>
      <c r="O102">
        <v>192</v>
      </c>
      <c r="P102">
        <v>195</v>
      </c>
      <c r="Q102">
        <v>0.18179999999999999</v>
      </c>
      <c r="R102">
        <v>0.4</v>
      </c>
      <c r="S102">
        <v>0.29849999999999999</v>
      </c>
      <c r="T102">
        <v>3</v>
      </c>
      <c r="U102">
        <v>192</v>
      </c>
      <c r="V102">
        <v>195</v>
      </c>
    </row>
    <row r="103" spans="1:22" x14ac:dyDescent="0.3">
      <c r="A103">
        <v>101</v>
      </c>
      <c r="B103">
        <v>40548</v>
      </c>
      <c r="C103">
        <v>1</v>
      </c>
      <c r="D103">
        <v>0</v>
      </c>
      <c r="E103">
        <v>1</v>
      </c>
      <c r="F103">
        <v>9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6</v>
      </c>
      <c r="O103">
        <v>109</v>
      </c>
      <c r="P103">
        <v>115</v>
      </c>
      <c r="Q103">
        <v>0.19700000000000001</v>
      </c>
      <c r="R103">
        <v>0.37</v>
      </c>
      <c r="S103">
        <v>0.32840000000000003</v>
      </c>
      <c r="T103">
        <v>6</v>
      </c>
      <c r="U103">
        <v>109</v>
      </c>
      <c r="V103">
        <v>115</v>
      </c>
    </row>
    <row r="104" spans="1:22" x14ac:dyDescent="0.3">
      <c r="A104">
        <v>102</v>
      </c>
      <c r="B104">
        <v>40548</v>
      </c>
      <c r="C104">
        <v>1</v>
      </c>
      <c r="D104">
        <v>0</v>
      </c>
      <c r="E104">
        <v>1</v>
      </c>
      <c r="F104">
        <v>10</v>
      </c>
      <c r="G104" t="b">
        <v>0</v>
      </c>
      <c r="H104">
        <v>3</v>
      </c>
      <c r="I104">
        <v>1</v>
      </c>
      <c r="J104">
        <v>0.22</v>
      </c>
      <c r="K104">
        <v>0.19700000000000001</v>
      </c>
      <c r="L104">
        <v>0.37</v>
      </c>
      <c r="M104">
        <v>0.32840000000000003</v>
      </c>
      <c r="N104">
        <v>4</v>
      </c>
      <c r="O104">
        <v>53</v>
      </c>
      <c r="P104">
        <v>57</v>
      </c>
      <c r="Q104">
        <v>0.19700000000000001</v>
      </c>
      <c r="R104">
        <v>0.37</v>
      </c>
      <c r="S104">
        <v>0.32840000000000003</v>
      </c>
      <c r="T104">
        <v>4</v>
      </c>
      <c r="U104">
        <v>53</v>
      </c>
      <c r="V104">
        <v>57</v>
      </c>
    </row>
    <row r="105" spans="1:22" x14ac:dyDescent="0.3">
      <c r="A105">
        <v>103</v>
      </c>
      <c r="B105">
        <v>40548</v>
      </c>
      <c r="C105">
        <v>1</v>
      </c>
      <c r="D105">
        <v>0</v>
      </c>
      <c r="E105">
        <v>1</v>
      </c>
      <c r="F105">
        <v>11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12</v>
      </c>
      <c r="O105">
        <v>34</v>
      </c>
      <c r="P105">
        <v>46</v>
      </c>
      <c r="Q105">
        <v>0.2273</v>
      </c>
      <c r="R105">
        <v>0.33</v>
      </c>
      <c r="S105">
        <v>0.32840000000000003</v>
      </c>
      <c r="T105">
        <v>12</v>
      </c>
      <c r="U105">
        <v>34</v>
      </c>
      <c r="V105">
        <v>46</v>
      </c>
    </row>
    <row r="106" spans="1:22" x14ac:dyDescent="0.3">
      <c r="A106">
        <v>104</v>
      </c>
      <c r="B106">
        <v>40548</v>
      </c>
      <c r="C106">
        <v>1</v>
      </c>
      <c r="D106">
        <v>0</v>
      </c>
      <c r="E106">
        <v>1</v>
      </c>
      <c r="F106">
        <v>12</v>
      </c>
      <c r="G106" t="b">
        <v>0</v>
      </c>
      <c r="H106">
        <v>3</v>
      </c>
      <c r="I106">
        <v>1</v>
      </c>
      <c r="J106">
        <v>0.26</v>
      </c>
      <c r="K106">
        <v>0.2273</v>
      </c>
      <c r="L106">
        <v>0.33</v>
      </c>
      <c r="M106">
        <v>0.32840000000000003</v>
      </c>
      <c r="N106">
        <v>5</v>
      </c>
      <c r="O106">
        <v>74</v>
      </c>
      <c r="P106">
        <v>79</v>
      </c>
      <c r="Q106">
        <v>0.2273</v>
      </c>
      <c r="R106">
        <v>0.33</v>
      </c>
      <c r="S106">
        <v>0.32840000000000003</v>
      </c>
      <c r="T106">
        <v>5</v>
      </c>
      <c r="U106">
        <v>74</v>
      </c>
      <c r="V106">
        <v>79</v>
      </c>
    </row>
    <row r="107" spans="1:22" x14ac:dyDescent="0.3">
      <c r="A107">
        <v>105</v>
      </c>
      <c r="B107">
        <v>40548</v>
      </c>
      <c r="C107">
        <v>1</v>
      </c>
      <c r="D107">
        <v>0</v>
      </c>
      <c r="E107">
        <v>1</v>
      </c>
      <c r="F107">
        <v>13</v>
      </c>
      <c r="G107" t="b">
        <v>0</v>
      </c>
      <c r="H107">
        <v>3</v>
      </c>
      <c r="I107">
        <v>1</v>
      </c>
      <c r="J107">
        <v>0.28000000000000003</v>
      </c>
      <c r="K107">
        <v>0.2576</v>
      </c>
      <c r="L107">
        <v>0.3</v>
      </c>
      <c r="M107">
        <v>0.29849999999999999</v>
      </c>
      <c r="N107">
        <v>6</v>
      </c>
      <c r="O107">
        <v>65</v>
      </c>
      <c r="P107">
        <v>71</v>
      </c>
      <c r="Q107">
        <v>0.2576</v>
      </c>
      <c r="R107">
        <v>0.3</v>
      </c>
      <c r="S107">
        <v>0.29849999999999999</v>
      </c>
      <c r="T107">
        <v>6</v>
      </c>
      <c r="U107">
        <v>65</v>
      </c>
      <c r="V107">
        <v>71</v>
      </c>
    </row>
    <row r="108" spans="1:22" x14ac:dyDescent="0.3">
      <c r="A108">
        <v>106</v>
      </c>
      <c r="B108">
        <v>40548</v>
      </c>
      <c r="C108">
        <v>1</v>
      </c>
      <c r="D108">
        <v>0</v>
      </c>
      <c r="E108">
        <v>1</v>
      </c>
      <c r="F108">
        <v>14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10</v>
      </c>
      <c r="O108">
        <v>52</v>
      </c>
      <c r="P108">
        <v>62</v>
      </c>
      <c r="Q108">
        <v>0.28789999999999999</v>
      </c>
      <c r="R108">
        <v>0.28000000000000003</v>
      </c>
      <c r="S108">
        <v>0.19400000000000001</v>
      </c>
      <c r="T108">
        <v>10</v>
      </c>
      <c r="U108">
        <v>52</v>
      </c>
      <c r="V108">
        <v>62</v>
      </c>
    </row>
    <row r="109" spans="1:22" x14ac:dyDescent="0.3">
      <c r="A109">
        <v>107</v>
      </c>
      <c r="B109">
        <v>40548</v>
      </c>
      <c r="C109">
        <v>1</v>
      </c>
      <c r="D109">
        <v>0</v>
      </c>
      <c r="E109">
        <v>1</v>
      </c>
      <c r="F109">
        <v>15</v>
      </c>
      <c r="G109" t="b">
        <v>0</v>
      </c>
      <c r="H109">
        <v>3</v>
      </c>
      <c r="I109">
        <v>1</v>
      </c>
      <c r="J109">
        <v>0.3</v>
      </c>
      <c r="K109">
        <v>0.28789999999999999</v>
      </c>
      <c r="L109">
        <v>0.28000000000000003</v>
      </c>
      <c r="M109">
        <v>0.19400000000000001</v>
      </c>
      <c r="N109">
        <v>7</v>
      </c>
      <c r="O109">
        <v>55</v>
      </c>
      <c r="P109">
        <v>62</v>
      </c>
      <c r="Q109">
        <v>0.28789999999999999</v>
      </c>
      <c r="R109">
        <v>0.28000000000000003</v>
      </c>
      <c r="S109">
        <v>0.19400000000000001</v>
      </c>
      <c r="T109">
        <v>7</v>
      </c>
      <c r="U109">
        <v>55</v>
      </c>
      <c r="V109">
        <v>62</v>
      </c>
    </row>
    <row r="110" spans="1:22" x14ac:dyDescent="0.3">
      <c r="A110">
        <v>108</v>
      </c>
      <c r="B110">
        <v>40548</v>
      </c>
      <c r="C110">
        <v>1</v>
      </c>
      <c r="D110">
        <v>0</v>
      </c>
      <c r="E110">
        <v>1</v>
      </c>
      <c r="F110">
        <v>16</v>
      </c>
      <c r="G110" t="b">
        <v>0</v>
      </c>
      <c r="H110">
        <v>3</v>
      </c>
      <c r="I110">
        <v>1</v>
      </c>
      <c r="J110">
        <v>0.3</v>
      </c>
      <c r="K110">
        <v>0.31819999999999998</v>
      </c>
      <c r="L110">
        <v>0.28000000000000003</v>
      </c>
      <c r="M110">
        <v>8.9599999999999999E-2</v>
      </c>
      <c r="N110">
        <v>4</v>
      </c>
      <c r="O110">
        <v>85</v>
      </c>
      <c r="P110">
        <v>89</v>
      </c>
      <c r="Q110">
        <v>0.31819999999999998</v>
      </c>
      <c r="R110">
        <v>0.28000000000000003</v>
      </c>
      <c r="S110">
        <v>8.9599999999999999E-2</v>
      </c>
      <c r="T110">
        <v>4</v>
      </c>
      <c r="U110">
        <v>85</v>
      </c>
      <c r="V110">
        <v>89</v>
      </c>
    </row>
    <row r="111" spans="1:22" x14ac:dyDescent="0.3">
      <c r="A111">
        <v>109</v>
      </c>
      <c r="B111">
        <v>40548</v>
      </c>
      <c r="C111">
        <v>1</v>
      </c>
      <c r="D111">
        <v>0</v>
      </c>
      <c r="E111">
        <v>1</v>
      </c>
      <c r="F111">
        <v>17</v>
      </c>
      <c r="G111" t="b">
        <v>0</v>
      </c>
      <c r="H111">
        <v>3</v>
      </c>
      <c r="I111">
        <v>1</v>
      </c>
      <c r="J111">
        <v>0.24</v>
      </c>
      <c r="K111">
        <v>0.2273</v>
      </c>
      <c r="L111">
        <v>0.38</v>
      </c>
      <c r="M111">
        <v>0.19400000000000001</v>
      </c>
      <c r="N111">
        <v>4</v>
      </c>
      <c r="O111">
        <v>186</v>
      </c>
      <c r="P111">
        <v>190</v>
      </c>
      <c r="Q111">
        <v>0.2273</v>
      </c>
      <c r="R111">
        <v>0.38</v>
      </c>
      <c r="S111">
        <v>0.19400000000000001</v>
      </c>
      <c r="T111">
        <v>4</v>
      </c>
      <c r="U111">
        <v>186</v>
      </c>
      <c r="V111">
        <v>190</v>
      </c>
    </row>
    <row r="112" spans="1:22" x14ac:dyDescent="0.3">
      <c r="A112">
        <v>110</v>
      </c>
      <c r="B112">
        <v>40548</v>
      </c>
      <c r="C112">
        <v>1</v>
      </c>
      <c r="D112">
        <v>0</v>
      </c>
      <c r="E112">
        <v>1</v>
      </c>
      <c r="F112">
        <v>18</v>
      </c>
      <c r="G112" t="b">
        <v>0</v>
      </c>
      <c r="H112">
        <v>3</v>
      </c>
      <c r="I112">
        <v>1</v>
      </c>
      <c r="J112">
        <v>0.24</v>
      </c>
      <c r="K112">
        <v>0.2424</v>
      </c>
      <c r="L112">
        <v>0.38</v>
      </c>
      <c r="M112">
        <v>0.1343</v>
      </c>
      <c r="N112">
        <v>3</v>
      </c>
      <c r="O112">
        <v>166</v>
      </c>
      <c r="P112">
        <v>169</v>
      </c>
      <c r="Q112">
        <v>0.2424</v>
      </c>
      <c r="R112">
        <v>0.38</v>
      </c>
      <c r="S112">
        <v>0.1343</v>
      </c>
      <c r="T112">
        <v>3</v>
      </c>
      <c r="U112">
        <v>166</v>
      </c>
      <c r="V112">
        <v>169</v>
      </c>
    </row>
    <row r="113" spans="1:22" x14ac:dyDescent="0.3">
      <c r="A113">
        <v>111</v>
      </c>
      <c r="B113">
        <v>40548</v>
      </c>
      <c r="C113">
        <v>1</v>
      </c>
      <c r="D113">
        <v>0</v>
      </c>
      <c r="E113">
        <v>1</v>
      </c>
      <c r="F113">
        <v>19</v>
      </c>
      <c r="G113" t="b">
        <v>0</v>
      </c>
      <c r="H113">
        <v>3</v>
      </c>
      <c r="I113">
        <v>1</v>
      </c>
      <c r="J113">
        <v>0.24</v>
      </c>
      <c r="K113">
        <v>0.2576</v>
      </c>
      <c r="L113">
        <v>0.38</v>
      </c>
      <c r="M113">
        <v>0.1045</v>
      </c>
      <c r="N113">
        <v>5</v>
      </c>
      <c r="O113">
        <v>127</v>
      </c>
      <c r="P113">
        <v>132</v>
      </c>
      <c r="Q113">
        <v>0.2576</v>
      </c>
      <c r="R113">
        <v>0.38</v>
      </c>
      <c r="S113">
        <v>0.1045</v>
      </c>
      <c r="T113">
        <v>5</v>
      </c>
      <c r="U113">
        <v>127</v>
      </c>
      <c r="V113">
        <v>132</v>
      </c>
    </row>
    <row r="114" spans="1:22" x14ac:dyDescent="0.3">
      <c r="A114">
        <v>112</v>
      </c>
      <c r="B114">
        <v>40548</v>
      </c>
      <c r="C114">
        <v>1</v>
      </c>
      <c r="D114">
        <v>0</v>
      </c>
      <c r="E114">
        <v>1</v>
      </c>
      <c r="F114">
        <v>20</v>
      </c>
      <c r="G114" t="b">
        <v>0</v>
      </c>
      <c r="H114">
        <v>3</v>
      </c>
      <c r="I114">
        <v>1</v>
      </c>
      <c r="J114">
        <v>0.22</v>
      </c>
      <c r="K114">
        <v>0.2273</v>
      </c>
      <c r="L114">
        <v>0.47</v>
      </c>
      <c r="M114">
        <v>0.16420000000000001</v>
      </c>
      <c r="N114">
        <v>7</v>
      </c>
      <c r="O114">
        <v>82</v>
      </c>
      <c r="P114">
        <v>89</v>
      </c>
      <c r="Q114">
        <v>0.2273</v>
      </c>
      <c r="R114">
        <v>0.47</v>
      </c>
      <c r="S114">
        <v>0.16420000000000001</v>
      </c>
      <c r="T114">
        <v>7</v>
      </c>
      <c r="U114">
        <v>82</v>
      </c>
      <c r="V114">
        <v>89</v>
      </c>
    </row>
    <row r="115" spans="1:22" x14ac:dyDescent="0.3">
      <c r="A115">
        <v>113</v>
      </c>
      <c r="B115">
        <v>40548</v>
      </c>
      <c r="C115">
        <v>1</v>
      </c>
      <c r="D115">
        <v>0</v>
      </c>
      <c r="E115">
        <v>1</v>
      </c>
      <c r="F115">
        <v>21</v>
      </c>
      <c r="G115" t="b">
        <v>0</v>
      </c>
      <c r="H115">
        <v>3</v>
      </c>
      <c r="I115">
        <v>1</v>
      </c>
      <c r="J115">
        <v>0.2</v>
      </c>
      <c r="K115">
        <v>0.19700000000000001</v>
      </c>
      <c r="L115">
        <v>0.51</v>
      </c>
      <c r="M115">
        <v>0.19400000000000001</v>
      </c>
      <c r="N115">
        <v>3</v>
      </c>
      <c r="O115">
        <v>40</v>
      </c>
      <c r="P115">
        <v>43</v>
      </c>
      <c r="Q115">
        <v>0.19700000000000001</v>
      </c>
      <c r="R115">
        <v>0.51</v>
      </c>
      <c r="S115">
        <v>0.19400000000000001</v>
      </c>
      <c r="T115">
        <v>3</v>
      </c>
      <c r="U115">
        <v>40</v>
      </c>
      <c r="V115">
        <v>43</v>
      </c>
    </row>
    <row r="116" spans="1:22" x14ac:dyDescent="0.3">
      <c r="A116">
        <v>114</v>
      </c>
      <c r="B116">
        <v>40548</v>
      </c>
      <c r="C116">
        <v>1</v>
      </c>
      <c r="D116">
        <v>0</v>
      </c>
      <c r="E116">
        <v>1</v>
      </c>
      <c r="F116">
        <v>22</v>
      </c>
      <c r="G116" t="b">
        <v>0</v>
      </c>
      <c r="H116">
        <v>3</v>
      </c>
      <c r="I116">
        <v>1</v>
      </c>
      <c r="J116">
        <v>0.18</v>
      </c>
      <c r="K116">
        <v>0.19700000000000001</v>
      </c>
      <c r="L116">
        <v>0.55000000000000004</v>
      </c>
      <c r="M116">
        <v>0.1343</v>
      </c>
      <c r="N116">
        <v>1</v>
      </c>
      <c r="O116">
        <v>41</v>
      </c>
      <c r="P116">
        <v>42</v>
      </c>
      <c r="Q116">
        <v>0.19700000000000001</v>
      </c>
      <c r="R116">
        <v>0.55000000000000004</v>
      </c>
      <c r="S116">
        <v>0.1343</v>
      </c>
      <c r="T116">
        <v>1</v>
      </c>
      <c r="U116">
        <v>41</v>
      </c>
      <c r="V116">
        <v>42</v>
      </c>
    </row>
    <row r="117" spans="1:22" x14ac:dyDescent="0.3">
      <c r="A117">
        <v>115</v>
      </c>
      <c r="B117">
        <v>40548</v>
      </c>
      <c r="C117">
        <v>1</v>
      </c>
      <c r="D117">
        <v>0</v>
      </c>
      <c r="E117">
        <v>1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0.2576</v>
      </c>
      <c r="L117">
        <v>0.47</v>
      </c>
      <c r="M117">
        <v>0</v>
      </c>
      <c r="N117">
        <v>1</v>
      </c>
      <c r="O117">
        <v>18</v>
      </c>
      <c r="P117">
        <v>19</v>
      </c>
      <c r="Q117">
        <v>0.2576</v>
      </c>
      <c r="R117">
        <v>0.47</v>
      </c>
      <c r="S117">
        <v>0</v>
      </c>
      <c r="T117">
        <v>1</v>
      </c>
      <c r="U117">
        <v>18</v>
      </c>
      <c r="V117">
        <v>19</v>
      </c>
    </row>
    <row r="118" spans="1:22" x14ac:dyDescent="0.3">
      <c r="A118">
        <v>116</v>
      </c>
      <c r="B118">
        <v>40549</v>
      </c>
      <c r="C118">
        <v>1</v>
      </c>
      <c r="D118">
        <v>0</v>
      </c>
      <c r="E118">
        <v>1</v>
      </c>
      <c r="F118">
        <v>0</v>
      </c>
      <c r="G118" t="b">
        <v>0</v>
      </c>
      <c r="H118">
        <v>4</v>
      </c>
      <c r="I118">
        <v>1</v>
      </c>
      <c r="J118">
        <v>0.18</v>
      </c>
      <c r="K118">
        <v>0.2424</v>
      </c>
      <c r="L118">
        <v>0.55000000000000004</v>
      </c>
      <c r="M118">
        <v>0</v>
      </c>
      <c r="N118">
        <v>0</v>
      </c>
      <c r="O118">
        <v>11</v>
      </c>
      <c r="P118">
        <v>11</v>
      </c>
      <c r="Q118">
        <v>0.2424</v>
      </c>
      <c r="R118">
        <v>0.55000000000000004</v>
      </c>
      <c r="S118">
        <v>0</v>
      </c>
      <c r="T118">
        <v>0</v>
      </c>
      <c r="U118">
        <v>11</v>
      </c>
      <c r="V118">
        <v>11</v>
      </c>
    </row>
    <row r="119" spans="1:22" x14ac:dyDescent="0.3">
      <c r="A119">
        <v>117</v>
      </c>
      <c r="B119">
        <v>40549</v>
      </c>
      <c r="C119">
        <v>1</v>
      </c>
      <c r="D119">
        <v>0</v>
      </c>
      <c r="E119">
        <v>1</v>
      </c>
      <c r="F119">
        <v>1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4</v>
      </c>
      <c r="P119">
        <v>4</v>
      </c>
      <c r="Q119">
        <v>0.2273</v>
      </c>
      <c r="R119">
        <v>0.64</v>
      </c>
      <c r="S119">
        <v>0</v>
      </c>
      <c r="T119">
        <v>0</v>
      </c>
      <c r="U119">
        <v>4</v>
      </c>
      <c r="V119">
        <v>4</v>
      </c>
    </row>
    <row r="120" spans="1:22" x14ac:dyDescent="0.3">
      <c r="A120">
        <v>118</v>
      </c>
      <c r="B120">
        <v>40549</v>
      </c>
      <c r="C120">
        <v>1</v>
      </c>
      <c r="D120">
        <v>0</v>
      </c>
      <c r="E120">
        <v>1</v>
      </c>
      <c r="F120">
        <v>2</v>
      </c>
      <c r="G120" t="b">
        <v>0</v>
      </c>
      <c r="H120">
        <v>4</v>
      </c>
      <c r="I120">
        <v>1</v>
      </c>
      <c r="J120">
        <v>0.16</v>
      </c>
      <c r="K120">
        <v>0.2273</v>
      </c>
      <c r="L120">
        <v>0.64</v>
      </c>
      <c r="M120">
        <v>0</v>
      </c>
      <c r="N120">
        <v>0</v>
      </c>
      <c r="O120">
        <v>2</v>
      </c>
      <c r="P120">
        <v>2</v>
      </c>
      <c r="Q120">
        <v>0.2273</v>
      </c>
      <c r="R120">
        <v>0.64</v>
      </c>
      <c r="S120">
        <v>0</v>
      </c>
      <c r="T120">
        <v>0</v>
      </c>
      <c r="U120">
        <v>2</v>
      </c>
      <c r="V120">
        <v>2</v>
      </c>
    </row>
    <row r="121" spans="1:22" x14ac:dyDescent="0.3">
      <c r="A121">
        <v>119</v>
      </c>
      <c r="B121">
        <v>40549</v>
      </c>
      <c r="C121">
        <v>1</v>
      </c>
      <c r="D121">
        <v>0</v>
      </c>
      <c r="E121">
        <v>1</v>
      </c>
      <c r="F121">
        <v>4</v>
      </c>
      <c r="G121" t="b">
        <v>0</v>
      </c>
      <c r="H121">
        <v>4</v>
      </c>
      <c r="I121">
        <v>2</v>
      </c>
      <c r="J121">
        <v>0.16</v>
      </c>
      <c r="K121">
        <v>0.19700000000000001</v>
      </c>
      <c r="L121">
        <v>0.64</v>
      </c>
      <c r="M121">
        <v>8.9599999999999999E-2</v>
      </c>
      <c r="N121">
        <v>0</v>
      </c>
      <c r="O121">
        <v>1</v>
      </c>
      <c r="P121">
        <v>1</v>
      </c>
      <c r="Q121">
        <v>0.19700000000000001</v>
      </c>
      <c r="R121">
        <v>0.64</v>
      </c>
      <c r="S121">
        <v>8.9599999999999999E-2</v>
      </c>
      <c r="T121">
        <v>0</v>
      </c>
      <c r="U121">
        <v>1</v>
      </c>
      <c r="V121">
        <v>1</v>
      </c>
    </row>
    <row r="122" spans="1:22" x14ac:dyDescent="0.3">
      <c r="A122">
        <v>120</v>
      </c>
      <c r="B122">
        <v>40549</v>
      </c>
      <c r="C122">
        <v>1</v>
      </c>
      <c r="D122">
        <v>0</v>
      </c>
      <c r="E122">
        <v>1</v>
      </c>
      <c r="F122">
        <v>5</v>
      </c>
      <c r="G122" t="b">
        <v>0</v>
      </c>
      <c r="H122">
        <v>4</v>
      </c>
      <c r="I122">
        <v>2</v>
      </c>
      <c r="J122">
        <v>0.14000000000000001</v>
      </c>
      <c r="K122">
        <v>0.18179999999999999</v>
      </c>
      <c r="L122">
        <v>0.69</v>
      </c>
      <c r="M122">
        <v>8.9599999999999999E-2</v>
      </c>
      <c r="N122">
        <v>0</v>
      </c>
      <c r="O122">
        <v>4</v>
      </c>
      <c r="P122">
        <v>4</v>
      </c>
      <c r="Q122">
        <v>0.18179999999999999</v>
      </c>
      <c r="R122">
        <v>0.69</v>
      </c>
      <c r="S122">
        <v>8.9599999999999999E-2</v>
      </c>
      <c r="T122">
        <v>0</v>
      </c>
      <c r="U122">
        <v>4</v>
      </c>
      <c r="V122">
        <v>4</v>
      </c>
    </row>
    <row r="123" spans="1:22" x14ac:dyDescent="0.3">
      <c r="A123">
        <v>121</v>
      </c>
      <c r="B123">
        <v>40549</v>
      </c>
      <c r="C123">
        <v>1</v>
      </c>
      <c r="D123">
        <v>0</v>
      </c>
      <c r="E123">
        <v>1</v>
      </c>
      <c r="F123">
        <v>6</v>
      </c>
      <c r="G123" t="b">
        <v>0</v>
      </c>
      <c r="H123">
        <v>4</v>
      </c>
      <c r="I123">
        <v>2</v>
      </c>
      <c r="J123">
        <v>0.14000000000000001</v>
      </c>
      <c r="K123">
        <v>0.16669999999999999</v>
      </c>
      <c r="L123">
        <v>0.63</v>
      </c>
      <c r="M123">
        <v>0.1045</v>
      </c>
      <c r="N123">
        <v>0</v>
      </c>
      <c r="O123">
        <v>36</v>
      </c>
      <c r="P123">
        <v>36</v>
      </c>
      <c r="Q123">
        <v>0.16669999999999999</v>
      </c>
      <c r="R123">
        <v>0.63</v>
      </c>
      <c r="S123">
        <v>0.1045</v>
      </c>
      <c r="T123">
        <v>0</v>
      </c>
      <c r="U123">
        <v>36</v>
      </c>
      <c r="V123">
        <v>36</v>
      </c>
    </row>
    <row r="124" spans="1:22" x14ac:dyDescent="0.3">
      <c r="A124">
        <v>122</v>
      </c>
      <c r="B124">
        <v>40549</v>
      </c>
      <c r="C124">
        <v>1</v>
      </c>
      <c r="D124">
        <v>0</v>
      </c>
      <c r="E124">
        <v>1</v>
      </c>
      <c r="F124">
        <v>7</v>
      </c>
      <c r="G124" t="b">
        <v>0</v>
      </c>
      <c r="H124">
        <v>4</v>
      </c>
      <c r="I124">
        <v>2</v>
      </c>
      <c r="J124">
        <v>0.16</v>
      </c>
      <c r="K124">
        <v>0.2273</v>
      </c>
      <c r="L124">
        <v>0.59</v>
      </c>
      <c r="M124">
        <v>0</v>
      </c>
      <c r="N124">
        <v>0</v>
      </c>
      <c r="O124">
        <v>95</v>
      </c>
      <c r="P124">
        <v>95</v>
      </c>
      <c r="Q124">
        <v>0.2273</v>
      </c>
      <c r="R124">
        <v>0.59</v>
      </c>
      <c r="S124">
        <v>0</v>
      </c>
      <c r="T124">
        <v>0</v>
      </c>
      <c r="U124">
        <v>95</v>
      </c>
      <c r="V124">
        <v>95</v>
      </c>
    </row>
    <row r="125" spans="1:22" x14ac:dyDescent="0.3">
      <c r="A125">
        <v>123</v>
      </c>
      <c r="B125">
        <v>40549</v>
      </c>
      <c r="C125">
        <v>1</v>
      </c>
      <c r="D125">
        <v>0</v>
      </c>
      <c r="E125">
        <v>1</v>
      </c>
      <c r="F125">
        <v>8</v>
      </c>
      <c r="G125" t="b">
        <v>0</v>
      </c>
      <c r="H125">
        <v>4</v>
      </c>
      <c r="I125">
        <v>1</v>
      </c>
      <c r="J125">
        <v>0.16</v>
      </c>
      <c r="K125">
        <v>0.2273</v>
      </c>
      <c r="L125">
        <v>0.59</v>
      </c>
      <c r="M125">
        <v>0</v>
      </c>
      <c r="N125">
        <v>3</v>
      </c>
      <c r="O125">
        <v>216</v>
      </c>
      <c r="P125">
        <v>219</v>
      </c>
      <c r="Q125">
        <v>0.2273</v>
      </c>
      <c r="R125">
        <v>0.59</v>
      </c>
      <c r="S125">
        <v>0</v>
      </c>
      <c r="T125">
        <v>3</v>
      </c>
      <c r="U125">
        <v>216</v>
      </c>
      <c r="V125">
        <v>219</v>
      </c>
    </row>
    <row r="126" spans="1:22" x14ac:dyDescent="0.3">
      <c r="A126">
        <v>124</v>
      </c>
      <c r="B126">
        <v>40549</v>
      </c>
      <c r="C126">
        <v>1</v>
      </c>
      <c r="D126">
        <v>0</v>
      </c>
      <c r="E126">
        <v>1</v>
      </c>
      <c r="F126">
        <v>9</v>
      </c>
      <c r="G126" t="b">
        <v>0</v>
      </c>
      <c r="H126">
        <v>4</v>
      </c>
      <c r="I126">
        <v>2</v>
      </c>
      <c r="J126">
        <v>0.18</v>
      </c>
      <c r="K126">
        <v>0.2424</v>
      </c>
      <c r="L126">
        <v>0.51</v>
      </c>
      <c r="M126">
        <v>0</v>
      </c>
      <c r="N126">
        <v>6</v>
      </c>
      <c r="O126">
        <v>116</v>
      </c>
      <c r="P126">
        <v>122</v>
      </c>
      <c r="Q126">
        <v>0.2424</v>
      </c>
      <c r="R126">
        <v>0.51</v>
      </c>
      <c r="S126">
        <v>0</v>
      </c>
      <c r="T126">
        <v>6</v>
      </c>
      <c r="U126">
        <v>116</v>
      </c>
      <c r="V126">
        <v>122</v>
      </c>
    </row>
    <row r="127" spans="1:22" x14ac:dyDescent="0.3">
      <c r="A127">
        <v>125</v>
      </c>
      <c r="B127">
        <v>40549</v>
      </c>
      <c r="C127">
        <v>1</v>
      </c>
      <c r="D127">
        <v>0</v>
      </c>
      <c r="E127">
        <v>1</v>
      </c>
      <c r="F127">
        <v>10</v>
      </c>
      <c r="G127" t="b">
        <v>0</v>
      </c>
      <c r="H127">
        <v>4</v>
      </c>
      <c r="I127">
        <v>1</v>
      </c>
      <c r="J127">
        <v>0.2</v>
      </c>
      <c r="K127">
        <v>0.2576</v>
      </c>
      <c r="L127">
        <v>0.47</v>
      </c>
      <c r="M127">
        <v>0</v>
      </c>
      <c r="N127">
        <v>3</v>
      </c>
      <c r="O127">
        <v>42</v>
      </c>
      <c r="P127">
        <v>45</v>
      </c>
      <c r="Q127">
        <v>0.2576</v>
      </c>
      <c r="R127">
        <v>0.47</v>
      </c>
      <c r="S127">
        <v>0</v>
      </c>
      <c r="T127">
        <v>3</v>
      </c>
      <c r="U127">
        <v>42</v>
      </c>
      <c r="V127">
        <v>45</v>
      </c>
    </row>
    <row r="128" spans="1:22" x14ac:dyDescent="0.3">
      <c r="A128">
        <v>126</v>
      </c>
      <c r="B128">
        <v>40549</v>
      </c>
      <c r="C128">
        <v>1</v>
      </c>
      <c r="D128">
        <v>0</v>
      </c>
      <c r="E128">
        <v>1</v>
      </c>
      <c r="F128">
        <v>11</v>
      </c>
      <c r="G128" t="b">
        <v>0</v>
      </c>
      <c r="H128">
        <v>4</v>
      </c>
      <c r="I128">
        <v>1</v>
      </c>
      <c r="J128">
        <v>0.22</v>
      </c>
      <c r="K128">
        <v>0.2576</v>
      </c>
      <c r="L128">
        <v>0.44</v>
      </c>
      <c r="M128">
        <v>8.9599999999999999E-2</v>
      </c>
      <c r="N128">
        <v>2</v>
      </c>
      <c r="O128">
        <v>57</v>
      </c>
      <c r="P128">
        <v>59</v>
      </c>
      <c r="Q128">
        <v>0.2576</v>
      </c>
      <c r="R128">
        <v>0.44</v>
      </c>
      <c r="S128">
        <v>8.9599999999999999E-2</v>
      </c>
      <c r="T128">
        <v>2</v>
      </c>
      <c r="U128">
        <v>57</v>
      </c>
      <c r="V128">
        <v>59</v>
      </c>
    </row>
    <row r="129" spans="1:22" x14ac:dyDescent="0.3">
      <c r="A129">
        <v>127</v>
      </c>
      <c r="B129">
        <v>40549</v>
      </c>
      <c r="C129">
        <v>1</v>
      </c>
      <c r="D129">
        <v>0</v>
      </c>
      <c r="E129">
        <v>1</v>
      </c>
      <c r="F129">
        <v>12</v>
      </c>
      <c r="G129" t="b">
        <v>0</v>
      </c>
      <c r="H129">
        <v>4</v>
      </c>
      <c r="I129">
        <v>1</v>
      </c>
      <c r="J129">
        <v>0.26</v>
      </c>
      <c r="K129">
        <v>0.28789999999999999</v>
      </c>
      <c r="L129">
        <v>0.35</v>
      </c>
      <c r="M129">
        <v>0</v>
      </c>
      <c r="N129">
        <v>6</v>
      </c>
      <c r="O129">
        <v>78</v>
      </c>
      <c r="P129">
        <v>84</v>
      </c>
      <c r="Q129">
        <v>0.28789999999999999</v>
      </c>
      <c r="R129">
        <v>0.35</v>
      </c>
      <c r="S129">
        <v>0</v>
      </c>
      <c r="T129">
        <v>6</v>
      </c>
      <c r="U129">
        <v>78</v>
      </c>
      <c r="V129">
        <v>84</v>
      </c>
    </row>
    <row r="130" spans="1:22" x14ac:dyDescent="0.3">
      <c r="A130">
        <v>128</v>
      </c>
      <c r="B130">
        <v>40549</v>
      </c>
      <c r="C130">
        <v>1</v>
      </c>
      <c r="D130">
        <v>0</v>
      </c>
      <c r="E130">
        <v>1</v>
      </c>
      <c r="F130">
        <v>13</v>
      </c>
      <c r="G130" t="b">
        <v>0</v>
      </c>
      <c r="H130">
        <v>4</v>
      </c>
      <c r="I130">
        <v>1</v>
      </c>
      <c r="J130">
        <v>0.26</v>
      </c>
      <c r="K130">
        <v>0.2727</v>
      </c>
      <c r="L130">
        <v>0.35</v>
      </c>
      <c r="M130">
        <v>0.1045</v>
      </c>
      <c r="N130">
        <v>12</v>
      </c>
      <c r="O130">
        <v>55</v>
      </c>
      <c r="P130">
        <v>67</v>
      </c>
      <c r="Q130">
        <v>0.2727</v>
      </c>
      <c r="R130">
        <v>0.35</v>
      </c>
      <c r="S130">
        <v>0.1045</v>
      </c>
      <c r="T130">
        <v>12</v>
      </c>
      <c r="U130">
        <v>55</v>
      </c>
      <c r="V130">
        <v>67</v>
      </c>
    </row>
    <row r="131" spans="1:22" x14ac:dyDescent="0.3">
      <c r="A131">
        <v>129</v>
      </c>
      <c r="B131">
        <v>40549</v>
      </c>
      <c r="C131">
        <v>1</v>
      </c>
      <c r="D131">
        <v>0</v>
      </c>
      <c r="E131">
        <v>1</v>
      </c>
      <c r="F131">
        <v>14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0.16420000000000001</v>
      </c>
      <c r="N131">
        <v>11</v>
      </c>
      <c r="O131">
        <v>59</v>
      </c>
      <c r="P131">
        <v>70</v>
      </c>
      <c r="Q131">
        <v>0.2727</v>
      </c>
      <c r="R131">
        <v>0.36</v>
      </c>
      <c r="S131">
        <v>0.16420000000000001</v>
      </c>
      <c r="T131">
        <v>11</v>
      </c>
      <c r="U131">
        <v>59</v>
      </c>
      <c r="V131">
        <v>70</v>
      </c>
    </row>
    <row r="132" spans="1:22" x14ac:dyDescent="0.3">
      <c r="A132">
        <v>130</v>
      </c>
      <c r="B132">
        <v>40549</v>
      </c>
      <c r="C132">
        <v>1</v>
      </c>
      <c r="D132">
        <v>0</v>
      </c>
      <c r="E132">
        <v>1</v>
      </c>
      <c r="F132">
        <v>15</v>
      </c>
      <c r="G132" t="b">
        <v>0</v>
      </c>
      <c r="H132">
        <v>4</v>
      </c>
      <c r="I132">
        <v>1</v>
      </c>
      <c r="J132">
        <v>0.28000000000000003</v>
      </c>
      <c r="K132">
        <v>0.2727</v>
      </c>
      <c r="L132">
        <v>0.36</v>
      </c>
      <c r="M132">
        <v>0</v>
      </c>
      <c r="N132">
        <v>8</v>
      </c>
      <c r="O132">
        <v>54</v>
      </c>
      <c r="P132">
        <v>62</v>
      </c>
      <c r="Q132">
        <v>0.2727</v>
      </c>
      <c r="R132">
        <v>0.36</v>
      </c>
      <c r="S132">
        <v>0</v>
      </c>
      <c r="T132">
        <v>8</v>
      </c>
      <c r="U132">
        <v>54</v>
      </c>
      <c r="V132">
        <v>62</v>
      </c>
    </row>
    <row r="133" spans="1:22" x14ac:dyDescent="0.3">
      <c r="A133">
        <v>131</v>
      </c>
      <c r="B133">
        <v>40549</v>
      </c>
      <c r="C133">
        <v>1</v>
      </c>
      <c r="D133">
        <v>0</v>
      </c>
      <c r="E133">
        <v>1</v>
      </c>
      <c r="F133">
        <v>16</v>
      </c>
      <c r="G133" t="b">
        <v>0</v>
      </c>
      <c r="H133">
        <v>4</v>
      </c>
      <c r="I133">
        <v>1</v>
      </c>
      <c r="J133">
        <v>0.26</v>
      </c>
      <c r="K133">
        <v>0.2576</v>
      </c>
      <c r="L133">
        <v>0.38</v>
      </c>
      <c r="M133">
        <v>0.16420000000000001</v>
      </c>
      <c r="N133">
        <v>12</v>
      </c>
      <c r="O133">
        <v>74</v>
      </c>
      <c r="P133">
        <v>86</v>
      </c>
      <c r="Q133">
        <v>0.2576</v>
      </c>
      <c r="R133">
        <v>0.38</v>
      </c>
      <c r="S133">
        <v>0.16420000000000001</v>
      </c>
      <c r="T133">
        <v>12</v>
      </c>
      <c r="U133">
        <v>74</v>
      </c>
      <c r="V133">
        <v>86</v>
      </c>
    </row>
    <row r="134" spans="1:22" x14ac:dyDescent="0.3">
      <c r="A134">
        <v>132</v>
      </c>
      <c r="B134">
        <v>40549</v>
      </c>
      <c r="C134">
        <v>1</v>
      </c>
      <c r="D134">
        <v>0</v>
      </c>
      <c r="E134">
        <v>1</v>
      </c>
      <c r="F134">
        <v>17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0.16420000000000001</v>
      </c>
      <c r="N134">
        <v>9</v>
      </c>
      <c r="O134">
        <v>163</v>
      </c>
      <c r="P134">
        <v>172</v>
      </c>
      <c r="Q134">
        <v>0.2273</v>
      </c>
      <c r="R134">
        <v>0.51</v>
      </c>
      <c r="S134">
        <v>0.16420000000000001</v>
      </c>
      <c r="T134">
        <v>9</v>
      </c>
      <c r="U134">
        <v>163</v>
      </c>
      <c r="V134">
        <v>172</v>
      </c>
    </row>
    <row r="135" spans="1:22" x14ac:dyDescent="0.3">
      <c r="A135">
        <v>133</v>
      </c>
      <c r="B135">
        <v>40549</v>
      </c>
      <c r="C135">
        <v>1</v>
      </c>
      <c r="D135">
        <v>0</v>
      </c>
      <c r="E135">
        <v>1</v>
      </c>
      <c r="F135">
        <v>18</v>
      </c>
      <c r="G135" t="b">
        <v>0</v>
      </c>
      <c r="H135">
        <v>4</v>
      </c>
      <c r="I135">
        <v>1</v>
      </c>
      <c r="J135">
        <v>0.22</v>
      </c>
      <c r="K135">
        <v>0.2273</v>
      </c>
      <c r="L135">
        <v>0.51</v>
      </c>
      <c r="M135">
        <v>0.1343</v>
      </c>
      <c r="N135">
        <v>5</v>
      </c>
      <c r="O135">
        <v>158</v>
      </c>
      <c r="P135">
        <v>163</v>
      </c>
      <c r="Q135">
        <v>0.2273</v>
      </c>
      <c r="R135">
        <v>0.51</v>
      </c>
      <c r="S135">
        <v>0.1343</v>
      </c>
      <c r="T135">
        <v>5</v>
      </c>
      <c r="U135">
        <v>158</v>
      </c>
      <c r="V135">
        <v>163</v>
      </c>
    </row>
    <row r="136" spans="1:22" x14ac:dyDescent="0.3">
      <c r="A136">
        <v>134</v>
      </c>
      <c r="B136">
        <v>40549</v>
      </c>
      <c r="C136">
        <v>1</v>
      </c>
      <c r="D136">
        <v>0</v>
      </c>
      <c r="E136">
        <v>1</v>
      </c>
      <c r="F136">
        <v>19</v>
      </c>
      <c r="G136" t="b">
        <v>0</v>
      </c>
      <c r="H136">
        <v>4</v>
      </c>
      <c r="I136">
        <v>1</v>
      </c>
      <c r="J136">
        <v>0.22</v>
      </c>
      <c r="K136">
        <v>0.2576</v>
      </c>
      <c r="L136">
        <v>0.55000000000000004</v>
      </c>
      <c r="M136">
        <v>8.9599999999999999E-2</v>
      </c>
      <c r="N136">
        <v>3</v>
      </c>
      <c r="O136">
        <v>109</v>
      </c>
      <c r="P136">
        <v>112</v>
      </c>
      <c r="Q136">
        <v>0.2576</v>
      </c>
      <c r="R136">
        <v>0.55000000000000004</v>
      </c>
      <c r="S136">
        <v>8.9599999999999999E-2</v>
      </c>
      <c r="T136">
        <v>3</v>
      </c>
      <c r="U136">
        <v>109</v>
      </c>
      <c r="V136">
        <v>112</v>
      </c>
    </row>
    <row r="137" spans="1:22" x14ac:dyDescent="0.3">
      <c r="A137">
        <v>135</v>
      </c>
      <c r="B137">
        <v>40549</v>
      </c>
      <c r="C137">
        <v>1</v>
      </c>
      <c r="D137">
        <v>0</v>
      </c>
      <c r="E137">
        <v>1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0.21210000000000001</v>
      </c>
      <c r="L137">
        <v>0.51</v>
      </c>
      <c r="M137">
        <v>0.16420000000000001</v>
      </c>
      <c r="N137">
        <v>3</v>
      </c>
      <c r="O137">
        <v>66</v>
      </c>
      <c r="P137">
        <v>69</v>
      </c>
      <c r="Q137">
        <v>0.21210000000000001</v>
      </c>
      <c r="R137">
        <v>0.51</v>
      </c>
      <c r="S137">
        <v>0.16420000000000001</v>
      </c>
      <c r="T137">
        <v>3</v>
      </c>
      <c r="U137">
        <v>66</v>
      </c>
      <c r="V137">
        <v>69</v>
      </c>
    </row>
    <row r="138" spans="1:22" x14ac:dyDescent="0.3">
      <c r="A138">
        <v>136</v>
      </c>
      <c r="B138">
        <v>40549</v>
      </c>
      <c r="C138">
        <v>1</v>
      </c>
      <c r="D138">
        <v>0</v>
      </c>
      <c r="E138">
        <v>1</v>
      </c>
      <c r="F138">
        <v>21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0.55000000000000004</v>
      </c>
      <c r="M138">
        <v>0.22389999999999999</v>
      </c>
      <c r="N138">
        <v>0</v>
      </c>
      <c r="O138">
        <v>48</v>
      </c>
      <c r="P138">
        <v>48</v>
      </c>
      <c r="Q138">
        <v>0.21210000000000001</v>
      </c>
      <c r="R138">
        <v>0.55000000000000004</v>
      </c>
      <c r="S138">
        <v>0.22389999999999999</v>
      </c>
      <c r="T138">
        <v>0</v>
      </c>
      <c r="U138">
        <v>48</v>
      </c>
      <c r="V138">
        <v>48</v>
      </c>
    </row>
    <row r="139" spans="1:22" x14ac:dyDescent="0.3">
      <c r="A139">
        <v>137</v>
      </c>
      <c r="B139">
        <v>40549</v>
      </c>
      <c r="C139">
        <v>1</v>
      </c>
      <c r="D139">
        <v>0</v>
      </c>
      <c r="E139">
        <v>1</v>
      </c>
      <c r="F139">
        <v>22</v>
      </c>
      <c r="G139" t="b">
        <v>0</v>
      </c>
      <c r="H139">
        <v>4</v>
      </c>
      <c r="I139">
        <v>2</v>
      </c>
      <c r="J139">
        <v>0.22</v>
      </c>
      <c r="K139">
        <v>0.21210000000000001</v>
      </c>
      <c r="L139">
        <v>0.51</v>
      </c>
      <c r="M139">
        <v>0.28360000000000002</v>
      </c>
      <c r="N139">
        <v>1</v>
      </c>
      <c r="O139">
        <v>51</v>
      </c>
      <c r="P139">
        <v>52</v>
      </c>
      <c r="Q139">
        <v>0.21210000000000001</v>
      </c>
      <c r="R139">
        <v>0.51</v>
      </c>
      <c r="S139">
        <v>0.28360000000000002</v>
      </c>
      <c r="T139">
        <v>1</v>
      </c>
      <c r="U139">
        <v>51</v>
      </c>
      <c r="V139">
        <v>52</v>
      </c>
    </row>
    <row r="140" spans="1:22" x14ac:dyDescent="0.3">
      <c r="A140">
        <v>138</v>
      </c>
      <c r="B140">
        <v>40549</v>
      </c>
      <c r="C140">
        <v>1</v>
      </c>
      <c r="D140">
        <v>0</v>
      </c>
      <c r="E140">
        <v>1</v>
      </c>
      <c r="F140">
        <v>23</v>
      </c>
      <c r="G140" t="b">
        <v>0</v>
      </c>
      <c r="H140">
        <v>4</v>
      </c>
      <c r="I140">
        <v>2</v>
      </c>
      <c r="J140">
        <v>0.2</v>
      </c>
      <c r="K140">
        <v>0.19700000000000001</v>
      </c>
      <c r="L140">
        <v>0.59</v>
      </c>
      <c r="M140">
        <v>0.19400000000000001</v>
      </c>
      <c r="N140">
        <v>4</v>
      </c>
      <c r="O140">
        <v>19</v>
      </c>
      <c r="P140">
        <v>23</v>
      </c>
      <c r="Q140">
        <v>0.19700000000000001</v>
      </c>
      <c r="R140">
        <v>0.59</v>
      </c>
      <c r="S140">
        <v>0.19400000000000001</v>
      </c>
      <c r="T140">
        <v>4</v>
      </c>
      <c r="U140">
        <v>19</v>
      </c>
      <c r="V140">
        <v>23</v>
      </c>
    </row>
    <row r="141" spans="1:22" x14ac:dyDescent="0.3">
      <c r="A141">
        <v>139</v>
      </c>
      <c r="B141">
        <v>40550</v>
      </c>
      <c r="C141">
        <v>1</v>
      </c>
      <c r="D141">
        <v>0</v>
      </c>
      <c r="E141">
        <v>1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0.64</v>
      </c>
      <c r="M141">
        <v>0.19400000000000001</v>
      </c>
      <c r="N141">
        <v>4</v>
      </c>
      <c r="O141">
        <v>13</v>
      </c>
      <c r="P141">
        <v>17</v>
      </c>
      <c r="Q141">
        <v>0.19700000000000001</v>
      </c>
      <c r="R141">
        <v>0.64</v>
      </c>
      <c r="S141">
        <v>0.19400000000000001</v>
      </c>
      <c r="T141">
        <v>4</v>
      </c>
      <c r="U141">
        <v>13</v>
      </c>
      <c r="V141">
        <v>17</v>
      </c>
    </row>
    <row r="142" spans="1:22" x14ac:dyDescent="0.3">
      <c r="A142">
        <v>140</v>
      </c>
      <c r="B142">
        <v>40550</v>
      </c>
      <c r="C142">
        <v>1</v>
      </c>
      <c r="D142">
        <v>0</v>
      </c>
      <c r="E142">
        <v>1</v>
      </c>
      <c r="F142">
        <v>1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2</v>
      </c>
      <c r="O142">
        <v>5</v>
      </c>
      <c r="P142">
        <v>7</v>
      </c>
      <c r="Q142">
        <v>0.19700000000000001</v>
      </c>
      <c r="R142">
        <v>0.69</v>
      </c>
      <c r="S142">
        <v>0.22389999999999999</v>
      </c>
      <c r="T142">
        <v>2</v>
      </c>
      <c r="U142">
        <v>5</v>
      </c>
      <c r="V142">
        <v>7</v>
      </c>
    </row>
    <row r="143" spans="1:22" x14ac:dyDescent="0.3">
      <c r="A143">
        <v>141</v>
      </c>
      <c r="B143">
        <v>40550</v>
      </c>
      <c r="C143">
        <v>1</v>
      </c>
      <c r="D143">
        <v>0</v>
      </c>
      <c r="E143">
        <v>1</v>
      </c>
      <c r="F143">
        <v>2</v>
      </c>
      <c r="G143" t="b">
        <v>0</v>
      </c>
      <c r="H143">
        <v>5</v>
      </c>
      <c r="I143">
        <v>2</v>
      </c>
      <c r="J143">
        <v>0.2</v>
      </c>
      <c r="K143">
        <v>0.19700000000000001</v>
      </c>
      <c r="L143">
        <v>0.69</v>
      </c>
      <c r="M143">
        <v>0.22389999999999999</v>
      </c>
      <c r="N143">
        <v>0</v>
      </c>
      <c r="O143">
        <v>1</v>
      </c>
      <c r="P143">
        <v>1</v>
      </c>
      <c r="Q143">
        <v>0.19700000000000001</v>
      </c>
      <c r="R143">
        <v>0.69</v>
      </c>
      <c r="S143">
        <v>0.22389999999999999</v>
      </c>
      <c r="T143">
        <v>0</v>
      </c>
      <c r="U143">
        <v>1</v>
      </c>
      <c r="V143">
        <v>1</v>
      </c>
    </row>
    <row r="144" spans="1:22" x14ac:dyDescent="0.3">
      <c r="A144">
        <v>142</v>
      </c>
      <c r="B144">
        <v>40550</v>
      </c>
      <c r="C144">
        <v>1</v>
      </c>
      <c r="D144">
        <v>0</v>
      </c>
      <c r="E144">
        <v>1</v>
      </c>
      <c r="F144">
        <v>4</v>
      </c>
      <c r="G144" t="b">
        <v>0</v>
      </c>
      <c r="H144">
        <v>5</v>
      </c>
      <c r="I144">
        <v>2</v>
      </c>
      <c r="J144">
        <v>0.2</v>
      </c>
      <c r="K144">
        <v>0.21210000000000001</v>
      </c>
      <c r="L144">
        <v>0.69</v>
      </c>
      <c r="M144">
        <v>0.1343</v>
      </c>
      <c r="N144">
        <v>0</v>
      </c>
      <c r="O144">
        <v>1</v>
      </c>
      <c r="P144">
        <v>1</v>
      </c>
      <c r="Q144">
        <v>0.21210000000000001</v>
      </c>
      <c r="R144">
        <v>0.69</v>
      </c>
      <c r="S144">
        <v>0.1343</v>
      </c>
      <c r="T144">
        <v>0</v>
      </c>
      <c r="U144">
        <v>1</v>
      </c>
      <c r="V144">
        <v>1</v>
      </c>
    </row>
    <row r="145" spans="1:22" x14ac:dyDescent="0.3">
      <c r="A145">
        <v>143</v>
      </c>
      <c r="B145">
        <v>40550</v>
      </c>
      <c r="C145">
        <v>1</v>
      </c>
      <c r="D145">
        <v>0</v>
      </c>
      <c r="E145">
        <v>1</v>
      </c>
      <c r="F145">
        <v>5</v>
      </c>
      <c r="G145" t="b">
        <v>0</v>
      </c>
      <c r="H145">
        <v>5</v>
      </c>
      <c r="I145">
        <v>3</v>
      </c>
      <c r="J145">
        <v>0.22</v>
      </c>
      <c r="K145">
        <v>0.2727</v>
      </c>
      <c r="L145">
        <v>0.55000000000000004</v>
      </c>
      <c r="M145">
        <v>0</v>
      </c>
      <c r="N145">
        <v>0</v>
      </c>
      <c r="O145">
        <v>5</v>
      </c>
      <c r="P145">
        <v>5</v>
      </c>
      <c r="Q145">
        <v>0.2727</v>
      </c>
      <c r="R145">
        <v>0.55000000000000004</v>
      </c>
      <c r="S145">
        <v>0</v>
      </c>
      <c r="T145">
        <v>0</v>
      </c>
      <c r="U145">
        <v>5</v>
      </c>
      <c r="V145">
        <v>5</v>
      </c>
    </row>
    <row r="146" spans="1:22" x14ac:dyDescent="0.3">
      <c r="A146">
        <v>144</v>
      </c>
      <c r="B146">
        <v>40550</v>
      </c>
      <c r="C146">
        <v>1</v>
      </c>
      <c r="D146">
        <v>0</v>
      </c>
      <c r="E146">
        <v>1</v>
      </c>
      <c r="F146">
        <v>6</v>
      </c>
      <c r="G146" t="b">
        <v>0</v>
      </c>
      <c r="H146">
        <v>5</v>
      </c>
      <c r="I146">
        <v>2</v>
      </c>
      <c r="J146">
        <v>0.2</v>
      </c>
      <c r="K146">
        <v>0.2576</v>
      </c>
      <c r="L146">
        <v>0.69</v>
      </c>
      <c r="M146">
        <v>0</v>
      </c>
      <c r="N146">
        <v>8</v>
      </c>
      <c r="O146">
        <v>26</v>
      </c>
      <c r="P146">
        <v>34</v>
      </c>
      <c r="Q146">
        <v>0.2576</v>
      </c>
      <c r="R146">
        <v>0.69</v>
      </c>
      <c r="S146">
        <v>0</v>
      </c>
      <c r="T146">
        <v>8</v>
      </c>
      <c r="U146">
        <v>26</v>
      </c>
      <c r="V146">
        <v>34</v>
      </c>
    </row>
    <row r="147" spans="1:22" x14ac:dyDescent="0.3">
      <c r="A147">
        <v>145</v>
      </c>
      <c r="B147">
        <v>40550</v>
      </c>
      <c r="C147">
        <v>1</v>
      </c>
      <c r="D147">
        <v>0</v>
      </c>
      <c r="E147">
        <v>1</v>
      </c>
      <c r="F147">
        <v>7</v>
      </c>
      <c r="G147" t="b">
        <v>0</v>
      </c>
      <c r="H147">
        <v>5</v>
      </c>
      <c r="I147">
        <v>1</v>
      </c>
      <c r="J147">
        <v>0.2</v>
      </c>
      <c r="K147">
        <v>0.21210000000000001</v>
      </c>
      <c r="L147">
        <v>0.69</v>
      </c>
      <c r="M147">
        <v>0.1343</v>
      </c>
      <c r="N147">
        <v>8</v>
      </c>
      <c r="O147">
        <v>76</v>
      </c>
      <c r="P147">
        <v>84</v>
      </c>
      <c r="Q147">
        <v>0.21210000000000001</v>
      </c>
      <c r="R147">
        <v>0.69</v>
      </c>
      <c r="S147">
        <v>0.1343</v>
      </c>
      <c r="T147">
        <v>8</v>
      </c>
      <c r="U147">
        <v>76</v>
      </c>
      <c r="V147">
        <v>84</v>
      </c>
    </row>
    <row r="148" spans="1:22" x14ac:dyDescent="0.3">
      <c r="A148">
        <v>146</v>
      </c>
      <c r="B148">
        <v>40550</v>
      </c>
      <c r="C148">
        <v>1</v>
      </c>
      <c r="D148">
        <v>0</v>
      </c>
      <c r="E148">
        <v>1</v>
      </c>
      <c r="F148">
        <v>8</v>
      </c>
      <c r="G148" t="b">
        <v>0</v>
      </c>
      <c r="H148">
        <v>5</v>
      </c>
      <c r="I148">
        <v>1</v>
      </c>
      <c r="J148">
        <v>0.2</v>
      </c>
      <c r="K148">
        <v>0.19700000000000001</v>
      </c>
      <c r="L148">
        <v>0.51</v>
      </c>
      <c r="M148">
        <v>0.25369999999999998</v>
      </c>
      <c r="N148">
        <v>20</v>
      </c>
      <c r="O148">
        <v>190</v>
      </c>
      <c r="P148">
        <v>210</v>
      </c>
      <c r="Q148">
        <v>0.19700000000000001</v>
      </c>
      <c r="R148">
        <v>0.51</v>
      </c>
      <c r="S148">
        <v>0.25369999999999998</v>
      </c>
      <c r="T148">
        <v>20</v>
      </c>
      <c r="U148">
        <v>190</v>
      </c>
      <c r="V148">
        <v>210</v>
      </c>
    </row>
    <row r="149" spans="1:22" x14ac:dyDescent="0.3">
      <c r="A149">
        <v>147</v>
      </c>
      <c r="B149">
        <v>40550</v>
      </c>
      <c r="C149">
        <v>1</v>
      </c>
      <c r="D149">
        <v>0</v>
      </c>
      <c r="E149">
        <v>1</v>
      </c>
      <c r="F149">
        <v>9</v>
      </c>
      <c r="G149" t="b">
        <v>0</v>
      </c>
      <c r="H149">
        <v>5</v>
      </c>
      <c r="I149">
        <v>1</v>
      </c>
      <c r="J149">
        <v>0.2</v>
      </c>
      <c r="K149">
        <v>0.18179999999999999</v>
      </c>
      <c r="L149">
        <v>0.47</v>
      </c>
      <c r="M149">
        <v>0.29849999999999999</v>
      </c>
      <c r="N149">
        <v>9</v>
      </c>
      <c r="O149">
        <v>125</v>
      </c>
      <c r="P149">
        <v>134</v>
      </c>
      <c r="Q149">
        <v>0.18179999999999999</v>
      </c>
      <c r="R149">
        <v>0.47</v>
      </c>
      <c r="S149">
        <v>0.29849999999999999</v>
      </c>
      <c r="T149">
        <v>9</v>
      </c>
      <c r="U149">
        <v>125</v>
      </c>
      <c r="V149">
        <v>134</v>
      </c>
    </row>
    <row r="150" spans="1:22" x14ac:dyDescent="0.3">
      <c r="A150">
        <v>148</v>
      </c>
      <c r="B150">
        <v>40550</v>
      </c>
      <c r="C150">
        <v>1</v>
      </c>
      <c r="D150">
        <v>0</v>
      </c>
      <c r="E150">
        <v>1</v>
      </c>
      <c r="F150">
        <v>10</v>
      </c>
      <c r="G150" t="b">
        <v>0</v>
      </c>
      <c r="H150">
        <v>5</v>
      </c>
      <c r="I150">
        <v>1</v>
      </c>
      <c r="J150">
        <v>0.22</v>
      </c>
      <c r="K150">
        <v>0.19700000000000001</v>
      </c>
      <c r="L150">
        <v>0.37</v>
      </c>
      <c r="M150">
        <v>0.32840000000000003</v>
      </c>
      <c r="N150">
        <v>16</v>
      </c>
      <c r="O150">
        <v>47</v>
      </c>
      <c r="P150">
        <v>63</v>
      </c>
      <c r="Q150">
        <v>0.19700000000000001</v>
      </c>
      <c r="R150">
        <v>0.37</v>
      </c>
      <c r="S150">
        <v>0.32840000000000003</v>
      </c>
      <c r="T150">
        <v>16</v>
      </c>
      <c r="U150">
        <v>47</v>
      </c>
      <c r="V150">
        <v>63</v>
      </c>
    </row>
    <row r="151" spans="1:22" x14ac:dyDescent="0.3">
      <c r="A151">
        <v>149</v>
      </c>
      <c r="B151">
        <v>40550</v>
      </c>
      <c r="C151">
        <v>1</v>
      </c>
      <c r="D151">
        <v>0</v>
      </c>
      <c r="E151">
        <v>1</v>
      </c>
      <c r="F151">
        <v>11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0.4</v>
      </c>
      <c r="M151">
        <v>0.22389999999999999</v>
      </c>
      <c r="N151">
        <v>19</v>
      </c>
      <c r="O151">
        <v>48</v>
      </c>
      <c r="P151">
        <v>67</v>
      </c>
      <c r="Q151">
        <v>0.19700000000000001</v>
      </c>
      <c r="R151">
        <v>0.4</v>
      </c>
      <c r="S151">
        <v>0.22389999999999999</v>
      </c>
      <c r="T151">
        <v>19</v>
      </c>
      <c r="U151">
        <v>48</v>
      </c>
      <c r="V151">
        <v>67</v>
      </c>
    </row>
    <row r="152" spans="1:22" x14ac:dyDescent="0.3">
      <c r="A152">
        <v>150</v>
      </c>
      <c r="B152">
        <v>40550</v>
      </c>
      <c r="C152">
        <v>1</v>
      </c>
      <c r="D152">
        <v>0</v>
      </c>
      <c r="E152">
        <v>1</v>
      </c>
      <c r="F152">
        <v>12</v>
      </c>
      <c r="G152" t="b">
        <v>0</v>
      </c>
      <c r="H152">
        <v>5</v>
      </c>
      <c r="I152">
        <v>2</v>
      </c>
      <c r="J152">
        <v>0.2</v>
      </c>
      <c r="K152">
        <v>0.19700000000000001</v>
      </c>
      <c r="L152">
        <v>0.37</v>
      </c>
      <c r="M152">
        <v>0.25369999999999998</v>
      </c>
      <c r="N152">
        <v>9</v>
      </c>
      <c r="O152">
        <v>50</v>
      </c>
      <c r="P152">
        <v>59</v>
      </c>
      <c r="Q152">
        <v>0.19700000000000001</v>
      </c>
      <c r="R152">
        <v>0.37</v>
      </c>
      <c r="S152">
        <v>0.25369999999999998</v>
      </c>
      <c r="T152">
        <v>9</v>
      </c>
      <c r="U152">
        <v>50</v>
      </c>
      <c r="V152">
        <v>59</v>
      </c>
    </row>
    <row r="153" spans="1:22" x14ac:dyDescent="0.3">
      <c r="A153">
        <v>151</v>
      </c>
      <c r="B153">
        <v>40550</v>
      </c>
      <c r="C153">
        <v>1</v>
      </c>
      <c r="D153">
        <v>0</v>
      </c>
      <c r="E153">
        <v>1</v>
      </c>
      <c r="F153">
        <v>13</v>
      </c>
      <c r="G153" t="b">
        <v>0</v>
      </c>
      <c r="H153">
        <v>5</v>
      </c>
      <c r="I153">
        <v>2</v>
      </c>
      <c r="J153">
        <v>0.2</v>
      </c>
      <c r="K153">
        <v>0.18179999999999999</v>
      </c>
      <c r="L153">
        <v>0.37</v>
      </c>
      <c r="M153">
        <v>0.28360000000000002</v>
      </c>
      <c r="N153">
        <v>9</v>
      </c>
      <c r="O153">
        <v>64</v>
      </c>
      <c r="P153">
        <v>73</v>
      </c>
      <c r="Q153">
        <v>0.18179999999999999</v>
      </c>
      <c r="R153">
        <v>0.37</v>
      </c>
      <c r="S153">
        <v>0.28360000000000002</v>
      </c>
      <c r="T153">
        <v>9</v>
      </c>
      <c r="U153">
        <v>64</v>
      </c>
      <c r="V153">
        <v>73</v>
      </c>
    </row>
    <row r="154" spans="1:22" x14ac:dyDescent="0.3">
      <c r="A154">
        <v>152</v>
      </c>
      <c r="B154">
        <v>40550</v>
      </c>
      <c r="C154">
        <v>1</v>
      </c>
      <c r="D154">
        <v>0</v>
      </c>
      <c r="E154">
        <v>1</v>
      </c>
      <c r="F154">
        <v>14</v>
      </c>
      <c r="G154" t="b">
        <v>0</v>
      </c>
      <c r="H154">
        <v>5</v>
      </c>
      <c r="I154">
        <v>2</v>
      </c>
      <c r="J154">
        <v>0.2</v>
      </c>
      <c r="K154">
        <v>0.19700000000000001</v>
      </c>
      <c r="L154">
        <v>0.4</v>
      </c>
      <c r="M154">
        <v>0.25369999999999998</v>
      </c>
      <c r="N154">
        <v>7</v>
      </c>
      <c r="O154">
        <v>43</v>
      </c>
      <c r="P154">
        <v>50</v>
      </c>
      <c r="Q154">
        <v>0.19700000000000001</v>
      </c>
      <c r="R154">
        <v>0.4</v>
      </c>
      <c r="S154">
        <v>0.25369999999999998</v>
      </c>
      <c r="T154">
        <v>7</v>
      </c>
      <c r="U154">
        <v>43</v>
      </c>
      <c r="V154">
        <v>50</v>
      </c>
    </row>
    <row r="155" spans="1:22" x14ac:dyDescent="0.3">
      <c r="A155">
        <v>153</v>
      </c>
      <c r="B155">
        <v>40550</v>
      </c>
      <c r="C155">
        <v>1</v>
      </c>
      <c r="D155">
        <v>0</v>
      </c>
      <c r="E155">
        <v>1</v>
      </c>
      <c r="F155">
        <v>15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9</v>
      </c>
      <c r="O155">
        <v>63</v>
      </c>
      <c r="P155">
        <v>72</v>
      </c>
      <c r="Q155">
        <v>0.21210000000000001</v>
      </c>
      <c r="R155">
        <v>0.37</v>
      </c>
      <c r="S155">
        <v>0.16420000000000001</v>
      </c>
      <c r="T155">
        <v>9</v>
      </c>
      <c r="U155">
        <v>63</v>
      </c>
      <c r="V155">
        <v>72</v>
      </c>
    </row>
    <row r="156" spans="1:22" x14ac:dyDescent="0.3">
      <c r="A156">
        <v>154</v>
      </c>
      <c r="B156">
        <v>40550</v>
      </c>
      <c r="C156">
        <v>1</v>
      </c>
      <c r="D156">
        <v>0</v>
      </c>
      <c r="E156">
        <v>1</v>
      </c>
      <c r="F156">
        <v>16</v>
      </c>
      <c r="G156" t="b">
        <v>0</v>
      </c>
      <c r="H156">
        <v>5</v>
      </c>
      <c r="I156">
        <v>2</v>
      </c>
      <c r="J156">
        <v>0.2</v>
      </c>
      <c r="K156">
        <v>0.21210000000000001</v>
      </c>
      <c r="L156">
        <v>0.37</v>
      </c>
      <c r="M156">
        <v>0.16420000000000001</v>
      </c>
      <c r="N156">
        <v>5</v>
      </c>
      <c r="O156">
        <v>82</v>
      </c>
      <c r="P156">
        <v>87</v>
      </c>
      <c r="Q156">
        <v>0.21210000000000001</v>
      </c>
      <c r="R156">
        <v>0.37</v>
      </c>
      <c r="S156">
        <v>0.16420000000000001</v>
      </c>
      <c r="T156">
        <v>5</v>
      </c>
      <c r="U156">
        <v>82</v>
      </c>
      <c r="V156">
        <v>87</v>
      </c>
    </row>
    <row r="157" spans="1:22" x14ac:dyDescent="0.3">
      <c r="A157">
        <v>155</v>
      </c>
      <c r="B157">
        <v>40550</v>
      </c>
      <c r="C157">
        <v>1</v>
      </c>
      <c r="D157">
        <v>0</v>
      </c>
      <c r="E157">
        <v>1</v>
      </c>
      <c r="F157">
        <v>17</v>
      </c>
      <c r="G157" t="b">
        <v>0</v>
      </c>
      <c r="H157">
        <v>5</v>
      </c>
      <c r="I157">
        <v>2</v>
      </c>
      <c r="J157">
        <v>0.2</v>
      </c>
      <c r="K157">
        <v>0.2576</v>
      </c>
      <c r="L157">
        <v>0.37</v>
      </c>
      <c r="M157">
        <v>0</v>
      </c>
      <c r="N157">
        <v>9</v>
      </c>
      <c r="O157">
        <v>178</v>
      </c>
      <c r="P157">
        <v>187</v>
      </c>
      <c r="Q157">
        <v>0.2576</v>
      </c>
      <c r="R157">
        <v>0.37</v>
      </c>
      <c r="S157">
        <v>0</v>
      </c>
      <c r="T157">
        <v>9</v>
      </c>
      <c r="U157">
        <v>178</v>
      </c>
      <c r="V157">
        <v>187</v>
      </c>
    </row>
    <row r="158" spans="1:22" x14ac:dyDescent="0.3">
      <c r="A158">
        <v>156</v>
      </c>
      <c r="B158">
        <v>40550</v>
      </c>
      <c r="C158">
        <v>1</v>
      </c>
      <c r="D158">
        <v>0</v>
      </c>
      <c r="E158">
        <v>1</v>
      </c>
      <c r="F158">
        <v>18</v>
      </c>
      <c r="G158" t="b">
        <v>0</v>
      </c>
      <c r="H158">
        <v>5</v>
      </c>
      <c r="I158">
        <v>1</v>
      </c>
      <c r="J158">
        <v>0.2</v>
      </c>
      <c r="K158">
        <v>0.2273</v>
      </c>
      <c r="L158">
        <v>0.4</v>
      </c>
      <c r="M158">
        <v>8.9599999999999999E-2</v>
      </c>
      <c r="N158">
        <v>7</v>
      </c>
      <c r="O158">
        <v>116</v>
      </c>
      <c r="P158">
        <v>123</v>
      </c>
      <c r="Q158">
        <v>0.2273</v>
      </c>
      <c r="R158">
        <v>0.4</v>
      </c>
      <c r="S158">
        <v>8.9599999999999999E-2</v>
      </c>
      <c r="T158">
        <v>7</v>
      </c>
      <c r="U158">
        <v>116</v>
      </c>
      <c r="V158">
        <v>123</v>
      </c>
    </row>
    <row r="159" spans="1:22" x14ac:dyDescent="0.3">
      <c r="A159">
        <v>157</v>
      </c>
      <c r="B159">
        <v>40550</v>
      </c>
      <c r="C159">
        <v>1</v>
      </c>
      <c r="D159">
        <v>0</v>
      </c>
      <c r="E159">
        <v>1</v>
      </c>
      <c r="F159">
        <v>19</v>
      </c>
      <c r="G159" t="b">
        <v>0</v>
      </c>
      <c r="H159">
        <v>5</v>
      </c>
      <c r="I159">
        <v>1</v>
      </c>
      <c r="J159">
        <v>0.16</v>
      </c>
      <c r="K159">
        <v>0.19700000000000001</v>
      </c>
      <c r="L159">
        <v>0.55000000000000004</v>
      </c>
      <c r="M159">
        <v>8.9599999999999999E-2</v>
      </c>
      <c r="N159">
        <v>3</v>
      </c>
      <c r="O159">
        <v>92</v>
      </c>
      <c r="P159">
        <v>95</v>
      </c>
      <c r="Q159">
        <v>0.19700000000000001</v>
      </c>
      <c r="R159">
        <v>0.55000000000000004</v>
      </c>
      <c r="S159">
        <v>8.9599999999999999E-2</v>
      </c>
      <c r="T159">
        <v>3</v>
      </c>
      <c r="U159">
        <v>92</v>
      </c>
      <c r="V159">
        <v>95</v>
      </c>
    </row>
    <row r="160" spans="1:22" x14ac:dyDescent="0.3">
      <c r="A160">
        <v>158</v>
      </c>
      <c r="B160">
        <v>40550</v>
      </c>
      <c r="C160">
        <v>1</v>
      </c>
      <c r="D160">
        <v>0</v>
      </c>
      <c r="E160">
        <v>1</v>
      </c>
      <c r="F160">
        <v>20</v>
      </c>
      <c r="G160" t="b">
        <v>0</v>
      </c>
      <c r="H160">
        <v>5</v>
      </c>
      <c r="I160">
        <v>1</v>
      </c>
      <c r="J160">
        <v>0.18</v>
      </c>
      <c r="K160">
        <v>0.21210000000000001</v>
      </c>
      <c r="L160">
        <v>0.47</v>
      </c>
      <c r="M160">
        <v>0.1045</v>
      </c>
      <c r="N160">
        <v>1</v>
      </c>
      <c r="O160">
        <v>50</v>
      </c>
      <c r="P160">
        <v>51</v>
      </c>
      <c r="Q160">
        <v>0.21210000000000001</v>
      </c>
      <c r="R160">
        <v>0.47</v>
      </c>
      <c r="S160">
        <v>0.1045</v>
      </c>
      <c r="T160">
        <v>1</v>
      </c>
      <c r="U160">
        <v>50</v>
      </c>
      <c r="V160">
        <v>51</v>
      </c>
    </row>
    <row r="161" spans="1:22" x14ac:dyDescent="0.3">
      <c r="A161">
        <v>159</v>
      </c>
      <c r="B161">
        <v>40550</v>
      </c>
      <c r="C161">
        <v>1</v>
      </c>
      <c r="D161">
        <v>0</v>
      </c>
      <c r="E161">
        <v>1</v>
      </c>
      <c r="F161">
        <v>21</v>
      </c>
      <c r="G161" t="b">
        <v>0</v>
      </c>
      <c r="H161">
        <v>5</v>
      </c>
      <c r="I161">
        <v>1</v>
      </c>
      <c r="J161">
        <v>0.18</v>
      </c>
      <c r="K161">
        <v>0.19700000000000001</v>
      </c>
      <c r="L161">
        <v>0.47</v>
      </c>
      <c r="M161">
        <v>0.1343</v>
      </c>
      <c r="N161">
        <v>0</v>
      </c>
      <c r="O161">
        <v>39</v>
      </c>
      <c r="P161">
        <v>39</v>
      </c>
      <c r="Q161">
        <v>0.19700000000000001</v>
      </c>
      <c r="R161">
        <v>0.47</v>
      </c>
      <c r="S161">
        <v>0.1343</v>
      </c>
      <c r="T161">
        <v>0</v>
      </c>
      <c r="U161">
        <v>39</v>
      </c>
      <c r="V161">
        <v>39</v>
      </c>
    </row>
    <row r="162" spans="1:22" x14ac:dyDescent="0.3">
      <c r="A162">
        <v>160</v>
      </c>
      <c r="B162">
        <v>40550</v>
      </c>
      <c r="C162">
        <v>1</v>
      </c>
      <c r="D162">
        <v>0</v>
      </c>
      <c r="E162">
        <v>1</v>
      </c>
      <c r="F162">
        <v>22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0.43</v>
      </c>
      <c r="M162">
        <v>0.16420000000000001</v>
      </c>
      <c r="N162">
        <v>2</v>
      </c>
      <c r="O162">
        <v>34</v>
      </c>
      <c r="P162">
        <v>36</v>
      </c>
      <c r="Q162">
        <v>0.19700000000000001</v>
      </c>
      <c r="R162">
        <v>0.43</v>
      </c>
      <c r="S162">
        <v>0.16420000000000001</v>
      </c>
      <c r="T162">
        <v>2</v>
      </c>
      <c r="U162">
        <v>34</v>
      </c>
      <c r="V162">
        <v>36</v>
      </c>
    </row>
    <row r="163" spans="1:22" x14ac:dyDescent="0.3">
      <c r="A163">
        <v>161</v>
      </c>
      <c r="B163">
        <v>40550</v>
      </c>
      <c r="C163">
        <v>1</v>
      </c>
      <c r="D163">
        <v>0</v>
      </c>
      <c r="E163">
        <v>1</v>
      </c>
      <c r="F163">
        <v>23</v>
      </c>
      <c r="G163" t="b">
        <v>0</v>
      </c>
      <c r="H163">
        <v>5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14</v>
      </c>
      <c r="P163">
        <v>15</v>
      </c>
      <c r="Q163">
        <v>0.19700000000000001</v>
      </c>
      <c r="R163">
        <v>0.51</v>
      </c>
      <c r="S163">
        <v>0.16420000000000001</v>
      </c>
      <c r="T163">
        <v>1</v>
      </c>
      <c r="U163">
        <v>14</v>
      </c>
      <c r="V163">
        <v>15</v>
      </c>
    </row>
    <row r="164" spans="1:22" x14ac:dyDescent="0.3">
      <c r="A164">
        <v>162</v>
      </c>
      <c r="B164">
        <v>40551</v>
      </c>
      <c r="C164">
        <v>1</v>
      </c>
      <c r="D164">
        <v>0</v>
      </c>
      <c r="E164">
        <v>1</v>
      </c>
      <c r="F164">
        <v>0</v>
      </c>
      <c r="G164" t="b">
        <v>0</v>
      </c>
      <c r="H164">
        <v>6</v>
      </c>
      <c r="I164">
        <v>2</v>
      </c>
      <c r="J164">
        <v>0.18</v>
      </c>
      <c r="K164">
        <v>0.19700000000000001</v>
      </c>
      <c r="L164">
        <v>0.51</v>
      </c>
      <c r="M164">
        <v>0.16420000000000001</v>
      </c>
      <c r="N164">
        <v>1</v>
      </c>
      <c r="O164">
        <v>24</v>
      </c>
      <c r="P164">
        <v>25</v>
      </c>
      <c r="Q164">
        <v>0.19700000000000001</v>
      </c>
      <c r="R164">
        <v>0.51</v>
      </c>
      <c r="S164">
        <v>0.16420000000000001</v>
      </c>
      <c r="T164">
        <v>1</v>
      </c>
      <c r="U164">
        <v>24</v>
      </c>
      <c r="V164">
        <v>25</v>
      </c>
    </row>
    <row r="165" spans="1:22" x14ac:dyDescent="0.3">
      <c r="A165">
        <v>163</v>
      </c>
      <c r="B165">
        <v>40551</v>
      </c>
      <c r="C165">
        <v>1</v>
      </c>
      <c r="D165">
        <v>0</v>
      </c>
      <c r="E165">
        <v>1</v>
      </c>
      <c r="F165">
        <v>1</v>
      </c>
      <c r="G165" t="b">
        <v>0</v>
      </c>
      <c r="H165">
        <v>6</v>
      </c>
      <c r="I165">
        <v>2</v>
      </c>
      <c r="J165">
        <v>0.18</v>
      </c>
      <c r="K165">
        <v>0.21210000000000001</v>
      </c>
      <c r="L165">
        <v>0.55000000000000004</v>
      </c>
      <c r="M165">
        <v>8.9599999999999999E-2</v>
      </c>
      <c r="N165">
        <v>1</v>
      </c>
      <c r="O165">
        <v>15</v>
      </c>
      <c r="P165">
        <v>16</v>
      </c>
      <c r="Q165">
        <v>0.21210000000000001</v>
      </c>
      <c r="R165">
        <v>0.55000000000000004</v>
      </c>
      <c r="S165">
        <v>8.9599999999999999E-2</v>
      </c>
      <c r="T165">
        <v>1</v>
      </c>
      <c r="U165">
        <v>15</v>
      </c>
      <c r="V165">
        <v>16</v>
      </c>
    </row>
    <row r="166" spans="1:22" x14ac:dyDescent="0.3">
      <c r="A166">
        <v>164</v>
      </c>
      <c r="B166">
        <v>40551</v>
      </c>
      <c r="C166">
        <v>1</v>
      </c>
      <c r="D166">
        <v>0</v>
      </c>
      <c r="E166">
        <v>1</v>
      </c>
      <c r="F166">
        <v>2</v>
      </c>
      <c r="G166" t="b">
        <v>0</v>
      </c>
      <c r="H166">
        <v>6</v>
      </c>
      <c r="I166">
        <v>2</v>
      </c>
      <c r="J166">
        <v>0.18</v>
      </c>
      <c r="K166">
        <v>0.2424</v>
      </c>
      <c r="L166">
        <v>0.55000000000000004</v>
      </c>
      <c r="M166">
        <v>0</v>
      </c>
      <c r="N166">
        <v>3</v>
      </c>
      <c r="O166">
        <v>13</v>
      </c>
      <c r="P166">
        <v>16</v>
      </c>
      <c r="Q166">
        <v>0.2424</v>
      </c>
      <c r="R166">
        <v>0.55000000000000004</v>
      </c>
      <c r="S166">
        <v>0</v>
      </c>
      <c r="T166">
        <v>3</v>
      </c>
      <c r="U166">
        <v>13</v>
      </c>
      <c r="V166">
        <v>16</v>
      </c>
    </row>
    <row r="167" spans="1:22" x14ac:dyDescent="0.3">
      <c r="A167">
        <v>165</v>
      </c>
      <c r="B167">
        <v>40551</v>
      </c>
      <c r="C167">
        <v>1</v>
      </c>
      <c r="D167">
        <v>0</v>
      </c>
      <c r="E167">
        <v>1</v>
      </c>
      <c r="F167">
        <v>3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7</v>
      </c>
      <c r="P167">
        <v>7</v>
      </c>
      <c r="Q167">
        <v>0.19700000000000001</v>
      </c>
      <c r="R167">
        <v>0.55000000000000004</v>
      </c>
      <c r="S167">
        <v>0.16420000000000001</v>
      </c>
      <c r="T167">
        <v>0</v>
      </c>
      <c r="U167">
        <v>7</v>
      </c>
      <c r="V167">
        <v>7</v>
      </c>
    </row>
    <row r="168" spans="1:22" x14ac:dyDescent="0.3">
      <c r="A168">
        <v>166</v>
      </c>
      <c r="B168">
        <v>40551</v>
      </c>
      <c r="C168">
        <v>1</v>
      </c>
      <c r="D168">
        <v>0</v>
      </c>
      <c r="E168">
        <v>1</v>
      </c>
      <c r="F168">
        <v>4</v>
      </c>
      <c r="G168" t="b">
        <v>0</v>
      </c>
      <c r="H168">
        <v>6</v>
      </c>
      <c r="I168">
        <v>3</v>
      </c>
      <c r="J168">
        <v>0.18</v>
      </c>
      <c r="K168">
        <v>0.19700000000000001</v>
      </c>
      <c r="L168">
        <v>0.55000000000000004</v>
      </c>
      <c r="M168">
        <v>0.16420000000000001</v>
      </c>
      <c r="N168">
        <v>0</v>
      </c>
      <c r="O168">
        <v>1</v>
      </c>
      <c r="P168">
        <v>1</v>
      </c>
      <c r="Q168">
        <v>0.19700000000000001</v>
      </c>
      <c r="R168">
        <v>0.55000000000000004</v>
      </c>
      <c r="S168">
        <v>0.16420000000000001</v>
      </c>
      <c r="T168">
        <v>0</v>
      </c>
      <c r="U168">
        <v>1</v>
      </c>
      <c r="V168">
        <v>1</v>
      </c>
    </row>
    <row r="169" spans="1:22" x14ac:dyDescent="0.3">
      <c r="A169">
        <v>167</v>
      </c>
      <c r="B169">
        <v>40551</v>
      </c>
      <c r="C169">
        <v>1</v>
      </c>
      <c r="D169">
        <v>0</v>
      </c>
      <c r="E169">
        <v>1</v>
      </c>
      <c r="F169">
        <v>5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5</v>
      </c>
      <c r="P169">
        <v>5</v>
      </c>
      <c r="Q169">
        <v>0.16669999999999999</v>
      </c>
      <c r="R169">
        <v>0.74</v>
      </c>
      <c r="S169">
        <v>0.16420000000000001</v>
      </c>
      <c r="T169">
        <v>0</v>
      </c>
      <c r="U169">
        <v>5</v>
      </c>
      <c r="V169">
        <v>5</v>
      </c>
    </row>
    <row r="170" spans="1:22" x14ac:dyDescent="0.3">
      <c r="A170">
        <v>168</v>
      </c>
      <c r="B170">
        <v>40551</v>
      </c>
      <c r="C170">
        <v>1</v>
      </c>
      <c r="D170">
        <v>0</v>
      </c>
      <c r="E170">
        <v>1</v>
      </c>
      <c r="F170">
        <v>6</v>
      </c>
      <c r="G170" t="b">
        <v>0</v>
      </c>
      <c r="H170">
        <v>6</v>
      </c>
      <c r="I170">
        <v>2</v>
      </c>
      <c r="J170">
        <v>0.16</v>
      </c>
      <c r="K170">
        <v>0.16669999999999999</v>
      </c>
      <c r="L170">
        <v>0.74</v>
      </c>
      <c r="M170">
        <v>0.16420000000000001</v>
      </c>
      <c r="N170">
        <v>0</v>
      </c>
      <c r="O170">
        <v>2</v>
      </c>
      <c r="P170">
        <v>2</v>
      </c>
      <c r="Q170">
        <v>0.16669999999999999</v>
      </c>
      <c r="R170">
        <v>0.74</v>
      </c>
      <c r="S170">
        <v>0.16420000000000001</v>
      </c>
      <c r="T170">
        <v>0</v>
      </c>
      <c r="U170">
        <v>2</v>
      </c>
      <c r="V170">
        <v>2</v>
      </c>
    </row>
    <row r="171" spans="1:22" x14ac:dyDescent="0.3">
      <c r="A171">
        <v>169</v>
      </c>
      <c r="B171">
        <v>40551</v>
      </c>
      <c r="C171">
        <v>1</v>
      </c>
      <c r="D171">
        <v>0</v>
      </c>
      <c r="E171">
        <v>1</v>
      </c>
      <c r="F171">
        <v>7</v>
      </c>
      <c r="G171" t="b">
        <v>0</v>
      </c>
      <c r="H171">
        <v>6</v>
      </c>
      <c r="I171">
        <v>2</v>
      </c>
      <c r="J171">
        <v>0.16</v>
      </c>
      <c r="K171">
        <v>0.18179999999999999</v>
      </c>
      <c r="L171">
        <v>0.74</v>
      </c>
      <c r="M171">
        <v>0.1045</v>
      </c>
      <c r="N171">
        <v>1</v>
      </c>
      <c r="O171">
        <v>8</v>
      </c>
      <c r="P171">
        <v>9</v>
      </c>
      <c r="Q171">
        <v>0.18179999999999999</v>
      </c>
      <c r="R171">
        <v>0.74</v>
      </c>
      <c r="S171">
        <v>0.1045</v>
      </c>
      <c r="T171">
        <v>1</v>
      </c>
      <c r="U171">
        <v>8</v>
      </c>
      <c r="V171">
        <v>9</v>
      </c>
    </row>
    <row r="172" spans="1:22" x14ac:dyDescent="0.3">
      <c r="A172">
        <v>170</v>
      </c>
      <c r="B172">
        <v>40551</v>
      </c>
      <c r="C172">
        <v>1</v>
      </c>
      <c r="D172">
        <v>0</v>
      </c>
      <c r="E172">
        <v>1</v>
      </c>
      <c r="F172">
        <v>8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15</v>
      </c>
      <c r="P172">
        <v>15</v>
      </c>
      <c r="Q172">
        <v>0.18179999999999999</v>
      </c>
      <c r="R172">
        <v>0.93</v>
      </c>
      <c r="S172">
        <v>0.1045</v>
      </c>
      <c r="T172">
        <v>0</v>
      </c>
      <c r="U172">
        <v>15</v>
      </c>
      <c r="V172">
        <v>15</v>
      </c>
    </row>
    <row r="173" spans="1:22" x14ac:dyDescent="0.3">
      <c r="A173">
        <v>171</v>
      </c>
      <c r="B173">
        <v>40551</v>
      </c>
      <c r="C173">
        <v>1</v>
      </c>
      <c r="D173">
        <v>0</v>
      </c>
      <c r="E173">
        <v>1</v>
      </c>
      <c r="F173">
        <v>9</v>
      </c>
      <c r="G173" t="b">
        <v>0</v>
      </c>
      <c r="H173">
        <v>6</v>
      </c>
      <c r="I173">
        <v>3</v>
      </c>
      <c r="J173">
        <v>0.16</v>
      </c>
      <c r="K173">
        <v>0.18179999999999999</v>
      </c>
      <c r="L173">
        <v>0.93</v>
      </c>
      <c r="M173">
        <v>0.1045</v>
      </c>
      <c r="N173">
        <v>0</v>
      </c>
      <c r="O173">
        <v>20</v>
      </c>
      <c r="P173">
        <v>20</v>
      </c>
      <c r="Q173">
        <v>0.18179999999999999</v>
      </c>
      <c r="R173">
        <v>0.93</v>
      </c>
      <c r="S173">
        <v>0.1045</v>
      </c>
      <c r="T173">
        <v>0</v>
      </c>
      <c r="U173">
        <v>20</v>
      </c>
      <c r="V173">
        <v>20</v>
      </c>
    </row>
    <row r="174" spans="1:22" x14ac:dyDescent="0.3">
      <c r="A174">
        <v>172</v>
      </c>
      <c r="B174">
        <v>40551</v>
      </c>
      <c r="C174">
        <v>1</v>
      </c>
      <c r="D174">
        <v>0</v>
      </c>
      <c r="E174">
        <v>1</v>
      </c>
      <c r="F174">
        <v>10</v>
      </c>
      <c r="G174" t="b">
        <v>0</v>
      </c>
      <c r="H174">
        <v>6</v>
      </c>
      <c r="I174">
        <v>2</v>
      </c>
      <c r="J174">
        <v>0.18</v>
      </c>
      <c r="K174">
        <v>0.19700000000000001</v>
      </c>
      <c r="L174">
        <v>0.8</v>
      </c>
      <c r="M174">
        <v>0.16420000000000001</v>
      </c>
      <c r="N174">
        <v>5</v>
      </c>
      <c r="O174">
        <v>56</v>
      </c>
      <c r="P174">
        <v>61</v>
      </c>
      <c r="Q174">
        <v>0.19700000000000001</v>
      </c>
      <c r="R174">
        <v>0.8</v>
      </c>
      <c r="S174">
        <v>0.16420000000000001</v>
      </c>
      <c r="T174">
        <v>5</v>
      </c>
      <c r="U174">
        <v>56</v>
      </c>
      <c r="V174">
        <v>61</v>
      </c>
    </row>
    <row r="175" spans="1:22" x14ac:dyDescent="0.3">
      <c r="A175">
        <v>173</v>
      </c>
      <c r="B175">
        <v>40551</v>
      </c>
      <c r="C175">
        <v>1</v>
      </c>
      <c r="D175">
        <v>0</v>
      </c>
      <c r="E175">
        <v>1</v>
      </c>
      <c r="F175">
        <v>11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0.69</v>
      </c>
      <c r="M175">
        <v>0.3881</v>
      </c>
      <c r="N175">
        <v>2</v>
      </c>
      <c r="O175">
        <v>60</v>
      </c>
      <c r="P175">
        <v>62</v>
      </c>
      <c r="Q175">
        <v>0.18179999999999999</v>
      </c>
      <c r="R175">
        <v>0.69</v>
      </c>
      <c r="S175">
        <v>0.3881</v>
      </c>
      <c r="T175">
        <v>2</v>
      </c>
      <c r="U175">
        <v>60</v>
      </c>
      <c r="V175">
        <v>62</v>
      </c>
    </row>
    <row r="176" spans="1:22" x14ac:dyDescent="0.3">
      <c r="A176">
        <v>174</v>
      </c>
      <c r="B176">
        <v>40551</v>
      </c>
      <c r="C176">
        <v>1</v>
      </c>
      <c r="D176">
        <v>0</v>
      </c>
      <c r="E176">
        <v>1</v>
      </c>
      <c r="F176">
        <v>12</v>
      </c>
      <c r="G176" t="b">
        <v>0</v>
      </c>
      <c r="H176">
        <v>6</v>
      </c>
      <c r="I176">
        <v>2</v>
      </c>
      <c r="J176">
        <v>0.2</v>
      </c>
      <c r="K176">
        <v>0.18179999999999999</v>
      </c>
      <c r="L176">
        <v>0.59</v>
      </c>
      <c r="M176">
        <v>0.35820000000000002</v>
      </c>
      <c r="N176">
        <v>8</v>
      </c>
      <c r="O176">
        <v>90</v>
      </c>
      <c r="P176">
        <v>98</v>
      </c>
      <c r="Q176">
        <v>0.18179999999999999</v>
      </c>
      <c r="R176">
        <v>0.59</v>
      </c>
      <c r="S176">
        <v>0.35820000000000002</v>
      </c>
      <c r="T176">
        <v>8</v>
      </c>
      <c r="U176">
        <v>90</v>
      </c>
      <c r="V176">
        <v>98</v>
      </c>
    </row>
    <row r="177" spans="1:22" x14ac:dyDescent="0.3">
      <c r="A177">
        <v>175</v>
      </c>
      <c r="B177">
        <v>40551</v>
      </c>
      <c r="C177">
        <v>1</v>
      </c>
      <c r="D177">
        <v>0</v>
      </c>
      <c r="E177">
        <v>1</v>
      </c>
      <c r="F177">
        <v>13</v>
      </c>
      <c r="G177" t="b">
        <v>0</v>
      </c>
      <c r="H177">
        <v>6</v>
      </c>
      <c r="I177">
        <v>1</v>
      </c>
      <c r="J177">
        <v>0.2</v>
      </c>
      <c r="K177">
        <v>0.18179999999999999</v>
      </c>
      <c r="L177">
        <v>0.44</v>
      </c>
      <c r="M177">
        <v>0.32840000000000003</v>
      </c>
      <c r="N177">
        <v>7</v>
      </c>
      <c r="O177">
        <v>95</v>
      </c>
      <c r="P177">
        <v>102</v>
      </c>
      <c r="Q177">
        <v>0.18179999999999999</v>
      </c>
      <c r="R177">
        <v>0.44</v>
      </c>
      <c r="S177">
        <v>0.32840000000000003</v>
      </c>
      <c r="T177">
        <v>7</v>
      </c>
      <c r="U177">
        <v>95</v>
      </c>
      <c r="V177">
        <v>102</v>
      </c>
    </row>
    <row r="178" spans="1:22" x14ac:dyDescent="0.3">
      <c r="A178">
        <v>176</v>
      </c>
      <c r="B178">
        <v>40551</v>
      </c>
      <c r="C178">
        <v>1</v>
      </c>
      <c r="D178">
        <v>0</v>
      </c>
      <c r="E178">
        <v>1</v>
      </c>
      <c r="F178">
        <v>14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0.49249999999999999</v>
      </c>
      <c r="N178">
        <v>12</v>
      </c>
      <c r="O178">
        <v>83</v>
      </c>
      <c r="P178">
        <v>95</v>
      </c>
      <c r="Q178">
        <v>0.16669999999999999</v>
      </c>
      <c r="R178">
        <v>0.32</v>
      </c>
      <c r="S178">
        <v>0.49249999999999999</v>
      </c>
      <c r="T178">
        <v>12</v>
      </c>
      <c r="U178">
        <v>83</v>
      </c>
      <c r="V178">
        <v>95</v>
      </c>
    </row>
    <row r="179" spans="1:22" x14ac:dyDescent="0.3">
      <c r="A179">
        <v>177</v>
      </c>
      <c r="B179">
        <v>40551</v>
      </c>
      <c r="C179">
        <v>1</v>
      </c>
      <c r="D179">
        <v>0</v>
      </c>
      <c r="E179">
        <v>1</v>
      </c>
      <c r="F179">
        <v>15</v>
      </c>
      <c r="G179" t="b">
        <v>0</v>
      </c>
      <c r="H179">
        <v>6</v>
      </c>
      <c r="I179">
        <v>1</v>
      </c>
      <c r="J179">
        <v>0.2</v>
      </c>
      <c r="K179">
        <v>0.16669999999999999</v>
      </c>
      <c r="L179">
        <v>0.32</v>
      </c>
      <c r="M179">
        <v>0.44779999999999998</v>
      </c>
      <c r="N179">
        <v>5</v>
      </c>
      <c r="O179">
        <v>69</v>
      </c>
      <c r="P179">
        <v>74</v>
      </c>
      <c r="Q179">
        <v>0.16669999999999999</v>
      </c>
      <c r="R179">
        <v>0.32</v>
      </c>
      <c r="S179">
        <v>0.44779999999999998</v>
      </c>
      <c r="T179">
        <v>5</v>
      </c>
      <c r="U179">
        <v>69</v>
      </c>
      <c r="V179">
        <v>74</v>
      </c>
    </row>
    <row r="180" spans="1:22" x14ac:dyDescent="0.3">
      <c r="A180">
        <v>178</v>
      </c>
      <c r="B180">
        <v>40551</v>
      </c>
      <c r="C180">
        <v>1</v>
      </c>
      <c r="D180">
        <v>0</v>
      </c>
      <c r="E180">
        <v>1</v>
      </c>
      <c r="F180">
        <v>16</v>
      </c>
      <c r="G180" t="b">
        <v>0</v>
      </c>
      <c r="H180">
        <v>6</v>
      </c>
      <c r="I180">
        <v>1</v>
      </c>
      <c r="J180">
        <v>0.18</v>
      </c>
      <c r="K180">
        <v>0.13639999999999999</v>
      </c>
      <c r="L180">
        <v>0.28999999999999998</v>
      </c>
      <c r="M180">
        <v>0.44779999999999998</v>
      </c>
      <c r="N180">
        <v>8</v>
      </c>
      <c r="O180">
        <v>68</v>
      </c>
      <c r="P180">
        <v>76</v>
      </c>
      <c r="Q180">
        <v>0.13639999999999999</v>
      </c>
      <c r="R180">
        <v>0.28999999999999998</v>
      </c>
      <c r="S180">
        <v>0.44779999999999998</v>
      </c>
      <c r="T180">
        <v>8</v>
      </c>
      <c r="U180">
        <v>68</v>
      </c>
      <c r="V180">
        <v>76</v>
      </c>
    </row>
    <row r="181" spans="1:22" x14ac:dyDescent="0.3">
      <c r="A181">
        <v>179</v>
      </c>
      <c r="B181">
        <v>40551</v>
      </c>
      <c r="C181">
        <v>1</v>
      </c>
      <c r="D181">
        <v>0</v>
      </c>
      <c r="E181">
        <v>1</v>
      </c>
      <c r="F181">
        <v>17</v>
      </c>
      <c r="G181" t="b">
        <v>0</v>
      </c>
      <c r="H181">
        <v>6</v>
      </c>
      <c r="I181">
        <v>1</v>
      </c>
      <c r="J181">
        <v>0.16</v>
      </c>
      <c r="K181">
        <v>0.1212</v>
      </c>
      <c r="L181">
        <v>0.37</v>
      </c>
      <c r="M181">
        <v>0.55220000000000002</v>
      </c>
      <c r="N181">
        <v>5</v>
      </c>
      <c r="O181">
        <v>64</v>
      </c>
      <c r="P181">
        <v>69</v>
      </c>
      <c r="Q181">
        <v>0.1212</v>
      </c>
      <c r="R181">
        <v>0.37</v>
      </c>
      <c r="S181">
        <v>0.55220000000000002</v>
      </c>
      <c r="T181">
        <v>5</v>
      </c>
      <c r="U181">
        <v>64</v>
      </c>
      <c r="V181">
        <v>69</v>
      </c>
    </row>
    <row r="182" spans="1:22" x14ac:dyDescent="0.3">
      <c r="A182">
        <v>180</v>
      </c>
      <c r="B182">
        <v>40551</v>
      </c>
      <c r="C182">
        <v>1</v>
      </c>
      <c r="D182">
        <v>0</v>
      </c>
      <c r="E182">
        <v>1</v>
      </c>
      <c r="F182">
        <v>18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0.39</v>
      </c>
      <c r="M182">
        <v>0.29849999999999999</v>
      </c>
      <c r="N182">
        <v>3</v>
      </c>
      <c r="O182">
        <v>52</v>
      </c>
      <c r="P182">
        <v>55</v>
      </c>
      <c r="Q182">
        <v>0.1212</v>
      </c>
      <c r="R182">
        <v>0.39</v>
      </c>
      <c r="S182">
        <v>0.29849999999999999</v>
      </c>
      <c r="T182">
        <v>3</v>
      </c>
      <c r="U182">
        <v>52</v>
      </c>
      <c r="V182">
        <v>55</v>
      </c>
    </row>
    <row r="183" spans="1:22" x14ac:dyDescent="0.3">
      <c r="A183">
        <v>181</v>
      </c>
      <c r="B183">
        <v>40551</v>
      </c>
      <c r="C183">
        <v>1</v>
      </c>
      <c r="D183">
        <v>0</v>
      </c>
      <c r="E183">
        <v>1</v>
      </c>
      <c r="F183">
        <v>19</v>
      </c>
      <c r="G183" t="b">
        <v>0</v>
      </c>
      <c r="H183">
        <v>6</v>
      </c>
      <c r="I183">
        <v>1</v>
      </c>
      <c r="J183">
        <v>0.14000000000000001</v>
      </c>
      <c r="K183">
        <v>0.1212</v>
      </c>
      <c r="L183">
        <v>0.36</v>
      </c>
      <c r="M183">
        <v>0.25369999999999998</v>
      </c>
      <c r="N183">
        <v>4</v>
      </c>
      <c r="O183">
        <v>26</v>
      </c>
      <c r="P183">
        <v>30</v>
      </c>
      <c r="Q183">
        <v>0.1212</v>
      </c>
      <c r="R183">
        <v>0.36</v>
      </c>
      <c r="S183">
        <v>0.25369999999999998</v>
      </c>
      <c r="T183">
        <v>4</v>
      </c>
      <c r="U183">
        <v>26</v>
      </c>
      <c r="V183">
        <v>30</v>
      </c>
    </row>
    <row r="184" spans="1:22" x14ac:dyDescent="0.3">
      <c r="A184">
        <v>182</v>
      </c>
      <c r="B184">
        <v>40551</v>
      </c>
      <c r="C184">
        <v>1</v>
      </c>
      <c r="D184">
        <v>0</v>
      </c>
      <c r="E184">
        <v>1</v>
      </c>
      <c r="F184">
        <v>20</v>
      </c>
      <c r="G184" t="b">
        <v>0</v>
      </c>
      <c r="H184">
        <v>6</v>
      </c>
      <c r="I184">
        <v>1</v>
      </c>
      <c r="J184">
        <v>0.12</v>
      </c>
      <c r="K184">
        <v>0.1212</v>
      </c>
      <c r="L184">
        <v>0.36</v>
      </c>
      <c r="M184">
        <v>0.25369999999999998</v>
      </c>
      <c r="N184">
        <v>0</v>
      </c>
      <c r="O184">
        <v>28</v>
      </c>
      <c r="P184">
        <v>28</v>
      </c>
      <c r="Q184">
        <v>0.1212</v>
      </c>
      <c r="R184">
        <v>0.36</v>
      </c>
      <c r="S184">
        <v>0.25369999999999998</v>
      </c>
      <c r="T184">
        <v>0</v>
      </c>
      <c r="U184">
        <v>28</v>
      </c>
      <c r="V184">
        <v>28</v>
      </c>
    </row>
    <row r="185" spans="1:22" x14ac:dyDescent="0.3">
      <c r="A185">
        <v>183</v>
      </c>
      <c r="B185">
        <v>40551</v>
      </c>
      <c r="C185">
        <v>1</v>
      </c>
      <c r="D185">
        <v>0</v>
      </c>
      <c r="E185">
        <v>1</v>
      </c>
      <c r="F185">
        <v>21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0.39</v>
      </c>
      <c r="M185">
        <v>0.35820000000000002</v>
      </c>
      <c r="N185">
        <v>2</v>
      </c>
      <c r="O185">
        <v>35</v>
      </c>
      <c r="P185">
        <v>37</v>
      </c>
      <c r="Q185">
        <v>0.1061</v>
      </c>
      <c r="R185">
        <v>0.39</v>
      </c>
      <c r="S185">
        <v>0.35820000000000002</v>
      </c>
      <c r="T185">
        <v>2</v>
      </c>
      <c r="U185">
        <v>35</v>
      </c>
      <c r="V185">
        <v>37</v>
      </c>
    </row>
    <row r="186" spans="1:22" x14ac:dyDescent="0.3">
      <c r="A186">
        <v>184</v>
      </c>
      <c r="B186">
        <v>40551</v>
      </c>
      <c r="C186">
        <v>1</v>
      </c>
      <c r="D186">
        <v>0</v>
      </c>
      <c r="E186">
        <v>1</v>
      </c>
      <c r="F186">
        <v>22</v>
      </c>
      <c r="G186" t="b">
        <v>0</v>
      </c>
      <c r="H186">
        <v>6</v>
      </c>
      <c r="I186">
        <v>1</v>
      </c>
      <c r="J186">
        <v>0.12</v>
      </c>
      <c r="K186">
        <v>0.1061</v>
      </c>
      <c r="L186">
        <v>0.36</v>
      </c>
      <c r="M186">
        <v>0.3881</v>
      </c>
      <c r="N186">
        <v>1</v>
      </c>
      <c r="O186">
        <v>33</v>
      </c>
      <c r="P186">
        <v>34</v>
      </c>
      <c r="Q186">
        <v>0.1061</v>
      </c>
      <c r="R186">
        <v>0.36</v>
      </c>
      <c r="S186">
        <v>0.3881</v>
      </c>
      <c r="T186">
        <v>1</v>
      </c>
      <c r="U186">
        <v>33</v>
      </c>
      <c r="V186">
        <v>34</v>
      </c>
    </row>
    <row r="187" spans="1:22" x14ac:dyDescent="0.3">
      <c r="A187">
        <v>185</v>
      </c>
      <c r="B187">
        <v>40551</v>
      </c>
      <c r="C187">
        <v>1</v>
      </c>
      <c r="D187">
        <v>0</v>
      </c>
      <c r="E187">
        <v>1</v>
      </c>
      <c r="F187">
        <v>23</v>
      </c>
      <c r="G187" t="b">
        <v>0</v>
      </c>
      <c r="H187">
        <v>6</v>
      </c>
      <c r="I187">
        <v>1</v>
      </c>
      <c r="J187">
        <v>0.1</v>
      </c>
      <c r="K187">
        <v>6.0600000000000001E-2</v>
      </c>
      <c r="L187">
        <v>0.39</v>
      </c>
      <c r="M187">
        <v>0.44779999999999998</v>
      </c>
      <c r="N187">
        <v>0</v>
      </c>
      <c r="O187">
        <v>22</v>
      </c>
      <c r="P187">
        <v>22</v>
      </c>
      <c r="Q187">
        <v>6.0600000000000001E-2</v>
      </c>
      <c r="R187">
        <v>0.39</v>
      </c>
      <c r="S187">
        <v>0.44779999999999998</v>
      </c>
      <c r="T187">
        <v>0</v>
      </c>
      <c r="U187">
        <v>22</v>
      </c>
      <c r="V187">
        <v>22</v>
      </c>
    </row>
    <row r="188" spans="1:22" x14ac:dyDescent="0.3">
      <c r="A188">
        <v>186</v>
      </c>
      <c r="B188">
        <v>40552</v>
      </c>
      <c r="C188">
        <v>1</v>
      </c>
      <c r="D188">
        <v>0</v>
      </c>
      <c r="E188">
        <v>1</v>
      </c>
      <c r="F188">
        <v>0</v>
      </c>
      <c r="G188" t="b">
        <v>0</v>
      </c>
      <c r="H188">
        <v>0</v>
      </c>
      <c r="I188">
        <v>1</v>
      </c>
      <c r="J188">
        <v>0.1</v>
      </c>
      <c r="K188">
        <v>7.5800000000000006E-2</v>
      </c>
      <c r="L188">
        <v>0.42</v>
      </c>
      <c r="M188">
        <v>0.3881</v>
      </c>
      <c r="N188">
        <v>1</v>
      </c>
      <c r="O188">
        <v>24</v>
      </c>
      <c r="P188">
        <v>25</v>
      </c>
      <c r="Q188">
        <v>7.5800000000000006E-2</v>
      </c>
      <c r="R188">
        <v>0.42</v>
      </c>
      <c r="S188">
        <v>0.3881</v>
      </c>
      <c r="T188">
        <v>1</v>
      </c>
      <c r="U188">
        <v>24</v>
      </c>
      <c r="V188">
        <v>25</v>
      </c>
    </row>
    <row r="189" spans="1:22" x14ac:dyDescent="0.3">
      <c r="A189">
        <v>187</v>
      </c>
      <c r="B189">
        <v>40552</v>
      </c>
      <c r="C189">
        <v>1</v>
      </c>
      <c r="D189">
        <v>0</v>
      </c>
      <c r="E189">
        <v>1</v>
      </c>
      <c r="F189">
        <v>1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0.42</v>
      </c>
      <c r="M189">
        <v>0.4627</v>
      </c>
      <c r="N189">
        <v>0</v>
      </c>
      <c r="O189">
        <v>12</v>
      </c>
      <c r="P189">
        <v>12</v>
      </c>
      <c r="Q189">
        <v>6.0600000000000001E-2</v>
      </c>
      <c r="R189">
        <v>0.42</v>
      </c>
      <c r="S189">
        <v>0.4627</v>
      </c>
      <c r="T189">
        <v>0</v>
      </c>
      <c r="U189">
        <v>12</v>
      </c>
      <c r="V189">
        <v>12</v>
      </c>
    </row>
    <row r="190" spans="1:22" x14ac:dyDescent="0.3">
      <c r="A190">
        <v>188</v>
      </c>
      <c r="B190">
        <v>40552</v>
      </c>
      <c r="C190">
        <v>1</v>
      </c>
      <c r="D190">
        <v>0</v>
      </c>
      <c r="E190">
        <v>1</v>
      </c>
      <c r="F190">
        <v>2</v>
      </c>
      <c r="G190" t="b">
        <v>0</v>
      </c>
      <c r="H190">
        <v>0</v>
      </c>
      <c r="I190">
        <v>1</v>
      </c>
      <c r="J190">
        <v>0.1</v>
      </c>
      <c r="K190">
        <v>6.0600000000000001E-2</v>
      </c>
      <c r="L190">
        <v>0.46</v>
      </c>
      <c r="M190">
        <v>0.4627</v>
      </c>
      <c r="N190">
        <v>0</v>
      </c>
      <c r="O190">
        <v>11</v>
      </c>
      <c r="P190">
        <v>11</v>
      </c>
      <c r="Q190">
        <v>6.0600000000000001E-2</v>
      </c>
      <c r="R190">
        <v>0.46</v>
      </c>
      <c r="S190">
        <v>0.4627</v>
      </c>
      <c r="T190">
        <v>0</v>
      </c>
      <c r="U190">
        <v>11</v>
      </c>
      <c r="V190">
        <v>11</v>
      </c>
    </row>
    <row r="191" spans="1:22" x14ac:dyDescent="0.3">
      <c r="A191">
        <v>189</v>
      </c>
      <c r="B191">
        <v>40552</v>
      </c>
      <c r="C191">
        <v>1</v>
      </c>
      <c r="D191">
        <v>0</v>
      </c>
      <c r="E191">
        <v>1</v>
      </c>
      <c r="F191">
        <v>3</v>
      </c>
      <c r="G191" t="b">
        <v>0</v>
      </c>
      <c r="H191">
        <v>0</v>
      </c>
      <c r="I191">
        <v>1</v>
      </c>
      <c r="J191">
        <v>0.1</v>
      </c>
      <c r="K191">
        <v>7.5800000000000006E-2</v>
      </c>
      <c r="L191">
        <v>0.46</v>
      </c>
      <c r="M191">
        <v>0.41789999999999999</v>
      </c>
      <c r="N191">
        <v>0</v>
      </c>
      <c r="O191">
        <v>4</v>
      </c>
      <c r="P191">
        <v>4</v>
      </c>
      <c r="Q191">
        <v>7.5800000000000006E-2</v>
      </c>
      <c r="R191">
        <v>0.46</v>
      </c>
      <c r="S191">
        <v>0.41789999999999999</v>
      </c>
      <c r="T191">
        <v>0</v>
      </c>
      <c r="U191">
        <v>4</v>
      </c>
      <c r="V191">
        <v>4</v>
      </c>
    </row>
    <row r="192" spans="1:22" x14ac:dyDescent="0.3">
      <c r="A192">
        <v>190</v>
      </c>
      <c r="B192">
        <v>40552</v>
      </c>
      <c r="C192">
        <v>1</v>
      </c>
      <c r="D192">
        <v>0</v>
      </c>
      <c r="E192">
        <v>1</v>
      </c>
      <c r="F192">
        <v>4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>
        <v>9.0899999999999995E-2</v>
      </c>
      <c r="R192">
        <v>0.53</v>
      </c>
      <c r="S192">
        <v>0.19400000000000001</v>
      </c>
      <c r="T192">
        <v>0</v>
      </c>
      <c r="U192">
        <v>1</v>
      </c>
      <c r="V192">
        <v>1</v>
      </c>
    </row>
    <row r="193" spans="1:22" x14ac:dyDescent="0.3">
      <c r="A193">
        <v>191</v>
      </c>
      <c r="B193">
        <v>40552</v>
      </c>
      <c r="C193">
        <v>1</v>
      </c>
      <c r="D193">
        <v>0</v>
      </c>
      <c r="E193">
        <v>1</v>
      </c>
      <c r="F193">
        <v>5</v>
      </c>
      <c r="G193" t="b">
        <v>0</v>
      </c>
      <c r="H193">
        <v>0</v>
      </c>
      <c r="I193">
        <v>1</v>
      </c>
      <c r="J193">
        <v>0.08</v>
      </c>
      <c r="K193">
        <v>9.0899999999999995E-2</v>
      </c>
      <c r="L193">
        <v>0.53</v>
      </c>
      <c r="M193">
        <v>0.19400000000000001</v>
      </c>
      <c r="N193">
        <v>0</v>
      </c>
      <c r="O193">
        <v>1</v>
      </c>
      <c r="P193">
        <v>1</v>
      </c>
      <c r="Q193">
        <v>9.0899999999999995E-2</v>
      </c>
      <c r="R193">
        <v>0.53</v>
      </c>
      <c r="S193">
        <v>0.19400000000000001</v>
      </c>
      <c r="T193">
        <v>0</v>
      </c>
      <c r="U193">
        <v>1</v>
      </c>
      <c r="V193">
        <v>1</v>
      </c>
    </row>
    <row r="194" spans="1:22" x14ac:dyDescent="0.3">
      <c r="A194">
        <v>192</v>
      </c>
      <c r="B194">
        <v>40552</v>
      </c>
      <c r="C194">
        <v>1</v>
      </c>
      <c r="D194">
        <v>0</v>
      </c>
      <c r="E194">
        <v>1</v>
      </c>
      <c r="F194">
        <v>6</v>
      </c>
      <c r="G194" t="b">
        <v>0</v>
      </c>
      <c r="H194">
        <v>0</v>
      </c>
      <c r="I194">
        <v>1</v>
      </c>
      <c r="J194">
        <v>0.1</v>
      </c>
      <c r="K194">
        <v>9.0899999999999995E-2</v>
      </c>
      <c r="L194">
        <v>0.49</v>
      </c>
      <c r="M194">
        <v>0.28360000000000002</v>
      </c>
      <c r="N194">
        <v>0</v>
      </c>
      <c r="O194">
        <v>1</v>
      </c>
      <c r="P194">
        <v>1</v>
      </c>
      <c r="Q194">
        <v>9.0899999999999995E-2</v>
      </c>
      <c r="R194">
        <v>0.49</v>
      </c>
      <c r="S194">
        <v>0.28360000000000002</v>
      </c>
      <c r="T194">
        <v>0</v>
      </c>
      <c r="U194">
        <v>1</v>
      </c>
      <c r="V194">
        <v>1</v>
      </c>
    </row>
    <row r="195" spans="1:22" x14ac:dyDescent="0.3">
      <c r="A195">
        <v>193</v>
      </c>
      <c r="B195">
        <v>40552</v>
      </c>
      <c r="C195">
        <v>1</v>
      </c>
      <c r="D195">
        <v>0</v>
      </c>
      <c r="E195">
        <v>1</v>
      </c>
      <c r="F195">
        <v>7</v>
      </c>
      <c r="G195" t="b">
        <v>0</v>
      </c>
      <c r="H195">
        <v>0</v>
      </c>
      <c r="I195">
        <v>1</v>
      </c>
      <c r="J195">
        <v>0.08</v>
      </c>
      <c r="K195">
        <v>9.0899999999999995E-2</v>
      </c>
      <c r="L195">
        <v>0.53</v>
      </c>
      <c r="M195">
        <v>0.19400000000000001</v>
      </c>
      <c r="N195">
        <v>1</v>
      </c>
      <c r="O195">
        <v>5</v>
      </c>
      <c r="P195">
        <v>6</v>
      </c>
      <c r="Q195">
        <v>9.0899999999999995E-2</v>
      </c>
      <c r="R195">
        <v>0.53</v>
      </c>
      <c r="S195">
        <v>0.19400000000000001</v>
      </c>
      <c r="T195">
        <v>1</v>
      </c>
      <c r="U195">
        <v>5</v>
      </c>
      <c r="V195">
        <v>6</v>
      </c>
    </row>
    <row r="196" spans="1:22" x14ac:dyDescent="0.3">
      <c r="A196">
        <v>194</v>
      </c>
      <c r="B196">
        <v>40552</v>
      </c>
      <c r="C196">
        <v>1</v>
      </c>
      <c r="D196">
        <v>0</v>
      </c>
      <c r="E196">
        <v>1</v>
      </c>
      <c r="F196">
        <v>8</v>
      </c>
      <c r="G196" t="b">
        <v>0</v>
      </c>
      <c r="H196">
        <v>0</v>
      </c>
      <c r="I196">
        <v>1</v>
      </c>
      <c r="J196">
        <v>0.1</v>
      </c>
      <c r="K196">
        <v>9.0899999999999995E-2</v>
      </c>
      <c r="L196">
        <v>0.49</v>
      </c>
      <c r="M196">
        <v>0.28360000000000002</v>
      </c>
      <c r="N196">
        <v>0</v>
      </c>
      <c r="O196">
        <v>10</v>
      </c>
      <c r="P196">
        <v>10</v>
      </c>
      <c r="Q196">
        <v>9.0899999999999995E-2</v>
      </c>
      <c r="R196">
        <v>0.49</v>
      </c>
      <c r="S196">
        <v>0.28360000000000002</v>
      </c>
      <c r="T196">
        <v>0</v>
      </c>
      <c r="U196">
        <v>10</v>
      </c>
      <c r="V196">
        <v>10</v>
      </c>
    </row>
    <row r="197" spans="1:22" x14ac:dyDescent="0.3">
      <c r="A197">
        <v>195</v>
      </c>
      <c r="B197">
        <v>40552</v>
      </c>
      <c r="C197">
        <v>1</v>
      </c>
      <c r="D197">
        <v>0</v>
      </c>
      <c r="E197">
        <v>1</v>
      </c>
      <c r="F197">
        <v>9</v>
      </c>
      <c r="G197" t="b">
        <v>0</v>
      </c>
      <c r="H197">
        <v>0</v>
      </c>
      <c r="I197">
        <v>1</v>
      </c>
      <c r="J197">
        <v>0.12</v>
      </c>
      <c r="K197">
        <v>7.5800000000000006E-2</v>
      </c>
      <c r="L197">
        <v>0.46</v>
      </c>
      <c r="M197">
        <v>0.52239999999999998</v>
      </c>
      <c r="N197">
        <v>0</v>
      </c>
      <c r="O197">
        <v>19</v>
      </c>
      <c r="P197">
        <v>19</v>
      </c>
      <c r="Q197">
        <v>7.5800000000000006E-2</v>
      </c>
      <c r="R197">
        <v>0.46</v>
      </c>
      <c r="S197">
        <v>0.52239999999999998</v>
      </c>
      <c r="T197">
        <v>0</v>
      </c>
      <c r="U197">
        <v>19</v>
      </c>
      <c r="V197">
        <v>19</v>
      </c>
    </row>
    <row r="198" spans="1:22" x14ac:dyDescent="0.3">
      <c r="A198">
        <v>196</v>
      </c>
      <c r="B198">
        <v>40552</v>
      </c>
      <c r="C198">
        <v>1</v>
      </c>
      <c r="D198">
        <v>0</v>
      </c>
      <c r="E198">
        <v>1</v>
      </c>
      <c r="F198">
        <v>10</v>
      </c>
      <c r="G198" t="b">
        <v>0</v>
      </c>
      <c r="H198">
        <v>0</v>
      </c>
      <c r="I198">
        <v>1</v>
      </c>
      <c r="J198">
        <v>0.14000000000000001</v>
      </c>
      <c r="K198">
        <v>0.1061</v>
      </c>
      <c r="L198">
        <v>0.43</v>
      </c>
      <c r="M198">
        <v>0.3881</v>
      </c>
      <c r="N198">
        <v>0</v>
      </c>
      <c r="O198">
        <v>49</v>
      </c>
      <c r="P198">
        <v>49</v>
      </c>
      <c r="Q198">
        <v>0.1061</v>
      </c>
      <c r="R198">
        <v>0.43</v>
      </c>
      <c r="S198">
        <v>0.3881</v>
      </c>
      <c r="T198">
        <v>0</v>
      </c>
      <c r="U198">
        <v>49</v>
      </c>
      <c r="V198">
        <v>49</v>
      </c>
    </row>
    <row r="199" spans="1:22" x14ac:dyDescent="0.3">
      <c r="A199">
        <v>197</v>
      </c>
      <c r="B199">
        <v>40552</v>
      </c>
      <c r="C199">
        <v>1</v>
      </c>
      <c r="D199">
        <v>0</v>
      </c>
      <c r="E199">
        <v>1</v>
      </c>
      <c r="F199">
        <v>11</v>
      </c>
      <c r="G199" t="b">
        <v>0</v>
      </c>
      <c r="H199">
        <v>0</v>
      </c>
      <c r="I199">
        <v>1</v>
      </c>
      <c r="J199">
        <v>0.16</v>
      </c>
      <c r="K199">
        <v>0.1212</v>
      </c>
      <c r="L199">
        <v>0.4</v>
      </c>
      <c r="M199">
        <v>0.52239999999999998</v>
      </c>
      <c r="N199">
        <v>2</v>
      </c>
      <c r="O199">
        <v>47</v>
      </c>
      <c r="P199">
        <v>49</v>
      </c>
      <c r="Q199">
        <v>0.1212</v>
      </c>
      <c r="R199">
        <v>0.4</v>
      </c>
      <c r="S199">
        <v>0.52239999999999998</v>
      </c>
      <c r="T199">
        <v>2</v>
      </c>
      <c r="U199">
        <v>47</v>
      </c>
      <c r="V199">
        <v>49</v>
      </c>
    </row>
    <row r="200" spans="1:22" x14ac:dyDescent="0.3">
      <c r="A200">
        <v>198</v>
      </c>
      <c r="B200">
        <v>40552</v>
      </c>
      <c r="C200">
        <v>1</v>
      </c>
      <c r="D200">
        <v>0</v>
      </c>
      <c r="E200">
        <v>1</v>
      </c>
      <c r="F200">
        <v>12</v>
      </c>
      <c r="G200" t="b">
        <v>0</v>
      </c>
      <c r="H200">
        <v>0</v>
      </c>
      <c r="I200">
        <v>1</v>
      </c>
      <c r="J200">
        <v>0.18</v>
      </c>
      <c r="K200">
        <v>0.13639999999999999</v>
      </c>
      <c r="L200">
        <v>0.37</v>
      </c>
      <c r="M200">
        <v>0.44779999999999998</v>
      </c>
      <c r="N200">
        <v>4</v>
      </c>
      <c r="O200">
        <v>79</v>
      </c>
      <c r="P200">
        <v>83</v>
      </c>
      <c r="Q200">
        <v>0.13639999999999999</v>
      </c>
      <c r="R200">
        <v>0.37</v>
      </c>
      <c r="S200">
        <v>0.44779999999999998</v>
      </c>
      <c r="T200">
        <v>4</v>
      </c>
      <c r="U200">
        <v>79</v>
      </c>
      <c r="V200">
        <v>83</v>
      </c>
    </row>
    <row r="201" spans="1:22" x14ac:dyDescent="0.3">
      <c r="A201">
        <v>199</v>
      </c>
      <c r="B201">
        <v>40552</v>
      </c>
      <c r="C201">
        <v>1</v>
      </c>
      <c r="D201">
        <v>0</v>
      </c>
      <c r="E201">
        <v>1</v>
      </c>
      <c r="F201">
        <v>13</v>
      </c>
      <c r="G201" t="b">
        <v>0</v>
      </c>
      <c r="H201">
        <v>0</v>
      </c>
      <c r="I201">
        <v>1</v>
      </c>
      <c r="J201">
        <v>0.2</v>
      </c>
      <c r="K201">
        <v>0.16669999999999999</v>
      </c>
      <c r="L201">
        <v>0.34</v>
      </c>
      <c r="M201">
        <v>0.44779999999999998</v>
      </c>
      <c r="N201">
        <v>6</v>
      </c>
      <c r="O201">
        <v>69</v>
      </c>
      <c r="P201">
        <v>75</v>
      </c>
      <c r="Q201">
        <v>0.16669999999999999</v>
      </c>
      <c r="R201">
        <v>0.34</v>
      </c>
      <c r="S201">
        <v>0.44779999999999998</v>
      </c>
      <c r="T201">
        <v>6</v>
      </c>
      <c r="U201">
        <v>69</v>
      </c>
      <c r="V201">
        <v>75</v>
      </c>
    </row>
    <row r="202" spans="1:22" x14ac:dyDescent="0.3">
      <c r="A202">
        <v>200</v>
      </c>
      <c r="B202">
        <v>40552</v>
      </c>
      <c r="C202">
        <v>1</v>
      </c>
      <c r="D202">
        <v>0</v>
      </c>
      <c r="E202">
        <v>1</v>
      </c>
      <c r="F202">
        <v>14</v>
      </c>
      <c r="G202" t="b">
        <v>0</v>
      </c>
      <c r="H202">
        <v>0</v>
      </c>
      <c r="I202">
        <v>1</v>
      </c>
      <c r="J202">
        <v>0.22</v>
      </c>
      <c r="K202">
        <v>0.18179999999999999</v>
      </c>
      <c r="L202">
        <v>0.32</v>
      </c>
      <c r="M202">
        <v>0.4627</v>
      </c>
      <c r="N202">
        <v>8</v>
      </c>
      <c r="O202">
        <v>64</v>
      </c>
      <c r="P202">
        <v>72</v>
      </c>
      <c r="Q202">
        <v>0.18179999999999999</v>
      </c>
      <c r="R202">
        <v>0.32</v>
      </c>
      <c r="S202">
        <v>0.4627</v>
      </c>
      <c r="T202">
        <v>8</v>
      </c>
      <c r="U202">
        <v>64</v>
      </c>
      <c r="V202">
        <v>72</v>
      </c>
    </row>
    <row r="203" spans="1:22" x14ac:dyDescent="0.3">
      <c r="A203">
        <v>201</v>
      </c>
      <c r="B203">
        <v>40552</v>
      </c>
      <c r="C203">
        <v>1</v>
      </c>
      <c r="D203">
        <v>0</v>
      </c>
      <c r="E203">
        <v>1</v>
      </c>
      <c r="F203">
        <v>15</v>
      </c>
      <c r="G203" t="b">
        <v>0</v>
      </c>
      <c r="H203">
        <v>0</v>
      </c>
      <c r="I203">
        <v>1</v>
      </c>
      <c r="J203">
        <v>0.22</v>
      </c>
      <c r="K203">
        <v>0.19700000000000001</v>
      </c>
      <c r="L203">
        <v>0.35</v>
      </c>
      <c r="M203">
        <v>0.35820000000000002</v>
      </c>
      <c r="N203">
        <v>5</v>
      </c>
      <c r="O203">
        <v>77</v>
      </c>
      <c r="P203">
        <v>82</v>
      </c>
      <c r="Q203">
        <v>0.19700000000000001</v>
      </c>
      <c r="R203">
        <v>0.35</v>
      </c>
      <c r="S203">
        <v>0.35820000000000002</v>
      </c>
      <c r="T203">
        <v>5</v>
      </c>
      <c r="U203">
        <v>77</v>
      </c>
      <c r="V203">
        <v>82</v>
      </c>
    </row>
    <row r="204" spans="1:22" x14ac:dyDescent="0.3">
      <c r="A204">
        <v>202</v>
      </c>
      <c r="B204">
        <v>40552</v>
      </c>
      <c r="C204">
        <v>1</v>
      </c>
      <c r="D204">
        <v>0</v>
      </c>
      <c r="E204">
        <v>1</v>
      </c>
      <c r="F204">
        <v>16</v>
      </c>
      <c r="G204" t="b">
        <v>0</v>
      </c>
      <c r="H204">
        <v>0</v>
      </c>
      <c r="I204">
        <v>1</v>
      </c>
      <c r="J204">
        <v>0.2</v>
      </c>
      <c r="K204">
        <v>0.16669999999999999</v>
      </c>
      <c r="L204">
        <v>0.34</v>
      </c>
      <c r="M204">
        <v>0.44779999999999998</v>
      </c>
      <c r="N204">
        <v>13</v>
      </c>
      <c r="O204">
        <v>79</v>
      </c>
      <c r="P204">
        <v>92</v>
      </c>
      <c r="Q204">
        <v>0.16669999999999999</v>
      </c>
      <c r="R204">
        <v>0.34</v>
      </c>
      <c r="S204">
        <v>0.44779999999999998</v>
      </c>
      <c r="T204">
        <v>13</v>
      </c>
      <c r="U204">
        <v>79</v>
      </c>
      <c r="V204">
        <v>92</v>
      </c>
    </row>
    <row r="205" spans="1:22" x14ac:dyDescent="0.3">
      <c r="A205">
        <v>203</v>
      </c>
      <c r="B205">
        <v>40552</v>
      </c>
      <c r="C205">
        <v>1</v>
      </c>
      <c r="D205">
        <v>0</v>
      </c>
      <c r="E205">
        <v>1</v>
      </c>
      <c r="F205">
        <v>17</v>
      </c>
      <c r="G205" t="b">
        <v>0</v>
      </c>
      <c r="H205">
        <v>0</v>
      </c>
      <c r="I205">
        <v>1</v>
      </c>
      <c r="J205">
        <v>0.18</v>
      </c>
      <c r="K205">
        <v>0.1515</v>
      </c>
      <c r="L205">
        <v>0.37</v>
      </c>
      <c r="M205">
        <v>0.3881</v>
      </c>
      <c r="N205">
        <v>3</v>
      </c>
      <c r="O205">
        <v>59</v>
      </c>
      <c r="P205">
        <v>62</v>
      </c>
      <c r="Q205">
        <v>0.1515</v>
      </c>
      <c r="R205">
        <v>0.37</v>
      </c>
      <c r="S205">
        <v>0.3881</v>
      </c>
      <c r="T205">
        <v>3</v>
      </c>
      <c r="U205">
        <v>59</v>
      </c>
      <c r="V205">
        <v>62</v>
      </c>
    </row>
    <row r="206" spans="1:22" x14ac:dyDescent="0.3">
      <c r="A206">
        <v>204</v>
      </c>
      <c r="B206">
        <v>40552</v>
      </c>
      <c r="C206">
        <v>1</v>
      </c>
      <c r="D206">
        <v>0</v>
      </c>
      <c r="E206">
        <v>1</v>
      </c>
      <c r="F206">
        <v>18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</v>
      </c>
      <c r="M206">
        <v>0.32840000000000003</v>
      </c>
      <c r="N206">
        <v>4</v>
      </c>
      <c r="O206">
        <v>44</v>
      </c>
      <c r="P206">
        <v>48</v>
      </c>
      <c r="Q206">
        <v>0.13639999999999999</v>
      </c>
      <c r="R206">
        <v>0.4</v>
      </c>
      <c r="S206">
        <v>0.32840000000000003</v>
      </c>
      <c r="T206">
        <v>4</v>
      </c>
      <c r="U206">
        <v>44</v>
      </c>
      <c r="V206">
        <v>48</v>
      </c>
    </row>
    <row r="207" spans="1:22" x14ac:dyDescent="0.3">
      <c r="A207">
        <v>205</v>
      </c>
      <c r="B207">
        <v>40552</v>
      </c>
      <c r="C207">
        <v>1</v>
      </c>
      <c r="D207">
        <v>0</v>
      </c>
      <c r="E207">
        <v>1</v>
      </c>
      <c r="F207">
        <v>19</v>
      </c>
      <c r="G207" t="b">
        <v>0</v>
      </c>
      <c r="H207">
        <v>0</v>
      </c>
      <c r="I207">
        <v>1</v>
      </c>
      <c r="J207">
        <v>0.16</v>
      </c>
      <c r="K207">
        <v>0.13639999999999999</v>
      </c>
      <c r="L207">
        <v>0.43</v>
      </c>
      <c r="M207">
        <v>0.32840000000000003</v>
      </c>
      <c r="N207">
        <v>1</v>
      </c>
      <c r="O207">
        <v>40</v>
      </c>
      <c r="P207">
        <v>41</v>
      </c>
      <c r="Q207">
        <v>0.13639999999999999</v>
      </c>
      <c r="R207">
        <v>0.43</v>
      </c>
      <c r="S207">
        <v>0.32840000000000003</v>
      </c>
      <c r="T207">
        <v>1</v>
      </c>
      <c r="U207">
        <v>40</v>
      </c>
      <c r="V207">
        <v>41</v>
      </c>
    </row>
    <row r="208" spans="1:22" x14ac:dyDescent="0.3">
      <c r="A208">
        <v>206</v>
      </c>
      <c r="B208">
        <v>40552</v>
      </c>
      <c r="C208">
        <v>1</v>
      </c>
      <c r="D208">
        <v>0</v>
      </c>
      <c r="E208">
        <v>1</v>
      </c>
      <c r="F208">
        <v>20</v>
      </c>
      <c r="G208" t="b">
        <v>0</v>
      </c>
      <c r="H208">
        <v>0</v>
      </c>
      <c r="I208">
        <v>1</v>
      </c>
      <c r="J208">
        <v>0.14000000000000001</v>
      </c>
      <c r="K208">
        <v>0.1212</v>
      </c>
      <c r="L208">
        <v>0.46</v>
      </c>
      <c r="M208">
        <v>0.25369999999999998</v>
      </c>
      <c r="N208">
        <v>0</v>
      </c>
      <c r="O208">
        <v>38</v>
      </c>
      <c r="P208">
        <v>38</v>
      </c>
      <c r="Q208">
        <v>0.1212</v>
      </c>
      <c r="R208">
        <v>0.46</v>
      </c>
      <c r="S208">
        <v>0.25369999999999998</v>
      </c>
      <c r="T208">
        <v>0</v>
      </c>
      <c r="U208">
        <v>38</v>
      </c>
      <c r="V208">
        <v>38</v>
      </c>
    </row>
    <row r="209" spans="1:22" x14ac:dyDescent="0.3">
      <c r="A209">
        <v>207</v>
      </c>
      <c r="B209">
        <v>40552</v>
      </c>
      <c r="C209">
        <v>1</v>
      </c>
      <c r="D209">
        <v>0</v>
      </c>
      <c r="E209">
        <v>1</v>
      </c>
      <c r="F209">
        <v>21</v>
      </c>
      <c r="G209" t="b">
        <v>0</v>
      </c>
      <c r="H209">
        <v>0</v>
      </c>
      <c r="I209">
        <v>1</v>
      </c>
      <c r="J209">
        <v>0.14000000000000001</v>
      </c>
      <c r="K209">
        <v>0.1061</v>
      </c>
      <c r="L209">
        <v>0.46</v>
      </c>
      <c r="M209">
        <v>0.41789999999999999</v>
      </c>
      <c r="N209">
        <v>1</v>
      </c>
      <c r="O209">
        <v>19</v>
      </c>
      <c r="P209">
        <v>20</v>
      </c>
      <c r="Q209">
        <v>0.1061</v>
      </c>
      <c r="R209">
        <v>0.46</v>
      </c>
      <c r="S209">
        <v>0.41789999999999999</v>
      </c>
      <c r="T209">
        <v>1</v>
      </c>
      <c r="U209">
        <v>19</v>
      </c>
      <c r="V209">
        <v>20</v>
      </c>
    </row>
    <row r="210" spans="1:22" x14ac:dyDescent="0.3">
      <c r="A210">
        <v>208</v>
      </c>
      <c r="B210">
        <v>40552</v>
      </c>
      <c r="C210">
        <v>1</v>
      </c>
      <c r="D210">
        <v>0</v>
      </c>
      <c r="E210">
        <v>1</v>
      </c>
      <c r="F210">
        <v>22</v>
      </c>
      <c r="G210" t="b">
        <v>0</v>
      </c>
      <c r="H210">
        <v>0</v>
      </c>
      <c r="I210">
        <v>1</v>
      </c>
      <c r="J210">
        <v>0.14000000000000001</v>
      </c>
      <c r="K210">
        <v>0.1212</v>
      </c>
      <c r="L210">
        <v>0.46</v>
      </c>
      <c r="M210">
        <v>0.29849999999999999</v>
      </c>
      <c r="N210">
        <v>5</v>
      </c>
      <c r="O210">
        <v>10</v>
      </c>
      <c r="P210">
        <v>15</v>
      </c>
      <c r="Q210">
        <v>0.1212</v>
      </c>
      <c r="R210">
        <v>0.46</v>
      </c>
      <c r="S210">
        <v>0.29849999999999999</v>
      </c>
      <c r="T210">
        <v>5</v>
      </c>
      <c r="U210">
        <v>10</v>
      </c>
      <c r="V210">
        <v>15</v>
      </c>
    </row>
    <row r="211" spans="1:22" x14ac:dyDescent="0.3">
      <c r="A211">
        <v>209</v>
      </c>
      <c r="B211">
        <v>40552</v>
      </c>
      <c r="C211">
        <v>1</v>
      </c>
      <c r="D211">
        <v>0</v>
      </c>
      <c r="E211">
        <v>1</v>
      </c>
      <c r="F211">
        <v>23</v>
      </c>
      <c r="G211" t="b">
        <v>0</v>
      </c>
      <c r="H211">
        <v>0</v>
      </c>
      <c r="I211">
        <v>1</v>
      </c>
      <c r="J211">
        <v>0.12</v>
      </c>
      <c r="K211">
        <v>0.13639999999999999</v>
      </c>
      <c r="L211">
        <v>0.5</v>
      </c>
      <c r="M211">
        <v>0.19400000000000001</v>
      </c>
      <c r="N211">
        <v>0</v>
      </c>
      <c r="O211">
        <v>6</v>
      </c>
      <c r="P211">
        <v>6</v>
      </c>
      <c r="Q211">
        <v>0.13639999999999999</v>
      </c>
      <c r="R211">
        <v>0.5</v>
      </c>
      <c r="S211">
        <v>0.19400000000000001</v>
      </c>
      <c r="T211">
        <v>0</v>
      </c>
      <c r="U211">
        <v>6</v>
      </c>
      <c r="V211">
        <v>6</v>
      </c>
    </row>
    <row r="212" spans="1:22" x14ac:dyDescent="0.3">
      <c r="A212">
        <v>210</v>
      </c>
      <c r="B212">
        <v>40553</v>
      </c>
      <c r="C212">
        <v>1</v>
      </c>
      <c r="D212">
        <v>0</v>
      </c>
      <c r="E212">
        <v>1</v>
      </c>
      <c r="F212">
        <v>0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2</v>
      </c>
      <c r="O212">
        <v>3</v>
      </c>
      <c r="P212">
        <v>5</v>
      </c>
      <c r="Q212">
        <v>0.1212</v>
      </c>
      <c r="R212">
        <v>0.5</v>
      </c>
      <c r="S212">
        <v>0.28360000000000002</v>
      </c>
      <c r="T212">
        <v>2</v>
      </c>
      <c r="U212">
        <v>3</v>
      </c>
      <c r="V212">
        <v>5</v>
      </c>
    </row>
    <row r="213" spans="1:22" x14ac:dyDescent="0.3">
      <c r="A213">
        <v>211</v>
      </c>
      <c r="B213">
        <v>40553</v>
      </c>
      <c r="C213">
        <v>1</v>
      </c>
      <c r="D213">
        <v>0</v>
      </c>
      <c r="E213">
        <v>1</v>
      </c>
      <c r="F213">
        <v>1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0.28360000000000002</v>
      </c>
      <c r="N213">
        <v>1</v>
      </c>
      <c r="O213">
        <v>0</v>
      </c>
      <c r="P213">
        <v>1</v>
      </c>
      <c r="Q213">
        <v>0.1212</v>
      </c>
      <c r="R213">
        <v>0.5</v>
      </c>
      <c r="S213">
        <v>0.28360000000000002</v>
      </c>
      <c r="T213">
        <v>1</v>
      </c>
      <c r="U213">
        <v>0</v>
      </c>
      <c r="V213">
        <v>1</v>
      </c>
    </row>
    <row r="214" spans="1:22" x14ac:dyDescent="0.3">
      <c r="A214">
        <v>212</v>
      </c>
      <c r="B214">
        <v>40553</v>
      </c>
      <c r="C214">
        <v>1</v>
      </c>
      <c r="D214">
        <v>0</v>
      </c>
      <c r="E214">
        <v>1</v>
      </c>
      <c r="F214">
        <v>2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3</v>
      </c>
      <c r="P214">
        <v>3</v>
      </c>
      <c r="Q214">
        <v>0.1212</v>
      </c>
      <c r="R214">
        <v>0.5</v>
      </c>
      <c r="S214">
        <v>0.22389999999999999</v>
      </c>
      <c r="T214">
        <v>0</v>
      </c>
      <c r="U214">
        <v>3</v>
      </c>
      <c r="V214">
        <v>3</v>
      </c>
    </row>
    <row r="215" spans="1:22" x14ac:dyDescent="0.3">
      <c r="A215">
        <v>213</v>
      </c>
      <c r="B215">
        <v>40553</v>
      </c>
      <c r="C215">
        <v>1</v>
      </c>
      <c r="D215">
        <v>0</v>
      </c>
      <c r="E215">
        <v>1</v>
      </c>
      <c r="F215">
        <v>3</v>
      </c>
      <c r="G215" t="b">
        <v>0</v>
      </c>
      <c r="H215">
        <v>1</v>
      </c>
      <c r="I215">
        <v>1</v>
      </c>
      <c r="J215">
        <v>0.12</v>
      </c>
      <c r="K215">
        <v>0.1212</v>
      </c>
      <c r="L215">
        <v>0.5</v>
      </c>
      <c r="M215">
        <v>0.22389999999999999</v>
      </c>
      <c r="N215">
        <v>0</v>
      </c>
      <c r="O215">
        <v>1</v>
      </c>
      <c r="P215">
        <v>1</v>
      </c>
      <c r="Q215">
        <v>0.1212</v>
      </c>
      <c r="R215">
        <v>0.5</v>
      </c>
      <c r="S215">
        <v>0.22389999999999999</v>
      </c>
      <c r="T215">
        <v>0</v>
      </c>
      <c r="U215">
        <v>1</v>
      </c>
      <c r="V215">
        <v>1</v>
      </c>
    </row>
    <row r="216" spans="1:22" x14ac:dyDescent="0.3">
      <c r="A216">
        <v>214</v>
      </c>
      <c r="B216">
        <v>40553</v>
      </c>
      <c r="C216">
        <v>1</v>
      </c>
      <c r="D216">
        <v>0</v>
      </c>
      <c r="E216">
        <v>1</v>
      </c>
      <c r="F216">
        <v>4</v>
      </c>
      <c r="G216" t="b">
        <v>0</v>
      </c>
      <c r="H216">
        <v>1</v>
      </c>
      <c r="I216">
        <v>1</v>
      </c>
      <c r="J216">
        <v>0.1</v>
      </c>
      <c r="K216">
        <v>0.1212</v>
      </c>
      <c r="L216">
        <v>0.54</v>
      </c>
      <c r="M216">
        <v>0.1343</v>
      </c>
      <c r="N216">
        <v>1</v>
      </c>
      <c r="O216">
        <v>2</v>
      </c>
      <c r="P216">
        <v>3</v>
      </c>
      <c r="Q216">
        <v>0.1212</v>
      </c>
      <c r="R216">
        <v>0.54</v>
      </c>
      <c r="S216">
        <v>0.1343</v>
      </c>
      <c r="T216">
        <v>1</v>
      </c>
      <c r="U216">
        <v>2</v>
      </c>
      <c r="V216">
        <v>3</v>
      </c>
    </row>
    <row r="217" spans="1:22" x14ac:dyDescent="0.3">
      <c r="A217">
        <v>215</v>
      </c>
      <c r="B217">
        <v>40553</v>
      </c>
      <c r="C217">
        <v>1</v>
      </c>
      <c r="D217">
        <v>0</v>
      </c>
      <c r="E217">
        <v>1</v>
      </c>
      <c r="F217">
        <v>5</v>
      </c>
      <c r="G217" t="b">
        <v>0</v>
      </c>
      <c r="H217">
        <v>1</v>
      </c>
      <c r="I217">
        <v>1</v>
      </c>
      <c r="J217">
        <v>0.1</v>
      </c>
      <c r="K217">
        <v>0.1061</v>
      </c>
      <c r="L217">
        <v>0.54</v>
      </c>
      <c r="M217">
        <v>0.25369999999999998</v>
      </c>
      <c r="N217">
        <v>0</v>
      </c>
      <c r="O217">
        <v>3</v>
      </c>
      <c r="P217">
        <v>3</v>
      </c>
      <c r="Q217">
        <v>0.1061</v>
      </c>
      <c r="R217">
        <v>0.54</v>
      </c>
      <c r="S217">
        <v>0.25369999999999998</v>
      </c>
      <c r="T217">
        <v>0</v>
      </c>
      <c r="U217">
        <v>3</v>
      </c>
      <c r="V217">
        <v>3</v>
      </c>
    </row>
    <row r="218" spans="1:22" x14ac:dyDescent="0.3">
      <c r="A218">
        <v>216</v>
      </c>
      <c r="B218">
        <v>40553</v>
      </c>
      <c r="C218">
        <v>1</v>
      </c>
      <c r="D218">
        <v>0</v>
      </c>
      <c r="E218">
        <v>1</v>
      </c>
      <c r="F218">
        <v>6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0.28360000000000002</v>
      </c>
      <c r="N218">
        <v>0</v>
      </c>
      <c r="O218">
        <v>31</v>
      </c>
      <c r="P218">
        <v>31</v>
      </c>
      <c r="Q218">
        <v>0.1212</v>
      </c>
      <c r="R218">
        <v>0.5</v>
      </c>
      <c r="S218">
        <v>0.28360000000000002</v>
      </c>
      <c r="T218">
        <v>0</v>
      </c>
      <c r="U218">
        <v>31</v>
      </c>
      <c r="V218">
        <v>31</v>
      </c>
    </row>
    <row r="219" spans="1:22" x14ac:dyDescent="0.3">
      <c r="A219">
        <v>217</v>
      </c>
      <c r="B219">
        <v>40553</v>
      </c>
      <c r="C219">
        <v>1</v>
      </c>
      <c r="D219">
        <v>0</v>
      </c>
      <c r="E219">
        <v>1</v>
      </c>
      <c r="F219">
        <v>7</v>
      </c>
      <c r="G219" t="b">
        <v>0</v>
      </c>
      <c r="H219">
        <v>1</v>
      </c>
      <c r="I219">
        <v>1</v>
      </c>
      <c r="J219">
        <v>0.12</v>
      </c>
      <c r="K219">
        <v>0.1212</v>
      </c>
      <c r="L219">
        <v>0.5</v>
      </c>
      <c r="M219">
        <v>0.22389999999999999</v>
      </c>
      <c r="N219">
        <v>2</v>
      </c>
      <c r="O219">
        <v>75</v>
      </c>
      <c r="P219">
        <v>77</v>
      </c>
      <c r="Q219">
        <v>0.1212</v>
      </c>
      <c r="R219">
        <v>0.5</v>
      </c>
      <c r="S219">
        <v>0.22389999999999999</v>
      </c>
      <c r="T219">
        <v>2</v>
      </c>
      <c r="U219">
        <v>75</v>
      </c>
      <c r="V219">
        <v>77</v>
      </c>
    </row>
    <row r="220" spans="1:22" x14ac:dyDescent="0.3">
      <c r="A220">
        <v>218</v>
      </c>
      <c r="B220">
        <v>40553</v>
      </c>
      <c r="C220">
        <v>1</v>
      </c>
      <c r="D220">
        <v>0</v>
      </c>
      <c r="E220">
        <v>1</v>
      </c>
      <c r="F220">
        <v>8</v>
      </c>
      <c r="G220" t="b">
        <v>0</v>
      </c>
      <c r="H220">
        <v>1</v>
      </c>
      <c r="I220">
        <v>2</v>
      </c>
      <c r="J220">
        <v>0.12</v>
      </c>
      <c r="K220">
        <v>0.1212</v>
      </c>
      <c r="L220">
        <v>0.5</v>
      </c>
      <c r="M220">
        <v>0.28360000000000002</v>
      </c>
      <c r="N220">
        <v>4</v>
      </c>
      <c r="O220">
        <v>184</v>
      </c>
      <c r="P220">
        <v>188</v>
      </c>
      <c r="Q220">
        <v>0.1212</v>
      </c>
      <c r="R220">
        <v>0.5</v>
      </c>
      <c r="S220">
        <v>0.28360000000000002</v>
      </c>
      <c r="T220">
        <v>4</v>
      </c>
      <c r="U220">
        <v>184</v>
      </c>
      <c r="V220">
        <v>188</v>
      </c>
    </row>
    <row r="221" spans="1:22" x14ac:dyDescent="0.3">
      <c r="A221">
        <v>219</v>
      </c>
      <c r="B221">
        <v>40553</v>
      </c>
      <c r="C221">
        <v>1</v>
      </c>
      <c r="D221">
        <v>0</v>
      </c>
      <c r="E221">
        <v>1</v>
      </c>
      <c r="F221">
        <v>9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0.25369999999999998</v>
      </c>
      <c r="N221">
        <v>2</v>
      </c>
      <c r="O221">
        <v>92</v>
      </c>
      <c r="P221">
        <v>94</v>
      </c>
      <c r="Q221">
        <v>0.1212</v>
      </c>
      <c r="R221">
        <v>0.5</v>
      </c>
      <c r="S221">
        <v>0.25369999999999998</v>
      </c>
      <c r="T221">
        <v>2</v>
      </c>
      <c r="U221">
        <v>92</v>
      </c>
      <c r="V221">
        <v>94</v>
      </c>
    </row>
    <row r="222" spans="1:22" x14ac:dyDescent="0.3">
      <c r="A222">
        <v>220</v>
      </c>
      <c r="B222">
        <v>40553</v>
      </c>
      <c r="C222">
        <v>1</v>
      </c>
      <c r="D222">
        <v>0</v>
      </c>
      <c r="E222">
        <v>1</v>
      </c>
      <c r="F222">
        <v>10</v>
      </c>
      <c r="G222" t="b">
        <v>0</v>
      </c>
      <c r="H222">
        <v>1</v>
      </c>
      <c r="I222">
        <v>2</v>
      </c>
      <c r="J222">
        <v>0.14000000000000001</v>
      </c>
      <c r="K222">
        <v>0.1212</v>
      </c>
      <c r="L222">
        <v>0.5</v>
      </c>
      <c r="M222">
        <v>0.29849999999999999</v>
      </c>
      <c r="N222">
        <v>0</v>
      </c>
      <c r="O222">
        <v>31</v>
      </c>
      <c r="P222">
        <v>31</v>
      </c>
      <c r="Q222">
        <v>0.1212</v>
      </c>
      <c r="R222">
        <v>0.5</v>
      </c>
      <c r="S222">
        <v>0.29849999999999999</v>
      </c>
      <c r="T222">
        <v>0</v>
      </c>
      <c r="U222">
        <v>31</v>
      </c>
      <c r="V222">
        <v>31</v>
      </c>
    </row>
    <row r="223" spans="1:22" x14ac:dyDescent="0.3">
      <c r="A223">
        <v>221</v>
      </c>
      <c r="B223">
        <v>40553</v>
      </c>
      <c r="C223">
        <v>1</v>
      </c>
      <c r="D223">
        <v>0</v>
      </c>
      <c r="E223">
        <v>1</v>
      </c>
      <c r="F223">
        <v>11</v>
      </c>
      <c r="G223" t="b">
        <v>0</v>
      </c>
      <c r="H223">
        <v>1</v>
      </c>
      <c r="I223">
        <v>2</v>
      </c>
      <c r="J223">
        <v>0.16</v>
      </c>
      <c r="K223">
        <v>0.13639999999999999</v>
      </c>
      <c r="L223">
        <v>0.47</v>
      </c>
      <c r="M223">
        <v>0.28360000000000002</v>
      </c>
      <c r="N223">
        <v>2</v>
      </c>
      <c r="O223">
        <v>28</v>
      </c>
      <c r="P223">
        <v>30</v>
      </c>
      <c r="Q223">
        <v>0.13639999999999999</v>
      </c>
      <c r="R223">
        <v>0.47</v>
      </c>
      <c r="S223">
        <v>0.28360000000000002</v>
      </c>
      <c r="T223">
        <v>2</v>
      </c>
      <c r="U223">
        <v>28</v>
      </c>
      <c r="V223">
        <v>30</v>
      </c>
    </row>
    <row r="224" spans="1:22" x14ac:dyDescent="0.3">
      <c r="A224">
        <v>222</v>
      </c>
      <c r="B224">
        <v>40553</v>
      </c>
      <c r="C224">
        <v>1</v>
      </c>
      <c r="D224">
        <v>0</v>
      </c>
      <c r="E224">
        <v>1</v>
      </c>
      <c r="F224">
        <v>12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5</v>
      </c>
      <c r="O224">
        <v>47</v>
      </c>
      <c r="P224">
        <v>52</v>
      </c>
      <c r="Q224">
        <v>0.18179999999999999</v>
      </c>
      <c r="R224">
        <v>0.4</v>
      </c>
      <c r="S224">
        <v>0.28360000000000002</v>
      </c>
      <c r="T224">
        <v>5</v>
      </c>
      <c r="U224">
        <v>47</v>
      </c>
      <c r="V224">
        <v>52</v>
      </c>
    </row>
    <row r="225" spans="1:22" x14ac:dyDescent="0.3">
      <c r="A225">
        <v>223</v>
      </c>
      <c r="B225">
        <v>40553</v>
      </c>
      <c r="C225">
        <v>1</v>
      </c>
      <c r="D225">
        <v>0</v>
      </c>
      <c r="E225">
        <v>1</v>
      </c>
      <c r="F225">
        <v>13</v>
      </c>
      <c r="G225" t="b">
        <v>0</v>
      </c>
      <c r="H225">
        <v>1</v>
      </c>
      <c r="I225">
        <v>2</v>
      </c>
      <c r="J225">
        <v>0.2</v>
      </c>
      <c r="K225">
        <v>0.18179999999999999</v>
      </c>
      <c r="L225">
        <v>0.4</v>
      </c>
      <c r="M225">
        <v>0.28360000000000002</v>
      </c>
      <c r="N225">
        <v>4</v>
      </c>
      <c r="O225">
        <v>50</v>
      </c>
      <c r="P225">
        <v>54</v>
      </c>
      <c r="Q225">
        <v>0.18179999999999999</v>
      </c>
      <c r="R225">
        <v>0.4</v>
      </c>
      <c r="S225">
        <v>0.28360000000000002</v>
      </c>
      <c r="T225">
        <v>4</v>
      </c>
      <c r="U225">
        <v>50</v>
      </c>
      <c r="V225">
        <v>54</v>
      </c>
    </row>
    <row r="226" spans="1:22" x14ac:dyDescent="0.3">
      <c r="A226">
        <v>224</v>
      </c>
      <c r="B226">
        <v>40553</v>
      </c>
      <c r="C226">
        <v>1</v>
      </c>
      <c r="D226">
        <v>0</v>
      </c>
      <c r="E226">
        <v>1</v>
      </c>
      <c r="F226">
        <v>14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0</v>
      </c>
      <c r="O226">
        <v>47</v>
      </c>
      <c r="P226">
        <v>47</v>
      </c>
      <c r="Q226">
        <v>0.19700000000000001</v>
      </c>
      <c r="R226">
        <v>0.4</v>
      </c>
      <c r="S226">
        <v>0.22389999999999999</v>
      </c>
      <c r="T226">
        <v>0</v>
      </c>
      <c r="U226">
        <v>47</v>
      </c>
      <c r="V226">
        <v>47</v>
      </c>
    </row>
    <row r="227" spans="1:22" x14ac:dyDescent="0.3">
      <c r="A227">
        <v>225</v>
      </c>
      <c r="B227">
        <v>40553</v>
      </c>
      <c r="C227">
        <v>1</v>
      </c>
      <c r="D227">
        <v>0</v>
      </c>
      <c r="E227">
        <v>1</v>
      </c>
      <c r="F227">
        <v>15</v>
      </c>
      <c r="G227" t="b">
        <v>0</v>
      </c>
      <c r="H227">
        <v>1</v>
      </c>
      <c r="I227">
        <v>2</v>
      </c>
      <c r="J227">
        <v>0.2</v>
      </c>
      <c r="K227">
        <v>0.19700000000000001</v>
      </c>
      <c r="L227">
        <v>0.4</v>
      </c>
      <c r="M227">
        <v>0.22389999999999999</v>
      </c>
      <c r="N227">
        <v>2</v>
      </c>
      <c r="O227">
        <v>43</v>
      </c>
      <c r="P227">
        <v>45</v>
      </c>
      <c r="Q227">
        <v>0.19700000000000001</v>
      </c>
      <c r="R227">
        <v>0.4</v>
      </c>
      <c r="S227">
        <v>0.22389999999999999</v>
      </c>
      <c r="T227">
        <v>2</v>
      </c>
      <c r="U227">
        <v>43</v>
      </c>
      <c r="V227">
        <v>45</v>
      </c>
    </row>
    <row r="228" spans="1:22" x14ac:dyDescent="0.3">
      <c r="A228">
        <v>226</v>
      </c>
      <c r="B228">
        <v>40553</v>
      </c>
      <c r="C228">
        <v>1</v>
      </c>
      <c r="D228">
        <v>0</v>
      </c>
      <c r="E228">
        <v>1</v>
      </c>
      <c r="F228">
        <v>16</v>
      </c>
      <c r="G228" t="b">
        <v>0</v>
      </c>
      <c r="H228">
        <v>1</v>
      </c>
      <c r="I228">
        <v>1</v>
      </c>
      <c r="J228">
        <v>0.2</v>
      </c>
      <c r="K228">
        <v>0.21210000000000001</v>
      </c>
      <c r="L228">
        <v>0.4</v>
      </c>
      <c r="M228">
        <v>0.1343</v>
      </c>
      <c r="N228">
        <v>4</v>
      </c>
      <c r="O228">
        <v>70</v>
      </c>
      <c r="P228">
        <v>74</v>
      </c>
      <c r="Q228">
        <v>0.21210000000000001</v>
      </c>
      <c r="R228">
        <v>0.4</v>
      </c>
      <c r="S228">
        <v>0.1343</v>
      </c>
      <c r="T228">
        <v>4</v>
      </c>
      <c r="U228">
        <v>70</v>
      </c>
      <c r="V228">
        <v>74</v>
      </c>
    </row>
    <row r="229" spans="1:22" x14ac:dyDescent="0.3">
      <c r="A229">
        <v>227</v>
      </c>
      <c r="B229">
        <v>40553</v>
      </c>
      <c r="C229">
        <v>1</v>
      </c>
      <c r="D229">
        <v>0</v>
      </c>
      <c r="E229">
        <v>1</v>
      </c>
      <c r="F229">
        <v>17</v>
      </c>
      <c r="G229" t="b">
        <v>0</v>
      </c>
      <c r="H229">
        <v>1</v>
      </c>
      <c r="I229">
        <v>1</v>
      </c>
      <c r="J229">
        <v>0.2</v>
      </c>
      <c r="K229">
        <v>0.2273</v>
      </c>
      <c r="L229">
        <v>0.4</v>
      </c>
      <c r="M229">
        <v>0.1045</v>
      </c>
      <c r="N229">
        <v>4</v>
      </c>
      <c r="O229">
        <v>174</v>
      </c>
      <c r="P229">
        <v>178</v>
      </c>
      <c r="Q229">
        <v>0.2273</v>
      </c>
      <c r="R229">
        <v>0.4</v>
      </c>
      <c r="S229">
        <v>0.1045</v>
      </c>
      <c r="T229">
        <v>4</v>
      </c>
      <c r="U229">
        <v>174</v>
      </c>
      <c r="V229">
        <v>178</v>
      </c>
    </row>
    <row r="230" spans="1:22" x14ac:dyDescent="0.3">
      <c r="A230">
        <v>228</v>
      </c>
      <c r="B230">
        <v>40553</v>
      </c>
      <c r="C230">
        <v>1</v>
      </c>
      <c r="D230">
        <v>0</v>
      </c>
      <c r="E230">
        <v>1</v>
      </c>
      <c r="F230">
        <v>18</v>
      </c>
      <c r="G230" t="b">
        <v>0</v>
      </c>
      <c r="H230">
        <v>1</v>
      </c>
      <c r="I230">
        <v>1</v>
      </c>
      <c r="J230">
        <v>0.2</v>
      </c>
      <c r="K230">
        <v>0.19700000000000001</v>
      </c>
      <c r="L230">
        <v>0.4</v>
      </c>
      <c r="M230">
        <v>0.22389999999999999</v>
      </c>
      <c r="N230">
        <v>1</v>
      </c>
      <c r="O230">
        <v>154</v>
      </c>
      <c r="P230">
        <v>155</v>
      </c>
      <c r="Q230">
        <v>0.19700000000000001</v>
      </c>
      <c r="R230">
        <v>0.4</v>
      </c>
      <c r="S230">
        <v>0.22389999999999999</v>
      </c>
      <c r="T230">
        <v>1</v>
      </c>
      <c r="U230">
        <v>154</v>
      </c>
      <c r="V230">
        <v>155</v>
      </c>
    </row>
    <row r="231" spans="1:22" x14ac:dyDescent="0.3">
      <c r="A231">
        <v>229</v>
      </c>
      <c r="B231">
        <v>40553</v>
      </c>
      <c r="C231">
        <v>1</v>
      </c>
      <c r="D231">
        <v>0</v>
      </c>
      <c r="E231">
        <v>1</v>
      </c>
      <c r="F231">
        <v>19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0.47</v>
      </c>
      <c r="M231">
        <v>0.16420000000000001</v>
      </c>
      <c r="N231">
        <v>3</v>
      </c>
      <c r="O231">
        <v>92</v>
      </c>
      <c r="P231">
        <v>95</v>
      </c>
      <c r="Q231">
        <v>0.16669999999999999</v>
      </c>
      <c r="R231">
        <v>0.47</v>
      </c>
      <c r="S231">
        <v>0.16420000000000001</v>
      </c>
      <c r="T231">
        <v>3</v>
      </c>
      <c r="U231">
        <v>92</v>
      </c>
      <c r="V231">
        <v>95</v>
      </c>
    </row>
    <row r="232" spans="1:22" x14ac:dyDescent="0.3">
      <c r="A232">
        <v>230</v>
      </c>
      <c r="B232">
        <v>40553</v>
      </c>
      <c r="C232">
        <v>1</v>
      </c>
      <c r="D232">
        <v>0</v>
      </c>
      <c r="E232">
        <v>1</v>
      </c>
      <c r="F232">
        <v>20</v>
      </c>
      <c r="G232" t="b">
        <v>0</v>
      </c>
      <c r="H232">
        <v>1</v>
      </c>
      <c r="I232">
        <v>1</v>
      </c>
      <c r="J232">
        <v>0.16</v>
      </c>
      <c r="K232">
        <v>0.16669999999999999</v>
      </c>
      <c r="L232">
        <v>0.5</v>
      </c>
      <c r="M232">
        <v>0.16420000000000001</v>
      </c>
      <c r="N232">
        <v>1</v>
      </c>
      <c r="O232">
        <v>73</v>
      </c>
      <c r="P232">
        <v>74</v>
      </c>
      <c r="Q232">
        <v>0.16669999999999999</v>
      </c>
      <c r="R232">
        <v>0.5</v>
      </c>
      <c r="S232">
        <v>0.16420000000000001</v>
      </c>
      <c r="T232">
        <v>1</v>
      </c>
      <c r="U232">
        <v>73</v>
      </c>
      <c r="V232">
        <v>74</v>
      </c>
    </row>
    <row r="233" spans="1:22" x14ac:dyDescent="0.3">
      <c r="A233">
        <v>231</v>
      </c>
      <c r="B233">
        <v>40553</v>
      </c>
      <c r="C233">
        <v>1</v>
      </c>
      <c r="D233">
        <v>0</v>
      </c>
      <c r="E233">
        <v>1</v>
      </c>
      <c r="F233">
        <v>21</v>
      </c>
      <c r="G233" t="b">
        <v>0</v>
      </c>
      <c r="H233">
        <v>1</v>
      </c>
      <c r="I233">
        <v>1</v>
      </c>
      <c r="J233">
        <v>0.14000000000000001</v>
      </c>
      <c r="K233">
        <v>0.13639999999999999</v>
      </c>
      <c r="L233">
        <v>0.59</v>
      </c>
      <c r="M233">
        <v>0.19400000000000001</v>
      </c>
      <c r="N233">
        <v>1</v>
      </c>
      <c r="O233">
        <v>37</v>
      </c>
      <c r="P233">
        <v>38</v>
      </c>
      <c r="Q233">
        <v>0.13639999999999999</v>
      </c>
      <c r="R233">
        <v>0.59</v>
      </c>
      <c r="S233">
        <v>0.19400000000000001</v>
      </c>
      <c r="T233">
        <v>1</v>
      </c>
      <c r="U233">
        <v>37</v>
      </c>
      <c r="V233">
        <v>38</v>
      </c>
    </row>
    <row r="234" spans="1:22" x14ac:dyDescent="0.3">
      <c r="A234">
        <v>232</v>
      </c>
      <c r="B234">
        <v>40553</v>
      </c>
      <c r="C234">
        <v>1</v>
      </c>
      <c r="D234">
        <v>0</v>
      </c>
      <c r="E234">
        <v>1</v>
      </c>
      <c r="F234">
        <v>22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2</v>
      </c>
      <c r="O234">
        <v>22</v>
      </c>
      <c r="P234">
        <v>24</v>
      </c>
      <c r="Q234">
        <v>0.1515</v>
      </c>
      <c r="R234">
        <v>0.59</v>
      </c>
      <c r="S234">
        <v>0.16420000000000001</v>
      </c>
      <c r="T234">
        <v>2</v>
      </c>
      <c r="U234">
        <v>22</v>
      </c>
      <c r="V234">
        <v>24</v>
      </c>
    </row>
    <row r="235" spans="1:22" x14ac:dyDescent="0.3">
      <c r="A235">
        <v>233</v>
      </c>
      <c r="B235">
        <v>40553</v>
      </c>
      <c r="C235">
        <v>1</v>
      </c>
      <c r="D235">
        <v>0</v>
      </c>
      <c r="E235">
        <v>1</v>
      </c>
      <c r="F235">
        <v>23</v>
      </c>
      <c r="G235" t="b">
        <v>0</v>
      </c>
      <c r="H235">
        <v>1</v>
      </c>
      <c r="I235">
        <v>1</v>
      </c>
      <c r="J235">
        <v>0.14000000000000001</v>
      </c>
      <c r="K235">
        <v>0.1515</v>
      </c>
      <c r="L235">
        <v>0.59</v>
      </c>
      <c r="M235">
        <v>0.16420000000000001</v>
      </c>
      <c r="N235">
        <v>0</v>
      </c>
      <c r="O235">
        <v>18</v>
      </c>
      <c r="P235">
        <v>18</v>
      </c>
      <c r="Q235">
        <v>0.1515</v>
      </c>
      <c r="R235">
        <v>0.59</v>
      </c>
      <c r="S235">
        <v>0.16420000000000001</v>
      </c>
      <c r="T235">
        <v>0</v>
      </c>
      <c r="U235">
        <v>18</v>
      </c>
      <c r="V235">
        <v>18</v>
      </c>
    </row>
    <row r="236" spans="1:22" x14ac:dyDescent="0.3">
      <c r="A236">
        <v>234</v>
      </c>
      <c r="B236">
        <v>40554</v>
      </c>
      <c r="C236">
        <v>1</v>
      </c>
      <c r="D236">
        <v>0</v>
      </c>
      <c r="E236">
        <v>1</v>
      </c>
      <c r="F236">
        <v>0</v>
      </c>
      <c r="G236" t="b">
        <v>0</v>
      </c>
      <c r="H236">
        <v>2</v>
      </c>
      <c r="I236">
        <v>1</v>
      </c>
      <c r="J236">
        <v>0.14000000000000001</v>
      </c>
      <c r="K236">
        <v>0.16669999999999999</v>
      </c>
      <c r="L236">
        <v>0.59</v>
      </c>
      <c r="M236">
        <v>0.1045</v>
      </c>
      <c r="N236">
        <v>2</v>
      </c>
      <c r="O236">
        <v>10</v>
      </c>
      <c r="P236">
        <v>12</v>
      </c>
      <c r="Q236">
        <v>0.16669999999999999</v>
      </c>
      <c r="R236">
        <v>0.59</v>
      </c>
      <c r="S236">
        <v>0.1045</v>
      </c>
      <c r="T236">
        <v>2</v>
      </c>
      <c r="U236">
        <v>10</v>
      </c>
      <c r="V236">
        <v>12</v>
      </c>
    </row>
    <row r="237" spans="1:22" x14ac:dyDescent="0.3">
      <c r="A237">
        <v>235</v>
      </c>
      <c r="B237">
        <v>40554</v>
      </c>
      <c r="C237">
        <v>1</v>
      </c>
      <c r="D237">
        <v>0</v>
      </c>
      <c r="E237">
        <v>1</v>
      </c>
      <c r="F237">
        <v>1</v>
      </c>
      <c r="G237" t="b">
        <v>0</v>
      </c>
      <c r="H237">
        <v>2</v>
      </c>
      <c r="I237">
        <v>1</v>
      </c>
      <c r="J237">
        <v>0.14000000000000001</v>
      </c>
      <c r="K237">
        <v>0.1515</v>
      </c>
      <c r="L237">
        <v>0.59</v>
      </c>
      <c r="M237">
        <v>0.16420000000000001</v>
      </c>
      <c r="N237">
        <v>0</v>
      </c>
      <c r="O237">
        <v>3</v>
      </c>
      <c r="P237">
        <v>3</v>
      </c>
      <c r="Q237">
        <v>0.1515</v>
      </c>
      <c r="R237">
        <v>0.59</v>
      </c>
      <c r="S237">
        <v>0.16420000000000001</v>
      </c>
      <c r="T237">
        <v>0</v>
      </c>
      <c r="U237">
        <v>3</v>
      </c>
      <c r="V237">
        <v>3</v>
      </c>
    </row>
    <row r="238" spans="1:22" x14ac:dyDescent="0.3">
      <c r="A238">
        <v>236</v>
      </c>
      <c r="B238">
        <v>40554</v>
      </c>
      <c r="C238">
        <v>1</v>
      </c>
      <c r="D238">
        <v>0</v>
      </c>
      <c r="E238">
        <v>1</v>
      </c>
      <c r="F238">
        <v>2</v>
      </c>
      <c r="G238" t="b">
        <v>0</v>
      </c>
      <c r="H238">
        <v>2</v>
      </c>
      <c r="I238">
        <v>2</v>
      </c>
      <c r="J238">
        <v>0.16</v>
      </c>
      <c r="K238">
        <v>0.1515</v>
      </c>
      <c r="L238">
        <v>0.55000000000000004</v>
      </c>
      <c r="M238">
        <v>0.19400000000000001</v>
      </c>
      <c r="N238">
        <v>0</v>
      </c>
      <c r="O238">
        <v>3</v>
      </c>
      <c r="P238">
        <v>3</v>
      </c>
      <c r="Q238">
        <v>0.1515</v>
      </c>
      <c r="R238">
        <v>0.55000000000000004</v>
      </c>
      <c r="S238">
        <v>0.19400000000000001</v>
      </c>
      <c r="T238">
        <v>0</v>
      </c>
      <c r="U238">
        <v>3</v>
      </c>
      <c r="V238">
        <v>3</v>
      </c>
    </row>
    <row r="239" spans="1:22" x14ac:dyDescent="0.3">
      <c r="A239">
        <v>237</v>
      </c>
      <c r="B239">
        <v>40554</v>
      </c>
      <c r="C239">
        <v>1</v>
      </c>
      <c r="D239">
        <v>0</v>
      </c>
      <c r="E239">
        <v>1</v>
      </c>
      <c r="F239">
        <v>5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6</v>
      </c>
      <c r="P239">
        <v>6</v>
      </c>
      <c r="Q239">
        <v>0.18179999999999999</v>
      </c>
      <c r="R239">
        <v>0.55000000000000004</v>
      </c>
      <c r="S239">
        <v>0.1343</v>
      </c>
      <c r="T239">
        <v>0</v>
      </c>
      <c r="U239">
        <v>6</v>
      </c>
      <c r="V239">
        <v>6</v>
      </c>
    </row>
    <row r="240" spans="1:22" x14ac:dyDescent="0.3">
      <c r="A240">
        <v>238</v>
      </c>
      <c r="B240">
        <v>40554</v>
      </c>
      <c r="C240">
        <v>1</v>
      </c>
      <c r="D240">
        <v>0</v>
      </c>
      <c r="E240">
        <v>1</v>
      </c>
      <c r="F240">
        <v>6</v>
      </c>
      <c r="G240" t="b">
        <v>0</v>
      </c>
      <c r="H240">
        <v>2</v>
      </c>
      <c r="I240">
        <v>2</v>
      </c>
      <c r="J240">
        <v>0.16</v>
      </c>
      <c r="K240">
        <v>0.18179999999999999</v>
      </c>
      <c r="L240">
        <v>0.55000000000000004</v>
      </c>
      <c r="M240">
        <v>0.1343</v>
      </c>
      <c r="N240">
        <v>0</v>
      </c>
      <c r="O240">
        <v>27</v>
      </c>
      <c r="P240">
        <v>27</v>
      </c>
      <c r="Q240">
        <v>0.18179999999999999</v>
      </c>
      <c r="R240">
        <v>0.55000000000000004</v>
      </c>
      <c r="S240">
        <v>0.1343</v>
      </c>
      <c r="T240">
        <v>0</v>
      </c>
      <c r="U240">
        <v>27</v>
      </c>
      <c r="V240">
        <v>27</v>
      </c>
    </row>
    <row r="241" spans="1:22" x14ac:dyDescent="0.3">
      <c r="A241">
        <v>239</v>
      </c>
      <c r="B241">
        <v>40554</v>
      </c>
      <c r="C241">
        <v>1</v>
      </c>
      <c r="D241">
        <v>0</v>
      </c>
      <c r="E241">
        <v>1</v>
      </c>
      <c r="F241">
        <v>7</v>
      </c>
      <c r="G241" t="b">
        <v>0</v>
      </c>
      <c r="H241">
        <v>2</v>
      </c>
      <c r="I241">
        <v>2</v>
      </c>
      <c r="J241">
        <v>0.16</v>
      </c>
      <c r="K241">
        <v>0.2273</v>
      </c>
      <c r="L241">
        <v>0.55000000000000004</v>
      </c>
      <c r="M241">
        <v>0</v>
      </c>
      <c r="N241">
        <v>2</v>
      </c>
      <c r="O241">
        <v>97</v>
      </c>
      <c r="P241">
        <v>99</v>
      </c>
      <c r="Q241">
        <v>0.2273</v>
      </c>
      <c r="R241">
        <v>0.55000000000000004</v>
      </c>
      <c r="S241">
        <v>0</v>
      </c>
      <c r="T241">
        <v>2</v>
      </c>
      <c r="U241">
        <v>97</v>
      </c>
      <c r="V241">
        <v>99</v>
      </c>
    </row>
    <row r="242" spans="1:22" x14ac:dyDescent="0.3">
      <c r="A242">
        <v>240</v>
      </c>
      <c r="B242">
        <v>40554</v>
      </c>
      <c r="C242">
        <v>1</v>
      </c>
      <c r="D242">
        <v>0</v>
      </c>
      <c r="E242">
        <v>1</v>
      </c>
      <c r="F242">
        <v>8</v>
      </c>
      <c r="G242" t="b">
        <v>0</v>
      </c>
      <c r="H242">
        <v>2</v>
      </c>
      <c r="I242">
        <v>2</v>
      </c>
      <c r="J242">
        <v>0.18</v>
      </c>
      <c r="K242">
        <v>0.21210000000000001</v>
      </c>
      <c r="L242">
        <v>0.51</v>
      </c>
      <c r="M242">
        <v>8.9599999999999999E-2</v>
      </c>
      <c r="N242">
        <v>3</v>
      </c>
      <c r="O242">
        <v>214</v>
      </c>
      <c r="P242">
        <v>217</v>
      </c>
      <c r="Q242">
        <v>0.21210000000000001</v>
      </c>
      <c r="R242">
        <v>0.51</v>
      </c>
      <c r="S242">
        <v>8.9599999999999999E-2</v>
      </c>
      <c r="T242">
        <v>3</v>
      </c>
      <c r="U242">
        <v>214</v>
      </c>
      <c r="V242">
        <v>217</v>
      </c>
    </row>
    <row r="243" spans="1:22" x14ac:dyDescent="0.3">
      <c r="A243">
        <v>241</v>
      </c>
      <c r="B243">
        <v>40554</v>
      </c>
      <c r="C243">
        <v>1</v>
      </c>
      <c r="D243">
        <v>0</v>
      </c>
      <c r="E243">
        <v>1</v>
      </c>
      <c r="F243">
        <v>9</v>
      </c>
      <c r="G243" t="b">
        <v>0</v>
      </c>
      <c r="H243">
        <v>2</v>
      </c>
      <c r="I243">
        <v>2</v>
      </c>
      <c r="J243">
        <v>0.18</v>
      </c>
      <c r="K243">
        <v>0.19700000000000001</v>
      </c>
      <c r="L243">
        <v>0.51</v>
      </c>
      <c r="M243">
        <v>0.16420000000000001</v>
      </c>
      <c r="N243">
        <v>3</v>
      </c>
      <c r="O243">
        <v>127</v>
      </c>
      <c r="P243">
        <v>130</v>
      </c>
      <c r="Q243">
        <v>0.19700000000000001</v>
      </c>
      <c r="R243">
        <v>0.51</v>
      </c>
      <c r="S243">
        <v>0.16420000000000001</v>
      </c>
      <c r="T243">
        <v>3</v>
      </c>
      <c r="U243">
        <v>127</v>
      </c>
      <c r="V243">
        <v>130</v>
      </c>
    </row>
    <row r="244" spans="1:22" x14ac:dyDescent="0.3">
      <c r="A244">
        <v>242</v>
      </c>
      <c r="B244">
        <v>40554</v>
      </c>
      <c r="C244">
        <v>1</v>
      </c>
      <c r="D244">
        <v>0</v>
      </c>
      <c r="E244">
        <v>1</v>
      </c>
      <c r="F244">
        <v>10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0.51</v>
      </c>
      <c r="M244">
        <v>0.16420000000000001</v>
      </c>
      <c r="N244">
        <v>3</v>
      </c>
      <c r="O244">
        <v>51</v>
      </c>
      <c r="P244">
        <v>54</v>
      </c>
      <c r="Q244">
        <v>0.21210000000000001</v>
      </c>
      <c r="R244">
        <v>0.51</v>
      </c>
      <c r="S244">
        <v>0.16420000000000001</v>
      </c>
      <c r="T244">
        <v>3</v>
      </c>
      <c r="U244">
        <v>51</v>
      </c>
      <c r="V244">
        <v>54</v>
      </c>
    </row>
    <row r="245" spans="1:22" x14ac:dyDescent="0.3">
      <c r="A245">
        <v>243</v>
      </c>
      <c r="B245">
        <v>40554</v>
      </c>
      <c r="C245">
        <v>1</v>
      </c>
      <c r="D245">
        <v>0</v>
      </c>
      <c r="E245">
        <v>1</v>
      </c>
      <c r="F245">
        <v>11</v>
      </c>
      <c r="G245" t="b">
        <v>0</v>
      </c>
      <c r="H245">
        <v>2</v>
      </c>
      <c r="I245">
        <v>2</v>
      </c>
      <c r="J245">
        <v>0.2</v>
      </c>
      <c r="K245">
        <v>0.21210000000000001</v>
      </c>
      <c r="L245">
        <v>0.47</v>
      </c>
      <c r="M245">
        <v>0.1343</v>
      </c>
      <c r="N245">
        <v>4</v>
      </c>
      <c r="O245">
        <v>31</v>
      </c>
      <c r="P245">
        <v>35</v>
      </c>
      <c r="Q245">
        <v>0.21210000000000001</v>
      </c>
      <c r="R245">
        <v>0.47</v>
      </c>
      <c r="S245">
        <v>0.1343</v>
      </c>
      <c r="T245">
        <v>4</v>
      </c>
      <c r="U245">
        <v>31</v>
      </c>
      <c r="V245">
        <v>35</v>
      </c>
    </row>
    <row r="246" spans="1:22" x14ac:dyDescent="0.3">
      <c r="A246">
        <v>244</v>
      </c>
      <c r="B246">
        <v>40554</v>
      </c>
      <c r="C246">
        <v>1</v>
      </c>
      <c r="D246">
        <v>0</v>
      </c>
      <c r="E246">
        <v>1</v>
      </c>
      <c r="F246">
        <v>12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0.51</v>
      </c>
      <c r="M246">
        <v>0.1045</v>
      </c>
      <c r="N246">
        <v>2</v>
      </c>
      <c r="O246">
        <v>55</v>
      </c>
      <c r="P246">
        <v>57</v>
      </c>
      <c r="Q246">
        <v>0.2273</v>
      </c>
      <c r="R246">
        <v>0.51</v>
      </c>
      <c r="S246">
        <v>0.1045</v>
      </c>
      <c r="T246">
        <v>2</v>
      </c>
      <c r="U246">
        <v>55</v>
      </c>
      <c r="V246">
        <v>57</v>
      </c>
    </row>
    <row r="247" spans="1:22" x14ac:dyDescent="0.3">
      <c r="A247">
        <v>245</v>
      </c>
      <c r="B247">
        <v>40554</v>
      </c>
      <c r="C247">
        <v>1</v>
      </c>
      <c r="D247">
        <v>0</v>
      </c>
      <c r="E247">
        <v>1</v>
      </c>
      <c r="F247">
        <v>13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6</v>
      </c>
      <c r="O247">
        <v>46</v>
      </c>
      <c r="P247">
        <v>52</v>
      </c>
      <c r="Q247">
        <v>0.2273</v>
      </c>
      <c r="R247">
        <v>0.59</v>
      </c>
      <c r="S247">
        <v>8.9599999999999999E-2</v>
      </c>
      <c r="T247">
        <v>6</v>
      </c>
      <c r="U247">
        <v>46</v>
      </c>
      <c r="V247">
        <v>52</v>
      </c>
    </row>
    <row r="248" spans="1:22" x14ac:dyDescent="0.3">
      <c r="A248">
        <v>246</v>
      </c>
      <c r="B248">
        <v>40554</v>
      </c>
      <c r="C248">
        <v>1</v>
      </c>
      <c r="D248">
        <v>0</v>
      </c>
      <c r="E248">
        <v>1</v>
      </c>
      <c r="F248">
        <v>14</v>
      </c>
      <c r="G248" t="b">
        <v>0</v>
      </c>
      <c r="H248">
        <v>2</v>
      </c>
      <c r="I248">
        <v>2</v>
      </c>
      <c r="J248">
        <v>0.2</v>
      </c>
      <c r="K248">
        <v>0.2273</v>
      </c>
      <c r="L248">
        <v>0.59</v>
      </c>
      <c r="M248">
        <v>8.9599999999999999E-2</v>
      </c>
      <c r="N248">
        <v>3</v>
      </c>
      <c r="O248">
        <v>60</v>
      </c>
      <c r="P248">
        <v>63</v>
      </c>
      <c r="Q248">
        <v>0.2273</v>
      </c>
      <c r="R248">
        <v>0.59</v>
      </c>
      <c r="S248">
        <v>8.9599999999999999E-2</v>
      </c>
      <c r="T248">
        <v>3</v>
      </c>
      <c r="U248">
        <v>60</v>
      </c>
      <c r="V248">
        <v>63</v>
      </c>
    </row>
    <row r="249" spans="1:22" x14ac:dyDescent="0.3">
      <c r="A249">
        <v>247</v>
      </c>
      <c r="B249">
        <v>40554</v>
      </c>
      <c r="C249">
        <v>1</v>
      </c>
      <c r="D249">
        <v>0</v>
      </c>
      <c r="E249">
        <v>1</v>
      </c>
      <c r="F249">
        <v>15</v>
      </c>
      <c r="G249" t="b">
        <v>0</v>
      </c>
      <c r="H249">
        <v>2</v>
      </c>
      <c r="I249">
        <v>2</v>
      </c>
      <c r="J249">
        <v>0.16</v>
      </c>
      <c r="K249">
        <v>0.19700000000000001</v>
      </c>
      <c r="L249">
        <v>0.8</v>
      </c>
      <c r="M249">
        <v>8.9599999999999999E-2</v>
      </c>
      <c r="N249">
        <v>2</v>
      </c>
      <c r="O249">
        <v>45</v>
      </c>
      <c r="P249">
        <v>47</v>
      </c>
      <c r="Q249">
        <v>0.19700000000000001</v>
      </c>
      <c r="R249">
        <v>0.8</v>
      </c>
      <c r="S249">
        <v>8.9599999999999999E-2</v>
      </c>
      <c r="T249">
        <v>2</v>
      </c>
      <c r="U249">
        <v>45</v>
      </c>
      <c r="V249">
        <v>47</v>
      </c>
    </row>
    <row r="250" spans="1:22" x14ac:dyDescent="0.3">
      <c r="A250">
        <v>248</v>
      </c>
      <c r="B250">
        <v>40554</v>
      </c>
      <c r="C250">
        <v>1</v>
      </c>
      <c r="D250">
        <v>0</v>
      </c>
      <c r="E250">
        <v>1</v>
      </c>
      <c r="F250">
        <v>16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4</v>
      </c>
      <c r="O250">
        <v>72</v>
      </c>
      <c r="P250">
        <v>76</v>
      </c>
      <c r="Q250">
        <v>0.1515</v>
      </c>
      <c r="R250">
        <v>0.86</v>
      </c>
      <c r="S250">
        <v>0.22389999999999999</v>
      </c>
      <c r="T250">
        <v>4</v>
      </c>
      <c r="U250">
        <v>72</v>
      </c>
      <c r="V250">
        <v>76</v>
      </c>
    </row>
    <row r="251" spans="1:22" x14ac:dyDescent="0.3">
      <c r="A251">
        <v>249</v>
      </c>
      <c r="B251">
        <v>40554</v>
      </c>
      <c r="C251">
        <v>1</v>
      </c>
      <c r="D251">
        <v>0</v>
      </c>
      <c r="E251">
        <v>1</v>
      </c>
      <c r="F251">
        <v>17</v>
      </c>
      <c r="G251" t="b">
        <v>0</v>
      </c>
      <c r="H251">
        <v>2</v>
      </c>
      <c r="I251">
        <v>2</v>
      </c>
      <c r="J251">
        <v>0.16</v>
      </c>
      <c r="K251">
        <v>0.1515</v>
      </c>
      <c r="L251">
        <v>0.86</v>
      </c>
      <c r="M251">
        <v>0.22389999999999999</v>
      </c>
      <c r="N251">
        <v>6</v>
      </c>
      <c r="O251">
        <v>130</v>
      </c>
      <c r="P251">
        <v>136</v>
      </c>
      <c r="Q251">
        <v>0.1515</v>
      </c>
      <c r="R251">
        <v>0.86</v>
      </c>
      <c r="S251">
        <v>0.22389999999999999</v>
      </c>
      <c r="T251">
        <v>6</v>
      </c>
      <c r="U251">
        <v>130</v>
      </c>
      <c r="V251">
        <v>136</v>
      </c>
    </row>
    <row r="252" spans="1:22" x14ac:dyDescent="0.3">
      <c r="A252">
        <v>250</v>
      </c>
      <c r="B252">
        <v>40554</v>
      </c>
      <c r="C252">
        <v>1</v>
      </c>
      <c r="D252">
        <v>0</v>
      </c>
      <c r="E252">
        <v>1</v>
      </c>
      <c r="F252">
        <v>18</v>
      </c>
      <c r="G252" t="b">
        <v>0</v>
      </c>
      <c r="H252">
        <v>2</v>
      </c>
      <c r="I252">
        <v>3</v>
      </c>
      <c r="J252">
        <v>0.16</v>
      </c>
      <c r="K252">
        <v>0.18179999999999999</v>
      </c>
      <c r="L252">
        <v>0.93</v>
      </c>
      <c r="M252">
        <v>0.1045</v>
      </c>
      <c r="N252">
        <v>1</v>
      </c>
      <c r="O252">
        <v>94</v>
      </c>
      <c r="P252">
        <v>95</v>
      </c>
      <c r="Q252">
        <v>0.18179999999999999</v>
      </c>
      <c r="R252">
        <v>0.93</v>
      </c>
      <c r="S252">
        <v>0.1045</v>
      </c>
      <c r="T252">
        <v>1</v>
      </c>
      <c r="U252">
        <v>94</v>
      </c>
      <c r="V252">
        <v>95</v>
      </c>
    </row>
    <row r="253" spans="1:22" x14ac:dyDescent="0.3">
      <c r="A253">
        <v>251</v>
      </c>
      <c r="B253">
        <v>40554</v>
      </c>
      <c r="C253">
        <v>1</v>
      </c>
      <c r="D253">
        <v>0</v>
      </c>
      <c r="E253">
        <v>1</v>
      </c>
      <c r="F253">
        <v>19</v>
      </c>
      <c r="G253" t="b">
        <v>0</v>
      </c>
      <c r="H253">
        <v>2</v>
      </c>
      <c r="I253">
        <v>3</v>
      </c>
      <c r="J253">
        <v>0.16</v>
      </c>
      <c r="K253">
        <v>0.2273</v>
      </c>
      <c r="L253">
        <v>0.93</v>
      </c>
      <c r="M253">
        <v>0</v>
      </c>
      <c r="N253">
        <v>0</v>
      </c>
      <c r="O253">
        <v>51</v>
      </c>
      <c r="P253">
        <v>51</v>
      </c>
      <c r="Q253">
        <v>0.2273</v>
      </c>
      <c r="R253">
        <v>0.93</v>
      </c>
      <c r="S253">
        <v>0</v>
      </c>
      <c r="T253">
        <v>0</v>
      </c>
      <c r="U253">
        <v>51</v>
      </c>
      <c r="V253">
        <v>51</v>
      </c>
    </row>
    <row r="254" spans="1:22" x14ac:dyDescent="0.3">
      <c r="A254">
        <v>252</v>
      </c>
      <c r="B254">
        <v>40554</v>
      </c>
      <c r="C254">
        <v>1</v>
      </c>
      <c r="D254">
        <v>0</v>
      </c>
      <c r="E254">
        <v>1</v>
      </c>
      <c r="F254">
        <v>20</v>
      </c>
      <c r="G254" t="b">
        <v>0</v>
      </c>
      <c r="H254">
        <v>2</v>
      </c>
      <c r="I254">
        <v>3</v>
      </c>
      <c r="J254">
        <v>0.16</v>
      </c>
      <c r="K254">
        <v>0.1515</v>
      </c>
      <c r="L254">
        <v>0.93</v>
      </c>
      <c r="M254">
        <v>0.19400000000000001</v>
      </c>
      <c r="N254">
        <v>0</v>
      </c>
      <c r="O254">
        <v>32</v>
      </c>
      <c r="P254">
        <v>32</v>
      </c>
      <c r="Q254">
        <v>0.1515</v>
      </c>
      <c r="R254">
        <v>0.93</v>
      </c>
      <c r="S254">
        <v>0.19400000000000001</v>
      </c>
      <c r="T254">
        <v>0</v>
      </c>
      <c r="U254">
        <v>32</v>
      </c>
      <c r="V254">
        <v>32</v>
      </c>
    </row>
    <row r="255" spans="1:22" x14ac:dyDescent="0.3">
      <c r="A255">
        <v>253</v>
      </c>
      <c r="B255">
        <v>40554</v>
      </c>
      <c r="C255">
        <v>1</v>
      </c>
      <c r="D255">
        <v>0</v>
      </c>
      <c r="E255">
        <v>1</v>
      </c>
      <c r="F255">
        <v>21</v>
      </c>
      <c r="G255" t="b">
        <v>0</v>
      </c>
      <c r="H255">
        <v>2</v>
      </c>
      <c r="I255">
        <v>3</v>
      </c>
      <c r="J255">
        <v>0.16</v>
      </c>
      <c r="K255">
        <v>0.19700000000000001</v>
      </c>
      <c r="L255">
        <v>0.86</v>
      </c>
      <c r="M255">
        <v>8.9599999999999999E-2</v>
      </c>
      <c r="N255">
        <v>0</v>
      </c>
      <c r="O255">
        <v>20</v>
      </c>
      <c r="P255">
        <v>20</v>
      </c>
      <c r="Q255">
        <v>0.19700000000000001</v>
      </c>
      <c r="R255">
        <v>0.86</v>
      </c>
      <c r="S255">
        <v>8.9599999999999999E-2</v>
      </c>
      <c r="T255">
        <v>0</v>
      </c>
      <c r="U255">
        <v>20</v>
      </c>
      <c r="V255">
        <v>20</v>
      </c>
    </row>
    <row r="256" spans="1:22" x14ac:dyDescent="0.3">
      <c r="A256">
        <v>254</v>
      </c>
      <c r="B256">
        <v>40554</v>
      </c>
      <c r="C256">
        <v>1</v>
      </c>
      <c r="D256">
        <v>0</v>
      </c>
      <c r="E256">
        <v>1</v>
      </c>
      <c r="F256">
        <v>22</v>
      </c>
      <c r="G256" t="b">
        <v>0</v>
      </c>
      <c r="H256">
        <v>2</v>
      </c>
      <c r="I256">
        <v>3</v>
      </c>
      <c r="J256">
        <v>0.16</v>
      </c>
      <c r="K256">
        <v>0.18179999999999999</v>
      </c>
      <c r="L256">
        <v>0.93</v>
      </c>
      <c r="M256">
        <v>0.1045</v>
      </c>
      <c r="N256">
        <v>1</v>
      </c>
      <c r="O256">
        <v>28</v>
      </c>
      <c r="P256">
        <v>29</v>
      </c>
      <c r="Q256">
        <v>0.18179999999999999</v>
      </c>
      <c r="R256">
        <v>0.93</v>
      </c>
      <c r="S256">
        <v>0.1045</v>
      </c>
      <c r="T256">
        <v>1</v>
      </c>
      <c r="U256">
        <v>28</v>
      </c>
      <c r="V256">
        <v>29</v>
      </c>
    </row>
    <row r="257" spans="1:22" x14ac:dyDescent="0.3">
      <c r="A257">
        <v>255</v>
      </c>
      <c r="B257">
        <v>40554</v>
      </c>
      <c r="C257">
        <v>1</v>
      </c>
      <c r="D257">
        <v>0</v>
      </c>
      <c r="E257">
        <v>1</v>
      </c>
      <c r="F257">
        <v>23</v>
      </c>
      <c r="G257" t="b">
        <v>0</v>
      </c>
      <c r="H257">
        <v>2</v>
      </c>
      <c r="I257">
        <v>3</v>
      </c>
      <c r="J257">
        <v>0.16</v>
      </c>
      <c r="K257">
        <v>0.19700000000000001</v>
      </c>
      <c r="L257">
        <v>0.93</v>
      </c>
      <c r="M257">
        <v>8.9599999999999999E-2</v>
      </c>
      <c r="N257">
        <v>1</v>
      </c>
      <c r="O257">
        <v>18</v>
      </c>
      <c r="P257">
        <v>19</v>
      </c>
      <c r="Q257">
        <v>0.19700000000000001</v>
      </c>
      <c r="R257">
        <v>0.93</v>
      </c>
      <c r="S257">
        <v>8.9599999999999999E-2</v>
      </c>
      <c r="T257">
        <v>1</v>
      </c>
      <c r="U257">
        <v>18</v>
      </c>
      <c r="V257">
        <v>19</v>
      </c>
    </row>
    <row r="258" spans="1:22" x14ac:dyDescent="0.3">
      <c r="A258">
        <v>256</v>
      </c>
      <c r="B258">
        <v>40555</v>
      </c>
      <c r="C258">
        <v>1</v>
      </c>
      <c r="D258">
        <v>0</v>
      </c>
      <c r="E258">
        <v>1</v>
      </c>
      <c r="F258">
        <v>0</v>
      </c>
      <c r="G258" t="b">
        <v>0</v>
      </c>
      <c r="H258">
        <v>3</v>
      </c>
      <c r="I258">
        <v>2</v>
      </c>
      <c r="J258">
        <v>0.16</v>
      </c>
      <c r="K258">
        <v>0.19700000000000001</v>
      </c>
      <c r="L258">
        <v>0.86</v>
      </c>
      <c r="M258">
        <v>8.9599999999999999E-2</v>
      </c>
      <c r="N258">
        <v>0</v>
      </c>
      <c r="O258">
        <v>7</v>
      </c>
      <c r="P258">
        <v>7</v>
      </c>
      <c r="Q258">
        <v>0.19700000000000001</v>
      </c>
      <c r="R258">
        <v>0.86</v>
      </c>
      <c r="S258">
        <v>8.9599999999999999E-2</v>
      </c>
      <c r="T258">
        <v>0</v>
      </c>
      <c r="U258">
        <v>7</v>
      </c>
      <c r="V258">
        <v>7</v>
      </c>
    </row>
    <row r="259" spans="1:22" x14ac:dyDescent="0.3">
      <c r="A259">
        <v>257</v>
      </c>
      <c r="B259">
        <v>40555</v>
      </c>
      <c r="C259">
        <v>1</v>
      </c>
      <c r="D259">
        <v>0</v>
      </c>
      <c r="E259">
        <v>1</v>
      </c>
      <c r="F259">
        <v>1</v>
      </c>
      <c r="G259" t="b">
        <v>0</v>
      </c>
      <c r="H259">
        <v>3</v>
      </c>
      <c r="I259">
        <v>2</v>
      </c>
      <c r="J259">
        <v>0.16</v>
      </c>
      <c r="K259">
        <v>0.18179999999999999</v>
      </c>
      <c r="L259">
        <v>0.86</v>
      </c>
      <c r="M259">
        <v>0.1045</v>
      </c>
      <c r="N259">
        <v>0</v>
      </c>
      <c r="O259">
        <v>6</v>
      </c>
      <c r="P259">
        <v>6</v>
      </c>
      <c r="Q259">
        <v>0.18179999999999999</v>
      </c>
      <c r="R259">
        <v>0.86</v>
      </c>
      <c r="S259">
        <v>0.1045</v>
      </c>
      <c r="T259">
        <v>0</v>
      </c>
      <c r="U259">
        <v>6</v>
      </c>
      <c r="V259">
        <v>6</v>
      </c>
    </row>
    <row r="260" spans="1:22" x14ac:dyDescent="0.3">
      <c r="A260">
        <v>258</v>
      </c>
      <c r="B260">
        <v>40555</v>
      </c>
      <c r="C260">
        <v>1</v>
      </c>
      <c r="D260">
        <v>0</v>
      </c>
      <c r="E260">
        <v>1</v>
      </c>
      <c r="F260">
        <v>2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0.1343</v>
      </c>
      <c r="N260">
        <v>0</v>
      </c>
      <c r="O260">
        <v>1</v>
      </c>
      <c r="P260">
        <v>1</v>
      </c>
      <c r="Q260">
        <v>0.1515</v>
      </c>
      <c r="R260">
        <v>0.86</v>
      </c>
      <c r="S260">
        <v>0.1343</v>
      </c>
      <c r="T260">
        <v>0</v>
      </c>
      <c r="U260">
        <v>1</v>
      </c>
      <c r="V260">
        <v>1</v>
      </c>
    </row>
    <row r="261" spans="1:22" x14ac:dyDescent="0.3">
      <c r="A261">
        <v>259</v>
      </c>
      <c r="B261">
        <v>40555</v>
      </c>
      <c r="C261">
        <v>1</v>
      </c>
      <c r="D261">
        <v>0</v>
      </c>
      <c r="E261">
        <v>1</v>
      </c>
      <c r="F261">
        <v>5</v>
      </c>
      <c r="G261" t="b">
        <v>0</v>
      </c>
      <c r="H261">
        <v>3</v>
      </c>
      <c r="I261">
        <v>1</v>
      </c>
      <c r="J261">
        <v>0.14000000000000001</v>
      </c>
      <c r="K261">
        <v>0.1515</v>
      </c>
      <c r="L261">
        <v>0.86</v>
      </c>
      <c r="M261">
        <v>0.16420000000000001</v>
      </c>
      <c r="N261">
        <v>0</v>
      </c>
      <c r="O261">
        <v>5</v>
      </c>
      <c r="P261">
        <v>5</v>
      </c>
      <c r="Q261">
        <v>0.1515</v>
      </c>
      <c r="R261">
        <v>0.86</v>
      </c>
      <c r="S261">
        <v>0.16420000000000001</v>
      </c>
      <c r="T261">
        <v>0</v>
      </c>
      <c r="U261">
        <v>5</v>
      </c>
      <c r="V261">
        <v>5</v>
      </c>
    </row>
    <row r="262" spans="1:22" x14ac:dyDescent="0.3">
      <c r="A262">
        <v>260</v>
      </c>
      <c r="B262">
        <v>40555</v>
      </c>
      <c r="C262">
        <v>1</v>
      </c>
      <c r="D262">
        <v>0</v>
      </c>
      <c r="E262">
        <v>1</v>
      </c>
      <c r="F262">
        <v>6</v>
      </c>
      <c r="G262" t="b">
        <v>0</v>
      </c>
      <c r="H262">
        <v>3</v>
      </c>
      <c r="I262">
        <v>1</v>
      </c>
      <c r="J262">
        <v>0.12</v>
      </c>
      <c r="K262">
        <v>0.1515</v>
      </c>
      <c r="L262">
        <v>0.93</v>
      </c>
      <c r="M262">
        <v>0.1343</v>
      </c>
      <c r="N262">
        <v>0</v>
      </c>
      <c r="O262">
        <v>16</v>
      </c>
      <c r="P262">
        <v>16</v>
      </c>
      <c r="Q262">
        <v>0.1515</v>
      </c>
      <c r="R262">
        <v>0.93</v>
      </c>
      <c r="S262">
        <v>0.1343</v>
      </c>
      <c r="T262">
        <v>0</v>
      </c>
      <c r="U262">
        <v>16</v>
      </c>
      <c r="V262">
        <v>16</v>
      </c>
    </row>
    <row r="263" spans="1:22" x14ac:dyDescent="0.3">
      <c r="A263">
        <v>261</v>
      </c>
      <c r="B263">
        <v>40555</v>
      </c>
      <c r="C263">
        <v>1</v>
      </c>
      <c r="D263">
        <v>0</v>
      </c>
      <c r="E263">
        <v>1</v>
      </c>
      <c r="F263">
        <v>7</v>
      </c>
      <c r="G263" t="b">
        <v>0</v>
      </c>
      <c r="H263">
        <v>3</v>
      </c>
      <c r="I263">
        <v>1</v>
      </c>
      <c r="J263">
        <v>0.14000000000000001</v>
      </c>
      <c r="K263">
        <v>0.1515</v>
      </c>
      <c r="L263">
        <v>0.69</v>
      </c>
      <c r="M263">
        <v>0.1343</v>
      </c>
      <c r="N263">
        <v>0</v>
      </c>
      <c r="O263">
        <v>54</v>
      </c>
      <c r="P263">
        <v>54</v>
      </c>
      <c r="Q263">
        <v>0.1515</v>
      </c>
      <c r="R263">
        <v>0.69</v>
      </c>
      <c r="S263">
        <v>0.1343</v>
      </c>
      <c r="T263">
        <v>0</v>
      </c>
      <c r="U263">
        <v>54</v>
      </c>
      <c r="V263">
        <v>54</v>
      </c>
    </row>
    <row r="264" spans="1:22" x14ac:dyDescent="0.3">
      <c r="A264">
        <v>262</v>
      </c>
      <c r="B264">
        <v>40555</v>
      </c>
      <c r="C264">
        <v>1</v>
      </c>
      <c r="D264">
        <v>0</v>
      </c>
      <c r="E264">
        <v>1</v>
      </c>
      <c r="F264">
        <v>8</v>
      </c>
      <c r="G264" t="b">
        <v>0</v>
      </c>
      <c r="H264">
        <v>3</v>
      </c>
      <c r="I264">
        <v>1</v>
      </c>
      <c r="J264">
        <v>0.16</v>
      </c>
      <c r="K264">
        <v>0.16669999999999999</v>
      </c>
      <c r="L264">
        <v>0.59</v>
      </c>
      <c r="M264">
        <v>0.16420000000000001</v>
      </c>
      <c r="N264">
        <v>3</v>
      </c>
      <c r="O264">
        <v>125</v>
      </c>
      <c r="P264">
        <v>128</v>
      </c>
      <c r="Q264">
        <v>0.16669999999999999</v>
      </c>
      <c r="R264">
        <v>0.59</v>
      </c>
      <c r="S264">
        <v>0.16420000000000001</v>
      </c>
      <c r="T264">
        <v>3</v>
      </c>
      <c r="U264">
        <v>125</v>
      </c>
      <c r="V264">
        <v>128</v>
      </c>
    </row>
    <row r="265" spans="1:22" x14ac:dyDescent="0.3">
      <c r="A265">
        <v>263</v>
      </c>
      <c r="B265">
        <v>40555</v>
      </c>
      <c r="C265">
        <v>1</v>
      </c>
      <c r="D265">
        <v>0</v>
      </c>
      <c r="E265">
        <v>1</v>
      </c>
      <c r="F265">
        <v>9</v>
      </c>
      <c r="G265" t="b">
        <v>0</v>
      </c>
      <c r="H265">
        <v>3</v>
      </c>
      <c r="I265">
        <v>1</v>
      </c>
      <c r="J265">
        <v>0.16</v>
      </c>
      <c r="K265">
        <v>0.13639999999999999</v>
      </c>
      <c r="L265">
        <v>0.59</v>
      </c>
      <c r="M265">
        <v>0.32840000000000003</v>
      </c>
      <c r="N265">
        <v>3</v>
      </c>
      <c r="O265">
        <v>78</v>
      </c>
      <c r="P265">
        <v>81</v>
      </c>
      <c r="Q265">
        <v>0.13639999999999999</v>
      </c>
      <c r="R265">
        <v>0.59</v>
      </c>
      <c r="S265">
        <v>0.32840000000000003</v>
      </c>
      <c r="T265">
        <v>3</v>
      </c>
      <c r="U265">
        <v>78</v>
      </c>
      <c r="V265">
        <v>81</v>
      </c>
    </row>
    <row r="266" spans="1:22" x14ac:dyDescent="0.3">
      <c r="A266">
        <v>264</v>
      </c>
      <c r="B266">
        <v>40555</v>
      </c>
      <c r="C266">
        <v>1</v>
      </c>
      <c r="D266">
        <v>0</v>
      </c>
      <c r="E266">
        <v>1</v>
      </c>
      <c r="F266">
        <v>10</v>
      </c>
      <c r="G266" t="b">
        <v>0</v>
      </c>
      <c r="H266">
        <v>3</v>
      </c>
      <c r="I266">
        <v>1</v>
      </c>
      <c r="J266">
        <v>0.18</v>
      </c>
      <c r="K266">
        <v>0.18179999999999999</v>
      </c>
      <c r="L266">
        <v>0.55000000000000004</v>
      </c>
      <c r="M266">
        <v>0.22389999999999999</v>
      </c>
      <c r="N266">
        <v>0</v>
      </c>
      <c r="O266">
        <v>39</v>
      </c>
      <c r="P266">
        <v>39</v>
      </c>
      <c r="Q266">
        <v>0.18179999999999999</v>
      </c>
      <c r="R266">
        <v>0.55000000000000004</v>
      </c>
      <c r="S266">
        <v>0.22389999999999999</v>
      </c>
      <c r="T266">
        <v>0</v>
      </c>
      <c r="U266">
        <v>39</v>
      </c>
      <c r="V266">
        <v>39</v>
      </c>
    </row>
    <row r="267" spans="1:22" x14ac:dyDescent="0.3">
      <c r="A267">
        <v>265</v>
      </c>
      <c r="B267">
        <v>40555</v>
      </c>
      <c r="C267">
        <v>1</v>
      </c>
      <c r="D267">
        <v>0</v>
      </c>
      <c r="E267">
        <v>1</v>
      </c>
      <c r="F267">
        <v>11</v>
      </c>
      <c r="G267" t="b">
        <v>0</v>
      </c>
      <c r="H267">
        <v>3</v>
      </c>
      <c r="I267">
        <v>1</v>
      </c>
      <c r="J267">
        <v>0.2</v>
      </c>
      <c r="K267">
        <v>0.18179999999999999</v>
      </c>
      <c r="L267">
        <v>0.51</v>
      </c>
      <c r="M267">
        <v>0.3881</v>
      </c>
      <c r="N267">
        <v>3</v>
      </c>
      <c r="O267">
        <v>32</v>
      </c>
      <c r="P267">
        <v>35</v>
      </c>
      <c r="Q267">
        <v>0.18179999999999999</v>
      </c>
      <c r="R267">
        <v>0.51</v>
      </c>
      <c r="S267">
        <v>0.3881</v>
      </c>
      <c r="T267">
        <v>3</v>
      </c>
      <c r="U267">
        <v>32</v>
      </c>
      <c r="V267">
        <v>35</v>
      </c>
    </row>
    <row r="268" spans="1:22" x14ac:dyDescent="0.3">
      <c r="A268">
        <v>266</v>
      </c>
      <c r="B268">
        <v>40555</v>
      </c>
      <c r="C268">
        <v>1</v>
      </c>
      <c r="D268">
        <v>0</v>
      </c>
      <c r="E268">
        <v>1</v>
      </c>
      <c r="F268">
        <v>12</v>
      </c>
      <c r="G268" t="b">
        <v>0</v>
      </c>
      <c r="H268">
        <v>3</v>
      </c>
      <c r="I268">
        <v>1</v>
      </c>
      <c r="J268">
        <v>0.2</v>
      </c>
      <c r="K268">
        <v>0.1515</v>
      </c>
      <c r="L268">
        <v>0.47</v>
      </c>
      <c r="M268">
        <v>0.58209999999999995</v>
      </c>
      <c r="N268">
        <v>3</v>
      </c>
      <c r="O268">
        <v>52</v>
      </c>
      <c r="P268">
        <v>55</v>
      </c>
      <c r="Q268">
        <v>0.1515</v>
      </c>
      <c r="R268">
        <v>0.47</v>
      </c>
      <c r="S268">
        <v>0.58209999999999995</v>
      </c>
      <c r="T268">
        <v>3</v>
      </c>
      <c r="U268">
        <v>52</v>
      </c>
      <c r="V268">
        <v>55</v>
      </c>
    </row>
    <row r="269" spans="1:22" x14ac:dyDescent="0.3">
      <c r="A269">
        <v>267</v>
      </c>
      <c r="B269">
        <v>40555</v>
      </c>
      <c r="C269">
        <v>1</v>
      </c>
      <c r="D269">
        <v>0</v>
      </c>
      <c r="E269">
        <v>1</v>
      </c>
      <c r="F269">
        <v>13</v>
      </c>
      <c r="G269" t="b">
        <v>0</v>
      </c>
      <c r="H269">
        <v>3</v>
      </c>
      <c r="I269">
        <v>1</v>
      </c>
      <c r="J269">
        <v>0.22</v>
      </c>
      <c r="K269">
        <v>0.19700000000000001</v>
      </c>
      <c r="L269">
        <v>0.44</v>
      </c>
      <c r="M269">
        <v>0.35820000000000002</v>
      </c>
      <c r="N269">
        <v>0</v>
      </c>
      <c r="O269">
        <v>49</v>
      </c>
      <c r="P269">
        <v>49</v>
      </c>
      <c r="Q269">
        <v>0.19700000000000001</v>
      </c>
      <c r="R269">
        <v>0.44</v>
      </c>
      <c r="S269">
        <v>0.35820000000000002</v>
      </c>
      <c r="T269">
        <v>0</v>
      </c>
      <c r="U269">
        <v>49</v>
      </c>
      <c r="V269">
        <v>49</v>
      </c>
    </row>
    <row r="270" spans="1:22" x14ac:dyDescent="0.3">
      <c r="A270">
        <v>268</v>
      </c>
      <c r="B270">
        <v>40555</v>
      </c>
      <c r="C270">
        <v>1</v>
      </c>
      <c r="D270">
        <v>0</v>
      </c>
      <c r="E270">
        <v>1</v>
      </c>
      <c r="F270">
        <v>14</v>
      </c>
      <c r="G270" t="b">
        <v>0</v>
      </c>
      <c r="H270">
        <v>3</v>
      </c>
      <c r="I270">
        <v>1</v>
      </c>
      <c r="J270">
        <v>0.2</v>
      </c>
      <c r="K270">
        <v>0.18179999999999999</v>
      </c>
      <c r="L270">
        <v>0.47</v>
      </c>
      <c r="M270">
        <v>0.32840000000000003</v>
      </c>
      <c r="N270">
        <v>0</v>
      </c>
      <c r="O270">
        <v>44</v>
      </c>
      <c r="P270">
        <v>44</v>
      </c>
      <c r="Q270">
        <v>0.18179999999999999</v>
      </c>
      <c r="R270">
        <v>0.47</v>
      </c>
      <c r="S270">
        <v>0.32840000000000003</v>
      </c>
      <c r="T270">
        <v>0</v>
      </c>
      <c r="U270">
        <v>44</v>
      </c>
      <c r="V270">
        <v>44</v>
      </c>
    </row>
    <row r="271" spans="1:22" x14ac:dyDescent="0.3">
      <c r="A271">
        <v>269</v>
      </c>
      <c r="B271">
        <v>40555</v>
      </c>
      <c r="C271">
        <v>1</v>
      </c>
      <c r="D271">
        <v>0</v>
      </c>
      <c r="E271">
        <v>1</v>
      </c>
      <c r="F271">
        <v>15</v>
      </c>
      <c r="G271" t="b">
        <v>0</v>
      </c>
      <c r="H271">
        <v>3</v>
      </c>
      <c r="I271">
        <v>1</v>
      </c>
      <c r="J271">
        <v>0.2</v>
      </c>
      <c r="K271">
        <v>0.16669999999999999</v>
      </c>
      <c r="L271">
        <v>0.47</v>
      </c>
      <c r="M271">
        <v>0.41789999999999999</v>
      </c>
      <c r="N271">
        <v>1</v>
      </c>
      <c r="O271">
        <v>48</v>
      </c>
      <c r="P271">
        <v>49</v>
      </c>
      <c r="Q271">
        <v>0.16669999999999999</v>
      </c>
      <c r="R271">
        <v>0.47</v>
      </c>
      <c r="S271">
        <v>0.41789999999999999</v>
      </c>
      <c r="T271">
        <v>1</v>
      </c>
      <c r="U271">
        <v>48</v>
      </c>
      <c r="V271">
        <v>49</v>
      </c>
    </row>
    <row r="272" spans="1:22" x14ac:dyDescent="0.3">
      <c r="A272">
        <v>270</v>
      </c>
      <c r="B272">
        <v>40555</v>
      </c>
      <c r="C272">
        <v>1</v>
      </c>
      <c r="D272">
        <v>0</v>
      </c>
      <c r="E272">
        <v>1</v>
      </c>
      <c r="F272">
        <v>16</v>
      </c>
      <c r="G272" t="b">
        <v>0</v>
      </c>
      <c r="H272">
        <v>3</v>
      </c>
      <c r="I272">
        <v>1</v>
      </c>
      <c r="J272">
        <v>0.22</v>
      </c>
      <c r="K272">
        <v>0.19700000000000001</v>
      </c>
      <c r="L272">
        <v>0.44</v>
      </c>
      <c r="M272">
        <v>0.32840000000000003</v>
      </c>
      <c r="N272">
        <v>5</v>
      </c>
      <c r="O272">
        <v>63</v>
      </c>
      <c r="P272">
        <v>68</v>
      </c>
      <c r="Q272">
        <v>0.19700000000000001</v>
      </c>
      <c r="R272">
        <v>0.44</v>
      </c>
      <c r="S272">
        <v>0.32840000000000003</v>
      </c>
      <c r="T272">
        <v>5</v>
      </c>
      <c r="U272">
        <v>63</v>
      </c>
      <c r="V272">
        <v>68</v>
      </c>
    </row>
    <row r="273" spans="1:22" x14ac:dyDescent="0.3">
      <c r="A273">
        <v>271</v>
      </c>
      <c r="B273">
        <v>40555</v>
      </c>
      <c r="C273">
        <v>1</v>
      </c>
      <c r="D273">
        <v>0</v>
      </c>
      <c r="E273">
        <v>1</v>
      </c>
      <c r="F273">
        <v>17</v>
      </c>
      <c r="G273" t="b">
        <v>0</v>
      </c>
      <c r="H273">
        <v>3</v>
      </c>
      <c r="I273">
        <v>1</v>
      </c>
      <c r="J273">
        <v>0.2</v>
      </c>
      <c r="K273">
        <v>0.18179999999999999</v>
      </c>
      <c r="L273">
        <v>0.47</v>
      </c>
      <c r="M273">
        <v>0.35820000000000002</v>
      </c>
      <c r="N273">
        <v>0</v>
      </c>
      <c r="O273">
        <v>139</v>
      </c>
      <c r="P273">
        <v>139</v>
      </c>
      <c r="Q273">
        <v>0.18179999999999999</v>
      </c>
      <c r="R273">
        <v>0.47</v>
      </c>
      <c r="S273">
        <v>0.35820000000000002</v>
      </c>
      <c r="T273">
        <v>0</v>
      </c>
      <c r="U273">
        <v>139</v>
      </c>
      <c r="V273">
        <v>139</v>
      </c>
    </row>
    <row r="274" spans="1:22" x14ac:dyDescent="0.3">
      <c r="A274">
        <v>272</v>
      </c>
      <c r="B274">
        <v>40555</v>
      </c>
      <c r="C274">
        <v>1</v>
      </c>
      <c r="D274">
        <v>0</v>
      </c>
      <c r="E274">
        <v>1</v>
      </c>
      <c r="F274">
        <v>18</v>
      </c>
      <c r="G274" t="b">
        <v>0</v>
      </c>
      <c r="H274">
        <v>3</v>
      </c>
      <c r="I274">
        <v>1</v>
      </c>
      <c r="J274">
        <v>0.2</v>
      </c>
      <c r="K274">
        <v>0.1515</v>
      </c>
      <c r="L274">
        <v>0.47</v>
      </c>
      <c r="M274">
        <v>0.52239999999999998</v>
      </c>
      <c r="N274">
        <v>2</v>
      </c>
      <c r="O274">
        <v>135</v>
      </c>
      <c r="P274">
        <v>137</v>
      </c>
      <c r="Q274">
        <v>0.1515</v>
      </c>
      <c r="R274">
        <v>0.47</v>
      </c>
      <c r="S274">
        <v>0.52239999999999998</v>
      </c>
      <c r="T274">
        <v>2</v>
      </c>
      <c r="U274">
        <v>135</v>
      </c>
      <c r="V274">
        <v>137</v>
      </c>
    </row>
    <row r="275" spans="1:22" x14ac:dyDescent="0.3">
      <c r="A275">
        <v>273</v>
      </c>
      <c r="B275">
        <v>40555</v>
      </c>
      <c r="C275">
        <v>1</v>
      </c>
      <c r="D275">
        <v>0</v>
      </c>
      <c r="E275">
        <v>1</v>
      </c>
      <c r="F275">
        <v>19</v>
      </c>
      <c r="G275" t="b">
        <v>0</v>
      </c>
      <c r="H275">
        <v>3</v>
      </c>
      <c r="I275">
        <v>1</v>
      </c>
      <c r="J275">
        <v>0.18</v>
      </c>
      <c r="K275">
        <v>0.1515</v>
      </c>
      <c r="L275">
        <v>0.47</v>
      </c>
      <c r="M275">
        <v>0.41789999999999999</v>
      </c>
      <c r="N275">
        <v>1</v>
      </c>
      <c r="O275">
        <v>82</v>
      </c>
      <c r="P275">
        <v>83</v>
      </c>
      <c r="Q275">
        <v>0.1515</v>
      </c>
      <c r="R275">
        <v>0.47</v>
      </c>
      <c r="S275">
        <v>0.41789999999999999</v>
      </c>
      <c r="T275">
        <v>1</v>
      </c>
      <c r="U275">
        <v>82</v>
      </c>
      <c r="V275">
        <v>83</v>
      </c>
    </row>
    <row r="276" spans="1:22" x14ac:dyDescent="0.3">
      <c r="A276">
        <v>274</v>
      </c>
      <c r="B276">
        <v>40555</v>
      </c>
      <c r="C276">
        <v>1</v>
      </c>
      <c r="D276">
        <v>0</v>
      </c>
      <c r="E276">
        <v>1</v>
      </c>
      <c r="F276">
        <v>20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</v>
      </c>
      <c r="M276">
        <v>0.32840000000000003</v>
      </c>
      <c r="N276">
        <v>2</v>
      </c>
      <c r="O276">
        <v>54</v>
      </c>
      <c r="P276">
        <v>56</v>
      </c>
      <c r="Q276">
        <v>0.13639999999999999</v>
      </c>
      <c r="R276">
        <v>0.5</v>
      </c>
      <c r="S276">
        <v>0.32840000000000003</v>
      </c>
      <c r="T276">
        <v>2</v>
      </c>
      <c r="U276">
        <v>54</v>
      </c>
      <c r="V276">
        <v>56</v>
      </c>
    </row>
    <row r="277" spans="1:22" x14ac:dyDescent="0.3">
      <c r="A277">
        <v>275</v>
      </c>
      <c r="B277">
        <v>40555</v>
      </c>
      <c r="C277">
        <v>1</v>
      </c>
      <c r="D277">
        <v>0</v>
      </c>
      <c r="E277">
        <v>1</v>
      </c>
      <c r="F277">
        <v>21</v>
      </c>
      <c r="G277" t="b">
        <v>0</v>
      </c>
      <c r="H277">
        <v>3</v>
      </c>
      <c r="I277">
        <v>1</v>
      </c>
      <c r="J277">
        <v>0.16</v>
      </c>
      <c r="K277">
        <v>0.13639999999999999</v>
      </c>
      <c r="L277">
        <v>0.55000000000000004</v>
      </c>
      <c r="M277">
        <v>0.32840000000000003</v>
      </c>
      <c r="N277">
        <v>0</v>
      </c>
      <c r="O277">
        <v>57</v>
      </c>
      <c r="P277">
        <v>57</v>
      </c>
      <c r="Q277">
        <v>0.13639999999999999</v>
      </c>
      <c r="R277">
        <v>0.55000000000000004</v>
      </c>
      <c r="S277">
        <v>0.32840000000000003</v>
      </c>
      <c r="T277">
        <v>0</v>
      </c>
      <c r="U277">
        <v>57</v>
      </c>
      <c r="V277">
        <v>57</v>
      </c>
    </row>
    <row r="278" spans="1:22" x14ac:dyDescent="0.3">
      <c r="A278">
        <v>276</v>
      </c>
      <c r="B278">
        <v>40555</v>
      </c>
      <c r="C278">
        <v>1</v>
      </c>
      <c r="D278">
        <v>0</v>
      </c>
      <c r="E278">
        <v>1</v>
      </c>
      <c r="F278">
        <v>22</v>
      </c>
      <c r="G278" t="b">
        <v>0</v>
      </c>
      <c r="H278">
        <v>3</v>
      </c>
      <c r="I278">
        <v>1</v>
      </c>
      <c r="J278">
        <v>0.16</v>
      </c>
      <c r="K278">
        <v>0.1212</v>
      </c>
      <c r="L278">
        <v>0.55000000000000004</v>
      </c>
      <c r="M278">
        <v>0.44779999999999998</v>
      </c>
      <c r="N278">
        <v>1</v>
      </c>
      <c r="O278">
        <v>32</v>
      </c>
      <c r="P278">
        <v>33</v>
      </c>
      <c r="Q278">
        <v>0.1212</v>
      </c>
      <c r="R278">
        <v>0.55000000000000004</v>
      </c>
      <c r="S278">
        <v>0.44779999999999998</v>
      </c>
      <c r="T278">
        <v>1</v>
      </c>
      <c r="U278">
        <v>32</v>
      </c>
      <c r="V278">
        <v>33</v>
      </c>
    </row>
    <row r="279" spans="1:22" x14ac:dyDescent="0.3">
      <c r="A279">
        <v>277</v>
      </c>
      <c r="B279">
        <v>40555</v>
      </c>
      <c r="C279">
        <v>1</v>
      </c>
      <c r="D279">
        <v>0</v>
      </c>
      <c r="E279">
        <v>1</v>
      </c>
      <c r="F279">
        <v>23</v>
      </c>
      <c r="G279" t="b">
        <v>0</v>
      </c>
      <c r="H279">
        <v>3</v>
      </c>
      <c r="I279">
        <v>1</v>
      </c>
      <c r="J279">
        <v>0.14000000000000001</v>
      </c>
      <c r="K279">
        <v>0.1061</v>
      </c>
      <c r="L279">
        <v>0.59</v>
      </c>
      <c r="M279">
        <v>0.41789999999999999</v>
      </c>
      <c r="N279">
        <v>1</v>
      </c>
      <c r="O279">
        <v>19</v>
      </c>
      <c r="P279">
        <v>20</v>
      </c>
      <c r="Q279">
        <v>0.1061</v>
      </c>
      <c r="R279">
        <v>0.59</v>
      </c>
      <c r="S279">
        <v>0.41789999999999999</v>
      </c>
      <c r="T279">
        <v>1</v>
      </c>
      <c r="U279">
        <v>19</v>
      </c>
      <c r="V279">
        <v>20</v>
      </c>
    </row>
    <row r="280" spans="1:22" x14ac:dyDescent="0.3">
      <c r="A280">
        <v>278</v>
      </c>
      <c r="B280">
        <v>40556</v>
      </c>
      <c r="C280">
        <v>1</v>
      </c>
      <c r="D280">
        <v>0</v>
      </c>
      <c r="E280">
        <v>1</v>
      </c>
      <c r="F280">
        <v>0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0.59</v>
      </c>
      <c r="M280">
        <v>0.28360000000000002</v>
      </c>
      <c r="N280">
        <v>1</v>
      </c>
      <c r="O280">
        <v>6</v>
      </c>
      <c r="P280">
        <v>7</v>
      </c>
      <c r="Q280">
        <v>0.1212</v>
      </c>
      <c r="R280">
        <v>0.59</v>
      </c>
      <c r="S280">
        <v>0.28360000000000002</v>
      </c>
      <c r="T280">
        <v>1</v>
      </c>
      <c r="U280">
        <v>6</v>
      </c>
      <c r="V280">
        <v>7</v>
      </c>
    </row>
    <row r="281" spans="1:22" x14ac:dyDescent="0.3">
      <c r="A281">
        <v>279</v>
      </c>
      <c r="B281">
        <v>40556</v>
      </c>
      <c r="C281">
        <v>1</v>
      </c>
      <c r="D281">
        <v>0</v>
      </c>
      <c r="E281">
        <v>1</v>
      </c>
      <c r="F281">
        <v>1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0.28360000000000002</v>
      </c>
      <c r="N281">
        <v>0</v>
      </c>
      <c r="O281">
        <v>2</v>
      </c>
      <c r="P281">
        <v>2</v>
      </c>
      <c r="Q281">
        <v>0.1212</v>
      </c>
      <c r="R281">
        <v>0.5</v>
      </c>
      <c r="S281">
        <v>0.28360000000000002</v>
      </c>
      <c r="T281">
        <v>0</v>
      </c>
      <c r="U281">
        <v>2</v>
      </c>
      <c r="V281">
        <v>2</v>
      </c>
    </row>
    <row r="282" spans="1:22" x14ac:dyDescent="0.3">
      <c r="A282">
        <v>280</v>
      </c>
      <c r="B282">
        <v>40556</v>
      </c>
      <c r="C282">
        <v>1</v>
      </c>
      <c r="D282">
        <v>0</v>
      </c>
      <c r="E282">
        <v>1</v>
      </c>
      <c r="F282">
        <v>2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0.35820000000000002</v>
      </c>
      <c r="N282">
        <v>0</v>
      </c>
      <c r="O282">
        <v>2</v>
      </c>
      <c r="P282">
        <v>2</v>
      </c>
      <c r="Q282">
        <v>0.1212</v>
      </c>
      <c r="R282">
        <v>0.5</v>
      </c>
      <c r="S282">
        <v>0.35820000000000002</v>
      </c>
      <c r="T282">
        <v>0</v>
      </c>
      <c r="U282">
        <v>2</v>
      </c>
      <c r="V282">
        <v>2</v>
      </c>
    </row>
    <row r="283" spans="1:22" x14ac:dyDescent="0.3">
      <c r="A283">
        <v>281</v>
      </c>
      <c r="B283">
        <v>40556</v>
      </c>
      <c r="C283">
        <v>1</v>
      </c>
      <c r="D283">
        <v>0</v>
      </c>
      <c r="E283">
        <v>1</v>
      </c>
      <c r="F283">
        <v>3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0.32840000000000003</v>
      </c>
      <c r="N283">
        <v>0</v>
      </c>
      <c r="O283">
        <v>3</v>
      </c>
      <c r="P283">
        <v>3</v>
      </c>
      <c r="Q283">
        <v>0.1212</v>
      </c>
      <c r="R283">
        <v>0.5</v>
      </c>
      <c r="S283">
        <v>0.32840000000000003</v>
      </c>
      <c r="T283">
        <v>0</v>
      </c>
      <c r="U283">
        <v>3</v>
      </c>
      <c r="V283">
        <v>3</v>
      </c>
    </row>
    <row r="284" spans="1:22" x14ac:dyDescent="0.3">
      <c r="A284">
        <v>282</v>
      </c>
      <c r="B284">
        <v>40556</v>
      </c>
      <c r="C284">
        <v>1</v>
      </c>
      <c r="D284">
        <v>0</v>
      </c>
      <c r="E284">
        <v>1</v>
      </c>
      <c r="F284">
        <v>4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0.25369999999999998</v>
      </c>
      <c r="N284">
        <v>0</v>
      </c>
      <c r="O284">
        <v>4</v>
      </c>
      <c r="P284">
        <v>4</v>
      </c>
      <c r="Q284">
        <v>0.1212</v>
      </c>
      <c r="R284">
        <v>0.5</v>
      </c>
      <c r="S284">
        <v>0.25369999999999998</v>
      </c>
      <c r="T284">
        <v>0</v>
      </c>
      <c r="U284">
        <v>4</v>
      </c>
      <c r="V284">
        <v>4</v>
      </c>
    </row>
    <row r="285" spans="1:22" x14ac:dyDescent="0.3">
      <c r="A285">
        <v>283</v>
      </c>
      <c r="B285">
        <v>40556</v>
      </c>
      <c r="C285">
        <v>1</v>
      </c>
      <c r="D285">
        <v>0</v>
      </c>
      <c r="E285">
        <v>1</v>
      </c>
      <c r="F285">
        <v>5</v>
      </c>
      <c r="G285" t="b">
        <v>0</v>
      </c>
      <c r="H285">
        <v>4</v>
      </c>
      <c r="I285">
        <v>1</v>
      </c>
      <c r="J285">
        <v>0.14000000000000001</v>
      </c>
      <c r="K285">
        <v>0.1212</v>
      </c>
      <c r="L285">
        <v>0.5</v>
      </c>
      <c r="M285">
        <v>0.29849999999999999</v>
      </c>
      <c r="N285">
        <v>0</v>
      </c>
      <c r="O285">
        <v>3</v>
      </c>
      <c r="P285">
        <v>3</v>
      </c>
      <c r="Q285">
        <v>0.1212</v>
      </c>
      <c r="R285">
        <v>0.5</v>
      </c>
      <c r="S285">
        <v>0.29849999999999999</v>
      </c>
      <c r="T285">
        <v>0</v>
      </c>
      <c r="U285">
        <v>3</v>
      </c>
      <c r="V285">
        <v>3</v>
      </c>
    </row>
    <row r="286" spans="1:22" x14ac:dyDescent="0.3">
      <c r="A286">
        <v>284</v>
      </c>
      <c r="B286">
        <v>40556</v>
      </c>
      <c r="C286">
        <v>1</v>
      </c>
      <c r="D286">
        <v>0</v>
      </c>
      <c r="E286">
        <v>1</v>
      </c>
      <c r="F286">
        <v>6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28</v>
      </c>
      <c r="P286">
        <v>28</v>
      </c>
      <c r="Q286">
        <v>0.1515</v>
      </c>
      <c r="R286">
        <v>0.54</v>
      </c>
      <c r="S286">
        <v>0.1343</v>
      </c>
      <c r="T286">
        <v>0</v>
      </c>
      <c r="U286">
        <v>28</v>
      </c>
      <c r="V286">
        <v>28</v>
      </c>
    </row>
    <row r="287" spans="1:22" x14ac:dyDescent="0.3">
      <c r="A287">
        <v>285</v>
      </c>
      <c r="B287">
        <v>40556</v>
      </c>
      <c r="C287">
        <v>1</v>
      </c>
      <c r="D287">
        <v>0</v>
      </c>
      <c r="E287">
        <v>1</v>
      </c>
      <c r="F287">
        <v>7</v>
      </c>
      <c r="G287" t="b">
        <v>0</v>
      </c>
      <c r="H287">
        <v>4</v>
      </c>
      <c r="I287">
        <v>1</v>
      </c>
      <c r="J287">
        <v>0.12</v>
      </c>
      <c r="K287">
        <v>0.1515</v>
      </c>
      <c r="L287">
        <v>0.54</v>
      </c>
      <c r="M287">
        <v>0.1343</v>
      </c>
      <c r="N287">
        <v>0</v>
      </c>
      <c r="O287">
        <v>72</v>
      </c>
      <c r="P287">
        <v>72</v>
      </c>
      <c r="Q287">
        <v>0.1515</v>
      </c>
      <c r="R287">
        <v>0.54</v>
      </c>
      <c r="S287">
        <v>0.1343</v>
      </c>
      <c r="T287">
        <v>0</v>
      </c>
      <c r="U287">
        <v>72</v>
      </c>
      <c r="V287">
        <v>72</v>
      </c>
    </row>
    <row r="288" spans="1:22" x14ac:dyDescent="0.3">
      <c r="A288">
        <v>286</v>
      </c>
      <c r="B288">
        <v>40556</v>
      </c>
      <c r="C288">
        <v>1</v>
      </c>
      <c r="D288">
        <v>0</v>
      </c>
      <c r="E288">
        <v>1</v>
      </c>
      <c r="F288">
        <v>8</v>
      </c>
      <c r="G288" t="b">
        <v>0</v>
      </c>
      <c r="H288">
        <v>4</v>
      </c>
      <c r="I288">
        <v>1</v>
      </c>
      <c r="J288">
        <v>0.14000000000000001</v>
      </c>
      <c r="K288">
        <v>0.13639999999999999</v>
      </c>
      <c r="L288">
        <v>0.5</v>
      </c>
      <c r="M288">
        <v>0.19400000000000001</v>
      </c>
      <c r="N288">
        <v>5</v>
      </c>
      <c r="O288">
        <v>197</v>
      </c>
      <c r="P288">
        <v>202</v>
      </c>
      <c r="Q288">
        <v>0.13639999999999999</v>
      </c>
      <c r="R288">
        <v>0.5</v>
      </c>
      <c r="S288">
        <v>0.19400000000000001</v>
      </c>
      <c r="T288">
        <v>5</v>
      </c>
      <c r="U288">
        <v>197</v>
      </c>
      <c r="V288">
        <v>202</v>
      </c>
    </row>
    <row r="289" spans="1:22" x14ac:dyDescent="0.3">
      <c r="A289">
        <v>287</v>
      </c>
      <c r="B289">
        <v>40556</v>
      </c>
      <c r="C289">
        <v>1</v>
      </c>
      <c r="D289">
        <v>0</v>
      </c>
      <c r="E289">
        <v>1</v>
      </c>
      <c r="F289">
        <v>9</v>
      </c>
      <c r="G289" t="b">
        <v>0</v>
      </c>
      <c r="H289">
        <v>4</v>
      </c>
      <c r="I289">
        <v>1</v>
      </c>
      <c r="J289">
        <v>0.14000000000000001</v>
      </c>
      <c r="K289">
        <v>0.1212</v>
      </c>
      <c r="L289">
        <v>0.5</v>
      </c>
      <c r="M289">
        <v>0.32840000000000003</v>
      </c>
      <c r="N289">
        <v>2</v>
      </c>
      <c r="O289">
        <v>137</v>
      </c>
      <c r="P289">
        <v>139</v>
      </c>
      <c r="Q289">
        <v>0.1212</v>
      </c>
      <c r="R289">
        <v>0.5</v>
      </c>
      <c r="S289">
        <v>0.32840000000000003</v>
      </c>
      <c r="T289">
        <v>2</v>
      </c>
      <c r="U289">
        <v>137</v>
      </c>
      <c r="V289">
        <v>139</v>
      </c>
    </row>
    <row r="290" spans="1:22" x14ac:dyDescent="0.3">
      <c r="A290">
        <v>288</v>
      </c>
      <c r="B290">
        <v>40556</v>
      </c>
      <c r="C290">
        <v>1</v>
      </c>
      <c r="D290">
        <v>0</v>
      </c>
      <c r="E290">
        <v>1</v>
      </c>
      <c r="F290">
        <v>10</v>
      </c>
      <c r="G290" t="b">
        <v>0</v>
      </c>
      <c r="H290">
        <v>4</v>
      </c>
      <c r="I290">
        <v>2</v>
      </c>
      <c r="J290">
        <v>0.16</v>
      </c>
      <c r="K290">
        <v>0.13639999999999999</v>
      </c>
      <c r="L290">
        <v>0.5</v>
      </c>
      <c r="M290">
        <v>0.35820000000000002</v>
      </c>
      <c r="N290">
        <v>2</v>
      </c>
      <c r="O290">
        <v>36</v>
      </c>
      <c r="P290">
        <v>38</v>
      </c>
      <c r="Q290">
        <v>0.13639999999999999</v>
      </c>
      <c r="R290">
        <v>0.5</v>
      </c>
      <c r="S290">
        <v>0.35820000000000002</v>
      </c>
      <c r="T290">
        <v>2</v>
      </c>
      <c r="U290">
        <v>36</v>
      </c>
      <c r="V290">
        <v>38</v>
      </c>
    </row>
    <row r="291" spans="1:22" x14ac:dyDescent="0.3">
      <c r="A291">
        <v>289</v>
      </c>
      <c r="B291">
        <v>40556</v>
      </c>
      <c r="C291">
        <v>1</v>
      </c>
      <c r="D291">
        <v>0</v>
      </c>
      <c r="E291">
        <v>1</v>
      </c>
      <c r="F291">
        <v>11</v>
      </c>
      <c r="G291" t="b">
        <v>0</v>
      </c>
      <c r="H291">
        <v>4</v>
      </c>
      <c r="I291">
        <v>2</v>
      </c>
      <c r="J291">
        <v>0.2</v>
      </c>
      <c r="K291">
        <v>0.16669999999999999</v>
      </c>
      <c r="L291">
        <v>0.44</v>
      </c>
      <c r="M291">
        <v>0.44779999999999998</v>
      </c>
      <c r="N291">
        <v>4</v>
      </c>
      <c r="O291">
        <v>33</v>
      </c>
      <c r="P291">
        <v>37</v>
      </c>
      <c r="Q291">
        <v>0.16669999999999999</v>
      </c>
      <c r="R291">
        <v>0.44</v>
      </c>
      <c r="S291">
        <v>0.44779999999999998</v>
      </c>
      <c r="T291">
        <v>4</v>
      </c>
      <c r="U291">
        <v>33</v>
      </c>
      <c r="V291">
        <v>37</v>
      </c>
    </row>
    <row r="292" spans="1:22" x14ac:dyDescent="0.3">
      <c r="A292">
        <v>290</v>
      </c>
      <c r="B292">
        <v>40556</v>
      </c>
      <c r="C292">
        <v>1</v>
      </c>
      <c r="D292">
        <v>0</v>
      </c>
      <c r="E292">
        <v>1</v>
      </c>
      <c r="F292">
        <v>12</v>
      </c>
      <c r="G292" t="b">
        <v>0</v>
      </c>
      <c r="H292">
        <v>4</v>
      </c>
      <c r="I292">
        <v>1</v>
      </c>
      <c r="J292">
        <v>0.2</v>
      </c>
      <c r="K292">
        <v>0.16669999999999999</v>
      </c>
      <c r="L292">
        <v>0.44</v>
      </c>
      <c r="M292">
        <v>0.41789999999999999</v>
      </c>
      <c r="N292">
        <v>3</v>
      </c>
      <c r="O292">
        <v>49</v>
      </c>
      <c r="P292">
        <v>52</v>
      </c>
      <c r="Q292">
        <v>0.16669999999999999</v>
      </c>
      <c r="R292">
        <v>0.44</v>
      </c>
      <c r="S292">
        <v>0.41789999999999999</v>
      </c>
      <c r="T292">
        <v>3</v>
      </c>
      <c r="U292">
        <v>49</v>
      </c>
      <c r="V292">
        <v>52</v>
      </c>
    </row>
    <row r="293" spans="1:22" x14ac:dyDescent="0.3">
      <c r="A293">
        <v>291</v>
      </c>
      <c r="B293">
        <v>40556</v>
      </c>
      <c r="C293">
        <v>1</v>
      </c>
      <c r="D293">
        <v>0</v>
      </c>
      <c r="E293">
        <v>1</v>
      </c>
      <c r="F293">
        <v>13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0.44779999999999998</v>
      </c>
      <c r="N293">
        <v>2</v>
      </c>
      <c r="O293">
        <v>81</v>
      </c>
      <c r="P293">
        <v>83</v>
      </c>
      <c r="Q293">
        <v>0.19700000000000001</v>
      </c>
      <c r="R293">
        <v>0.41</v>
      </c>
      <c r="S293">
        <v>0.44779999999999998</v>
      </c>
      <c r="T293">
        <v>2</v>
      </c>
      <c r="U293">
        <v>81</v>
      </c>
      <c r="V293">
        <v>83</v>
      </c>
    </row>
    <row r="294" spans="1:22" x14ac:dyDescent="0.3">
      <c r="A294">
        <v>292</v>
      </c>
      <c r="B294">
        <v>40556</v>
      </c>
      <c r="C294">
        <v>1</v>
      </c>
      <c r="D294">
        <v>0</v>
      </c>
      <c r="E294">
        <v>1</v>
      </c>
      <c r="F294">
        <v>14</v>
      </c>
      <c r="G294" t="b">
        <v>0</v>
      </c>
      <c r="H294">
        <v>4</v>
      </c>
      <c r="I294">
        <v>1</v>
      </c>
      <c r="J294">
        <v>0.22</v>
      </c>
      <c r="K294">
        <v>0.19700000000000001</v>
      </c>
      <c r="L294">
        <v>0.41</v>
      </c>
      <c r="M294">
        <v>0.3881</v>
      </c>
      <c r="N294">
        <v>3</v>
      </c>
      <c r="O294">
        <v>39</v>
      </c>
      <c r="P294">
        <v>42</v>
      </c>
      <c r="Q294">
        <v>0.19700000000000001</v>
      </c>
      <c r="R294">
        <v>0.41</v>
      </c>
      <c r="S294">
        <v>0.3881</v>
      </c>
      <c r="T294">
        <v>3</v>
      </c>
      <c r="U294">
        <v>39</v>
      </c>
      <c r="V294">
        <v>42</v>
      </c>
    </row>
    <row r="295" spans="1:22" x14ac:dyDescent="0.3">
      <c r="A295">
        <v>293</v>
      </c>
      <c r="B295">
        <v>40556</v>
      </c>
      <c r="C295">
        <v>1</v>
      </c>
      <c r="D295">
        <v>0</v>
      </c>
      <c r="E295">
        <v>1</v>
      </c>
      <c r="F295">
        <v>15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0.29849999999999999</v>
      </c>
      <c r="N295">
        <v>5</v>
      </c>
      <c r="O295">
        <v>55</v>
      </c>
      <c r="P295">
        <v>60</v>
      </c>
      <c r="Q295">
        <v>0.21210000000000001</v>
      </c>
      <c r="R295">
        <v>0.38</v>
      </c>
      <c r="S295">
        <v>0.29849999999999999</v>
      </c>
      <c r="T295">
        <v>5</v>
      </c>
      <c r="U295">
        <v>55</v>
      </c>
      <c r="V295">
        <v>60</v>
      </c>
    </row>
    <row r="296" spans="1:22" x14ac:dyDescent="0.3">
      <c r="A296">
        <v>294</v>
      </c>
      <c r="B296">
        <v>40556</v>
      </c>
      <c r="C296">
        <v>1</v>
      </c>
      <c r="D296">
        <v>0</v>
      </c>
      <c r="E296">
        <v>1</v>
      </c>
      <c r="F296">
        <v>16</v>
      </c>
      <c r="G296" t="b">
        <v>0</v>
      </c>
      <c r="H296">
        <v>4</v>
      </c>
      <c r="I296">
        <v>1</v>
      </c>
      <c r="J296">
        <v>0.24</v>
      </c>
      <c r="K296">
        <v>0.21210000000000001</v>
      </c>
      <c r="L296">
        <v>0.38</v>
      </c>
      <c r="M296">
        <v>0.35820000000000002</v>
      </c>
      <c r="N296">
        <v>2</v>
      </c>
      <c r="O296">
        <v>76</v>
      </c>
      <c r="P296">
        <v>78</v>
      </c>
      <c r="Q296">
        <v>0.21210000000000001</v>
      </c>
      <c r="R296">
        <v>0.38</v>
      </c>
      <c r="S296">
        <v>0.35820000000000002</v>
      </c>
      <c r="T296">
        <v>2</v>
      </c>
      <c r="U296">
        <v>76</v>
      </c>
      <c r="V296">
        <v>78</v>
      </c>
    </row>
    <row r="297" spans="1:22" x14ac:dyDescent="0.3">
      <c r="A297">
        <v>295</v>
      </c>
      <c r="B297">
        <v>40556</v>
      </c>
      <c r="C297">
        <v>1</v>
      </c>
      <c r="D297">
        <v>0</v>
      </c>
      <c r="E297">
        <v>1</v>
      </c>
      <c r="F297">
        <v>17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0.28360000000000002</v>
      </c>
      <c r="N297">
        <v>4</v>
      </c>
      <c r="O297">
        <v>158</v>
      </c>
      <c r="P297">
        <v>162</v>
      </c>
      <c r="Q297">
        <v>0.18179999999999999</v>
      </c>
      <c r="R297">
        <v>0.4</v>
      </c>
      <c r="S297">
        <v>0.28360000000000002</v>
      </c>
      <c r="T297">
        <v>4</v>
      </c>
      <c r="U297">
        <v>158</v>
      </c>
      <c r="V297">
        <v>162</v>
      </c>
    </row>
    <row r="298" spans="1:22" x14ac:dyDescent="0.3">
      <c r="A298">
        <v>296</v>
      </c>
      <c r="B298">
        <v>40556</v>
      </c>
      <c r="C298">
        <v>1</v>
      </c>
      <c r="D298">
        <v>0</v>
      </c>
      <c r="E298">
        <v>1</v>
      </c>
      <c r="F298">
        <v>18</v>
      </c>
      <c r="G298" t="b">
        <v>0</v>
      </c>
      <c r="H298">
        <v>4</v>
      </c>
      <c r="I298">
        <v>1</v>
      </c>
      <c r="J298">
        <v>0.2</v>
      </c>
      <c r="K298">
        <v>0.18179999999999999</v>
      </c>
      <c r="L298">
        <v>0.4</v>
      </c>
      <c r="M298">
        <v>0.32840000000000003</v>
      </c>
      <c r="N298">
        <v>3</v>
      </c>
      <c r="O298">
        <v>141</v>
      </c>
      <c r="P298">
        <v>144</v>
      </c>
      <c r="Q298">
        <v>0.18179999999999999</v>
      </c>
      <c r="R298">
        <v>0.4</v>
      </c>
      <c r="S298">
        <v>0.32840000000000003</v>
      </c>
      <c r="T298">
        <v>3</v>
      </c>
      <c r="U298">
        <v>141</v>
      </c>
      <c r="V298">
        <v>144</v>
      </c>
    </row>
    <row r="299" spans="1:22" x14ac:dyDescent="0.3">
      <c r="A299">
        <v>297</v>
      </c>
      <c r="B299">
        <v>40556</v>
      </c>
      <c r="C299">
        <v>1</v>
      </c>
      <c r="D299">
        <v>0</v>
      </c>
      <c r="E299">
        <v>1</v>
      </c>
      <c r="F299">
        <v>19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0.25369999999999998</v>
      </c>
      <c r="N299">
        <v>1</v>
      </c>
      <c r="O299">
        <v>98</v>
      </c>
      <c r="P299">
        <v>99</v>
      </c>
      <c r="Q299">
        <v>0.1515</v>
      </c>
      <c r="R299">
        <v>0.47</v>
      </c>
      <c r="S299">
        <v>0.25369999999999998</v>
      </c>
      <c r="T299">
        <v>1</v>
      </c>
      <c r="U299">
        <v>98</v>
      </c>
      <c r="V299">
        <v>99</v>
      </c>
    </row>
    <row r="300" spans="1:22" x14ac:dyDescent="0.3">
      <c r="A300">
        <v>298</v>
      </c>
      <c r="B300">
        <v>40556</v>
      </c>
      <c r="C300">
        <v>1</v>
      </c>
      <c r="D300">
        <v>0</v>
      </c>
      <c r="E300">
        <v>1</v>
      </c>
      <c r="F300">
        <v>20</v>
      </c>
      <c r="G300" t="b">
        <v>0</v>
      </c>
      <c r="H300">
        <v>4</v>
      </c>
      <c r="I300">
        <v>1</v>
      </c>
      <c r="J300">
        <v>0.16</v>
      </c>
      <c r="K300">
        <v>0.1515</v>
      </c>
      <c r="L300">
        <v>0.47</v>
      </c>
      <c r="M300">
        <v>0.22389999999999999</v>
      </c>
      <c r="N300">
        <v>0</v>
      </c>
      <c r="O300">
        <v>64</v>
      </c>
      <c r="P300">
        <v>64</v>
      </c>
      <c r="Q300">
        <v>0.1515</v>
      </c>
      <c r="R300">
        <v>0.47</v>
      </c>
      <c r="S300">
        <v>0.22389999999999999</v>
      </c>
      <c r="T300">
        <v>0</v>
      </c>
      <c r="U300">
        <v>64</v>
      </c>
      <c r="V300">
        <v>64</v>
      </c>
    </row>
    <row r="301" spans="1:22" x14ac:dyDescent="0.3">
      <c r="A301">
        <v>299</v>
      </c>
      <c r="B301">
        <v>40556</v>
      </c>
      <c r="C301">
        <v>1</v>
      </c>
      <c r="D301">
        <v>0</v>
      </c>
      <c r="E301">
        <v>1</v>
      </c>
      <c r="F301">
        <v>21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0.29849999999999999</v>
      </c>
      <c r="N301">
        <v>0</v>
      </c>
      <c r="O301">
        <v>40</v>
      </c>
      <c r="P301">
        <v>40</v>
      </c>
      <c r="Q301">
        <v>0.1212</v>
      </c>
      <c r="R301">
        <v>0.46</v>
      </c>
      <c r="S301">
        <v>0.29849999999999999</v>
      </c>
      <c r="T301">
        <v>0</v>
      </c>
      <c r="U301">
        <v>40</v>
      </c>
      <c r="V301">
        <v>40</v>
      </c>
    </row>
    <row r="302" spans="1:22" x14ac:dyDescent="0.3">
      <c r="A302">
        <v>300</v>
      </c>
      <c r="B302">
        <v>40556</v>
      </c>
      <c r="C302">
        <v>1</v>
      </c>
      <c r="D302">
        <v>0</v>
      </c>
      <c r="E302">
        <v>1</v>
      </c>
      <c r="F302">
        <v>22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0.46</v>
      </c>
      <c r="M302">
        <v>0.32840000000000003</v>
      </c>
      <c r="N302">
        <v>0</v>
      </c>
      <c r="O302">
        <v>30</v>
      </c>
      <c r="P302">
        <v>30</v>
      </c>
      <c r="Q302">
        <v>0.1212</v>
      </c>
      <c r="R302">
        <v>0.46</v>
      </c>
      <c r="S302">
        <v>0.32840000000000003</v>
      </c>
      <c r="T302">
        <v>0</v>
      </c>
      <c r="U302">
        <v>30</v>
      </c>
      <c r="V302">
        <v>30</v>
      </c>
    </row>
    <row r="303" spans="1:22" x14ac:dyDescent="0.3">
      <c r="A303">
        <v>301</v>
      </c>
      <c r="B303">
        <v>40556</v>
      </c>
      <c r="C303">
        <v>1</v>
      </c>
      <c r="D303">
        <v>0</v>
      </c>
      <c r="E303">
        <v>1</v>
      </c>
      <c r="F303">
        <v>23</v>
      </c>
      <c r="G303" t="b">
        <v>0</v>
      </c>
      <c r="H303">
        <v>4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1</v>
      </c>
      <c r="O303">
        <v>14</v>
      </c>
      <c r="P303">
        <v>15</v>
      </c>
      <c r="Q303">
        <v>0.13639999999999999</v>
      </c>
      <c r="R303">
        <v>0.5</v>
      </c>
      <c r="S303">
        <v>0.19400000000000001</v>
      </c>
      <c r="T303">
        <v>1</v>
      </c>
      <c r="U303">
        <v>14</v>
      </c>
      <c r="V303">
        <v>15</v>
      </c>
    </row>
    <row r="304" spans="1:22" x14ac:dyDescent="0.3">
      <c r="A304">
        <v>302</v>
      </c>
      <c r="B304">
        <v>40557</v>
      </c>
      <c r="C304">
        <v>1</v>
      </c>
      <c r="D304">
        <v>0</v>
      </c>
      <c r="E304">
        <v>1</v>
      </c>
      <c r="F304">
        <v>0</v>
      </c>
      <c r="G304" t="b">
        <v>0</v>
      </c>
      <c r="H304">
        <v>5</v>
      </c>
      <c r="I304">
        <v>1</v>
      </c>
      <c r="J304">
        <v>0.12</v>
      </c>
      <c r="K304">
        <v>0.13639999999999999</v>
      </c>
      <c r="L304">
        <v>0.5</v>
      </c>
      <c r="M304">
        <v>0.19400000000000001</v>
      </c>
      <c r="N304">
        <v>0</v>
      </c>
      <c r="O304">
        <v>14</v>
      </c>
      <c r="P304">
        <v>14</v>
      </c>
      <c r="Q304">
        <v>0.13639999999999999</v>
      </c>
      <c r="R304">
        <v>0.5</v>
      </c>
      <c r="S304">
        <v>0.19400000000000001</v>
      </c>
      <c r="T304">
        <v>0</v>
      </c>
      <c r="U304">
        <v>14</v>
      </c>
      <c r="V304">
        <v>14</v>
      </c>
    </row>
    <row r="305" spans="1:22" x14ac:dyDescent="0.3">
      <c r="A305">
        <v>303</v>
      </c>
      <c r="B305">
        <v>40557</v>
      </c>
      <c r="C305">
        <v>1</v>
      </c>
      <c r="D305">
        <v>0</v>
      </c>
      <c r="E305">
        <v>1</v>
      </c>
      <c r="F305">
        <v>1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0.16420000000000001</v>
      </c>
      <c r="N305">
        <v>0</v>
      </c>
      <c r="O305">
        <v>5</v>
      </c>
      <c r="P305">
        <v>5</v>
      </c>
      <c r="Q305">
        <v>0.1212</v>
      </c>
      <c r="R305">
        <v>0.54</v>
      </c>
      <c r="S305">
        <v>0.16420000000000001</v>
      </c>
      <c r="T305">
        <v>0</v>
      </c>
      <c r="U305">
        <v>5</v>
      </c>
      <c r="V305">
        <v>5</v>
      </c>
    </row>
    <row r="306" spans="1:22" x14ac:dyDescent="0.3">
      <c r="A306">
        <v>304</v>
      </c>
      <c r="B306">
        <v>40557</v>
      </c>
      <c r="C306">
        <v>1</v>
      </c>
      <c r="D306">
        <v>0</v>
      </c>
      <c r="E306">
        <v>1</v>
      </c>
      <c r="F306">
        <v>2</v>
      </c>
      <c r="G306" t="b">
        <v>0</v>
      </c>
      <c r="H306">
        <v>5</v>
      </c>
      <c r="I306">
        <v>1</v>
      </c>
      <c r="J306">
        <v>0.1</v>
      </c>
      <c r="K306">
        <v>0.1212</v>
      </c>
      <c r="L306">
        <v>0.54</v>
      </c>
      <c r="M306">
        <v>0.1343</v>
      </c>
      <c r="N306">
        <v>0</v>
      </c>
      <c r="O306">
        <v>1</v>
      </c>
      <c r="P306">
        <v>1</v>
      </c>
      <c r="Q306">
        <v>0.1212</v>
      </c>
      <c r="R306">
        <v>0.54</v>
      </c>
      <c r="S306">
        <v>0.1343</v>
      </c>
      <c r="T306">
        <v>0</v>
      </c>
      <c r="U306">
        <v>1</v>
      </c>
      <c r="V306">
        <v>1</v>
      </c>
    </row>
    <row r="307" spans="1:22" x14ac:dyDescent="0.3">
      <c r="A307">
        <v>305</v>
      </c>
      <c r="B307">
        <v>40557</v>
      </c>
      <c r="C307">
        <v>1</v>
      </c>
      <c r="D307">
        <v>0</v>
      </c>
      <c r="E307">
        <v>1</v>
      </c>
      <c r="F307">
        <v>3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0.1045</v>
      </c>
      <c r="N307">
        <v>0</v>
      </c>
      <c r="O307">
        <v>1</v>
      </c>
      <c r="P307">
        <v>1</v>
      </c>
      <c r="Q307">
        <v>0.13639999999999999</v>
      </c>
      <c r="R307">
        <v>0.54</v>
      </c>
      <c r="S307">
        <v>0.1045</v>
      </c>
      <c r="T307">
        <v>0</v>
      </c>
      <c r="U307">
        <v>1</v>
      </c>
      <c r="V307">
        <v>1</v>
      </c>
    </row>
    <row r="308" spans="1:22" x14ac:dyDescent="0.3">
      <c r="A308">
        <v>306</v>
      </c>
      <c r="B308">
        <v>40557</v>
      </c>
      <c r="C308">
        <v>1</v>
      </c>
      <c r="D308">
        <v>0</v>
      </c>
      <c r="E308">
        <v>1</v>
      </c>
      <c r="F308">
        <v>5</v>
      </c>
      <c r="G308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8</v>
      </c>
      <c r="P308">
        <v>8</v>
      </c>
      <c r="Q308">
        <v>0.13639999999999999</v>
      </c>
      <c r="R308">
        <v>0.54</v>
      </c>
      <c r="S308">
        <v>8.9599999999999999E-2</v>
      </c>
      <c r="T308">
        <v>0</v>
      </c>
      <c r="U308">
        <v>8</v>
      </c>
      <c r="V308">
        <v>8</v>
      </c>
    </row>
    <row r="309" spans="1:22" x14ac:dyDescent="0.3">
      <c r="A309">
        <v>307</v>
      </c>
      <c r="B309">
        <v>40557</v>
      </c>
      <c r="C309">
        <v>1</v>
      </c>
      <c r="D309">
        <v>0</v>
      </c>
      <c r="E309">
        <v>1</v>
      </c>
      <c r="F309">
        <v>6</v>
      </c>
      <c r="G309" t="b">
        <v>0</v>
      </c>
      <c r="H309">
        <v>5</v>
      </c>
      <c r="I309">
        <v>1</v>
      </c>
      <c r="J309">
        <v>0.1</v>
      </c>
      <c r="K309">
        <v>0.18179999999999999</v>
      </c>
      <c r="L309">
        <v>0.54</v>
      </c>
      <c r="M309">
        <v>0</v>
      </c>
      <c r="N309">
        <v>0</v>
      </c>
      <c r="O309">
        <v>17</v>
      </c>
      <c r="P309">
        <v>17</v>
      </c>
      <c r="Q309">
        <v>0.18179999999999999</v>
      </c>
      <c r="R309">
        <v>0.54</v>
      </c>
      <c r="S309">
        <v>0</v>
      </c>
      <c r="T309">
        <v>0</v>
      </c>
      <c r="U309">
        <v>17</v>
      </c>
      <c r="V309">
        <v>17</v>
      </c>
    </row>
    <row r="310" spans="1:22" x14ac:dyDescent="0.3">
      <c r="A310">
        <v>308</v>
      </c>
      <c r="B310">
        <v>40557</v>
      </c>
      <c r="C310">
        <v>1</v>
      </c>
      <c r="D310">
        <v>0</v>
      </c>
      <c r="E310">
        <v>1</v>
      </c>
      <c r="F310">
        <v>7</v>
      </c>
      <c r="G310" t="b">
        <v>0</v>
      </c>
      <c r="H310">
        <v>5</v>
      </c>
      <c r="I310">
        <v>1</v>
      </c>
      <c r="J310">
        <v>0.1</v>
      </c>
      <c r="K310">
        <v>0.1212</v>
      </c>
      <c r="L310">
        <v>0.74</v>
      </c>
      <c r="M310">
        <v>0.16420000000000001</v>
      </c>
      <c r="N310">
        <v>0</v>
      </c>
      <c r="O310">
        <v>70</v>
      </c>
      <c r="P310">
        <v>70</v>
      </c>
      <c r="Q310">
        <v>0.1212</v>
      </c>
      <c r="R310">
        <v>0.74</v>
      </c>
      <c r="S310">
        <v>0.16420000000000001</v>
      </c>
      <c r="T310">
        <v>0</v>
      </c>
      <c r="U310">
        <v>70</v>
      </c>
      <c r="V310">
        <v>70</v>
      </c>
    </row>
    <row r="311" spans="1:22" x14ac:dyDescent="0.3">
      <c r="A311">
        <v>309</v>
      </c>
      <c r="B311">
        <v>40557</v>
      </c>
      <c r="C311">
        <v>1</v>
      </c>
      <c r="D311">
        <v>0</v>
      </c>
      <c r="E311">
        <v>1</v>
      </c>
      <c r="F311">
        <v>8</v>
      </c>
      <c r="G311" t="b">
        <v>0</v>
      </c>
      <c r="H311">
        <v>5</v>
      </c>
      <c r="I311">
        <v>1</v>
      </c>
      <c r="J311">
        <v>0.12</v>
      </c>
      <c r="K311">
        <v>0.16669999999999999</v>
      </c>
      <c r="L311">
        <v>0.68</v>
      </c>
      <c r="M311">
        <v>0</v>
      </c>
      <c r="N311">
        <v>2</v>
      </c>
      <c r="O311">
        <v>156</v>
      </c>
      <c r="P311">
        <v>158</v>
      </c>
      <c r="Q311">
        <v>0.16669999999999999</v>
      </c>
      <c r="R311">
        <v>0.68</v>
      </c>
      <c r="S311">
        <v>0</v>
      </c>
      <c r="T311">
        <v>2</v>
      </c>
      <c r="U311">
        <v>156</v>
      </c>
      <c r="V311">
        <v>158</v>
      </c>
    </row>
    <row r="312" spans="1:22" x14ac:dyDescent="0.3">
      <c r="A312">
        <v>310</v>
      </c>
      <c r="B312">
        <v>40557</v>
      </c>
      <c r="C312">
        <v>1</v>
      </c>
      <c r="D312">
        <v>0</v>
      </c>
      <c r="E312">
        <v>1</v>
      </c>
      <c r="F312">
        <v>9</v>
      </c>
      <c r="G312" t="b">
        <v>0</v>
      </c>
      <c r="H312">
        <v>5</v>
      </c>
      <c r="I312">
        <v>1</v>
      </c>
      <c r="J312">
        <v>0.14000000000000001</v>
      </c>
      <c r="K312">
        <v>0.1515</v>
      </c>
      <c r="L312">
        <v>0.69</v>
      </c>
      <c r="M312">
        <v>0.1343</v>
      </c>
      <c r="N312">
        <v>0</v>
      </c>
      <c r="O312">
        <v>117</v>
      </c>
      <c r="P312">
        <v>117</v>
      </c>
      <c r="Q312">
        <v>0.1515</v>
      </c>
      <c r="R312">
        <v>0.69</v>
      </c>
      <c r="S312">
        <v>0.1343</v>
      </c>
      <c r="T312">
        <v>0</v>
      </c>
      <c r="U312">
        <v>117</v>
      </c>
      <c r="V312">
        <v>117</v>
      </c>
    </row>
    <row r="313" spans="1:22" x14ac:dyDescent="0.3">
      <c r="A313">
        <v>311</v>
      </c>
      <c r="B313">
        <v>40557</v>
      </c>
      <c r="C313">
        <v>1</v>
      </c>
      <c r="D313">
        <v>0</v>
      </c>
      <c r="E313">
        <v>1</v>
      </c>
      <c r="F313">
        <v>10</v>
      </c>
      <c r="G313" t="b">
        <v>0</v>
      </c>
      <c r="H313">
        <v>5</v>
      </c>
      <c r="I313">
        <v>1</v>
      </c>
      <c r="J313">
        <v>0.18</v>
      </c>
      <c r="K313">
        <v>0.18179999999999999</v>
      </c>
      <c r="L313">
        <v>0.55000000000000004</v>
      </c>
      <c r="M313">
        <v>0.19400000000000001</v>
      </c>
      <c r="N313">
        <v>4</v>
      </c>
      <c r="O313">
        <v>40</v>
      </c>
      <c r="P313">
        <v>44</v>
      </c>
      <c r="Q313">
        <v>0.18179999999999999</v>
      </c>
      <c r="R313">
        <v>0.55000000000000004</v>
      </c>
      <c r="S313">
        <v>0.19400000000000001</v>
      </c>
      <c r="T313">
        <v>4</v>
      </c>
      <c r="U313">
        <v>40</v>
      </c>
      <c r="V313">
        <v>44</v>
      </c>
    </row>
    <row r="314" spans="1:22" x14ac:dyDescent="0.3">
      <c r="A314">
        <v>312</v>
      </c>
      <c r="B314">
        <v>40557</v>
      </c>
      <c r="C314">
        <v>1</v>
      </c>
      <c r="D314">
        <v>0</v>
      </c>
      <c r="E314">
        <v>1</v>
      </c>
      <c r="F314">
        <v>11</v>
      </c>
      <c r="G314" t="b">
        <v>0</v>
      </c>
      <c r="H314">
        <v>5</v>
      </c>
      <c r="I314">
        <v>1</v>
      </c>
      <c r="J314">
        <v>0.18</v>
      </c>
      <c r="K314">
        <v>0.16669999999999999</v>
      </c>
      <c r="L314">
        <v>0.51</v>
      </c>
      <c r="M314">
        <v>0.28360000000000002</v>
      </c>
      <c r="N314">
        <v>6</v>
      </c>
      <c r="O314">
        <v>47</v>
      </c>
      <c r="P314">
        <v>53</v>
      </c>
      <c r="Q314">
        <v>0.16669999999999999</v>
      </c>
      <c r="R314">
        <v>0.51</v>
      </c>
      <c r="S314">
        <v>0.28360000000000002</v>
      </c>
      <c r="T314">
        <v>6</v>
      </c>
      <c r="U314">
        <v>47</v>
      </c>
      <c r="V314">
        <v>53</v>
      </c>
    </row>
    <row r="315" spans="1:22" x14ac:dyDescent="0.3">
      <c r="A315">
        <v>313</v>
      </c>
      <c r="B315">
        <v>40557</v>
      </c>
      <c r="C315">
        <v>1</v>
      </c>
      <c r="D315">
        <v>0</v>
      </c>
      <c r="E315">
        <v>1</v>
      </c>
      <c r="F315">
        <v>12</v>
      </c>
      <c r="G315" t="b">
        <v>0</v>
      </c>
      <c r="H315">
        <v>5</v>
      </c>
      <c r="I315">
        <v>1</v>
      </c>
      <c r="J315">
        <v>0.2</v>
      </c>
      <c r="K315">
        <v>0.19700000000000001</v>
      </c>
      <c r="L315">
        <v>0.44</v>
      </c>
      <c r="M315">
        <v>0.25369999999999998</v>
      </c>
      <c r="N315">
        <v>2</v>
      </c>
      <c r="O315">
        <v>59</v>
      </c>
      <c r="P315">
        <v>61</v>
      </c>
      <c r="Q315">
        <v>0.19700000000000001</v>
      </c>
      <c r="R315">
        <v>0.44</v>
      </c>
      <c r="S315">
        <v>0.25369999999999998</v>
      </c>
      <c r="T315">
        <v>2</v>
      </c>
      <c r="U315">
        <v>59</v>
      </c>
      <c r="V315">
        <v>61</v>
      </c>
    </row>
    <row r="316" spans="1:22" x14ac:dyDescent="0.3">
      <c r="A316">
        <v>314</v>
      </c>
      <c r="B316">
        <v>40557</v>
      </c>
      <c r="C316">
        <v>1</v>
      </c>
      <c r="D316">
        <v>0</v>
      </c>
      <c r="E316">
        <v>1</v>
      </c>
      <c r="F316">
        <v>13</v>
      </c>
      <c r="G316" t="b">
        <v>0</v>
      </c>
      <c r="H316">
        <v>5</v>
      </c>
      <c r="I316">
        <v>1</v>
      </c>
      <c r="J316">
        <v>0.22</v>
      </c>
      <c r="K316">
        <v>0.19700000000000001</v>
      </c>
      <c r="L316">
        <v>0.37</v>
      </c>
      <c r="M316">
        <v>0.3881</v>
      </c>
      <c r="N316">
        <v>4</v>
      </c>
      <c r="O316">
        <v>73</v>
      </c>
      <c r="P316">
        <v>77</v>
      </c>
      <c r="Q316">
        <v>0.19700000000000001</v>
      </c>
      <c r="R316">
        <v>0.37</v>
      </c>
      <c r="S316">
        <v>0.3881</v>
      </c>
      <c r="T316">
        <v>4</v>
      </c>
      <c r="U316">
        <v>73</v>
      </c>
      <c r="V316">
        <v>77</v>
      </c>
    </row>
    <row r="317" spans="1:22" x14ac:dyDescent="0.3">
      <c r="A317">
        <v>315</v>
      </c>
      <c r="B317">
        <v>40557</v>
      </c>
      <c r="C317">
        <v>1</v>
      </c>
      <c r="D317">
        <v>0</v>
      </c>
      <c r="E317">
        <v>1</v>
      </c>
      <c r="F317">
        <v>14</v>
      </c>
      <c r="G317" t="b">
        <v>0</v>
      </c>
      <c r="H317">
        <v>5</v>
      </c>
      <c r="I317">
        <v>1</v>
      </c>
      <c r="J317">
        <v>0.22</v>
      </c>
      <c r="K317">
        <v>0.21210000000000001</v>
      </c>
      <c r="L317">
        <v>0.41</v>
      </c>
      <c r="M317">
        <v>0.28360000000000002</v>
      </c>
      <c r="N317">
        <v>5</v>
      </c>
      <c r="O317">
        <v>59</v>
      </c>
      <c r="P317">
        <v>64</v>
      </c>
      <c r="Q317">
        <v>0.21210000000000001</v>
      </c>
      <c r="R317">
        <v>0.41</v>
      </c>
      <c r="S317">
        <v>0.28360000000000002</v>
      </c>
      <c r="T317">
        <v>5</v>
      </c>
      <c r="U317">
        <v>59</v>
      </c>
      <c r="V317">
        <v>64</v>
      </c>
    </row>
    <row r="318" spans="1:22" x14ac:dyDescent="0.3">
      <c r="A318">
        <v>316</v>
      </c>
      <c r="B318">
        <v>40557</v>
      </c>
      <c r="C318">
        <v>1</v>
      </c>
      <c r="D318">
        <v>0</v>
      </c>
      <c r="E318">
        <v>1</v>
      </c>
      <c r="F318">
        <v>15</v>
      </c>
      <c r="G318" t="b">
        <v>0</v>
      </c>
      <c r="H318">
        <v>5</v>
      </c>
      <c r="I318">
        <v>1</v>
      </c>
      <c r="J318">
        <v>0.24</v>
      </c>
      <c r="K318">
        <v>0.2424</v>
      </c>
      <c r="L318">
        <v>0.38</v>
      </c>
      <c r="M318">
        <v>0.16420000000000001</v>
      </c>
      <c r="N318">
        <v>9</v>
      </c>
      <c r="O318">
        <v>59</v>
      </c>
      <c r="P318">
        <v>68</v>
      </c>
      <c r="Q318">
        <v>0.2424</v>
      </c>
      <c r="R318">
        <v>0.38</v>
      </c>
      <c r="S318">
        <v>0.16420000000000001</v>
      </c>
      <c r="T318">
        <v>9</v>
      </c>
      <c r="U318">
        <v>59</v>
      </c>
      <c r="V318">
        <v>68</v>
      </c>
    </row>
    <row r="319" spans="1:22" x14ac:dyDescent="0.3">
      <c r="A319">
        <v>317</v>
      </c>
      <c r="B319">
        <v>40557</v>
      </c>
      <c r="C319">
        <v>1</v>
      </c>
      <c r="D319">
        <v>0</v>
      </c>
      <c r="E319">
        <v>1</v>
      </c>
      <c r="F319">
        <v>16</v>
      </c>
      <c r="G319" t="b">
        <v>0</v>
      </c>
      <c r="H319">
        <v>5</v>
      </c>
      <c r="I319">
        <v>1</v>
      </c>
      <c r="J319">
        <v>0.22</v>
      </c>
      <c r="K319">
        <v>0.2424</v>
      </c>
      <c r="L319">
        <v>0.41</v>
      </c>
      <c r="M319">
        <v>0.1045</v>
      </c>
      <c r="N319">
        <v>3</v>
      </c>
      <c r="O319">
        <v>87</v>
      </c>
      <c r="P319">
        <v>90</v>
      </c>
      <c r="Q319">
        <v>0.2424</v>
      </c>
      <c r="R319">
        <v>0.41</v>
      </c>
      <c r="S319">
        <v>0.1045</v>
      </c>
      <c r="T319">
        <v>3</v>
      </c>
      <c r="U319">
        <v>87</v>
      </c>
      <c r="V319">
        <v>90</v>
      </c>
    </row>
    <row r="320" spans="1:22" x14ac:dyDescent="0.3">
      <c r="A320">
        <v>318</v>
      </c>
      <c r="B320">
        <v>40557</v>
      </c>
      <c r="C320">
        <v>1</v>
      </c>
      <c r="D320">
        <v>0</v>
      </c>
      <c r="E320">
        <v>1</v>
      </c>
      <c r="F320">
        <v>17</v>
      </c>
      <c r="G320" t="b">
        <v>0</v>
      </c>
      <c r="H320">
        <v>5</v>
      </c>
      <c r="I320">
        <v>1</v>
      </c>
      <c r="J320">
        <v>0.22</v>
      </c>
      <c r="K320">
        <v>0.2273</v>
      </c>
      <c r="L320">
        <v>0.41</v>
      </c>
      <c r="M320">
        <v>0.16420000000000001</v>
      </c>
      <c r="N320">
        <v>4</v>
      </c>
      <c r="O320">
        <v>155</v>
      </c>
      <c r="P320">
        <v>159</v>
      </c>
      <c r="Q320">
        <v>0.2273</v>
      </c>
      <c r="R320">
        <v>0.41</v>
      </c>
      <c r="S320">
        <v>0.16420000000000001</v>
      </c>
      <c r="T320">
        <v>4</v>
      </c>
      <c r="U320">
        <v>155</v>
      </c>
      <c r="V320">
        <v>159</v>
      </c>
    </row>
    <row r="321" spans="1:22" x14ac:dyDescent="0.3">
      <c r="A321">
        <v>319</v>
      </c>
      <c r="B321">
        <v>40557</v>
      </c>
      <c r="C321">
        <v>1</v>
      </c>
      <c r="D321">
        <v>0</v>
      </c>
      <c r="E321">
        <v>1</v>
      </c>
      <c r="F321">
        <v>18</v>
      </c>
      <c r="G321" t="b">
        <v>0</v>
      </c>
      <c r="H321">
        <v>5</v>
      </c>
      <c r="I321">
        <v>1</v>
      </c>
      <c r="J321">
        <v>0.2</v>
      </c>
      <c r="K321">
        <v>0.2576</v>
      </c>
      <c r="L321">
        <v>0.47</v>
      </c>
      <c r="M321">
        <v>0</v>
      </c>
      <c r="N321">
        <v>5</v>
      </c>
      <c r="O321">
        <v>134</v>
      </c>
      <c r="P321">
        <v>139</v>
      </c>
      <c r="Q321">
        <v>0.2576</v>
      </c>
      <c r="R321">
        <v>0.47</v>
      </c>
      <c r="S321">
        <v>0</v>
      </c>
      <c r="T321">
        <v>5</v>
      </c>
      <c r="U321">
        <v>134</v>
      </c>
      <c r="V321">
        <v>139</v>
      </c>
    </row>
    <row r="322" spans="1:22" x14ac:dyDescent="0.3">
      <c r="A322">
        <v>320</v>
      </c>
      <c r="B322">
        <v>40557</v>
      </c>
      <c r="C322">
        <v>1</v>
      </c>
      <c r="D322">
        <v>0</v>
      </c>
      <c r="E322">
        <v>1</v>
      </c>
      <c r="F322">
        <v>19</v>
      </c>
      <c r="G322" t="b">
        <v>0</v>
      </c>
      <c r="H322">
        <v>5</v>
      </c>
      <c r="I322">
        <v>1</v>
      </c>
      <c r="J322">
        <v>0.16</v>
      </c>
      <c r="K322">
        <v>0.19700000000000001</v>
      </c>
      <c r="L322">
        <v>0.59</v>
      </c>
      <c r="M322">
        <v>8.9599999999999999E-2</v>
      </c>
      <c r="N322">
        <v>3</v>
      </c>
      <c r="O322">
        <v>89</v>
      </c>
      <c r="P322">
        <v>92</v>
      </c>
      <c r="Q322">
        <v>0.19700000000000001</v>
      </c>
      <c r="R322">
        <v>0.59</v>
      </c>
      <c r="S322">
        <v>8.9599999999999999E-2</v>
      </c>
      <c r="T322">
        <v>3</v>
      </c>
      <c r="U322">
        <v>89</v>
      </c>
      <c r="V322">
        <v>92</v>
      </c>
    </row>
    <row r="323" spans="1:22" x14ac:dyDescent="0.3">
      <c r="A323">
        <v>321</v>
      </c>
      <c r="B323">
        <v>40557</v>
      </c>
      <c r="C323">
        <v>1</v>
      </c>
      <c r="D323">
        <v>0</v>
      </c>
      <c r="E323">
        <v>1</v>
      </c>
      <c r="F323">
        <v>20</v>
      </c>
      <c r="G323" t="b">
        <v>0</v>
      </c>
      <c r="H323">
        <v>5</v>
      </c>
      <c r="I323">
        <v>1</v>
      </c>
      <c r="J323">
        <v>0.18</v>
      </c>
      <c r="K323">
        <v>0.2424</v>
      </c>
      <c r="L323">
        <v>0.59</v>
      </c>
      <c r="M323">
        <v>0</v>
      </c>
      <c r="N323">
        <v>0</v>
      </c>
      <c r="O323">
        <v>68</v>
      </c>
      <c r="P323">
        <v>68</v>
      </c>
      <c r="Q323">
        <v>0.2424</v>
      </c>
      <c r="R323">
        <v>0.59</v>
      </c>
      <c r="S323">
        <v>0</v>
      </c>
      <c r="T323">
        <v>0</v>
      </c>
      <c r="U323">
        <v>68</v>
      </c>
      <c r="V323">
        <v>68</v>
      </c>
    </row>
    <row r="324" spans="1:22" x14ac:dyDescent="0.3">
      <c r="A324">
        <v>322</v>
      </c>
      <c r="B324">
        <v>40557</v>
      </c>
      <c r="C324">
        <v>1</v>
      </c>
      <c r="D324">
        <v>0</v>
      </c>
      <c r="E324">
        <v>1</v>
      </c>
      <c r="F324">
        <v>21</v>
      </c>
      <c r="G324" t="b">
        <v>0</v>
      </c>
      <c r="H324">
        <v>5</v>
      </c>
      <c r="I324">
        <v>1</v>
      </c>
      <c r="J324">
        <v>0.16</v>
      </c>
      <c r="K324">
        <v>0.2273</v>
      </c>
      <c r="L324">
        <v>0.69</v>
      </c>
      <c r="M324">
        <v>0</v>
      </c>
      <c r="N324">
        <v>4</v>
      </c>
      <c r="O324">
        <v>48</v>
      </c>
      <c r="P324">
        <v>52</v>
      </c>
      <c r="Q324">
        <v>0.2273</v>
      </c>
      <c r="R324">
        <v>0.69</v>
      </c>
      <c r="S324">
        <v>0</v>
      </c>
      <c r="T324">
        <v>4</v>
      </c>
      <c r="U324">
        <v>48</v>
      </c>
      <c r="V324">
        <v>52</v>
      </c>
    </row>
    <row r="325" spans="1:22" x14ac:dyDescent="0.3">
      <c r="A325">
        <v>323</v>
      </c>
      <c r="B325">
        <v>40557</v>
      </c>
      <c r="C325">
        <v>1</v>
      </c>
      <c r="D325">
        <v>0</v>
      </c>
      <c r="E325">
        <v>1</v>
      </c>
      <c r="F325">
        <v>22</v>
      </c>
      <c r="G325" t="b">
        <v>0</v>
      </c>
      <c r="H325">
        <v>5</v>
      </c>
      <c r="I325">
        <v>2</v>
      </c>
      <c r="J325">
        <v>0.16</v>
      </c>
      <c r="K325">
        <v>0.2273</v>
      </c>
      <c r="L325">
        <v>0.69</v>
      </c>
      <c r="M325">
        <v>0</v>
      </c>
      <c r="N325">
        <v>2</v>
      </c>
      <c r="O325">
        <v>34</v>
      </c>
      <c r="P325">
        <v>36</v>
      </c>
      <c r="Q325">
        <v>0.2273</v>
      </c>
      <c r="R325">
        <v>0.69</v>
      </c>
      <c r="S325">
        <v>0</v>
      </c>
      <c r="T325">
        <v>2</v>
      </c>
      <c r="U325">
        <v>34</v>
      </c>
      <c r="V325">
        <v>36</v>
      </c>
    </row>
    <row r="326" spans="1:22" x14ac:dyDescent="0.3">
      <c r="A326">
        <v>324</v>
      </c>
      <c r="B326">
        <v>40557</v>
      </c>
      <c r="C326">
        <v>1</v>
      </c>
      <c r="D326">
        <v>0</v>
      </c>
      <c r="E326">
        <v>1</v>
      </c>
      <c r="F326">
        <v>23</v>
      </c>
      <c r="G326" t="b">
        <v>0</v>
      </c>
      <c r="H326">
        <v>5</v>
      </c>
      <c r="I326">
        <v>2</v>
      </c>
      <c r="J326">
        <v>0.18</v>
      </c>
      <c r="K326">
        <v>0.2424</v>
      </c>
      <c r="L326">
        <v>0.55000000000000004</v>
      </c>
      <c r="M326">
        <v>0</v>
      </c>
      <c r="N326">
        <v>1</v>
      </c>
      <c r="O326">
        <v>26</v>
      </c>
      <c r="P326">
        <v>27</v>
      </c>
      <c r="Q326">
        <v>0.2424</v>
      </c>
      <c r="R326">
        <v>0.55000000000000004</v>
      </c>
      <c r="S326">
        <v>0</v>
      </c>
      <c r="T326">
        <v>1</v>
      </c>
      <c r="U326">
        <v>26</v>
      </c>
      <c r="V326">
        <v>27</v>
      </c>
    </row>
    <row r="327" spans="1:22" x14ac:dyDescent="0.3">
      <c r="A327">
        <v>325</v>
      </c>
      <c r="B327">
        <v>40558</v>
      </c>
      <c r="C327">
        <v>1</v>
      </c>
      <c r="D327">
        <v>0</v>
      </c>
      <c r="E327">
        <v>1</v>
      </c>
      <c r="F327">
        <v>0</v>
      </c>
      <c r="G327" t="b">
        <v>0</v>
      </c>
      <c r="H327">
        <v>6</v>
      </c>
      <c r="I327">
        <v>1</v>
      </c>
      <c r="J327">
        <v>0.18</v>
      </c>
      <c r="K327">
        <v>0.2424</v>
      </c>
      <c r="L327">
        <v>0.55000000000000004</v>
      </c>
      <c r="M327">
        <v>0</v>
      </c>
      <c r="N327">
        <v>3</v>
      </c>
      <c r="O327">
        <v>25</v>
      </c>
      <c r="P327">
        <v>28</v>
      </c>
      <c r="Q327">
        <v>0.2424</v>
      </c>
      <c r="R327">
        <v>0.55000000000000004</v>
      </c>
      <c r="S327">
        <v>0</v>
      </c>
      <c r="T327">
        <v>3</v>
      </c>
      <c r="U327">
        <v>25</v>
      </c>
      <c r="V327">
        <v>28</v>
      </c>
    </row>
    <row r="328" spans="1:22" x14ac:dyDescent="0.3">
      <c r="A328">
        <v>326</v>
      </c>
      <c r="B328">
        <v>40558</v>
      </c>
      <c r="C328">
        <v>1</v>
      </c>
      <c r="D328">
        <v>0</v>
      </c>
      <c r="E328">
        <v>1</v>
      </c>
      <c r="F328">
        <v>1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2</v>
      </c>
      <c r="O328">
        <v>18</v>
      </c>
      <c r="P328">
        <v>20</v>
      </c>
      <c r="Q328">
        <v>0.19700000000000001</v>
      </c>
      <c r="R328">
        <v>0.59</v>
      </c>
      <c r="S328">
        <v>8.9599999999999999E-2</v>
      </c>
      <c r="T328">
        <v>2</v>
      </c>
      <c r="U328">
        <v>18</v>
      </c>
      <c r="V328">
        <v>20</v>
      </c>
    </row>
    <row r="329" spans="1:22" x14ac:dyDescent="0.3">
      <c r="A329">
        <v>327</v>
      </c>
      <c r="B329">
        <v>40558</v>
      </c>
      <c r="C329">
        <v>1</v>
      </c>
      <c r="D329">
        <v>0</v>
      </c>
      <c r="E329">
        <v>1</v>
      </c>
      <c r="F329">
        <v>2</v>
      </c>
      <c r="G329" t="b">
        <v>0</v>
      </c>
      <c r="H329">
        <v>6</v>
      </c>
      <c r="I329">
        <v>2</v>
      </c>
      <c r="J329">
        <v>0.16</v>
      </c>
      <c r="K329">
        <v>0.19700000000000001</v>
      </c>
      <c r="L329">
        <v>0.59</v>
      </c>
      <c r="M329">
        <v>8.9599999999999999E-2</v>
      </c>
      <c r="N329">
        <v>0</v>
      </c>
      <c r="O329">
        <v>12</v>
      </c>
      <c r="P329">
        <v>12</v>
      </c>
      <c r="Q329">
        <v>0.19700000000000001</v>
      </c>
      <c r="R329">
        <v>0.59</v>
      </c>
      <c r="S329">
        <v>8.9599999999999999E-2</v>
      </c>
      <c r="T329">
        <v>0</v>
      </c>
      <c r="U329">
        <v>12</v>
      </c>
      <c r="V329">
        <v>12</v>
      </c>
    </row>
    <row r="330" spans="1:22" x14ac:dyDescent="0.3">
      <c r="A330">
        <v>328</v>
      </c>
      <c r="B330">
        <v>40558</v>
      </c>
      <c r="C330">
        <v>1</v>
      </c>
      <c r="D330">
        <v>0</v>
      </c>
      <c r="E330">
        <v>1</v>
      </c>
      <c r="F330">
        <v>3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1</v>
      </c>
      <c r="O330">
        <v>7</v>
      </c>
      <c r="P330">
        <v>8</v>
      </c>
      <c r="Q330">
        <v>0.2273</v>
      </c>
      <c r="R330">
        <v>0.59</v>
      </c>
      <c r="S330">
        <v>0</v>
      </c>
      <c r="T330">
        <v>1</v>
      </c>
      <c r="U330">
        <v>7</v>
      </c>
      <c r="V330">
        <v>8</v>
      </c>
    </row>
    <row r="331" spans="1:22" x14ac:dyDescent="0.3">
      <c r="A331">
        <v>329</v>
      </c>
      <c r="B331">
        <v>40558</v>
      </c>
      <c r="C331">
        <v>1</v>
      </c>
      <c r="D331">
        <v>0</v>
      </c>
      <c r="E331">
        <v>1</v>
      </c>
      <c r="F331">
        <v>4</v>
      </c>
      <c r="G331" t="b">
        <v>0</v>
      </c>
      <c r="H331">
        <v>6</v>
      </c>
      <c r="I331">
        <v>2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5</v>
      </c>
      <c r="P331">
        <v>5</v>
      </c>
      <c r="Q331">
        <v>0.2273</v>
      </c>
      <c r="R331">
        <v>0.59</v>
      </c>
      <c r="S331">
        <v>0</v>
      </c>
      <c r="T331">
        <v>0</v>
      </c>
      <c r="U331">
        <v>5</v>
      </c>
      <c r="V331">
        <v>5</v>
      </c>
    </row>
    <row r="332" spans="1:22" x14ac:dyDescent="0.3">
      <c r="A332">
        <v>330</v>
      </c>
      <c r="B332">
        <v>40558</v>
      </c>
      <c r="C332">
        <v>1</v>
      </c>
      <c r="D332">
        <v>0</v>
      </c>
      <c r="E332">
        <v>1</v>
      </c>
      <c r="F332">
        <v>5</v>
      </c>
      <c r="G332" t="b">
        <v>0</v>
      </c>
      <c r="H332">
        <v>6</v>
      </c>
      <c r="I332">
        <v>1</v>
      </c>
      <c r="J332">
        <v>0.16</v>
      </c>
      <c r="K332">
        <v>0.2273</v>
      </c>
      <c r="L332">
        <v>0.59</v>
      </c>
      <c r="M332">
        <v>0</v>
      </c>
      <c r="N332">
        <v>0</v>
      </c>
      <c r="O332">
        <v>1</v>
      </c>
      <c r="P332">
        <v>1</v>
      </c>
      <c r="Q332">
        <v>0.2273</v>
      </c>
      <c r="R332">
        <v>0.59</v>
      </c>
      <c r="S332">
        <v>0</v>
      </c>
      <c r="T332">
        <v>0</v>
      </c>
      <c r="U332">
        <v>1</v>
      </c>
      <c r="V332">
        <v>1</v>
      </c>
    </row>
    <row r="333" spans="1:22" x14ac:dyDescent="0.3">
      <c r="A333">
        <v>331</v>
      </c>
      <c r="B333">
        <v>40558</v>
      </c>
      <c r="C333">
        <v>1</v>
      </c>
      <c r="D333">
        <v>0</v>
      </c>
      <c r="E333">
        <v>1</v>
      </c>
      <c r="F333">
        <v>6</v>
      </c>
      <c r="G333" t="b">
        <v>0</v>
      </c>
      <c r="H333">
        <v>6</v>
      </c>
      <c r="I333">
        <v>1</v>
      </c>
      <c r="J333">
        <v>0.14000000000000001</v>
      </c>
      <c r="K333">
        <v>0.16669999999999999</v>
      </c>
      <c r="L333">
        <v>0.63</v>
      </c>
      <c r="M333">
        <v>0.1045</v>
      </c>
      <c r="N333">
        <v>1</v>
      </c>
      <c r="O333">
        <v>2</v>
      </c>
      <c r="P333">
        <v>3</v>
      </c>
      <c r="Q333">
        <v>0.16669999999999999</v>
      </c>
      <c r="R333">
        <v>0.63</v>
      </c>
      <c r="S333">
        <v>0.1045</v>
      </c>
      <c r="T333">
        <v>1</v>
      </c>
      <c r="U333">
        <v>2</v>
      </c>
      <c r="V333">
        <v>3</v>
      </c>
    </row>
    <row r="334" spans="1:22" x14ac:dyDescent="0.3">
      <c r="A334">
        <v>332</v>
      </c>
      <c r="B334">
        <v>40558</v>
      </c>
      <c r="C334">
        <v>1</v>
      </c>
      <c r="D334">
        <v>0</v>
      </c>
      <c r="E334">
        <v>1</v>
      </c>
      <c r="F334">
        <v>7</v>
      </c>
      <c r="G334" t="b">
        <v>0</v>
      </c>
      <c r="H334">
        <v>6</v>
      </c>
      <c r="I334">
        <v>1</v>
      </c>
      <c r="J334">
        <v>0.14000000000000001</v>
      </c>
      <c r="K334">
        <v>0.21210000000000001</v>
      </c>
      <c r="L334">
        <v>0.63</v>
      </c>
      <c r="M334">
        <v>0</v>
      </c>
      <c r="N334">
        <v>1</v>
      </c>
      <c r="O334">
        <v>9</v>
      </c>
      <c r="P334">
        <v>10</v>
      </c>
      <c r="Q334">
        <v>0.21210000000000001</v>
      </c>
      <c r="R334">
        <v>0.63</v>
      </c>
      <c r="S334">
        <v>0</v>
      </c>
      <c r="T334">
        <v>1</v>
      </c>
      <c r="U334">
        <v>9</v>
      </c>
      <c r="V334">
        <v>10</v>
      </c>
    </row>
    <row r="335" spans="1:22" x14ac:dyDescent="0.3">
      <c r="A335">
        <v>333</v>
      </c>
      <c r="B335">
        <v>40558</v>
      </c>
      <c r="C335">
        <v>1</v>
      </c>
      <c r="D335">
        <v>0</v>
      </c>
      <c r="E335">
        <v>1</v>
      </c>
      <c r="F335">
        <v>8</v>
      </c>
      <c r="G335" t="b">
        <v>0</v>
      </c>
      <c r="H335">
        <v>6</v>
      </c>
      <c r="I335">
        <v>1</v>
      </c>
      <c r="J335">
        <v>0.14000000000000001</v>
      </c>
      <c r="K335">
        <v>0.1515</v>
      </c>
      <c r="L335">
        <v>0.63</v>
      </c>
      <c r="M335">
        <v>0.1343</v>
      </c>
      <c r="N335">
        <v>1</v>
      </c>
      <c r="O335">
        <v>22</v>
      </c>
      <c r="P335">
        <v>23</v>
      </c>
      <c r="Q335">
        <v>0.1515</v>
      </c>
      <c r="R335">
        <v>0.63</v>
      </c>
      <c r="S335">
        <v>0.1343</v>
      </c>
      <c r="T335">
        <v>1</v>
      </c>
      <c r="U335">
        <v>22</v>
      </c>
      <c r="V335">
        <v>23</v>
      </c>
    </row>
    <row r="336" spans="1:22" x14ac:dyDescent="0.3">
      <c r="A336">
        <v>334</v>
      </c>
      <c r="B336">
        <v>40558</v>
      </c>
      <c r="C336">
        <v>1</v>
      </c>
      <c r="D336">
        <v>0</v>
      </c>
      <c r="E336">
        <v>1</v>
      </c>
      <c r="F336">
        <v>9</v>
      </c>
      <c r="G336" t="b">
        <v>0</v>
      </c>
      <c r="H336">
        <v>6</v>
      </c>
      <c r="I336">
        <v>1</v>
      </c>
      <c r="J336">
        <v>0.16</v>
      </c>
      <c r="K336">
        <v>0.18179999999999999</v>
      </c>
      <c r="L336">
        <v>0.64</v>
      </c>
      <c r="M336">
        <v>0.1343</v>
      </c>
      <c r="N336">
        <v>2</v>
      </c>
      <c r="O336">
        <v>31</v>
      </c>
      <c r="P336">
        <v>33</v>
      </c>
      <c r="Q336">
        <v>0.18179999999999999</v>
      </c>
      <c r="R336">
        <v>0.64</v>
      </c>
      <c r="S336">
        <v>0.1343</v>
      </c>
      <c r="T336">
        <v>2</v>
      </c>
      <c r="U336">
        <v>31</v>
      </c>
      <c r="V336">
        <v>33</v>
      </c>
    </row>
    <row r="337" spans="1:22" x14ac:dyDescent="0.3">
      <c r="A337">
        <v>335</v>
      </c>
      <c r="B337">
        <v>40558</v>
      </c>
      <c r="C337">
        <v>1</v>
      </c>
      <c r="D337">
        <v>0</v>
      </c>
      <c r="E337">
        <v>1</v>
      </c>
      <c r="F337">
        <v>10</v>
      </c>
      <c r="G337" t="b">
        <v>0</v>
      </c>
      <c r="H337">
        <v>6</v>
      </c>
      <c r="I337">
        <v>1</v>
      </c>
      <c r="J337">
        <v>0.18</v>
      </c>
      <c r="K337">
        <v>0.19700000000000001</v>
      </c>
      <c r="L337">
        <v>0.59</v>
      </c>
      <c r="M337">
        <v>0.16420000000000001</v>
      </c>
      <c r="N337">
        <v>2</v>
      </c>
      <c r="O337">
        <v>57</v>
      </c>
      <c r="P337">
        <v>59</v>
      </c>
      <c r="Q337">
        <v>0.19700000000000001</v>
      </c>
      <c r="R337">
        <v>0.59</v>
      </c>
      <c r="S337">
        <v>0.16420000000000001</v>
      </c>
      <c r="T337">
        <v>2</v>
      </c>
      <c r="U337">
        <v>57</v>
      </c>
      <c r="V337">
        <v>59</v>
      </c>
    </row>
    <row r="338" spans="1:22" x14ac:dyDescent="0.3">
      <c r="A338">
        <v>336</v>
      </c>
      <c r="B338">
        <v>40558</v>
      </c>
      <c r="C338">
        <v>1</v>
      </c>
      <c r="D338">
        <v>0</v>
      </c>
      <c r="E338">
        <v>1</v>
      </c>
      <c r="F338">
        <v>11</v>
      </c>
      <c r="G338" t="b">
        <v>0</v>
      </c>
      <c r="H338">
        <v>6</v>
      </c>
      <c r="I338">
        <v>1</v>
      </c>
      <c r="J338">
        <v>0.2</v>
      </c>
      <c r="K338">
        <v>0.19700000000000001</v>
      </c>
      <c r="L338">
        <v>0.55000000000000004</v>
      </c>
      <c r="M338">
        <v>0.22389999999999999</v>
      </c>
      <c r="N338">
        <v>18</v>
      </c>
      <c r="O338">
        <v>54</v>
      </c>
      <c r="P338">
        <v>72</v>
      </c>
      <c r="Q338">
        <v>0.19700000000000001</v>
      </c>
      <c r="R338">
        <v>0.55000000000000004</v>
      </c>
      <c r="S338">
        <v>0.22389999999999999</v>
      </c>
      <c r="T338">
        <v>18</v>
      </c>
      <c r="U338">
        <v>54</v>
      </c>
      <c r="V338">
        <v>72</v>
      </c>
    </row>
    <row r="339" spans="1:22" x14ac:dyDescent="0.3">
      <c r="A339">
        <v>337</v>
      </c>
      <c r="B339">
        <v>40558</v>
      </c>
      <c r="C339">
        <v>1</v>
      </c>
      <c r="D339">
        <v>0</v>
      </c>
      <c r="E339">
        <v>1</v>
      </c>
      <c r="F339">
        <v>12</v>
      </c>
      <c r="G339" t="b">
        <v>0</v>
      </c>
      <c r="H339">
        <v>6</v>
      </c>
      <c r="I339">
        <v>1</v>
      </c>
      <c r="J339">
        <v>0.24</v>
      </c>
      <c r="K339">
        <v>0.2273</v>
      </c>
      <c r="L339">
        <v>0.48</v>
      </c>
      <c r="M339">
        <v>0.22389999999999999</v>
      </c>
      <c r="N339">
        <v>15</v>
      </c>
      <c r="O339">
        <v>74</v>
      </c>
      <c r="P339">
        <v>89</v>
      </c>
      <c r="Q339">
        <v>0.2273</v>
      </c>
      <c r="R339">
        <v>0.48</v>
      </c>
      <c r="S339">
        <v>0.22389999999999999</v>
      </c>
      <c r="T339">
        <v>15</v>
      </c>
      <c r="U339">
        <v>74</v>
      </c>
      <c r="V339">
        <v>89</v>
      </c>
    </row>
    <row r="340" spans="1:22" x14ac:dyDescent="0.3">
      <c r="A340">
        <v>338</v>
      </c>
      <c r="B340">
        <v>40558</v>
      </c>
      <c r="C340">
        <v>1</v>
      </c>
      <c r="D340">
        <v>0</v>
      </c>
      <c r="E340">
        <v>1</v>
      </c>
      <c r="F340">
        <v>13</v>
      </c>
      <c r="G340" t="b">
        <v>0</v>
      </c>
      <c r="H340">
        <v>6</v>
      </c>
      <c r="I340">
        <v>1</v>
      </c>
      <c r="J340">
        <v>0.28000000000000003</v>
      </c>
      <c r="K340">
        <v>0.2576</v>
      </c>
      <c r="L340">
        <v>0.38</v>
      </c>
      <c r="M340">
        <v>0.29849999999999999</v>
      </c>
      <c r="N340">
        <v>21</v>
      </c>
      <c r="O340">
        <v>80</v>
      </c>
      <c r="P340">
        <v>101</v>
      </c>
      <c r="Q340">
        <v>0.2576</v>
      </c>
      <c r="R340">
        <v>0.38</v>
      </c>
      <c r="S340">
        <v>0.29849999999999999</v>
      </c>
      <c r="T340">
        <v>21</v>
      </c>
      <c r="U340">
        <v>80</v>
      </c>
      <c r="V340">
        <v>101</v>
      </c>
    </row>
    <row r="341" spans="1:22" x14ac:dyDescent="0.3">
      <c r="A341">
        <v>339</v>
      </c>
      <c r="B341">
        <v>40558</v>
      </c>
      <c r="C341">
        <v>1</v>
      </c>
      <c r="D341">
        <v>0</v>
      </c>
      <c r="E341">
        <v>1</v>
      </c>
      <c r="F341">
        <v>14</v>
      </c>
      <c r="G341" t="b">
        <v>0</v>
      </c>
      <c r="H341">
        <v>6</v>
      </c>
      <c r="I341">
        <v>1</v>
      </c>
      <c r="J341">
        <v>0.3</v>
      </c>
      <c r="K341">
        <v>0.28789999999999999</v>
      </c>
      <c r="L341">
        <v>0.39</v>
      </c>
      <c r="M341">
        <v>0.28360000000000002</v>
      </c>
      <c r="N341">
        <v>26</v>
      </c>
      <c r="O341">
        <v>92</v>
      </c>
      <c r="P341">
        <v>118</v>
      </c>
      <c r="Q341">
        <v>0.28789999999999999</v>
      </c>
      <c r="R341">
        <v>0.39</v>
      </c>
      <c r="S341">
        <v>0.28360000000000002</v>
      </c>
      <c r="T341">
        <v>26</v>
      </c>
      <c r="U341">
        <v>92</v>
      </c>
      <c r="V341">
        <v>118</v>
      </c>
    </row>
    <row r="342" spans="1:22" x14ac:dyDescent="0.3">
      <c r="A342">
        <v>340</v>
      </c>
      <c r="B342">
        <v>40558</v>
      </c>
      <c r="C342">
        <v>1</v>
      </c>
      <c r="D342">
        <v>0</v>
      </c>
      <c r="E342">
        <v>1</v>
      </c>
      <c r="F342">
        <v>15</v>
      </c>
      <c r="G342" t="b">
        <v>0</v>
      </c>
      <c r="H342">
        <v>6</v>
      </c>
      <c r="I342">
        <v>2</v>
      </c>
      <c r="J342">
        <v>0.32</v>
      </c>
      <c r="K342">
        <v>0.31819999999999998</v>
      </c>
      <c r="L342">
        <v>0.36</v>
      </c>
      <c r="M342">
        <v>0.19400000000000001</v>
      </c>
      <c r="N342">
        <v>21</v>
      </c>
      <c r="O342">
        <v>108</v>
      </c>
      <c r="P342">
        <v>129</v>
      </c>
      <c r="Q342">
        <v>0.31819999999999998</v>
      </c>
      <c r="R342">
        <v>0.36</v>
      </c>
      <c r="S342">
        <v>0.19400000000000001</v>
      </c>
      <c r="T342">
        <v>21</v>
      </c>
      <c r="U342">
        <v>108</v>
      </c>
      <c r="V342">
        <v>129</v>
      </c>
    </row>
    <row r="343" spans="1:22" x14ac:dyDescent="0.3">
      <c r="A343">
        <v>341</v>
      </c>
      <c r="B343">
        <v>40558</v>
      </c>
      <c r="C343">
        <v>1</v>
      </c>
      <c r="D343">
        <v>0</v>
      </c>
      <c r="E343">
        <v>1</v>
      </c>
      <c r="F343">
        <v>16</v>
      </c>
      <c r="G343" t="b">
        <v>0</v>
      </c>
      <c r="H343">
        <v>6</v>
      </c>
      <c r="I343">
        <v>2</v>
      </c>
      <c r="J343">
        <v>0.34</v>
      </c>
      <c r="K343">
        <v>0.33329999999999999</v>
      </c>
      <c r="L343">
        <v>0.34</v>
      </c>
      <c r="M343">
        <v>0.19400000000000001</v>
      </c>
      <c r="N343">
        <v>33</v>
      </c>
      <c r="O343">
        <v>95</v>
      </c>
      <c r="P343">
        <v>128</v>
      </c>
      <c r="Q343">
        <v>0.33329999999999999</v>
      </c>
      <c r="R343">
        <v>0.34</v>
      </c>
      <c r="S343">
        <v>0.19400000000000001</v>
      </c>
      <c r="T343">
        <v>33</v>
      </c>
      <c r="U343">
        <v>95</v>
      </c>
      <c r="V343">
        <v>128</v>
      </c>
    </row>
    <row r="344" spans="1:22" x14ac:dyDescent="0.3">
      <c r="A344">
        <v>342</v>
      </c>
      <c r="B344">
        <v>40558</v>
      </c>
      <c r="C344">
        <v>1</v>
      </c>
      <c r="D344">
        <v>0</v>
      </c>
      <c r="E344">
        <v>1</v>
      </c>
      <c r="F344">
        <v>17</v>
      </c>
      <c r="G344" t="b">
        <v>0</v>
      </c>
      <c r="H344">
        <v>6</v>
      </c>
      <c r="I344">
        <v>2</v>
      </c>
      <c r="J344">
        <v>0.32</v>
      </c>
      <c r="K344">
        <v>0.30299999999999999</v>
      </c>
      <c r="L344">
        <v>0.36</v>
      </c>
      <c r="M344">
        <v>0.28360000000000002</v>
      </c>
      <c r="N344">
        <v>29</v>
      </c>
      <c r="O344">
        <v>54</v>
      </c>
      <c r="P344">
        <v>83</v>
      </c>
      <c r="Q344">
        <v>0.30299999999999999</v>
      </c>
      <c r="R344">
        <v>0.36</v>
      </c>
      <c r="S344">
        <v>0.28360000000000002</v>
      </c>
      <c r="T344">
        <v>29</v>
      </c>
      <c r="U344">
        <v>54</v>
      </c>
      <c r="V344">
        <v>83</v>
      </c>
    </row>
    <row r="345" spans="1:22" x14ac:dyDescent="0.3">
      <c r="A345">
        <v>343</v>
      </c>
      <c r="B345">
        <v>40558</v>
      </c>
      <c r="C345">
        <v>1</v>
      </c>
      <c r="D345">
        <v>0</v>
      </c>
      <c r="E345">
        <v>1</v>
      </c>
      <c r="F345">
        <v>18</v>
      </c>
      <c r="G345" t="b">
        <v>0</v>
      </c>
      <c r="H345">
        <v>6</v>
      </c>
      <c r="I345">
        <v>2</v>
      </c>
      <c r="J345">
        <v>0.3</v>
      </c>
      <c r="K345">
        <v>0.28789999999999999</v>
      </c>
      <c r="L345">
        <v>0.45</v>
      </c>
      <c r="M345">
        <v>0.25369999999999998</v>
      </c>
      <c r="N345">
        <v>15</v>
      </c>
      <c r="O345">
        <v>69</v>
      </c>
      <c r="P345">
        <v>84</v>
      </c>
      <c r="Q345">
        <v>0.28789999999999999</v>
      </c>
      <c r="R345">
        <v>0.45</v>
      </c>
      <c r="S345">
        <v>0.25369999999999998</v>
      </c>
      <c r="T345">
        <v>15</v>
      </c>
      <c r="U345">
        <v>69</v>
      </c>
      <c r="V345">
        <v>84</v>
      </c>
    </row>
    <row r="346" spans="1:22" x14ac:dyDescent="0.3">
      <c r="A346">
        <v>344</v>
      </c>
      <c r="B346">
        <v>40558</v>
      </c>
      <c r="C346">
        <v>1</v>
      </c>
      <c r="D346">
        <v>0</v>
      </c>
      <c r="E346">
        <v>1</v>
      </c>
      <c r="F346">
        <v>19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14</v>
      </c>
      <c r="O346">
        <v>60</v>
      </c>
      <c r="P346">
        <v>74</v>
      </c>
      <c r="Q346">
        <v>0.30299999999999999</v>
      </c>
      <c r="R346">
        <v>0.39</v>
      </c>
      <c r="S346">
        <v>0.25369999999999998</v>
      </c>
      <c r="T346">
        <v>14</v>
      </c>
      <c r="U346">
        <v>60</v>
      </c>
      <c r="V346">
        <v>74</v>
      </c>
    </row>
    <row r="347" spans="1:22" x14ac:dyDescent="0.3">
      <c r="A347">
        <v>345</v>
      </c>
      <c r="B347">
        <v>40558</v>
      </c>
      <c r="C347">
        <v>1</v>
      </c>
      <c r="D347">
        <v>0</v>
      </c>
      <c r="E347">
        <v>1</v>
      </c>
      <c r="F347">
        <v>20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0.25369999999999998</v>
      </c>
      <c r="N347">
        <v>6</v>
      </c>
      <c r="O347">
        <v>35</v>
      </c>
      <c r="P347">
        <v>41</v>
      </c>
      <c r="Q347">
        <v>0.30299999999999999</v>
      </c>
      <c r="R347">
        <v>0.39</v>
      </c>
      <c r="S347">
        <v>0.25369999999999998</v>
      </c>
      <c r="T347">
        <v>6</v>
      </c>
      <c r="U347">
        <v>35</v>
      </c>
      <c r="V347">
        <v>41</v>
      </c>
    </row>
    <row r="348" spans="1:22" x14ac:dyDescent="0.3">
      <c r="A348">
        <v>346</v>
      </c>
      <c r="B348">
        <v>40558</v>
      </c>
      <c r="C348">
        <v>1</v>
      </c>
      <c r="D348">
        <v>0</v>
      </c>
      <c r="E348">
        <v>1</v>
      </c>
      <c r="F348">
        <v>21</v>
      </c>
      <c r="G348" t="b">
        <v>0</v>
      </c>
      <c r="H348">
        <v>6</v>
      </c>
      <c r="I348">
        <v>2</v>
      </c>
      <c r="J348">
        <v>0.32</v>
      </c>
      <c r="K348">
        <v>0.30299999999999999</v>
      </c>
      <c r="L348">
        <v>0.39</v>
      </c>
      <c r="M348">
        <v>0.22389999999999999</v>
      </c>
      <c r="N348">
        <v>6</v>
      </c>
      <c r="O348">
        <v>51</v>
      </c>
      <c r="P348">
        <v>57</v>
      </c>
      <c r="Q348">
        <v>0.30299999999999999</v>
      </c>
      <c r="R348">
        <v>0.39</v>
      </c>
      <c r="S348">
        <v>0.22389999999999999</v>
      </c>
      <c r="T348">
        <v>6</v>
      </c>
      <c r="U348">
        <v>51</v>
      </c>
      <c r="V348">
        <v>57</v>
      </c>
    </row>
    <row r="349" spans="1:22" x14ac:dyDescent="0.3">
      <c r="A349">
        <v>347</v>
      </c>
      <c r="B349">
        <v>40558</v>
      </c>
      <c r="C349">
        <v>1</v>
      </c>
      <c r="D349">
        <v>0</v>
      </c>
      <c r="E349">
        <v>1</v>
      </c>
      <c r="F349">
        <v>22</v>
      </c>
      <c r="G349" t="b">
        <v>0</v>
      </c>
      <c r="H349">
        <v>6</v>
      </c>
      <c r="I349">
        <v>2</v>
      </c>
      <c r="J349">
        <v>0.3</v>
      </c>
      <c r="K349">
        <v>0.31819999999999998</v>
      </c>
      <c r="L349">
        <v>0.42</v>
      </c>
      <c r="M349">
        <v>0.1045</v>
      </c>
      <c r="N349">
        <v>0</v>
      </c>
      <c r="O349">
        <v>26</v>
      </c>
      <c r="P349">
        <v>26</v>
      </c>
      <c r="Q349">
        <v>0.31819999999999998</v>
      </c>
      <c r="R349">
        <v>0.42</v>
      </c>
      <c r="S349">
        <v>0.1045</v>
      </c>
      <c r="T349">
        <v>0</v>
      </c>
      <c r="U349">
        <v>26</v>
      </c>
      <c r="V349">
        <v>26</v>
      </c>
    </row>
    <row r="350" spans="1:22" x14ac:dyDescent="0.3">
      <c r="A350">
        <v>348</v>
      </c>
      <c r="B350">
        <v>40558</v>
      </c>
      <c r="C350">
        <v>1</v>
      </c>
      <c r="D350">
        <v>0</v>
      </c>
      <c r="E350">
        <v>1</v>
      </c>
      <c r="F350">
        <v>23</v>
      </c>
      <c r="G350" t="b">
        <v>0</v>
      </c>
      <c r="H350">
        <v>6</v>
      </c>
      <c r="I350">
        <v>1</v>
      </c>
      <c r="J350">
        <v>0.3</v>
      </c>
      <c r="K350">
        <v>0.28789999999999999</v>
      </c>
      <c r="L350">
        <v>0.45</v>
      </c>
      <c r="M350">
        <v>0.28360000000000002</v>
      </c>
      <c r="N350">
        <v>5</v>
      </c>
      <c r="O350">
        <v>39</v>
      </c>
      <c r="P350">
        <v>44</v>
      </c>
      <c r="Q350">
        <v>0.28789999999999999</v>
      </c>
      <c r="R350">
        <v>0.45</v>
      </c>
      <c r="S350">
        <v>0.28360000000000002</v>
      </c>
      <c r="T350">
        <v>5</v>
      </c>
      <c r="U350">
        <v>39</v>
      </c>
      <c r="V350">
        <v>44</v>
      </c>
    </row>
    <row r="351" spans="1:22" x14ac:dyDescent="0.3">
      <c r="A351">
        <v>349</v>
      </c>
      <c r="B351">
        <v>40559</v>
      </c>
      <c r="C351">
        <v>1</v>
      </c>
      <c r="D351">
        <v>0</v>
      </c>
      <c r="E351">
        <v>1</v>
      </c>
      <c r="F351">
        <v>0</v>
      </c>
      <c r="G351" t="b">
        <v>0</v>
      </c>
      <c r="H351">
        <v>0</v>
      </c>
      <c r="I351">
        <v>1</v>
      </c>
      <c r="J351">
        <v>0.26</v>
      </c>
      <c r="K351">
        <v>0.30299999999999999</v>
      </c>
      <c r="L351">
        <v>0.56000000000000005</v>
      </c>
      <c r="M351">
        <v>0</v>
      </c>
      <c r="N351">
        <v>6</v>
      </c>
      <c r="O351">
        <v>33</v>
      </c>
      <c r="P351">
        <v>39</v>
      </c>
      <c r="Q351">
        <v>0.30299999999999999</v>
      </c>
      <c r="R351">
        <v>0.56000000000000005</v>
      </c>
      <c r="S351">
        <v>0</v>
      </c>
      <c r="T351">
        <v>6</v>
      </c>
      <c r="U351">
        <v>33</v>
      </c>
      <c r="V351">
        <v>39</v>
      </c>
    </row>
    <row r="352" spans="1:22" x14ac:dyDescent="0.3">
      <c r="A352">
        <v>350</v>
      </c>
      <c r="B352">
        <v>40559</v>
      </c>
      <c r="C352">
        <v>1</v>
      </c>
      <c r="D352">
        <v>0</v>
      </c>
      <c r="E352">
        <v>1</v>
      </c>
      <c r="F352">
        <v>1</v>
      </c>
      <c r="G352" t="b">
        <v>0</v>
      </c>
      <c r="H352">
        <v>0</v>
      </c>
      <c r="I352">
        <v>1</v>
      </c>
      <c r="J352">
        <v>0.26</v>
      </c>
      <c r="K352">
        <v>0.2727</v>
      </c>
      <c r="L352">
        <v>0.56000000000000005</v>
      </c>
      <c r="M352">
        <v>0.1343</v>
      </c>
      <c r="N352">
        <v>4</v>
      </c>
      <c r="O352">
        <v>19</v>
      </c>
      <c r="P352">
        <v>23</v>
      </c>
      <c r="Q352">
        <v>0.2727</v>
      </c>
      <c r="R352">
        <v>0.56000000000000005</v>
      </c>
      <c r="S352">
        <v>0.1343</v>
      </c>
      <c r="T352">
        <v>4</v>
      </c>
      <c r="U352">
        <v>19</v>
      </c>
      <c r="V352">
        <v>23</v>
      </c>
    </row>
    <row r="353" spans="1:22" x14ac:dyDescent="0.3">
      <c r="A353">
        <v>351</v>
      </c>
      <c r="B353">
        <v>40559</v>
      </c>
      <c r="C353">
        <v>1</v>
      </c>
      <c r="D353">
        <v>0</v>
      </c>
      <c r="E353">
        <v>1</v>
      </c>
      <c r="F353">
        <v>2</v>
      </c>
      <c r="G353" t="b">
        <v>0</v>
      </c>
      <c r="H353">
        <v>0</v>
      </c>
      <c r="I353">
        <v>1</v>
      </c>
      <c r="J353">
        <v>0.26</v>
      </c>
      <c r="K353">
        <v>0.28789999999999999</v>
      </c>
      <c r="L353">
        <v>0.56000000000000005</v>
      </c>
      <c r="M353">
        <v>8.9599999999999999E-2</v>
      </c>
      <c r="N353">
        <v>3</v>
      </c>
      <c r="O353">
        <v>13</v>
      </c>
      <c r="P353">
        <v>16</v>
      </c>
      <c r="Q353">
        <v>0.28789999999999999</v>
      </c>
      <c r="R353">
        <v>0.56000000000000005</v>
      </c>
      <c r="S353">
        <v>8.9599999999999999E-2</v>
      </c>
      <c r="T353">
        <v>3</v>
      </c>
      <c r="U353">
        <v>13</v>
      </c>
      <c r="V353">
        <v>16</v>
      </c>
    </row>
    <row r="354" spans="1:22" x14ac:dyDescent="0.3">
      <c r="A354">
        <v>352</v>
      </c>
      <c r="B354">
        <v>40559</v>
      </c>
      <c r="C354">
        <v>1</v>
      </c>
      <c r="D354">
        <v>0</v>
      </c>
      <c r="E354">
        <v>1</v>
      </c>
      <c r="F354">
        <v>3</v>
      </c>
      <c r="G354" t="b">
        <v>0</v>
      </c>
      <c r="H354">
        <v>0</v>
      </c>
      <c r="I354">
        <v>1</v>
      </c>
      <c r="J354">
        <v>0.22</v>
      </c>
      <c r="K354">
        <v>0.2727</v>
      </c>
      <c r="L354">
        <v>0.69</v>
      </c>
      <c r="M354">
        <v>0</v>
      </c>
      <c r="N354">
        <v>9</v>
      </c>
      <c r="O354">
        <v>6</v>
      </c>
      <c r="P354">
        <v>15</v>
      </c>
      <c r="Q354">
        <v>0.2727</v>
      </c>
      <c r="R354">
        <v>0.69</v>
      </c>
      <c r="S354">
        <v>0</v>
      </c>
      <c r="T354">
        <v>9</v>
      </c>
      <c r="U354">
        <v>6</v>
      </c>
      <c r="V354">
        <v>15</v>
      </c>
    </row>
    <row r="355" spans="1:22" x14ac:dyDescent="0.3">
      <c r="A355">
        <v>353</v>
      </c>
      <c r="B355">
        <v>40559</v>
      </c>
      <c r="C355">
        <v>1</v>
      </c>
      <c r="D355">
        <v>0</v>
      </c>
      <c r="E355">
        <v>1</v>
      </c>
      <c r="F355">
        <v>4</v>
      </c>
      <c r="G355" t="b">
        <v>0</v>
      </c>
      <c r="H355">
        <v>0</v>
      </c>
      <c r="I355">
        <v>1</v>
      </c>
      <c r="J355">
        <v>0.26</v>
      </c>
      <c r="K355">
        <v>0.2576</v>
      </c>
      <c r="L355">
        <v>0.56000000000000005</v>
      </c>
      <c r="M355">
        <v>0.16420000000000001</v>
      </c>
      <c r="N355">
        <v>0</v>
      </c>
      <c r="O355">
        <v>1</v>
      </c>
      <c r="P355">
        <v>1</v>
      </c>
      <c r="Q355">
        <v>0.2576</v>
      </c>
      <c r="R355">
        <v>0.56000000000000005</v>
      </c>
      <c r="S355">
        <v>0.16420000000000001</v>
      </c>
      <c r="T355">
        <v>0</v>
      </c>
      <c r="U355">
        <v>1</v>
      </c>
      <c r="V355">
        <v>1</v>
      </c>
    </row>
    <row r="356" spans="1:22" x14ac:dyDescent="0.3">
      <c r="A356">
        <v>354</v>
      </c>
      <c r="B356">
        <v>40559</v>
      </c>
      <c r="C356">
        <v>1</v>
      </c>
      <c r="D356">
        <v>0</v>
      </c>
      <c r="E356">
        <v>1</v>
      </c>
      <c r="F356">
        <v>5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1</v>
      </c>
      <c r="O356">
        <v>1</v>
      </c>
      <c r="P356">
        <v>2</v>
      </c>
      <c r="Q356">
        <v>0.2576</v>
      </c>
      <c r="R356">
        <v>0.56000000000000005</v>
      </c>
      <c r="S356">
        <v>0.16420000000000001</v>
      </c>
      <c r="T356">
        <v>1</v>
      </c>
      <c r="U356">
        <v>1</v>
      </c>
      <c r="V356">
        <v>2</v>
      </c>
    </row>
    <row r="357" spans="1:22" x14ac:dyDescent="0.3">
      <c r="A357">
        <v>355</v>
      </c>
      <c r="B357">
        <v>40559</v>
      </c>
      <c r="C357">
        <v>1</v>
      </c>
      <c r="D357">
        <v>0</v>
      </c>
      <c r="E357">
        <v>1</v>
      </c>
      <c r="F357">
        <v>6</v>
      </c>
      <c r="G357" t="b">
        <v>0</v>
      </c>
      <c r="H357">
        <v>0</v>
      </c>
      <c r="I357">
        <v>2</v>
      </c>
      <c r="J357">
        <v>0.26</v>
      </c>
      <c r="K357">
        <v>0.2576</v>
      </c>
      <c r="L357">
        <v>0.56000000000000005</v>
      </c>
      <c r="M357">
        <v>0.16420000000000001</v>
      </c>
      <c r="N357">
        <v>0</v>
      </c>
      <c r="O357">
        <v>1</v>
      </c>
      <c r="P357">
        <v>1</v>
      </c>
      <c r="Q357">
        <v>0.2576</v>
      </c>
      <c r="R357">
        <v>0.56000000000000005</v>
      </c>
      <c r="S357">
        <v>0.16420000000000001</v>
      </c>
      <c r="T357">
        <v>0</v>
      </c>
      <c r="U357">
        <v>1</v>
      </c>
      <c r="V357">
        <v>1</v>
      </c>
    </row>
    <row r="358" spans="1:22" x14ac:dyDescent="0.3">
      <c r="A358">
        <v>356</v>
      </c>
      <c r="B358">
        <v>40559</v>
      </c>
      <c r="C358">
        <v>1</v>
      </c>
      <c r="D358">
        <v>0</v>
      </c>
      <c r="E358">
        <v>1</v>
      </c>
      <c r="F358">
        <v>7</v>
      </c>
      <c r="G358" t="b">
        <v>0</v>
      </c>
      <c r="H358">
        <v>0</v>
      </c>
      <c r="I358">
        <v>2</v>
      </c>
      <c r="J358">
        <v>0.24</v>
      </c>
      <c r="K358">
        <v>0.21210000000000001</v>
      </c>
      <c r="L358">
        <v>0.56000000000000005</v>
      </c>
      <c r="M358">
        <v>0.29849999999999999</v>
      </c>
      <c r="N358">
        <v>0</v>
      </c>
      <c r="O358">
        <v>3</v>
      </c>
      <c r="P358">
        <v>3</v>
      </c>
      <c r="Q358">
        <v>0.21210000000000001</v>
      </c>
      <c r="R358">
        <v>0.56000000000000005</v>
      </c>
      <c r="S358">
        <v>0.29849999999999999</v>
      </c>
      <c r="T358">
        <v>0</v>
      </c>
      <c r="U358">
        <v>3</v>
      </c>
      <c r="V358">
        <v>3</v>
      </c>
    </row>
    <row r="359" spans="1:22" x14ac:dyDescent="0.3">
      <c r="A359">
        <v>357</v>
      </c>
      <c r="B359">
        <v>40559</v>
      </c>
      <c r="C359">
        <v>1</v>
      </c>
      <c r="D359">
        <v>0</v>
      </c>
      <c r="E359">
        <v>1</v>
      </c>
      <c r="F359">
        <v>8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0.55000000000000004</v>
      </c>
      <c r="M359">
        <v>0.28360000000000002</v>
      </c>
      <c r="N359">
        <v>0</v>
      </c>
      <c r="O359">
        <v>18</v>
      </c>
      <c r="P359">
        <v>18</v>
      </c>
      <c r="Q359">
        <v>0.21210000000000001</v>
      </c>
      <c r="R359">
        <v>0.55000000000000004</v>
      </c>
      <c r="S359">
        <v>0.28360000000000002</v>
      </c>
      <c r="T359">
        <v>0</v>
      </c>
      <c r="U359">
        <v>18</v>
      </c>
      <c r="V359">
        <v>18</v>
      </c>
    </row>
    <row r="360" spans="1:22" x14ac:dyDescent="0.3">
      <c r="A360">
        <v>358</v>
      </c>
      <c r="B360">
        <v>40559</v>
      </c>
      <c r="C360">
        <v>1</v>
      </c>
      <c r="D360">
        <v>0</v>
      </c>
      <c r="E360">
        <v>1</v>
      </c>
      <c r="F360">
        <v>9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0.25369999999999998</v>
      </c>
      <c r="N360">
        <v>3</v>
      </c>
      <c r="O360">
        <v>29</v>
      </c>
      <c r="P360">
        <v>32</v>
      </c>
      <c r="Q360">
        <v>0.21210000000000001</v>
      </c>
      <c r="R360">
        <v>0.51</v>
      </c>
      <c r="S360">
        <v>0.25369999999999998</v>
      </c>
      <c r="T360">
        <v>3</v>
      </c>
      <c r="U360">
        <v>29</v>
      </c>
      <c r="V360">
        <v>32</v>
      </c>
    </row>
    <row r="361" spans="1:22" x14ac:dyDescent="0.3">
      <c r="A361">
        <v>359</v>
      </c>
      <c r="B361">
        <v>40559</v>
      </c>
      <c r="C361">
        <v>1</v>
      </c>
      <c r="D361">
        <v>0</v>
      </c>
      <c r="E361">
        <v>1</v>
      </c>
      <c r="F361">
        <v>10</v>
      </c>
      <c r="G361" t="b">
        <v>0</v>
      </c>
      <c r="H361">
        <v>0</v>
      </c>
      <c r="I361">
        <v>1</v>
      </c>
      <c r="J361">
        <v>0.22</v>
      </c>
      <c r="K361">
        <v>0.21210000000000001</v>
      </c>
      <c r="L361">
        <v>0.51</v>
      </c>
      <c r="M361">
        <v>0.28360000000000002</v>
      </c>
      <c r="N361">
        <v>8</v>
      </c>
      <c r="O361">
        <v>71</v>
      </c>
      <c r="P361">
        <v>79</v>
      </c>
      <c r="Q361">
        <v>0.21210000000000001</v>
      </c>
      <c r="R361">
        <v>0.51</v>
      </c>
      <c r="S361">
        <v>0.28360000000000002</v>
      </c>
      <c r="T361">
        <v>8</v>
      </c>
      <c r="U361">
        <v>71</v>
      </c>
      <c r="V361">
        <v>79</v>
      </c>
    </row>
    <row r="362" spans="1:22" x14ac:dyDescent="0.3">
      <c r="A362">
        <v>360</v>
      </c>
      <c r="B362">
        <v>40559</v>
      </c>
      <c r="C362">
        <v>1</v>
      </c>
      <c r="D362">
        <v>0</v>
      </c>
      <c r="E362">
        <v>1</v>
      </c>
      <c r="F362">
        <v>11</v>
      </c>
      <c r="G362" t="b">
        <v>0</v>
      </c>
      <c r="H362">
        <v>0</v>
      </c>
      <c r="I362">
        <v>1</v>
      </c>
      <c r="J362">
        <v>0.24</v>
      </c>
      <c r="K362">
        <v>0.2273</v>
      </c>
      <c r="L362">
        <v>0.44</v>
      </c>
      <c r="M362">
        <v>0.25369999999999998</v>
      </c>
      <c r="N362">
        <v>23</v>
      </c>
      <c r="O362">
        <v>70</v>
      </c>
      <c r="P362">
        <v>93</v>
      </c>
      <c r="Q362">
        <v>0.2273</v>
      </c>
      <c r="R362">
        <v>0.44</v>
      </c>
      <c r="S362">
        <v>0.25369999999999998</v>
      </c>
      <c r="T362">
        <v>23</v>
      </c>
      <c r="U362">
        <v>70</v>
      </c>
      <c r="V362">
        <v>93</v>
      </c>
    </row>
    <row r="363" spans="1:22" x14ac:dyDescent="0.3">
      <c r="A363">
        <v>361</v>
      </c>
      <c r="B363">
        <v>40559</v>
      </c>
      <c r="C363">
        <v>1</v>
      </c>
      <c r="D363">
        <v>0</v>
      </c>
      <c r="E363">
        <v>1</v>
      </c>
      <c r="F363">
        <v>12</v>
      </c>
      <c r="G363" t="b">
        <v>0</v>
      </c>
      <c r="H363">
        <v>0</v>
      </c>
      <c r="I363">
        <v>1</v>
      </c>
      <c r="J363">
        <v>0.24</v>
      </c>
      <c r="K363">
        <v>0.21210000000000001</v>
      </c>
      <c r="L363">
        <v>0.41</v>
      </c>
      <c r="M363">
        <v>0.28360000000000002</v>
      </c>
      <c r="N363">
        <v>29</v>
      </c>
      <c r="O363">
        <v>75</v>
      </c>
      <c r="P363">
        <v>104</v>
      </c>
      <c r="Q363">
        <v>0.21210000000000001</v>
      </c>
      <c r="R363">
        <v>0.41</v>
      </c>
      <c r="S363">
        <v>0.28360000000000002</v>
      </c>
      <c r="T363">
        <v>29</v>
      </c>
      <c r="U363">
        <v>75</v>
      </c>
      <c r="V363">
        <v>104</v>
      </c>
    </row>
    <row r="364" spans="1:22" x14ac:dyDescent="0.3">
      <c r="A364">
        <v>362</v>
      </c>
      <c r="B364">
        <v>40559</v>
      </c>
      <c r="C364">
        <v>1</v>
      </c>
      <c r="D364">
        <v>0</v>
      </c>
      <c r="E364">
        <v>1</v>
      </c>
      <c r="F364">
        <v>13</v>
      </c>
      <c r="G364" t="b">
        <v>0</v>
      </c>
      <c r="H364">
        <v>0</v>
      </c>
      <c r="I364">
        <v>1</v>
      </c>
      <c r="J364">
        <v>0.26</v>
      </c>
      <c r="K364">
        <v>0.2273</v>
      </c>
      <c r="L364">
        <v>0.35</v>
      </c>
      <c r="M364">
        <v>0.29849999999999999</v>
      </c>
      <c r="N364">
        <v>23</v>
      </c>
      <c r="O364">
        <v>95</v>
      </c>
      <c r="P364">
        <v>118</v>
      </c>
      <c r="Q364">
        <v>0.2273</v>
      </c>
      <c r="R364">
        <v>0.35</v>
      </c>
      <c r="S364">
        <v>0.29849999999999999</v>
      </c>
      <c r="T364">
        <v>23</v>
      </c>
      <c r="U364">
        <v>95</v>
      </c>
      <c r="V364">
        <v>118</v>
      </c>
    </row>
    <row r="365" spans="1:22" x14ac:dyDescent="0.3">
      <c r="A365">
        <v>363</v>
      </c>
      <c r="B365">
        <v>40559</v>
      </c>
      <c r="C365">
        <v>1</v>
      </c>
      <c r="D365">
        <v>0</v>
      </c>
      <c r="E365">
        <v>1</v>
      </c>
      <c r="F365">
        <v>14</v>
      </c>
      <c r="G365" t="b">
        <v>0</v>
      </c>
      <c r="H365">
        <v>0</v>
      </c>
      <c r="I365">
        <v>1</v>
      </c>
      <c r="J365">
        <v>0.28000000000000003</v>
      </c>
      <c r="K365">
        <v>0.2727</v>
      </c>
      <c r="L365">
        <v>0.36</v>
      </c>
      <c r="M365">
        <v>0.25369999999999998</v>
      </c>
      <c r="N365">
        <v>22</v>
      </c>
      <c r="O365">
        <v>69</v>
      </c>
      <c r="P365">
        <v>91</v>
      </c>
      <c r="Q365">
        <v>0.2727</v>
      </c>
      <c r="R365">
        <v>0.36</v>
      </c>
      <c r="S365">
        <v>0.25369999999999998</v>
      </c>
      <c r="T365">
        <v>22</v>
      </c>
      <c r="U365">
        <v>69</v>
      </c>
      <c r="V365">
        <v>91</v>
      </c>
    </row>
    <row r="366" spans="1:22" x14ac:dyDescent="0.3">
      <c r="A366">
        <v>364</v>
      </c>
      <c r="B366">
        <v>40559</v>
      </c>
      <c r="C366">
        <v>1</v>
      </c>
      <c r="D366">
        <v>0</v>
      </c>
      <c r="E366">
        <v>1</v>
      </c>
      <c r="F366">
        <v>15</v>
      </c>
      <c r="G366" t="b">
        <v>0</v>
      </c>
      <c r="H366">
        <v>0</v>
      </c>
      <c r="I366">
        <v>1</v>
      </c>
      <c r="J366">
        <v>0.26</v>
      </c>
      <c r="K366">
        <v>0.2424</v>
      </c>
      <c r="L366">
        <v>0.38</v>
      </c>
      <c r="M366">
        <v>0.25369999999999998</v>
      </c>
      <c r="N366">
        <v>35</v>
      </c>
      <c r="O366">
        <v>78</v>
      </c>
      <c r="P366">
        <v>113</v>
      </c>
      <c r="Q366">
        <v>0.2424</v>
      </c>
      <c r="R366">
        <v>0.38</v>
      </c>
      <c r="S366">
        <v>0.25369999999999998</v>
      </c>
      <c r="T366">
        <v>35</v>
      </c>
      <c r="U366">
        <v>78</v>
      </c>
      <c r="V366">
        <v>113</v>
      </c>
    </row>
    <row r="367" spans="1:22" x14ac:dyDescent="0.3">
      <c r="A367">
        <v>365</v>
      </c>
      <c r="B367">
        <v>40559</v>
      </c>
      <c r="C367">
        <v>1</v>
      </c>
      <c r="D367">
        <v>0</v>
      </c>
      <c r="E367">
        <v>1</v>
      </c>
      <c r="F367">
        <v>16</v>
      </c>
      <c r="G367" t="b">
        <v>0</v>
      </c>
      <c r="H367">
        <v>0</v>
      </c>
      <c r="I367">
        <v>1</v>
      </c>
      <c r="J367">
        <v>0.24</v>
      </c>
      <c r="K367">
        <v>0.2273</v>
      </c>
      <c r="L367">
        <v>0.38</v>
      </c>
      <c r="M367">
        <v>0.22389999999999999</v>
      </c>
      <c r="N367">
        <v>22</v>
      </c>
      <c r="O367">
        <v>77</v>
      </c>
      <c r="P367">
        <v>99</v>
      </c>
      <c r="Q367">
        <v>0.2273</v>
      </c>
      <c r="R367">
        <v>0.38</v>
      </c>
      <c r="S367">
        <v>0.22389999999999999</v>
      </c>
      <c r="T367">
        <v>22</v>
      </c>
      <c r="U367">
        <v>77</v>
      </c>
      <c r="V367">
        <v>99</v>
      </c>
    </row>
    <row r="368" spans="1:22" x14ac:dyDescent="0.3">
      <c r="A368">
        <v>366</v>
      </c>
      <c r="B368">
        <v>40559</v>
      </c>
      <c r="C368">
        <v>1</v>
      </c>
      <c r="D368">
        <v>0</v>
      </c>
      <c r="E368">
        <v>1</v>
      </c>
      <c r="F368">
        <v>17</v>
      </c>
      <c r="G368" t="b">
        <v>0</v>
      </c>
      <c r="H368">
        <v>0</v>
      </c>
      <c r="I368">
        <v>1</v>
      </c>
      <c r="J368">
        <v>0.22</v>
      </c>
      <c r="K368">
        <v>0.21210000000000001</v>
      </c>
      <c r="L368">
        <v>0.37</v>
      </c>
      <c r="M368">
        <v>0.25369999999999998</v>
      </c>
      <c r="N368">
        <v>23</v>
      </c>
      <c r="O368">
        <v>82</v>
      </c>
      <c r="P368">
        <v>105</v>
      </c>
      <c r="Q368">
        <v>0.21210000000000001</v>
      </c>
      <c r="R368">
        <v>0.37</v>
      </c>
      <c r="S368">
        <v>0.25369999999999998</v>
      </c>
      <c r="T368">
        <v>23</v>
      </c>
      <c r="U368">
        <v>82</v>
      </c>
      <c r="V368">
        <v>105</v>
      </c>
    </row>
    <row r="369" spans="1:22" x14ac:dyDescent="0.3">
      <c r="A369">
        <v>367</v>
      </c>
      <c r="B369">
        <v>40559</v>
      </c>
      <c r="C369">
        <v>1</v>
      </c>
      <c r="D369">
        <v>0</v>
      </c>
      <c r="E369">
        <v>1</v>
      </c>
      <c r="F369">
        <v>18</v>
      </c>
      <c r="G369" t="b">
        <v>0</v>
      </c>
      <c r="H369">
        <v>0</v>
      </c>
      <c r="I369">
        <v>1</v>
      </c>
      <c r="J369">
        <v>0.2</v>
      </c>
      <c r="K369">
        <v>0.21210000000000001</v>
      </c>
      <c r="L369">
        <v>0.4</v>
      </c>
      <c r="M369">
        <v>0.16420000000000001</v>
      </c>
      <c r="N369">
        <v>11</v>
      </c>
      <c r="O369">
        <v>56</v>
      </c>
      <c r="P369">
        <v>67</v>
      </c>
      <c r="Q369">
        <v>0.21210000000000001</v>
      </c>
      <c r="R369">
        <v>0.4</v>
      </c>
      <c r="S369">
        <v>0.16420000000000001</v>
      </c>
      <c r="T369">
        <v>11</v>
      </c>
      <c r="U369">
        <v>56</v>
      </c>
      <c r="V369">
        <v>67</v>
      </c>
    </row>
    <row r="370" spans="1:22" x14ac:dyDescent="0.3">
      <c r="A370">
        <v>368</v>
      </c>
      <c r="B370">
        <v>40559</v>
      </c>
      <c r="C370">
        <v>1</v>
      </c>
      <c r="D370">
        <v>0</v>
      </c>
      <c r="E370">
        <v>1</v>
      </c>
      <c r="F370">
        <v>19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0.1343</v>
      </c>
      <c r="N370">
        <v>14</v>
      </c>
      <c r="O370">
        <v>47</v>
      </c>
      <c r="P370">
        <v>61</v>
      </c>
      <c r="Q370">
        <v>0.19700000000000001</v>
      </c>
      <c r="R370">
        <v>0.47</v>
      </c>
      <c r="S370">
        <v>0.1343</v>
      </c>
      <c r="T370">
        <v>14</v>
      </c>
      <c r="U370">
        <v>47</v>
      </c>
      <c r="V370">
        <v>61</v>
      </c>
    </row>
    <row r="371" spans="1:22" x14ac:dyDescent="0.3">
      <c r="A371">
        <v>369</v>
      </c>
      <c r="B371">
        <v>40559</v>
      </c>
      <c r="C371">
        <v>1</v>
      </c>
      <c r="D371">
        <v>0</v>
      </c>
      <c r="E371">
        <v>1</v>
      </c>
      <c r="F371">
        <v>20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0.47</v>
      </c>
      <c r="M371">
        <v>0.16420000000000001</v>
      </c>
      <c r="N371">
        <v>7</v>
      </c>
      <c r="O371">
        <v>50</v>
      </c>
      <c r="P371">
        <v>57</v>
      </c>
      <c r="Q371">
        <v>0.19700000000000001</v>
      </c>
      <c r="R371">
        <v>0.47</v>
      </c>
      <c r="S371">
        <v>0.16420000000000001</v>
      </c>
      <c r="T371">
        <v>7</v>
      </c>
      <c r="U371">
        <v>50</v>
      </c>
      <c r="V371">
        <v>57</v>
      </c>
    </row>
    <row r="372" spans="1:22" x14ac:dyDescent="0.3">
      <c r="A372">
        <v>370</v>
      </c>
      <c r="B372">
        <v>40559</v>
      </c>
      <c r="C372">
        <v>1</v>
      </c>
      <c r="D372">
        <v>0</v>
      </c>
      <c r="E372">
        <v>1</v>
      </c>
      <c r="F372">
        <v>21</v>
      </c>
      <c r="G372" t="b">
        <v>0</v>
      </c>
      <c r="H372">
        <v>0</v>
      </c>
      <c r="I372">
        <v>1</v>
      </c>
      <c r="J372">
        <v>0.18</v>
      </c>
      <c r="K372">
        <v>0.19700000000000001</v>
      </c>
      <c r="L372">
        <v>0.51</v>
      </c>
      <c r="M372">
        <v>0.16420000000000001</v>
      </c>
      <c r="N372">
        <v>6</v>
      </c>
      <c r="O372">
        <v>22</v>
      </c>
      <c r="P372">
        <v>28</v>
      </c>
      <c r="Q372">
        <v>0.19700000000000001</v>
      </c>
      <c r="R372">
        <v>0.51</v>
      </c>
      <c r="S372">
        <v>0.16420000000000001</v>
      </c>
      <c r="T372">
        <v>6</v>
      </c>
      <c r="U372">
        <v>22</v>
      </c>
      <c r="V372">
        <v>28</v>
      </c>
    </row>
    <row r="373" spans="1:22" x14ac:dyDescent="0.3">
      <c r="A373">
        <v>371</v>
      </c>
      <c r="B373">
        <v>40559</v>
      </c>
      <c r="C373">
        <v>1</v>
      </c>
      <c r="D373">
        <v>0</v>
      </c>
      <c r="E373">
        <v>1</v>
      </c>
      <c r="F373">
        <v>22</v>
      </c>
      <c r="G373" t="b">
        <v>0</v>
      </c>
      <c r="H373">
        <v>0</v>
      </c>
      <c r="I373">
        <v>2</v>
      </c>
      <c r="J373">
        <v>0.2</v>
      </c>
      <c r="K373">
        <v>0.21210000000000001</v>
      </c>
      <c r="L373">
        <v>0.49</v>
      </c>
      <c r="M373">
        <v>0.1343</v>
      </c>
      <c r="N373">
        <v>2</v>
      </c>
      <c r="O373">
        <v>19</v>
      </c>
      <c r="P373">
        <v>21</v>
      </c>
      <c r="Q373">
        <v>0.21210000000000001</v>
      </c>
      <c r="R373">
        <v>0.49</v>
      </c>
      <c r="S373">
        <v>0.1343</v>
      </c>
      <c r="T373">
        <v>2</v>
      </c>
      <c r="U373">
        <v>19</v>
      </c>
      <c r="V373">
        <v>21</v>
      </c>
    </row>
    <row r="374" spans="1:22" x14ac:dyDescent="0.3">
      <c r="A374">
        <v>372</v>
      </c>
      <c r="B374">
        <v>40559</v>
      </c>
      <c r="C374">
        <v>1</v>
      </c>
      <c r="D374">
        <v>0</v>
      </c>
      <c r="E374">
        <v>1</v>
      </c>
      <c r="F374">
        <v>23</v>
      </c>
      <c r="G374" t="b">
        <v>0</v>
      </c>
      <c r="H374">
        <v>0</v>
      </c>
      <c r="I374">
        <v>2</v>
      </c>
      <c r="J374">
        <v>0.2</v>
      </c>
      <c r="K374">
        <v>0.2273</v>
      </c>
      <c r="L374">
        <v>0.4</v>
      </c>
      <c r="M374">
        <v>0.1045</v>
      </c>
      <c r="N374">
        <v>0</v>
      </c>
      <c r="O374">
        <v>18</v>
      </c>
      <c r="P374">
        <v>18</v>
      </c>
      <c r="Q374">
        <v>0.2273</v>
      </c>
      <c r="R374">
        <v>0.4</v>
      </c>
      <c r="S374">
        <v>0.1045</v>
      </c>
      <c r="T374">
        <v>0</v>
      </c>
      <c r="U374">
        <v>18</v>
      </c>
      <c r="V374">
        <v>18</v>
      </c>
    </row>
    <row r="375" spans="1:22" x14ac:dyDescent="0.3">
      <c r="A375">
        <v>373</v>
      </c>
      <c r="B375">
        <v>40560</v>
      </c>
      <c r="C375">
        <v>1</v>
      </c>
      <c r="D375">
        <v>0</v>
      </c>
      <c r="E375">
        <v>1</v>
      </c>
      <c r="F375">
        <v>0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0.47</v>
      </c>
      <c r="M375">
        <v>0.22389999999999999</v>
      </c>
      <c r="N375">
        <v>1</v>
      </c>
      <c r="O375">
        <v>16</v>
      </c>
      <c r="P375">
        <v>17</v>
      </c>
      <c r="Q375">
        <v>0.19700000000000001</v>
      </c>
      <c r="R375">
        <v>0.47</v>
      </c>
      <c r="S375">
        <v>0.22389999999999999</v>
      </c>
      <c r="T375">
        <v>1</v>
      </c>
      <c r="U375">
        <v>16</v>
      </c>
      <c r="V375">
        <v>17</v>
      </c>
    </row>
    <row r="376" spans="1:22" x14ac:dyDescent="0.3">
      <c r="A376">
        <v>374</v>
      </c>
      <c r="B376">
        <v>40560</v>
      </c>
      <c r="C376">
        <v>1</v>
      </c>
      <c r="D376">
        <v>0</v>
      </c>
      <c r="E376">
        <v>1</v>
      </c>
      <c r="F376">
        <v>1</v>
      </c>
      <c r="G376" t="b">
        <v>1</v>
      </c>
      <c r="H376">
        <v>1</v>
      </c>
      <c r="I376">
        <v>2</v>
      </c>
      <c r="J376">
        <v>0.2</v>
      </c>
      <c r="K376">
        <v>0.19700000000000001</v>
      </c>
      <c r="L376">
        <v>0.44</v>
      </c>
      <c r="M376">
        <v>0.19400000000000001</v>
      </c>
      <c r="N376">
        <v>1</v>
      </c>
      <c r="O376">
        <v>15</v>
      </c>
      <c r="P376">
        <v>16</v>
      </c>
      <c r="Q376">
        <v>0.19700000000000001</v>
      </c>
      <c r="R376">
        <v>0.44</v>
      </c>
      <c r="S376">
        <v>0.19400000000000001</v>
      </c>
      <c r="T376">
        <v>1</v>
      </c>
      <c r="U376">
        <v>15</v>
      </c>
      <c r="V376">
        <v>16</v>
      </c>
    </row>
    <row r="377" spans="1:22" x14ac:dyDescent="0.3">
      <c r="A377">
        <v>375</v>
      </c>
      <c r="B377">
        <v>40560</v>
      </c>
      <c r="C377">
        <v>1</v>
      </c>
      <c r="D377">
        <v>0</v>
      </c>
      <c r="E377">
        <v>1</v>
      </c>
      <c r="F377">
        <v>2</v>
      </c>
      <c r="G377" t="b">
        <v>1</v>
      </c>
      <c r="H377">
        <v>1</v>
      </c>
      <c r="I377">
        <v>2</v>
      </c>
      <c r="J377">
        <v>0.18</v>
      </c>
      <c r="K377">
        <v>0.16669999999999999</v>
      </c>
      <c r="L377">
        <v>0.43</v>
      </c>
      <c r="M377">
        <v>0.25369999999999998</v>
      </c>
      <c r="N377">
        <v>0</v>
      </c>
      <c r="O377">
        <v>8</v>
      </c>
      <c r="P377">
        <v>8</v>
      </c>
      <c r="Q377">
        <v>0.16669999999999999</v>
      </c>
      <c r="R377">
        <v>0.43</v>
      </c>
      <c r="S377">
        <v>0.25369999999999998</v>
      </c>
      <c r="T377">
        <v>0</v>
      </c>
      <c r="U377">
        <v>8</v>
      </c>
      <c r="V377">
        <v>8</v>
      </c>
    </row>
    <row r="378" spans="1:22" x14ac:dyDescent="0.3">
      <c r="A378">
        <v>376</v>
      </c>
      <c r="B378">
        <v>40560</v>
      </c>
      <c r="C378">
        <v>1</v>
      </c>
      <c r="D378">
        <v>0</v>
      </c>
      <c r="E378">
        <v>1</v>
      </c>
      <c r="F378">
        <v>3</v>
      </c>
      <c r="G378" t="b">
        <v>1</v>
      </c>
      <c r="H378">
        <v>1</v>
      </c>
      <c r="I378">
        <v>2</v>
      </c>
      <c r="J378">
        <v>0.18</v>
      </c>
      <c r="K378">
        <v>0.18179999999999999</v>
      </c>
      <c r="L378">
        <v>0.43</v>
      </c>
      <c r="M378">
        <v>0.19400000000000001</v>
      </c>
      <c r="N378">
        <v>0</v>
      </c>
      <c r="O378">
        <v>2</v>
      </c>
      <c r="P378">
        <v>2</v>
      </c>
      <c r="Q378">
        <v>0.18179999999999999</v>
      </c>
      <c r="R378">
        <v>0.43</v>
      </c>
      <c r="S378">
        <v>0.19400000000000001</v>
      </c>
      <c r="T378">
        <v>0</v>
      </c>
      <c r="U378">
        <v>2</v>
      </c>
      <c r="V378">
        <v>2</v>
      </c>
    </row>
    <row r="379" spans="1:22" x14ac:dyDescent="0.3">
      <c r="A379">
        <v>377</v>
      </c>
      <c r="B379">
        <v>40560</v>
      </c>
      <c r="C379">
        <v>1</v>
      </c>
      <c r="D379">
        <v>0</v>
      </c>
      <c r="E379">
        <v>1</v>
      </c>
      <c r="F379">
        <v>4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0.1343</v>
      </c>
      <c r="N379">
        <v>1</v>
      </c>
      <c r="O379">
        <v>2</v>
      </c>
      <c r="P379">
        <v>3</v>
      </c>
      <c r="Q379">
        <v>0.19700000000000001</v>
      </c>
      <c r="R379">
        <v>0.43</v>
      </c>
      <c r="S379">
        <v>0.1343</v>
      </c>
      <c r="T379">
        <v>1</v>
      </c>
      <c r="U379">
        <v>2</v>
      </c>
      <c r="V379">
        <v>3</v>
      </c>
    </row>
    <row r="380" spans="1:22" x14ac:dyDescent="0.3">
      <c r="A380">
        <v>378</v>
      </c>
      <c r="B380">
        <v>40560</v>
      </c>
      <c r="C380">
        <v>1</v>
      </c>
      <c r="D380">
        <v>0</v>
      </c>
      <c r="E380">
        <v>1</v>
      </c>
      <c r="F380">
        <v>5</v>
      </c>
      <c r="G380" t="b">
        <v>1</v>
      </c>
      <c r="H380">
        <v>1</v>
      </c>
      <c r="I380">
        <v>2</v>
      </c>
      <c r="J380">
        <v>0.18</v>
      </c>
      <c r="K380">
        <v>0.19700000000000001</v>
      </c>
      <c r="L380">
        <v>0.43</v>
      </c>
      <c r="M380">
        <v>0.16420000000000001</v>
      </c>
      <c r="N380">
        <v>0</v>
      </c>
      <c r="O380">
        <v>1</v>
      </c>
      <c r="P380">
        <v>1</v>
      </c>
      <c r="Q380">
        <v>0.19700000000000001</v>
      </c>
      <c r="R380">
        <v>0.43</v>
      </c>
      <c r="S380">
        <v>0.16420000000000001</v>
      </c>
      <c r="T380">
        <v>0</v>
      </c>
      <c r="U380">
        <v>1</v>
      </c>
      <c r="V380">
        <v>1</v>
      </c>
    </row>
    <row r="381" spans="1:22" x14ac:dyDescent="0.3">
      <c r="A381">
        <v>379</v>
      </c>
      <c r="B381">
        <v>40560</v>
      </c>
      <c r="C381">
        <v>1</v>
      </c>
      <c r="D381">
        <v>0</v>
      </c>
      <c r="E381">
        <v>1</v>
      </c>
      <c r="F381">
        <v>6</v>
      </c>
      <c r="G381" t="b">
        <v>1</v>
      </c>
      <c r="H381">
        <v>1</v>
      </c>
      <c r="I381">
        <v>2</v>
      </c>
      <c r="J381">
        <v>0.18</v>
      </c>
      <c r="K381">
        <v>0.18179999999999999</v>
      </c>
      <c r="L381">
        <v>0.43</v>
      </c>
      <c r="M381">
        <v>0.19400000000000001</v>
      </c>
      <c r="N381">
        <v>0</v>
      </c>
      <c r="O381">
        <v>5</v>
      </c>
      <c r="P381">
        <v>5</v>
      </c>
      <c r="Q381">
        <v>0.18179999999999999</v>
      </c>
      <c r="R381">
        <v>0.43</v>
      </c>
      <c r="S381">
        <v>0.19400000000000001</v>
      </c>
      <c r="T381">
        <v>0</v>
      </c>
      <c r="U381">
        <v>5</v>
      </c>
      <c r="V381">
        <v>5</v>
      </c>
    </row>
    <row r="382" spans="1:22" x14ac:dyDescent="0.3">
      <c r="A382">
        <v>380</v>
      </c>
      <c r="B382">
        <v>40560</v>
      </c>
      <c r="C382">
        <v>1</v>
      </c>
      <c r="D382">
        <v>0</v>
      </c>
      <c r="E382">
        <v>1</v>
      </c>
      <c r="F382">
        <v>7</v>
      </c>
      <c r="G382" t="b">
        <v>1</v>
      </c>
      <c r="H382">
        <v>1</v>
      </c>
      <c r="I382">
        <v>2</v>
      </c>
      <c r="J382">
        <v>0.16</v>
      </c>
      <c r="K382">
        <v>0.18179999999999999</v>
      </c>
      <c r="L382">
        <v>0.5</v>
      </c>
      <c r="M382">
        <v>0.1343</v>
      </c>
      <c r="N382">
        <v>4</v>
      </c>
      <c r="O382">
        <v>9</v>
      </c>
      <c r="P382">
        <v>13</v>
      </c>
      <c r="Q382">
        <v>0.18179999999999999</v>
      </c>
      <c r="R382">
        <v>0.5</v>
      </c>
      <c r="S382">
        <v>0.1343</v>
      </c>
      <c r="T382">
        <v>4</v>
      </c>
      <c r="U382">
        <v>9</v>
      </c>
      <c r="V382">
        <v>13</v>
      </c>
    </row>
    <row r="383" spans="1:22" x14ac:dyDescent="0.3">
      <c r="A383">
        <v>381</v>
      </c>
      <c r="B383">
        <v>40560</v>
      </c>
      <c r="C383">
        <v>1</v>
      </c>
      <c r="D383">
        <v>0</v>
      </c>
      <c r="E383">
        <v>1</v>
      </c>
      <c r="F383">
        <v>8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3</v>
      </c>
      <c r="O383">
        <v>30</v>
      </c>
      <c r="P383">
        <v>33</v>
      </c>
      <c r="Q383">
        <v>0.1515</v>
      </c>
      <c r="R383">
        <v>0.47</v>
      </c>
      <c r="S383">
        <v>0.22389999999999999</v>
      </c>
      <c r="T383">
        <v>3</v>
      </c>
      <c r="U383">
        <v>30</v>
      </c>
      <c r="V383">
        <v>33</v>
      </c>
    </row>
    <row r="384" spans="1:22" x14ac:dyDescent="0.3">
      <c r="A384">
        <v>382</v>
      </c>
      <c r="B384">
        <v>40560</v>
      </c>
      <c r="C384">
        <v>1</v>
      </c>
      <c r="D384">
        <v>0</v>
      </c>
      <c r="E384">
        <v>1</v>
      </c>
      <c r="F384">
        <v>9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0.47</v>
      </c>
      <c r="M384">
        <v>0.22389999999999999</v>
      </c>
      <c r="N384">
        <v>8</v>
      </c>
      <c r="O384">
        <v>39</v>
      </c>
      <c r="P384">
        <v>47</v>
      </c>
      <c r="Q384">
        <v>0.1515</v>
      </c>
      <c r="R384">
        <v>0.47</v>
      </c>
      <c r="S384">
        <v>0.22389999999999999</v>
      </c>
      <c r="T384">
        <v>8</v>
      </c>
      <c r="U384">
        <v>39</v>
      </c>
      <c r="V384">
        <v>47</v>
      </c>
    </row>
    <row r="385" spans="1:22" x14ac:dyDescent="0.3">
      <c r="A385">
        <v>383</v>
      </c>
      <c r="B385">
        <v>40560</v>
      </c>
      <c r="C385">
        <v>1</v>
      </c>
      <c r="D385">
        <v>0</v>
      </c>
      <c r="E385">
        <v>1</v>
      </c>
      <c r="F385">
        <v>10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</v>
      </c>
      <c r="M385">
        <v>0.25369999999999998</v>
      </c>
      <c r="N385">
        <v>7</v>
      </c>
      <c r="O385">
        <v>50</v>
      </c>
      <c r="P385">
        <v>57</v>
      </c>
      <c r="Q385">
        <v>0.1515</v>
      </c>
      <c r="R385">
        <v>0.5</v>
      </c>
      <c r="S385">
        <v>0.25369999999999998</v>
      </c>
      <c r="T385">
        <v>7</v>
      </c>
      <c r="U385">
        <v>50</v>
      </c>
      <c r="V385">
        <v>57</v>
      </c>
    </row>
    <row r="386" spans="1:22" x14ac:dyDescent="0.3">
      <c r="A386">
        <v>384</v>
      </c>
      <c r="B386">
        <v>40560</v>
      </c>
      <c r="C386">
        <v>1</v>
      </c>
      <c r="D386">
        <v>0</v>
      </c>
      <c r="E386">
        <v>1</v>
      </c>
      <c r="F386">
        <v>11</v>
      </c>
      <c r="G386" t="b">
        <v>1</v>
      </c>
      <c r="H386">
        <v>1</v>
      </c>
      <c r="I386">
        <v>2</v>
      </c>
      <c r="J386">
        <v>0.16</v>
      </c>
      <c r="K386">
        <v>0.1515</v>
      </c>
      <c r="L386">
        <v>0.55000000000000004</v>
      </c>
      <c r="M386">
        <v>0.19400000000000001</v>
      </c>
      <c r="N386">
        <v>9</v>
      </c>
      <c r="O386">
        <v>55</v>
      </c>
      <c r="P386">
        <v>64</v>
      </c>
      <c r="Q386">
        <v>0.1515</v>
      </c>
      <c r="R386">
        <v>0.55000000000000004</v>
      </c>
      <c r="S386">
        <v>0.19400000000000001</v>
      </c>
      <c r="T386">
        <v>9</v>
      </c>
      <c r="U386">
        <v>55</v>
      </c>
      <c r="V386">
        <v>64</v>
      </c>
    </row>
    <row r="387" spans="1:22" x14ac:dyDescent="0.3">
      <c r="A387">
        <v>385</v>
      </c>
      <c r="B387">
        <v>40560</v>
      </c>
      <c r="C387">
        <v>1</v>
      </c>
      <c r="D387">
        <v>0</v>
      </c>
      <c r="E387">
        <v>1</v>
      </c>
      <c r="F387">
        <v>12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10</v>
      </c>
      <c r="O387">
        <v>70</v>
      </c>
      <c r="P387">
        <v>80</v>
      </c>
      <c r="Q387">
        <v>0.19700000000000001</v>
      </c>
      <c r="R387">
        <v>0.47</v>
      </c>
      <c r="S387">
        <v>0.1343</v>
      </c>
      <c r="T387">
        <v>10</v>
      </c>
      <c r="U387">
        <v>70</v>
      </c>
      <c r="V387">
        <v>80</v>
      </c>
    </row>
    <row r="388" spans="1:22" x14ac:dyDescent="0.3">
      <c r="A388">
        <v>386</v>
      </c>
      <c r="B388">
        <v>40560</v>
      </c>
      <c r="C388">
        <v>1</v>
      </c>
      <c r="D388">
        <v>0</v>
      </c>
      <c r="E388">
        <v>1</v>
      </c>
      <c r="F388">
        <v>13</v>
      </c>
      <c r="G388" t="b">
        <v>1</v>
      </c>
      <c r="H388">
        <v>1</v>
      </c>
      <c r="I388">
        <v>2</v>
      </c>
      <c r="J388">
        <v>0.18</v>
      </c>
      <c r="K388">
        <v>0.19700000000000001</v>
      </c>
      <c r="L388">
        <v>0.47</v>
      </c>
      <c r="M388">
        <v>0.1343</v>
      </c>
      <c r="N388">
        <v>13</v>
      </c>
      <c r="O388">
        <v>80</v>
      </c>
      <c r="P388">
        <v>93</v>
      </c>
      <c r="Q388">
        <v>0.19700000000000001</v>
      </c>
      <c r="R388">
        <v>0.47</v>
      </c>
      <c r="S388">
        <v>0.1343</v>
      </c>
      <c r="T388">
        <v>13</v>
      </c>
      <c r="U388">
        <v>80</v>
      </c>
      <c r="V388">
        <v>93</v>
      </c>
    </row>
    <row r="389" spans="1:22" x14ac:dyDescent="0.3">
      <c r="A389">
        <v>387</v>
      </c>
      <c r="B389">
        <v>40560</v>
      </c>
      <c r="C389">
        <v>1</v>
      </c>
      <c r="D389">
        <v>0</v>
      </c>
      <c r="E389">
        <v>1</v>
      </c>
      <c r="F389">
        <v>14</v>
      </c>
      <c r="G389" t="b">
        <v>1</v>
      </c>
      <c r="H389">
        <v>1</v>
      </c>
      <c r="I389">
        <v>2</v>
      </c>
      <c r="J389">
        <v>0.18</v>
      </c>
      <c r="K389">
        <v>0.21210000000000001</v>
      </c>
      <c r="L389">
        <v>0.43</v>
      </c>
      <c r="M389">
        <v>0.1045</v>
      </c>
      <c r="N389">
        <v>12</v>
      </c>
      <c r="O389">
        <v>74</v>
      </c>
      <c r="P389">
        <v>86</v>
      </c>
      <c r="Q389">
        <v>0.21210000000000001</v>
      </c>
      <c r="R389">
        <v>0.43</v>
      </c>
      <c r="S389">
        <v>0.1045</v>
      </c>
      <c r="T389">
        <v>12</v>
      </c>
      <c r="U389">
        <v>74</v>
      </c>
      <c r="V389">
        <v>86</v>
      </c>
    </row>
    <row r="390" spans="1:22" x14ac:dyDescent="0.3">
      <c r="A390">
        <v>388</v>
      </c>
      <c r="B390">
        <v>40560</v>
      </c>
      <c r="C390">
        <v>1</v>
      </c>
      <c r="D390">
        <v>0</v>
      </c>
      <c r="E390">
        <v>1</v>
      </c>
      <c r="F390">
        <v>15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21</v>
      </c>
      <c r="O390">
        <v>72</v>
      </c>
      <c r="P390">
        <v>93</v>
      </c>
      <c r="Q390">
        <v>0.21210000000000001</v>
      </c>
      <c r="R390">
        <v>0.47</v>
      </c>
      <c r="S390">
        <v>0.16420000000000001</v>
      </c>
      <c r="T390">
        <v>21</v>
      </c>
      <c r="U390">
        <v>72</v>
      </c>
      <c r="V390">
        <v>93</v>
      </c>
    </row>
    <row r="391" spans="1:22" x14ac:dyDescent="0.3">
      <c r="A391">
        <v>389</v>
      </c>
      <c r="B391">
        <v>40560</v>
      </c>
      <c r="C391">
        <v>1</v>
      </c>
      <c r="D391">
        <v>0</v>
      </c>
      <c r="E391">
        <v>1</v>
      </c>
      <c r="F391">
        <v>16</v>
      </c>
      <c r="G391" t="b">
        <v>1</v>
      </c>
      <c r="H391">
        <v>1</v>
      </c>
      <c r="I391">
        <v>2</v>
      </c>
      <c r="J391">
        <v>0.2</v>
      </c>
      <c r="K391">
        <v>0.21210000000000001</v>
      </c>
      <c r="L391">
        <v>0.47</v>
      </c>
      <c r="M391">
        <v>0.16420000000000001</v>
      </c>
      <c r="N391">
        <v>6</v>
      </c>
      <c r="O391">
        <v>76</v>
      </c>
      <c r="P391">
        <v>82</v>
      </c>
      <c r="Q391">
        <v>0.21210000000000001</v>
      </c>
      <c r="R391">
        <v>0.47</v>
      </c>
      <c r="S391">
        <v>0.16420000000000001</v>
      </c>
      <c r="T391">
        <v>6</v>
      </c>
      <c r="U391">
        <v>76</v>
      </c>
      <c r="V391">
        <v>82</v>
      </c>
    </row>
    <row r="392" spans="1:22" x14ac:dyDescent="0.3">
      <c r="A392">
        <v>390</v>
      </c>
      <c r="B392">
        <v>40560</v>
      </c>
      <c r="C392">
        <v>1</v>
      </c>
      <c r="D392">
        <v>0</v>
      </c>
      <c r="E392">
        <v>1</v>
      </c>
      <c r="F392">
        <v>17</v>
      </c>
      <c r="G392" t="b">
        <v>1</v>
      </c>
      <c r="H392">
        <v>1</v>
      </c>
      <c r="I392">
        <v>1</v>
      </c>
      <c r="J392">
        <v>0.2</v>
      </c>
      <c r="K392">
        <v>0.19700000000000001</v>
      </c>
      <c r="L392">
        <v>0.51</v>
      </c>
      <c r="M392">
        <v>0.19400000000000001</v>
      </c>
      <c r="N392">
        <v>4</v>
      </c>
      <c r="O392">
        <v>67</v>
      </c>
      <c r="P392">
        <v>71</v>
      </c>
      <c r="Q392">
        <v>0.19700000000000001</v>
      </c>
      <c r="R392">
        <v>0.51</v>
      </c>
      <c r="S392">
        <v>0.19400000000000001</v>
      </c>
      <c r="T392">
        <v>4</v>
      </c>
      <c r="U392">
        <v>67</v>
      </c>
      <c r="V392">
        <v>71</v>
      </c>
    </row>
    <row r="393" spans="1:22" x14ac:dyDescent="0.3">
      <c r="A393">
        <v>391</v>
      </c>
      <c r="B393">
        <v>40560</v>
      </c>
      <c r="C393">
        <v>1</v>
      </c>
      <c r="D393">
        <v>0</v>
      </c>
      <c r="E393">
        <v>1</v>
      </c>
      <c r="F393">
        <v>18</v>
      </c>
      <c r="G393" t="b">
        <v>1</v>
      </c>
      <c r="H393">
        <v>1</v>
      </c>
      <c r="I393">
        <v>2</v>
      </c>
      <c r="J393">
        <v>0.18</v>
      </c>
      <c r="K393">
        <v>0.16669999999999999</v>
      </c>
      <c r="L393">
        <v>0.55000000000000004</v>
      </c>
      <c r="M393">
        <v>0.25369999999999998</v>
      </c>
      <c r="N393">
        <v>7</v>
      </c>
      <c r="O393">
        <v>85</v>
      </c>
      <c r="P393">
        <v>92</v>
      </c>
      <c r="Q393">
        <v>0.16669999999999999</v>
      </c>
      <c r="R393">
        <v>0.55000000000000004</v>
      </c>
      <c r="S393">
        <v>0.25369999999999998</v>
      </c>
      <c r="T393">
        <v>7</v>
      </c>
      <c r="U393">
        <v>85</v>
      </c>
      <c r="V393">
        <v>92</v>
      </c>
    </row>
    <row r="394" spans="1:22" x14ac:dyDescent="0.3">
      <c r="A394">
        <v>392</v>
      </c>
      <c r="B394">
        <v>40560</v>
      </c>
      <c r="C394">
        <v>1</v>
      </c>
      <c r="D394">
        <v>0</v>
      </c>
      <c r="E394">
        <v>1</v>
      </c>
      <c r="F394">
        <v>19</v>
      </c>
      <c r="G394" t="b">
        <v>1</v>
      </c>
      <c r="H394">
        <v>1</v>
      </c>
      <c r="I394">
        <v>3</v>
      </c>
      <c r="J394">
        <v>0.18</v>
      </c>
      <c r="K394">
        <v>0.18179999999999999</v>
      </c>
      <c r="L394">
        <v>0.59</v>
      </c>
      <c r="M394">
        <v>0.19400000000000001</v>
      </c>
      <c r="N394">
        <v>2</v>
      </c>
      <c r="O394">
        <v>58</v>
      </c>
      <c r="P394">
        <v>60</v>
      </c>
      <c r="Q394">
        <v>0.18179999999999999</v>
      </c>
      <c r="R394">
        <v>0.59</v>
      </c>
      <c r="S394">
        <v>0.19400000000000001</v>
      </c>
      <c r="T394">
        <v>2</v>
      </c>
      <c r="U394">
        <v>58</v>
      </c>
      <c r="V394">
        <v>60</v>
      </c>
    </row>
    <row r="395" spans="1:22" x14ac:dyDescent="0.3">
      <c r="A395">
        <v>393</v>
      </c>
      <c r="B395">
        <v>40560</v>
      </c>
      <c r="C395">
        <v>1</v>
      </c>
      <c r="D395">
        <v>0</v>
      </c>
      <c r="E395">
        <v>1</v>
      </c>
      <c r="F395">
        <v>20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4</v>
      </c>
      <c r="O395">
        <v>29</v>
      </c>
      <c r="P395">
        <v>33</v>
      </c>
      <c r="Q395">
        <v>0.1515</v>
      </c>
      <c r="R395">
        <v>0.8</v>
      </c>
      <c r="S395">
        <v>0.19400000000000001</v>
      </c>
      <c r="T395">
        <v>4</v>
      </c>
      <c r="U395">
        <v>29</v>
      </c>
      <c r="V395">
        <v>33</v>
      </c>
    </row>
    <row r="396" spans="1:22" x14ac:dyDescent="0.3">
      <c r="A396">
        <v>394</v>
      </c>
      <c r="B396">
        <v>40560</v>
      </c>
      <c r="C396">
        <v>1</v>
      </c>
      <c r="D396">
        <v>0</v>
      </c>
      <c r="E396">
        <v>1</v>
      </c>
      <c r="F396">
        <v>21</v>
      </c>
      <c r="G396" t="b">
        <v>1</v>
      </c>
      <c r="H396">
        <v>1</v>
      </c>
      <c r="I396">
        <v>3</v>
      </c>
      <c r="J396">
        <v>0.16</v>
      </c>
      <c r="K396">
        <v>0.1515</v>
      </c>
      <c r="L396">
        <v>0.8</v>
      </c>
      <c r="M396">
        <v>0.19400000000000001</v>
      </c>
      <c r="N396">
        <v>3</v>
      </c>
      <c r="O396">
        <v>24</v>
      </c>
      <c r="P396">
        <v>27</v>
      </c>
      <c r="Q396">
        <v>0.1515</v>
      </c>
      <c r="R396">
        <v>0.8</v>
      </c>
      <c r="S396">
        <v>0.19400000000000001</v>
      </c>
      <c r="T396">
        <v>3</v>
      </c>
      <c r="U396">
        <v>24</v>
      </c>
      <c r="V396">
        <v>27</v>
      </c>
    </row>
    <row r="397" spans="1:22" x14ac:dyDescent="0.3">
      <c r="A397">
        <v>395</v>
      </c>
      <c r="B397">
        <v>40560</v>
      </c>
      <c r="C397">
        <v>1</v>
      </c>
      <c r="D397">
        <v>0</v>
      </c>
      <c r="E397">
        <v>1</v>
      </c>
      <c r="F397">
        <v>22</v>
      </c>
      <c r="G397" t="b">
        <v>1</v>
      </c>
      <c r="H397">
        <v>1</v>
      </c>
      <c r="I397">
        <v>3</v>
      </c>
      <c r="J397">
        <v>0.14000000000000001</v>
      </c>
      <c r="K397">
        <v>0.1212</v>
      </c>
      <c r="L397">
        <v>0.93</v>
      </c>
      <c r="M397">
        <v>0.25369999999999998</v>
      </c>
      <c r="N397">
        <v>0</v>
      </c>
      <c r="O397">
        <v>13</v>
      </c>
      <c r="P397">
        <v>13</v>
      </c>
      <c r="Q397">
        <v>0.1212</v>
      </c>
      <c r="R397">
        <v>0.93</v>
      </c>
      <c r="S397">
        <v>0.25369999999999998</v>
      </c>
      <c r="T397">
        <v>0</v>
      </c>
      <c r="U397">
        <v>13</v>
      </c>
      <c r="V397">
        <v>13</v>
      </c>
    </row>
    <row r="398" spans="1:22" x14ac:dyDescent="0.3">
      <c r="A398">
        <v>396</v>
      </c>
      <c r="B398">
        <v>40560</v>
      </c>
      <c r="C398">
        <v>1</v>
      </c>
      <c r="D398">
        <v>0</v>
      </c>
      <c r="E398">
        <v>1</v>
      </c>
      <c r="F398">
        <v>23</v>
      </c>
      <c r="G398" t="b">
        <v>1</v>
      </c>
      <c r="H398">
        <v>1</v>
      </c>
      <c r="I398">
        <v>3</v>
      </c>
      <c r="J398">
        <v>0.16</v>
      </c>
      <c r="K398">
        <v>0.13639999999999999</v>
      </c>
      <c r="L398">
        <v>0.86</v>
      </c>
      <c r="M398">
        <v>0.28360000000000002</v>
      </c>
      <c r="N398">
        <v>1</v>
      </c>
      <c r="O398">
        <v>3</v>
      </c>
      <c r="P398">
        <v>4</v>
      </c>
      <c r="Q398">
        <v>0.13639999999999999</v>
      </c>
      <c r="R398">
        <v>0.86</v>
      </c>
      <c r="S398">
        <v>0.28360000000000002</v>
      </c>
      <c r="T398">
        <v>1</v>
      </c>
      <c r="U398">
        <v>3</v>
      </c>
      <c r="V398">
        <v>4</v>
      </c>
    </row>
    <row r="399" spans="1:22" x14ac:dyDescent="0.3">
      <c r="A399">
        <v>397</v>
      </c>
      <c r="B399">
        <v>40561</v>
      </c>
      <c r="C399">
        <v>1</v>
      </c>
      <c r="D399">
        <v>0</v>
      </c>
      <c r="E399">
        <v>1</v>
      </c>
      <c r="F399">
        <v>12</v>
      </c>
      <c r="G399" t="b">
        <v>0</v>
      </c>
      <c r="H399">
        <v>2</v>
      </c>
      <c r="I399">
        <v>2</v>
      </c>
      <c r="J399">
        <v>0.2</v>
      </c>
      <c r="K399">
        <v>0.18179999999999999</v>
      </c>
      <c r="L399">
        <v>0.86</v>
      </c>
      <c r="M399">
        <v>0.32840000000000003</v>
      </c>
      <c r="N399">
        <v>0</v>
      </c>
      <c r="O399">
        <v>3</v>
      </c>
      <c r="P399">
        <v>3</v>
      </c>
      <c r="Q399">
        <v>0.18179999999999999</v>
      </c>
      <c r="R399">
        <v>0.86</v>
      </c>
      <c r="S399">
        <v>0.32840000000000003</v>
      </c>
      <c r="T399">
        <v>0</v>
      </c>
      <c r="U399">
        <v>3</v>
      </c>
      <c r="V399">
        <v>3</v>
      </c>
    </row>
    <row r="400" spans="1:22" x14ac:dyDescent="0.3">
      <c r="A400">
        <v>398</v>
      </c>
      <c r="B400">
        <v>40561</v>
      </c>
      <c r="C400">
        <v>1</v>
      </c>
      <c r="D400">
        <v>0</v>
      </c>
      <c r="E400">
        <v>1</v>
      </c>
      <c r="F400">
        <v>13</v>
      </c>
      <c r="G400" t="b">
        <v>0</v>
      </c>
      <c r="H400">
        <v>2</v>
      </c>
      <c r="I400">
        <v>2</v>
      </c>
      <c r="J400">
        <v>0.2</v>
      </c>
      <c r="K400">
        <v>0.19700000000000001</v>
      </c>
      <c r="L400">
        <v>0.86</v>
      </c>
      <c r="M400">
        <v>0.22389999999999999</v>
      </c>
      <c r="N400">
        <v>0</v>
      </c>
      <c r="O400">
        <v>22</v>
      </c>
      <c r="P400">
        <v>22</v>
      </c>
      <c r="Q400">
        <v>0.19700000000000001</v>
      </c>
      <c r="R400">
        <v>0.86</v>
      </c>
      <c r="S400">
        <v>0.22389999999999999</v>
      </c>
      <c r="T400">
        <v>0</v>
      </c>
      <c r="U400">
        <v>22</v>
      </c>
      <c r="V400">
        <v>22</v>
      </c>
    </row>
    <row r="401" spans="1:22" x14ac:dyDescent="0.3">
      <c r="A401">
        <v>399</v>
      </c>
      <c r="B401">
        <v>40561</v>
      </c>
      <c r="C401">
        <v>1</v>
      </c>
      <c r="D401">
        <v>0</v>
      </c>
      <c r="E401">
        <v>1</v>
      </c>
      <c r="F401">
        <v>14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</v>
      </c>
      <c r="M401">
        <v>0.16420000000000001</v>
      </c>
      <c r="N401">
        <v>2</v>
      </c>
      <c r="O401">
        <v>26</v>
      </c>
      <c r="P401">
        <v>28</v>
      </c>
      <c r="Q401">
        <v>0.2273</v>
      </c>
      <c r="R401">
        <v>0.8</v>
      </c>
      <c r="S401">
        <v>0.16420000000000001</v>
      </c>
      <c r="T401">
        <v>2</v>
      </c>
      <c r="U401">
        <v>26</v>
      </c>
      <c r="V401">
        <v>28</v>
      </c>
    </row>
    <row r="402" spans="1:22" x14ac:dyDescent="0.3">
      <c r="A402">
        <v>400</v>
      </c>
      <c r="B402">
        <v>40561</v>
      </c>
      <c r="C402">
        <v>1</v>
      </c>
      <c r="D402">
        <v>0</v>
      </c>
      <c r="E402">
        <v>1</v>
      </c>
      <c r="F402">
        <v>15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0.16420000000000001</v>
      </c>
      <c r="N402">
        <v>3</v>
      </c>
      <c r="O402">
        <v>32</v>
      </c>
      <c r="P402">
        <v>35</v>
      </c>
      <c r="Q402">
        <v>0.2273</v>
      </c>
      <c r="R402">
        <v>0.87</v>
      </c>
      <c r="S402">
        <v>0.16420000000000001</v>
      </c>
      <c r="T402">
        <v>3</v>
      </c>
      <c r="U402">
        <v>32</v>
      </c>
      <c r="V402">
        <v>35</v>
      </c>
    </row>
    <row r="403" spans="1:22" x14ac:dyDescent="0.3">
      <c r="A403">
        <v>401</v>
      </c>
      <c r="B403">
        <v>40561</v>
      </c>
      <c r="C403">
        <v>1</v>
      </c>
      <c r="D403">
        <v>0</v>
      </c>
      <c r="E403">
        <v>1</v>
      </c>
      <c r="F403">
        <v>16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0.87</v>
      </c>
      <c r="M403">
        <v>0.19400000000000001</v>
      </c>
      <c r="N403">
        <v>0</v>
      </c>
      <c r="O403">
        <v>61</v>
      </c>
      <c r="P403">
        <v>61</v>
      </c>
      <c r="Q403">
        <v>0.2273</v>
      </c>
      <c r="R403">
        <v>0.87</v>
      </c>
      <c r="S403">
        <v>0.19400000000000001</v>
      </c>
      <c r="T403">
        <v>0</v>
      </c>
      <c r="U403">
        <v>61</v>
      </c>
      <c r="V403">
        <v>61</v>
      </c>
    </row>
    <row r="404" spans="1:22" x14ac:dyDescent="0.3">
      <c r="A404">
        <v>402</v>
      </c>
      <c r="B404">
        <v>40561</v>
      </c>
      <c r="C404">
        <v>1</v>
      </c>
      <c r="D404">
        <v>0</v>
      </c>
      <c r="E404">
        <v>1</v>
      </c>
      <c r="F404">
        <v>17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0.82</v>
      </c>
      <c r="M404">
        <v>0.19400000000000001</v>
      </c>
      <c r="N404">
        <v>1</v>
      </c>
      <c r="O404">
        <v>124</v>
      </c>
      <c r="P404">
        <v>125</v>
      </c>
      <c r="Q404">
        <v>0.2273</v>
      </c>
      <c r="R404">
        <v>0.82</v>
      </c>
      <c r="S404">
        <v>0.19400000000000001</v>
      </c>
      <c r="T404">
        <v>1</v>
      </c>
      <c r="U404">
        <v>124</v>
      </c>
      <c r="V404">
        <v>125</v>
      </c>
    </row>
    <row r="405" spans="1:22" x14ac:dyDescent="0.3">
      <c r="A405">
        <v>403</v>
      </c>
      <c r="B405">
        <v>40561</v>
      </c>
      <c r="C405">
        <v>1</v>
      </c>
      <c r="D405">
        <v>0</v>
      </c>
      <c r="E405">
        <v>1</v>
      </c>
      <c r="F405">
        <v>18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0.16420000000000001</v>
      </c>
      <c r="N405">
        <v>1</v>
      </c>
      <c r="O405">
        <v>132</v>
      </c>
      <c r="P405">
        <v>133</v>
      </c>
      <c r="Q405">
        <v>0.2273</v>
      </c>
      <c r="R405">
        <v>0.8</v>
      </c>
      <c r="S405">
        <v>0.16420000000000001</v>
      </c>
      <c r="T405">
        <v>1</v>
      </c>
      <c r="U405">
        <v>132</v>
      </c>
      <c r="V405">
        <v>133</v>
      </c>
    </row>
    <row r="406" spans="1:22" x14ac:dyDescent="0.3">
      <c r="A406">
        <v>404</v>
      </c>
      <c r="B406">
        <v>40561</v>
      </c>
      <c r="C406">
        <v>1</v>
      </c>
      <c r="D406">
        <v>0</v>
      </c>
      <c r="E406">
        <v>1</v>
      </c>
      <c r="F406">
        <v>19</v>
      </c>
      <c r="G406" t="b">
        <v>0</v>
      </c>
      <c r="H406">
        <v>2</v>
      </c>
      <c r="I406">
        <v>2</v>
      </c>
      <c r="J406">
        <v>0.22</v>
      </c>
      <c r="K406">
        <v>0.2273</v>
      </c>
      <c r="L406">
        <v>0.8</v>
      </c>
      <c r="M406">
        <v>0.1343</v>
      </c>
      <c r="N406">
        <v>1</v>
      </c>
      <c r="O406">
        <v>98</v>
      </c>
      <c r="P406">
        <v>99</v>
      </c>
      <c r="Q406">
        <v>0.2273</v>
      </c>
      <c r="R406">
        <v>0.8</v>
      </c>
      <c r="S406">
        <v>0.1343</v>
      </c>
      <c r="T406">
        <v>1</v>
      </c>
      <c r="U406">
        <v>98</v>
      </c>
      <c r="V406">
        <v>99</v>
      </c>
    </row>
    <row r="407" spans="1:22" x14ac:dyDescent="0.3">
      <c r="A407">
        <v>405</v>
      </c>
      <c r="B407">
        <v>40561</v>
      </c>
      <c r="C407">
        <v>1</v>
      </c>
      <c r="D407">
        <v>0</v>
      </c>
      <c r="E407">
        <v>1</v>
      </c>
      <c r="F407">
        <v>20</v>
      </c>
      <c r="G407" t="b">
        <v>0</v>
      </c>
      <c r="H407">
        <v>2</v>
      </c>
      <c r="I407">
        <v>2</v>
      </c>
      <c r="J407">
        <v>0.22</v>
      </c>
      <c r="K407">
        <v>0.2727</v>
      </c>
      <c r="L407">
        <v>0.87</v>
      </c>
      <c r="M407">
        <v>0</v>
      </c>
      <c r="N407">
        <v>0</v>
      </c>
      <c r="O407">
        <v>83</v>
      </c>
      <c r="P407">
        <v>83</v>
      </c>
      <c r="Q407">
        <v>0.2727</v>
      </c>
      <c r="R407">
        <v>0.87</v>
      </c>
      <c r="S407">
        <v>0</v>
      </c>
      <c r="T407">
        <v>0</v>
      </c>
      <c r="U407">
        <v>83</v>
      </c>
      <c r="V407">
        <v>83</v>
      </c>
    </row>
    <row r="408" spans="1:22" x14ac:dyDescent="0.3">
      <c r="A408">
        <v>406</v>
      </c>
      <c r="B408">
        <v>40561</v>
      </c>
      <c r="C408">
        <v>1</v>
      </c>
      <c r="D408">
        <v>0</v>
      </c>
      <c r="E408">
        <v>1</v>
      </c>
      <c r="F408">
        <v>21</v>
      </c>
      <c r="G408" t="b">
        <v>0</v>
      </c>
      <c r="H408">
        <v>2</v>
      </c>
      <c r="I408">
        <v>2</v>
      </c>
      <c r="J408">
        <v>0.22</v>
      </c>
      <c r="K408">
        <v>0.2424</v>
      </c>
      <c r="L408">
        <v>0.93</v>
      </c>
      <c r="M408">
        <v>0.1045</v>
      </c>
      <c r="N408">
        <v>0</v>
      </c>
      <c r="O408">
        <v>41</v>
      </c>
      <c r="P408">
        <v>41</v>
      </c>
      <c r="Q408">
        <v>0.2424</v>
      </c>
      <c r="R408">
        <v>0.93</v>
      </c>
      <c r="S408">
        <v>0.1045</v>
      </c>
      <c r="T408">
        <v>0</v>
      </c>
      <c r="U408">
        <v>41</v>
      </c>
      <c r="V408">
        <v>41</v>
      </c>
    </row>
    <row r="409" spans="1:22" x14ac:dyDescent="0.3">
      <c r="A409">
        <v>407</v>
      </c>
      <c r="B409">
        <v>40561</v>
      </c>
      <c r="C409">
        <v>1</v>
      </c>
      <c r="D409">
        <v>0</v>
      </c>
      <c r="E409">
        <v>1</v>
      </c>
      <c r="F409">
        <v>22</v>
      </c>
      <c r="G409" t="b">
        <v>0</v>
      </c>
      <c r="H409">
        <v>2</v>
      </c>
      <c r="I409">
        <v>2</v>
      </c>
      <c r="J409">
        <v>0.22</v>
      </c>
      <c r="K409">
        <v>0.2576</v>
      </c>
      <c r="L409">
        <v>0.93</v>
      </c>
      <c r="M409">
        <v>8.9599999999999999E-2</v>
      </c>
      <c r="N409">
        <v>0</v>
      </c>
      <c r="O409">
        <v>33</v>
      </c>
      <c r="P409">
        <v>33</v>
      </c>
      <c r="Q409">
        <v>0.2576</v>
      </c>
      <c r="R409">
        <v>0.93</v>
      </c>
      <c r="S409">
        <v>8.9599999999999999E-2</v>
      </c>
      <c r="T409">
        <v>0</v>
      </c>
      <c r="U409">
        <v>33</v>
      </c>
      <c r="V409">
        <v>33</v>
      </c>
    </row>
    <row r="410" spans="1:22" x14ac:dyDescent="0.3">
      <c r="A410">
        <v>408</v>
      </c>
      <c r="B410">
        <v>40561</v>
      </c>
      <c r="C410">
        <v>1</v>
      </c>
      <c r="D410">
        <v>0</v>
      </c>
      <c r="E410">
        <v>1</v>
      </c>
      <c r="F410">
        <v>23</v>
      </c>
      <c r="G410" t="b">
        <v>0</v>
      </c>
      <c r="H410">
        <v>2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1</v>
      </c>
      <c r="O410">
        <v>19</v>
      </c>
      <c r="P410">
        <v>20</v>
      </c>
      <c r="Q410">
        <v>0.2727</v>
      </c>
      <c r="R410">
        <v>0.93</v>
      </c>
      <c r="S410">
        <v>0</v>
      </c>
      <c r="T410">
        <v>1</v>
      </c>
      <c r="U410">
        <v>19</v>
      </c>
      <c r="V410">
        <v>20</v>
      </c>
    </row>
    <row r="411" spans="1:22" x14ac:dyDescent="0.3">
      <c r="A411">
        <v>409</v>
      </c>
      <c r="B411">
        <v>40562</v>
      </c>
      <c r="C411">
        <v>1</v>
      </c>
      <c r="D411">
        <v>0</v>
      </c>
      <c r="E411">
        <v>1</v>
      </c>
      <c r="F411">
        <v>0</v>
      </c>
      <c r="G411" t="b">
        <v>0</v>
      </c>
      <c r="H411">
        <v>3</v>
      </c>
      <c r="I411">
        <v>2</v>
      </c>
      <c r="J411">
        <v>0.22</v>
      </c>
      <c r="K411">
        <v>0.2727</v>
      </c>
      <c r="L411">
        <v>0.93</v>
      </c>
      <c r="M411">
        <v>0</v>
      </c>
      <c r="N411">
        <v>0</v>
      </c>
      <c r="O411">
        <v>3</v>
      </c>
      <c r="P411">
        <v>3</v>
      </c>
      <c r="Q411">
        <v>0.2727</v>
      </c>
      <c r="R411">
        <v>0.93</v>
      </c>
      <c r="S411">
        <v>0</v>
      </c>
      <c r="T411">
        <v>0</v>
      </c>
      <c r="U411">
        <v>3</v>
      </c>
      <c r="V411">
        <v>3</v>
      </c>
    </row>
    <row r="412" spans="1:22" x14ac:dyDescent="0.3">
      <c r="A412">
        <v>410</v>
      </c>
      <c r="B412">
        <v>40562</v>
      </c>
      <c r="C412">
        <v>1</v>
      </c>
      <c r="D412">
        <v>0</v>
      </c>
      <c r="E412">
        <v>1</v>
      </c>
      <c r="F412">
        <v>1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1</v>
      </c>
      <c r="O412">
        <v>6</v>
      </c>
      <c r="P412">
        <v>7</v>
      </c>
      <c r="Q412">
        <v>0.2273</v>
      </c>
      <c r="R412">
        <v>0.93</v>
      </c>
      <c r="S412">
        <v>0.1343</v>
      </c>
      <c r="T412">
        <v>1</v>
      </c>
      <c r="U412">
        <v>6</v>
      </c>
      <c r="V412">
        <v>7</v>
      </c>
    </row>
    <row r="413" spans="1:22" x14ac:dyDescent="0.3">
      <c r="A413">
        <v>411</v>
      </c>
      <c r="B413">
        <v>40562</v>
      </c>
      <c r="C413">
        <v>1</v>
      </c>
      <c r="D413">
        <v>0</v>
      </c>
      <c r="E413">
        <v>1</v>
      </c>
      <c r="F413">
        <v>2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0</v>
      </c>
      <c r="O413">
        <v>3</v>
      </c>
      <c r="P413">
        <v>3</v>
      </c>
      <c r="Q413">
        <v>0.2273</v>
      </c>
      <c r="R413">
        <v>0.93</v>
      </c>
      <c r="S413">
        <v>0.1343</v>
      </c>
      <c r="T413">
        <v>0</v>
      </c>
      <c r="U413">
        <v>3</v>
      </c>
      <c r="V413">
        <v>3</v>
      </c>
    </row>
    <row r="414" spans="1:22" x14ac:dyDescent="0.3">
      <c r="A414">
        <v>412</v>
      </c>
      <c r="B414">
        <v>40562</v>
      </c>
      <c r="C414">
        <v>1</v>
      </c>
      <c r="D414">
        <v>0</v>
      </c>
      <c r="E414">
        <v>1</v>
      </c>
      <c r="F414">
        <v>4</v>
      </c>
      <c r="G414" t="b">
        <v>0</v>
      </c>
      <c r="H414">
        <v>3</v>
      </c>
      <c r="I414">
        <v>3</v>
      </c>
      <c r="J414">
        <v>0.22</v>
      </c>
      <c r="K414">
        <v>0.2273</v>
      </c>
      <c r="L414">
        <v>0.93</v>
      </c>
      <c r="M414">
        <v>0.1343</v>
      </c>
      <c r="N414">
        <v>1</v>
      </c>
      <c r="O414">
        <v>1</v>
      </c>
      <c r="P414">
        <v>2</v>
      </c>
      <c r="Q414">
        <v>0.2273</v>
      </c>
      <c r="R414">
        <v>0.93</v>
      </c>
      <c r="S414">
        <v>0.1343</v>
      </c>
      <c r="T414">
        <v>1</v>
      </c>
      <c r="U414">
        <v>1</v>
      </c>
      <c r="V414">
        <v>2</v>
      </c>
    </row>
    <row r="415" spans="1:22" x14ac:dyDescent="0.3">
      <c r="A415">
        <v>413</v>
      </c>
      <c r="B415">
        <v>40562</v>
      </c>
      <c r="C415">
        <v>1</v>
      </c>
      <c r="D415">
        <v>0</v>
      </c>
      <c r="E415">
        <v>1</v>
      </c>
      <c r="F415">
        <v>5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7</v>
      </c>
      <c r="P415">
        <v>7</v>
      </c>
      <c r="Q415">
        <v>0.2576</v>
      </c>
      <c r="R415">
        <v>0.93</v>
      </c>
      <c r="S415">
        <v>8.9599999999999999E-2</v>
      </c>
      <c r="T415">
        <v>0</v>
      </c>
      <c r="U415">
        <v>7</v>
      </c>
      <c r="V415">
        <v>7</v>
      </c>
    </row>
    <row r="416" spans="1:22" x14ac:dyDescent="0.3">
      <c r="A416">
        <v>414</v>
      </c>
      <c r="B416">
        <v>40562</v>
      </c>
      <c r="C416">
        <v>1</v>
      </c>
      <c r="D416">
        <v>0</v>
      </c>
      <c r="E416">
        <v>1</v>
      </c>
      <c r="F416">
        <v>6</v>
      </c>
      <c r="G416" t="b">
        <v>0</v>
      </c>
      <c r="H416">
        <v>3</v>
      </c>
      <c r="I416">
        <v>2</v>
      </c>
      <c r="J416">
        <v>0.22</v>
      </c>
      <c r="K416">
        <v>0.2576</v>
      </c>
      <c r="L416">
        <v>0.93</v>
      </c>
      <c r="M416">
        <v>8.9599999999999999E-2</v>
      </c>
      <c r="N416">
        <v>0</v>
      </c>
      <c r="O416">
        <v>32</v>
      </c>
      <c r="P416">
        <v>32</v>
      </c>
      <c r="Q416">
        <v>0.2576</v>
      </c>
      <c r="R416">
        <v>0.93</v>
      </c>
      <c r="S416">
        <v>8.9599999999999999E-2</v>
      </c>
      <c r="T416">
        <v>0</v>
      </c>
      <c r="U416">
        <v>32</v>
      </c>
      <c r="V416">
        <v>32</v>
      </c>
    </row>
    <row r="417" spans="1:22" x14ac:dyDescent="0.3">
      <c r="A417">
        <v>415</v>
      </c>
      <c r="B417">
        <v>40562</v>
      </c>
      <c r="C417">
        <v>1</v>
      </c>
      <c r="D417">
        <v>0</v>
      </c>
      <c r="E417">
        <v>1</v>
      </c>
      <c r="F417">
        <v>7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0.92</v>
      </c>
      <c r="M417">
        <v>0.1045</v>
      </c>
      <c r="N417">
        <v>1</v>
      </c>
      <c r="O417">
        <v>89</v>
      </c>
      <c r="P417">
        <v>90</v>
      </c>
      <c r="Q417">
        <v>0.2576</v>
      </c>
      <c r="R417">
        <v>0.92</v>
      </c>
      <c r="S417">
        <v>0.1045</v>
      </c>
      <c r="T417">
        <v>1</v>
      </c>
      <c r="U417">
        <v>89</v>
      </c>
      <c r="V417">
        <v>90</v>
      </c>
    </row>
    <row r="418" spans="1:22" x14ac:dyDescent="0.3">
      <c r="A418">
        <v>416</v>
      </c>
      <c r="B418">
        <v>40562</v>
      </c>
      <c r="C418">
        <v>1</v>
      </c>
      <c r="D418">
        <v>0</v>
      </c>
      <c r="E418">
        <v>1</v>
      </c>
      <c r="F418">
        <v>8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1</v>
      </c>
      <c r="O418">
        <v>196</v>
      </c>
      <c r="P418">
        <v>197</v>
      </c>
      <c r="Q418">
        <v>0.2576</v>
      </c>
      <c r="R418">
        <v>0.93</v>
      </c>
      <c r="S418">
        <v>0.1045</v>
      </c>
      <c r="T418">
        <v>1</v>
      </c>
      <c r="U418">
        <v>196</v>
      </c>
      <c r="V418">
        <v>197</v>
      </c>
    </row>
    <row r="419" spans="1:22" x14ac:dyDescent="0.3">
      <c r="A419">
        <v>417</v>
      </c>
      <c r="B419">
        <v>40562</v>
      </c>
      <c r="C419">
        <v>1</v>
      </c>
      <c r="D419">
        <v>0</v>
      </c>
      <c r="E419">
        <v>1</v>
      </c>
      <c r="F419">
        <v>9</v>
      </c>
      <c r="G419" t="b">
        <v>0</v>
      </c>
      <c r="H419">
        <v>3</v>
      </c>
      <c r="I419">
        <v>2</v>
      </c>
      <c r="J419">
        <v>0.24</v>
      </c>
      <c r="K419">
        <v>0.2576</v>
      </c>
      <c r="L419">
        <v>0.93</v>
      </c>
      <c r="M419">
        <v>0.1045</v>
      </c>
      <c r="N419">
        <v>2</v>
      </c>
      <c r="O419">
        <v>107</v>
      </c>
      <c r="P419">
        <v>109</v>
      </c>
      <c r="Q419">
        <v>0.2576</v>
      </c>
      <c r="R419">
        <v>0.93</v>
      </c>
      <c r="S419">
        <v>0.1045</v>
      </c>
      <c r="T419">
        <v>2</v>
      </c>
      <c r="U419">
        <v>107</v>
      </c>
      <c r="V419">
        <v>109</v>
      </c>
    </row>
    <row r="420" spans="1:22" x14ac:dyDescent="0.3">
      <c r="A420">
        <v>418</v>
      </c>
      <c r="B420">
        <v>40562</v>
      </c>
      <c r="C420">
        <v>1</v>
      </c>
      <c r="D420">
        <v>0</v>
      </c>
      <c r="E420">
        <v>1</v>
      </c>
      <c r="F420">
        <v>10</v>
      </c>
      <c r="G420" t="b">
        <v>0</v>
      </c>
      <c r="H420">
        <v>3</v>
      </c>
      <c r="I420">
        <v>2</v>
      </c>
      <c r="J420">
        <v>0.26</v>
      </c>
      <c r="K420">
        <v>0.2727</v>
      </c>
      <c r="L420">
        <v>0.93</v>
      </c>
      <c r="M420">
        <v>0.1343</v>
      </c>
      <c r="N420">
        <v>1</v>
      </c>
      <c r="O420">
        <v>46</v>
      </c>
      <c r="P420">
        <v>47</v>
      </c>
      <c r="Q420">
        <v>0.2727</v>
      </c>
      <c r="R420">
        <v>0.93</v>
      </c>
      <c r="S420">
        <v>0.1343</v>
      </c>
      <c r="T420">
        <v>1</v>
      </c>
      <c r="U420">
        <v>46</v>
      </c>
      <c r="V420">
        <v>47</v>
      </c>
    </row>
    <row r="421" spans="1:22" x14ac:dyDescent="0.3">
      <c r="A421">
        <v>419</v>
      </c>
      <c r="B421">
        <v>40562</v>
      </c>
      <c r="C421">
        <v>1</v>
      </c>
      <c r="D421">
        <v>0</v>
      </c>
      <c r="E421">
        <v>1</v>
      </c>
      <c r="F421">
        <v>11</v>
      </c>
      <c r="G421" t="b">
        <v>0</v>
      </c>
      <c r="H421">
        <v>3</v>
      </c>
      <c r="I421">
        <v>2</v>
      </c>
      <c r="J421">
        <v>0.28000000000000003</v>
      </c>
      <c r="K421">
        <v>0.30299999999999999</v>
      </c>
      <c r="L421">
        <v>0.87</v>
      </c>
      <c r="M421">
        <v>8.9599999999999999E-2</v>
      </c>
      <c r="N421">
        <v>5</v>
      </c>
      <c r="O421">
        <v>47</v>
      </c>
      <c r="P421">
        <v>52</v>
      </c>
      <c r="Q421">
        <v>0.30299999999999999</v>
      </c>
      <c r="R421">
        <v>0.87</v>
      </c>
      <c r="S421">
        <v>8.9599999999999999E-2</v>
      </c>
      <c r="T421">
        <v>5</v>
      </c>
      <c r="U421">
        <v>47</v>
      </c>
      <c r="V421">
        <v>52</v>
      </c>
    </row>
    <row r="422" spans="1:22" x14ac:dyDescent="0.3">
      <c r="A422">
        <v>420</v>
      </c>
      <c r="B422">
        <v>40562</v>
      </c>
      <c r="C422">
        <v>1</v>
      </c>
      <c r="D422">
        <v>0</v>
      </c>
      <c r="E422">
        <v>1</v>
      </c>
      <c r="F422">
        <v>12</v>
      </c>
      <c r="G422" t="b">
        <v>0</v>
      </c>
      <c r="H422">
        <v>3</v>
      </c>
      <c r="I422">
        <v>2</v>
      </c>
      <c r="J422">
        <v>0.3</v>
      </c>
      <c r="K422">
        <v>0.31819999999999998</v>
      </c>
      <c r="L422">
        <v>0.81</v>
      </c>
      <c r="M422">
        <v>8.9599999999999999E-2</v>
      </c>
      <c r="N422">
        <v>5</v>
      </c>
      <c r="O422">
        <v>65</v>
      </c>
      <c r="P422">
        <v>70</v>
      </c>
      <c r="Q422">
        <v>0.31819999999999998</v>
      </c>
      <c r="R422">
        <v>0.81</v>
      </c>
      <c r="S422">
        <v>8.9599999999999999E-2</v>
      </c>
      <c r="T422">
        <v>5</v>
      </c>
      <c r="U422">
        <v>65</v>
      </c>
      <c r="V422">
        <v>70</v>
      </c>
    </row>
    <row r="423" spans="1:22" x14ac:dyDescent="0.3">
      <c r="A423">
        <v>421</v>
      </c>
      <c r="B423">
        <v>40562</v>
      </c>
      <c r="C423">
        <v>1</v>
      </c>
      <c r="D423">
        <v>0</v>
      </c>
      <c r="E423">
        <v>1</v>
      </c>
      <c r="F423">
        <v>13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0.62</v>
      </c>
      <c r="M423">
        <v>0.28360000000000002</v>
      </c>
      <c r="N423">
        <v>11</v>
      </c>
      <c r="O423">
        <v>67</v>
      </c>
      <c r="P423">
        <v>78</v>
      </c>
      <c r="Q423">
        <v>0.40910000000000002</v>
      </c>
      <c r="R423">
        <v>0.62</v>
      </c>
      <c r="S423">
        <v>0.28360000000000002</v>
      </c>
      <c r="T423">
        <v>11</v>
      </c>
      <c r="U423">
        <v>67</v>
      </c>
      <c r="V423">
        <v>78</v>
      </c>
    </row>
    <row r="424" spans="1:22" x14ac:dyDescent="0.3">
      <c r="A424">
        <v>422</v>
      </c>
      <c r="B424">
        <v>40562</v>
      </c>
      <c r="C424">
        <v>1</v>
      </c>
      <c r="D424">
        <v>0</v>
      </c>
      <c r="E424">
        <v>1</v>
      </c>
      <c r="F424">
        <v>14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0.57999999999999996</v>
      </c>
      <c r="M424">
        <v>0.25369999999999998</v>
      </c>
      <c r="N424">
        <v>7</v>
      </c>
      <c r="O424">
        <v>68</v>
      </c>
      <c r="P424">
        <v>75</v>
      </c>
      <c r="Q424">
        <v>0.40910000000000002</v>
      </c>
      <c r="R424">
        <v>0.57999999999999996</v>
      </c>
      <c r="S424">
        <v>0.25369999999999998</v>
      </c>
      <c r="T424">
        <v>7</v>
      </c>
      <c r="U424">
        <v>68</v>
      </c>
      <c r="V424">
        <v>75</v>
      </c>
    </row>
    <row r="425" spans="1:22" x14ac:dyDescent="0.3">
      <c r="A425">
        <v>423</v>
      </c>
      <c r="B425">
        <v>40562</v>
      </c>
      <c r="C425">
        <v>1</v>
      </c>
      <c r="D425">
        <v>0</v>
      </c>
      <c r="E425">
        <v>1</v>
      </c>
      <c r="F425">
        <v>15</v>
      </c>
      <c r="G425" t="b">
        <v>0</v>
      </c>
      <c r="H425">
        <v>3</v>
      </c>
      <c r="I425">
        <v>1</v>
      </c>
      <c r="J425">
        <v>0.4</v>
      </c>
      <c r="K425">
        <v>0.40910000000000002</v>
      </c>
      <c r="L425">
        <v>0.54</v>
      </c>
      <c r="M425">
        <v>0.28360000000000002</v>
      </c>
      <c r="N425">
        <v>4</v>
      </c>
      <c r="O425">
        <v>78</v>
      </c>
      <c r="P425">
        <v>82</v>
      </c>
      <c r="Q425">
        <v>0.40910000000000002</v>
      </c>
      <c r="R425">
        <v>0.54</v>
      </c>
      <c r="S425">
        <v>0.28360000000000002</v>
      </c>
      <c r="T425">
        <v>4</v>
      </c>
      <c r="U425">
        <v>78</v>
      </c>
      <c r="V425">
        <v>82</v>
      </c>
    </row>
    <row r="426" spans="1:22" x14ac:dyDescent="0.3">
      <c r="A426">
        <v>424</v>
      </c>
      <c r="B426">
        <v>40562</v>
      </c>
      <c r="C426">
        <v>1</v>
      </c>
      <c r="D426">
        <v>0</v>
      </c>
      <c r="E426">
        <v>1</v>
      </c>
      <c r="F426">
        <v>16</v>
      </c>
      <c r="G426" t="b">
        <v>0</v>
      </c>
      <c r="H426">
        <v>3</v>
      </c>
      <c r="I426">
        <v>1</v>
      </c>
      <c r="J426">
        <v>0.38</v>
      </c>
      <c r="K426">
        <v>0.39389999999999997</v>
      </c>
      <c r="L426">
        <v>0.57999999999999996</v>
      </c>
      <c r="M426">
        <v>0.3881</v>
      </c>
      <c r="N426">
        <v>10</v>
      </c>
      <c r="O426">
        <v>94</v>
      </c>
      <c r="P426">
        <v>104</v>
      </c>
      <c r="Q426">
        <v>0.39389999999999997</v>
      </c>
      <c r="R426">
        <v>0.57999999999999996</v>
      </c>
      <c r="S426">
        <v>0.3881</v>
      </c>
      <c r="T426">
        <v>10</v>
      </c>
      <c r="U426">
        <v>94</v>
      </c>
      <c r="V426">
        <v>104</v>
      </c>
    </row>
    <row r="427" spans="1:22" x14ac:dyDescent="0.3">
      <c r="A427">
        <v>425</v>
      </c>
      <c r="B427">
        <v>40562</v>
      </c>
      <c r="C427">
        <v>1</v>
      </c>
      <c r="D427">
        <v>0</v>
      </c>
      <c r="E427">
        <v>1</v>
      </c>
      <c r="F427">
        <v>17</v>
      </c>
      <c r="G427" t="b">
        <v>0</v>
      </c>
      <c r="H427">
        <v>3</v>
      </c>
      <c r="I427">
        <v>1</v>
      </c>
      <c r="J427">
        <v>0.36</v>
      </c>
      <c r="K427">
        <v>0.33329999999999999</v>
      </c>
      <c r="L427">
        <v>0.56999999999999995</v>
      </c>
      <c r="M427">
        <v>0.32840000000000003</v>
      </c>
      <c r="N427">
        <v>7</v>
      </c>
      <c r="O427">
        <v>190</v>
      </c>
      <c r="P427">
        <v>197</v>
      </c>
      <c r="Q427">
        <v>0.33329999999999999</v>
      </c>
      <c r="R427">
        <v>0.56999999999999995</v>
      </c>
      <c r="S427">
        <v>0.32840000000000003</v>
      </c>
      <c r="T427">
        <v>7</v>
      </c>
      <c r="U427">
        <v>190</v>
      </c>
      <c r="V427">
        <v>197</v>
      </c>
    </row>
    <row r="428" spans="1:22" x14ac:dyDescent="0.3">
      <c r="A428">
        <v>426</v>
      </c>
      <c r="B428">
        <v>40562</v>
      </c>
      <c r="C428">
        <v>1</v>
      </c>
      <c r="D428">
        <v>0</v>
      </c>
      <c r="E428">
        <v>1</v>
      </c>
      <c r="F428">
        <v>18</v>
      </c>
      <c r="G428" t="b">
        <v>0</v>
      </c>
      <c r="H428">
        <v>3</v>
      </c>
      <c r="I428">
        <v>1</v>
      </c>
      <c r="J428">
        <v>0.34</v>
      </c>
      <c r="K428">
        <v>0.31819999999999998</v>
      </c>
      <c r="L428">
        <v>0.61</v>
      </c>
      <c r="M428">
        <v>0.28360000000000002</v>
      </c>
      <c r="N428">
        <v>5</v>
      </c>
      <c r="O428">
        <v>156</v>
      </c>
      <c r="P428">
        <v>161</v>
      </c>
      <c r="Q428">
        <v>0.31819999999999998</v>
      </c>
      <c r="R428">
        <v>0.61</v>
      </c>
      <c r="S428">
        <v>0.28360000000000002</v>
      </c>
      <c r="T428">
        <v>5</v>
      </c>
      <c r="U428">
        <v>156</v>
      </c>
      <c r="V428">
        <v>161</v>
      </c>
    </row>
    <row r="429" spans="1:22" x14ac:dyDescent="0.3">
      <c r="A429">
        <v>427</v>
      </c>
      <c r="B429">
        <v>40562</v>
      </c>
      <c r="C429">
        <v>1</v>
      </c>
      <c r="D429">
        <v>0</v>
      </c>
      <c r="E429">
        <v>1</v>
      </c>
      <c r="F429">
        <v>19</v>
      </c>
      <c r="G429" t="b">
        <v>0</v>
      </c>
      <c r="H429">
        <v>3</v>
      </c>
      <c r="I429">
        <v>1</v>
      </c>
      <c r="J429">
        <v>0.32</v>
      </c>
      <c r="K429">
        <v>0.28789999999999999</v>
      </c>
      <c r="L429">
        <v>0.56999999999999995</v>
      </c>
      <c r="M429">
        <v>0.41789999999999999</v>
      </c>
      <c r="N429">
        <v>4</v>
      </c>
      <c r="O429">
        <v>108</v>
      </c>
      <c r="P429">
        <v>112</v>
      </c>
      <c r="Q429">
        <v>0.28789999999999999</v>
      </c>
      <c r="R429">
        <v>0.56999999999999995</v>
      </c>
      <c r="S429">
        <v>0.41789999999999999</v>
      </c>
      <c r="T429">
        <v>4</v>
      </c>
      <c r="U429">
        <v>108</v>
      </c>
      <c r="V429">
        <v>112</v>
      </c>
    </row>
    <row r="430" spans="1:22" x14ac:dyDescent="0.3">
      <c r="A430">
        <v>428</v>
      </c>
      <c r="B430">
        <v>40562</v>
      </c>
      <c r="C430">
        <v>1</v>
      </c>
      <c r="D430">
        <v>0</v>
      </c>
      <c r="E430">
        <v>1</v>
      </c>
      <c r="F430">
        <v>20</v>
      </c>
      <c r="G430" t="b">
        <v>0</v>
      </c>
      <c r="H430">
        <v>3</v>
      </c>
      <c r="I430">
        <v>1</v>
      </c>
      <c r="J430">
        <v>0.32</v>
      </c>
      <c r="K430">
        <v>0.30299999999999999</v>
      </c>
      <c r="L430">
        <v>0.49</v>
      </c>
      <c r="M430">
        <v>0.29849999999999999</v>
      </c>
      <c r="N430">
        <v>2</v>
      </c>
      <c r="O430">
        <v>74</v>
      </c>
      <c r="P430">
        <v>76</v>
      </c>
      <c r="Q430">
        <v>0.30299999999999999</v>
      </c>
      <c r="R430">
        <v>0.49</v>
      </c>
      <c r="S430">
        <v>0.29849999999999999</v>
      </c>
      <c r="T430">
        <v>2</v>
      </c>
      <c r="U430">
        <v>74</v>
      </c>
      <c r="V430">
        <v>76</v>
      </c>
    </row>
    <row r="431" spans="1:22" x14ac:dyDescent="0.3">
      <c r="A431">
        <v>429</v>
      </c>
      <c r="B431">
        <v>40562</v>
      </c>
      <c r="C431">
        <v>1</v>
      </c>
      <c r="D431">
        <v>0</v>
      </c>
      <c r="E431">
        <v>1</v>
      </c>
      <c r="F431">
        <v>21</v>
      </c>
      <c r="G431" t="b">
        <v>0</v>
      </c>
      <c r="H431">
        <v>3</v>
      </c>
      <c r="I431">
        <v>1</v>
      </c>
      <c r="J431">
        <v>0.32</v>
      </c>
      <c r="K431">
        <v>0.28789999999999999</v>
      </c>
      <c r="L431">
        <v>0.49</v>
      </c>
      <c r="M431">
        <v>0.41789999999999999</v>
      </c>
      <c r="N431">
        <v>4</v>
      </c>
      <c r="O431">
        <v>55</v>
      </c>
      <c r="P431">
        <v>59</v>
      </c>
      <c r="Q431">
        <v>0.28789999999999999</v>
      </c>
      <c r="R431">
        <v>0.49</v>
      </c>
      <c r="S431">
        <v>0.41789999999999999</v>
      </c>
      <c r="T431">
        <v>4</v>
      </c>
      <c r="U431">
        <v>55</v>
      </c>
      <c r="V431">
        <v>59</v>
      </c>
    </row>
    <row r="432" spans="1:22" x14ac:dyDescent="0.3">
      <c r="A432">
        <v>430</v>
      </c>
      <c r="B432">
        <v>40562</v>
      </c>
      <c r="C432">
        <v>1</v>
      </c>
      <c r="D432">
        <v>0</v>
      </c>
      <c r="E432">
        <v>1</v>
      </c>
      <c r="F432">
        <v>22</v>
      </c>
      <c r="G432" t="b">
        <v>0</v>
      </c>
      <c r="H432">
        <v>3</v>
      </c>
      <c r="I432">
        <v>1</v>
      </c>
      <c r="J432">
        <v>0.3</v>
      </c>
      <c r="K432">
        <v>0.30299999999999999</v>
      </c>
      <c r="L432">
        <v>0.52</v>
      </c>
      <c r="M432">
        <v>0.16420000000000001</v>
      </c>
      <c r="N432">
        <v>6</v>
      </c>
      <c r="O432">
        <v>53</v>
      </c>
      <c r="P432">
        <v>59</v>
      </c>
      <c r="Q432">
        <v>0.30299999999999999</v>
      </c>
      <c r="R432">
        <v>0.52</v>
      </c>
      <c r="S432">
        <v>0.16420000000000001</v>
      </c>
      <c r="T432">
        <v>6</v>
      </c>
      <c r="U432">
        <v>53</v>
      </c>
      <c r="V432">
        <v>59</v>
      </c>
    </row>
    <row r="433" spans="1:22" x14ac:dyDescent="0.3">
      <c r="A433">
        <v>431</v>
      </c>
      <c r="B433">
        <v>40562</v>
      </c>
      <c r="C433">
        <v>1</v>
      </c>
      <c r="D433">
        <v>0</v>
      </c>
      <c r="E433">
        <v>1</v>
      </c>
      <c r="F433">
        <v>23</v>
      </c>
      <c r="G433" t="b">
        <v>0</v>
      </c>
      <c r="H433">
        <v>3</v>
      </c>
      <c r="I433">
        <v>1</v>
      </c>
      <c r="J433">
        <v>0.3</v>
      </c>
      <c r="K433">
        <v>0.2727</v>
      </c>
      <c r="L433">
        <v>0.52</v>
      </c>
      <c r="M433">
        <v>0.4627</v>
      </c>
      <c r="N433">
        <v>1</v>
      </c>
      <c r="O433">
        <v>27</v>
      </c>
      <c r="P433">
        <v>28</v>
      </c>
      <c r="Q433">
        <v>0.2727</v>
      </c>
      <c r="R433">
        <v>0.52</v>
      </c>
      <c r="S433">
        <v>0.4627</v>
      </c>
      <c r="T433">
        <v>1</v>
      </c>
      <c r="U433">
        <v>27</v>
      </c>
      <c r="V433">
        <v>28</v>
      </c>
    </row>
    <row r="434" spans="1:22" x14ac:dyDescent="0.3">
      <c r="A434">
        <v>432</v>
      </c>
      <c r="B434">
        <v>40563</v>
      </c>
      <c r="C434">
        <v>1</v>
      </c>
      <c r="D434">
        <v>0</v>
      </c>
      <c r="E434">
        <v>1</v>
      </c>
      <c r="F434">
        <v>0</v>
      </c>
      <c r="G434" t="b">
        <v>0</v>
      </c>
      <c r="H434">
        <v>4</v>
      </c>
      <c r="I434">
        <v>1</v>
      </c>
      <c r="J434">
        <v>0.26</v>
      </c>
      <c r="K434">
        <v>0.2273</v>
      </c>
      <c r="L434">
        <v>0.56000000000000005</v>
      </c>
      <c r="M434">
        <v>0.3881</v>
      </c>
      <c r="N434">
        <v>5</v>
      </c>
      <c r="O434">
        <v>8</v>
      </c>
      <c r="P434">
        <v>13</v>
      </c>
      <c r="Q434">
        <v>0.2273</v>
      </c>
      <c r="R434">
        <v>0.56000000000000005</v>
      </c>
      <c r="S434">
        <v>0.3881</v>
      </c>
      <c r="T434">
        <v>5</v>
      </c>
      <c r="U434">
        <v>8</v>
      </c>
      <c r="V434">
        <v>13</v>
      </c>
    </row>
    <row r="435" spans="1:22" x14ac:dyDescent="0.3">
      <c r="A435">
        <v>433</v>
      </c>
      <c r="B435">
        <v>40563</v>
      </c>
      <c r="C435">
        <v>1</v>
      </c>
      <c r="D435">
        <v>0</v>
      </c>
      <c r="E435">
        <v>1</v>
      </c>
      <c r="F435">
        <v>1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2</v>
      </c>
      <c r="O435">
        <v>3</v>
      </c>
      <c r="P435">
        <v>5</v>
      </c>
      <c r="Q435">
        <v>0.2727</v>
      </c>
      <c r="R435">
        <v>0.56000000000000005</v>
      </c>
      <c r="S435">
        <v>0</v>
      </c>
      <c r="T435">
        <v>2</v>
      </c>
      <c r="U435">
        <v>3</v>
      </c>
      <c r="V435">
        <v>5</v>
      </c>
    </row>
    <row r="436" spans="1:22" x14ac:dyDescent="0.3">
      <c r="A436">
        <v>434</v>
      </c>
      <c r="B436">
        <v>40563</v>
      </c>
      <c r="C436">
        <v>1</v>
      </c>
      <c r="D436">
        <v>0</v>
      </c>
      <c r="E436">
        <v>1</v>
      </c>
      <c r="F436">
        <v>2</v>
      </c>
      <c r="G436" t="b">
        <v>0</v>
      </c>
      <c r="H436">
        <v>4</v>
      </c>
      <c r="I436">
        <v>1</v>
      </c>
      <c r="J436">
        <v>0.26</v>
      </c>
      <c r="K436">
        <v>0.2727</v>
      </c>
      <c r="L436">
        <v>0.56000000000000005</v>
      </c>
      <c r="M436">
        <v>0</v>
      </c>
      <c r="N436">
        <v>0</v>
      </c>
      <c r="O436">
        <v>2</v>
      </c>
      <c r="P436">
        <v>2</v>
      </c>
      <c r="Q436">
        <v>0.2727</v>
      </c>
      <c r="R436">
        <v>0.56000000000000005</v>
      </c>
      <c r="S436">
        <v>0</v>
      </c>
      <c r="T436">
        <v>0</v>
      </c>
      <c r="U436">
        <v>2</v>
      </c>
      <c r="V436">
        <v>2</v>
      </c>
    </row>
    <row r="437" spans="1:22" x14ac:dyDescent="0.3">
      <c r="A437">
        <v>435</v>
      </c>
      <c r="B437">
        <v>40563</v>
      </c>
      <c r="C437">
        <v>1</v>
      </c>
      <c r="D437">
        <v>0</v>
      </c>
      <c r="E437">
        <v>1</v>
      </c>
      <c r="F437">
        <v>3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>
        <v>0.2576</v>
      </c>
      <c r="R437">
        <v>0.56000000000000005</v>
      </c>
      <c r="S437">
        <v>0.16420000000000001</v>
      </c>
      <c r="T437">
        <v>0</v>
      </c>
      <c r="U437">
        <v>1</v>
      </c>
      <c r="V437">
        <v>1</v>
      </c>
    </row>
    <row r="438" spans="1:22" x14ac:dyDescent="0.3">
      <c r="A438">
        <v>436</v>
      </c>
      <c r="B438">
        <v>40563</v>
      </c>
      <c r="C438">
        <v>1</v>
      </c>
      <c r="D438">
        <v>0</v>
      </c>
      <c r="E438">
        <v>1</v>
      </c>
      <c r="F438">
        <v>4</v>
      </c>
      <c r="G438" t="b">
        <v>0</v>
      </c>
      <c r="H438">
        <v>4</v>
      </c>
      <c r="I438">
        <v>1</v>
      </c>
      <c r="J438">
        <v>0.26</v>
      </c>
      <c r="K438">
        <v>0.2576</v>
      </c>
      <c r="L438">
        <v>0.56000000000000005</v>
      </c>
      <c r="M438">
        <v>0.16420000000000001</v>
      </c>
      <c r="N438">
        <v>0</v>
      </c>
      <c r="O438">
        <v>1</v>
      </c>
      <c r="P438">
        <v>1</v>
      </c>
      <c r="Q438">
        <v>0.2576</v>
      </c>
      <c r="R438">
        <v>0.56000000000000005</v>
      </c>
      <c r="S438">
        <v>0.16420000000000001</v>
      </c>
      <c r="T438">
        <v>0</v>
      </c>
      <c r="U438">
        <v>1</v>
      </c>
      <c r="V438">
        <v>1</v>
      </c>
    </row>
    <row r="439" spans="1:22" x14ac:dyDescent="0.3">
      <c r="A439">
        <v>437</v>
      </c>
      <c r="B439">
        <v>40563</v>
      </c>
      <c r="C439">
        <v>1</v>
      </c>
      <c r="D439">
        <v>0</v>
      </c>
      <c r="E439">
        <v>1</v>
      </c>
      <c r="F439">
        <v>5</v>
      </c>
      <c r="G439" t="b">
        <v>0</v>
      </c>
      <c r="H439">
        <v>4</v>
      </c>
      <c r="I439">
        <v>1</v>
      </c>
      <c r="J439">
        <v>0.24</v>
      </c>
      <c r="K439">
        <v>0.2273</v>
      </c>
      <c r="L439">
        <v>0.6</v>
      </c>
      <c r="M439">
        <v>0.22389999999999999</v>
      </c>
      <c r="N439">
        <v>0</v>
      </c>
      <c r="O439">
        <v>6</v>
      </c>
      <c r="P439">
        <v>6</v>
      </c>
      <c r="Q439">
        <v>0.2273</v>
      </c>
      <c r="R439">
        <v>0.6</v>
      </c>
      <c r="S439">
        <v>0.22389999999999999</v>
      </c>
      <c r="T439">
        <v>0</v>
      </c>
      <c r="U439">
        <v>6</v>
      </c>
      <c r="V439">
        <v>6</v>
      </c>
    </row>
    <row r="440" spans="1:22" x14ac:dyDescent="0.3">
      <c r="A440">
        <v>438</v>
      </c>
      <c r="B440">
        <v>40563</v>
      </c>
      <c r="C440">
        <v>1</v>
      </c>
      <c r="D440">
        <v>0</v>
      </c>
      <c r="E440">
        <v>1</v>
      </c>
      <c r="F440">
        <v>6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0.6</v>
      </c>
      <c r="M440">
        <v>0.22389999999999999</v>
      </c>
      <c r="N440">
        <v>0</v>
      </c>
      <c r="O440">
        <v>35</v>
      </c>
      <c r="P440">
        <v>35</v>
      </c>
      <c r="Q440">
        <v>0.21210000000000001</v>
      </c>
      <c r="R440">
        <v>0.6</v>
      </c>
      <c r="S440">
        <v>0.22389999999999999</v>
      </c>
      <c r="T440">
        <v>0</v>
      </c>
      <c r="U440">
        <v>35</v>
      </c>
      <c r="V440">
        <v>35</v>
      </c>
    </row>
    <row r="441" spans="1:22" x14ac:dyDescent="0.3">
      <c r="A441">
        <v>439</v>
      </c>
      <c r="B441">
        <v>40563</v>
      </c>
      <c r="C441">
        <v>1</v>
      </c>
      <c r="D441">
        <v>0</v>
      </c>
      <c r="E441">
        <v>1</v>
      </c>
      <c r="F441">
        <v>7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0.22389999999999999</v>
      </c>
      <c r="N441">
        <v>1</v>
      </c>
      <c r="O441">
        <v>100</v>
      </c>
      <c r="P441">
        <v>101</v>
      </c>
      <c r="Q441">
        <v>0.21210000000000001</v>
      </c>
      <c r="R441">
        <v>0.55000000000000004</v>
      </c>
      <c r="S441">
        <v>0.22389999999999999</v>
      </c>
      <c r="T441">
        <v>1</v>
      </c>
      <c r="U441">
        <v>100</v>
      </c>
      <c r="V441">
        <v>101</v>
      </c>
    </row>
    <row r="442" spans="1:22" x14ac:dyDescent="0.3">
      <c r="A442">
        <v>440</v>
      </c>
      <c r="B442">
        <v>40563</v>
      </c>
      <c r="C442">
        <v>1</v>
      </c>
      <c r="D442">
        <v>0</v>
      </c>
      <c r="E442">
        <v>1</v>
      </c>
      <c r="F442">
        <v>8</v>
      </c>
      <c r="G442" t="b">
        <v>0</v>
      </c>
      <c r="H442">
        <v>4</v>
      </c>
      <c r="I442">
        <v>1</v>
      </c>
      <c r="J442">
        <v>0.22</v>
      </c>
      <c r="K442">
        <v>0.21210000000000001</v>
      </c>
      <c r="L442">
        <v>0.55000000000000004</v>
      </c>
      <c r="M442">
        <v>0.28360000000000002</v>
      </c>
      <c r="N442">
        <v>2</v>
      </c>
      <c r="O442">
        <v>247</v>
      </c>
      <c r="P442">
        <v>249</v>
      </c>
      <c r="Q442">
        <v>0.21210000000000001</v>
      </c>
      <c r="R442">
        <v>0.55000000000000004</v>
      </c>
      <c r="S442">
        <v>0.28360000000000002</v>
      </c>
      <c r="T442">
        <v>2</v>
      </c>
      <c r="U442">
        <v>247</v>
      </c>
      <c r="V442">
        <v>249</v>
      </c>
    </row>
    <row r="443" spans="1:22" x14ac:dyDescent="0.3">
      <c r="A443">
        <v>441</v>
      </c>
      <c r="B443">
        <v>40563</v>
      </c>
      <c r="C443">
        <v>1</v>
      </c>
      <c r="D443">
        <v>0</v>
      </c>
      <c r="E443">
        <v>1</v>
      </c>
      <c r="F443">
        <v>9</v>
      </c>
      <c r="G443" t="b">
        <v>0</v>
      </c>
      <c r="H443">
        <v>4</v>
      </c>
      <c r="I443">
        <v>2</v>
      </c>
      <c r="J443">
        <v>0.24</v>
      </c>
      <c r="K443">
        <v>0.2273</v>
      </c>
      <c r="L443">
        <v>0.52</v>
      </c>
      <c r="M443">
        <v>0.22389999999999999</v>
      </c>
      <c r="N443">
        <v>3</v>
      </c>
      <c r="O443">
        <v>140</v>
      </c>
      <c r="P443">
        <v>143</v>
      </c>
      <c r="Q443">
        <v>0.2273</v>
      </c>
      <c r="R443">
        <v>0.52</v>
      </c>
      <c r="S443">
        <v>0.22389999999999999</v>
      </c>
      <c r="T443">
        <v>3</v>
      </c>
      <c r="U443">
        <v>140</v>
      </c>
      <c r="V443">
        <v>143</v>
      </c>
    </row>
    <row r="444" spans="1:22" x14ac:dyDescent="0.3">
      <c r="A444">
        <v>442</v>
      </c>
      <c r="B444">
        <v>40563</v>
      </c>
      <c r="C444">
        <v>1</v>
      </c>
      <c r="D444">
        <v>0</v>
      </c>
      <c r="E444">
        <v>1</v>
      </c>
      <c r="F444">
        <v>10</v>
      </c>
      <c r="G444" t="b">
        <v>0</v>
      </c>
      <c r="H444">
        <v>4</v>
      </c>
      <c r="I444">
        <v>1</v>
      </c>
      <c r="J444">
        <v>0.26</v>
      </c>
      <c r="K444">
        <v>0.2273</v>
      </c>
      <c r="L444">
        <v>0.48</v>
      </c>
      <c r="M444">
        <v>0.29849999999999999</v>
      </c>
      <c r="N444">
        <v>1</v>
      </c>
      <c r="O444">
        <v>56</v>
      </c>
      <c r="P444">
        <v>57</v>
      </c>
      <c r="Q444">
        <v>0.2273</v>
      </c>
      <c r="R444">
        <v>0.48</v>
      </c>
      <c r="S444">
        <v>0.29849999999999999</v>
      </c>
      <c r="T444">
        <v>1</v>
      </c>
      <c r="U444">
        <v>56</v>
      </c>
      <c r="V444">
        <v>57</v>
      </c>
    </row>
    <row r="445" spans="1:22" x14ac:dyDescent="0.3">
      <c r="A445">
        <v>443</v>
      </c>
      <c r="B445">
        <v>40563</v>
      </c>
      <c r="C445">
        <v>1</v>
      </c>
      <c r="D445">
        <v>0</v>
      </c>
      <c r="E445">
        <v>1</v>
      </c>
      <c r="F445">
        <v>11</v>
      </c>
      <c r="G445" t="b">
        <v>0</v>
      </c>
      <c r="H445">
        <v>4</v>
      </c>
      <c r="I445">
        <v>2</v>
      </c>
      <c r="J445">
        <v>0.28000000000000003</v>
      </c>
      <c r="K445">
        <v>0.2727</v>
      </c>
      <c r="L445">
        <v>0.45</v>
      </c>
      <c r="M445">
        <v>0.16420000000000001</v>
      </c>
      <c r="N445">
        <v>5</v>
      </c>
      <c r="O445">
        <v>63</v>
      </c>
      <c r="P445">
        <v>68</v>
      </c>
      <c r="Q445">
        <v>0.2727</v>
      </c>
      <c r="R445">
        <v>0.45</v>
      </c>
      <c r="S445">
        <v>0.16420000000000001</v>
      </c>
      <c r="T445">
        <v>5</v>
      </c>
      <c r="U445">
        <v>63</v>
      </c>
      <c r="V445">
        <v>68</v>
      </c>
    </row>
    <row r="446" spans="1:22" x14ac:dyDescent="0.3">
      <c r="A446">
        <v>444</v>
      </c>
      <c r="B446">
        <v>40563</v>
      </c>
      <c r="C446">
        <v>1</v>
      </c>
      <c r="D446">
        <v>0</v>
      </c>
      <c r="E446">
        <v>1</v>
      </c>
      <c r="F446">
        <v>12</v>
      </c>
      <c r="G446" t="b">
        <v>0</v>
      </c>
      <c r="H446">
        <v>4</v>
      </c>
      <c r="I446">
        <v>2</v>
      </c>
      <c r="J446">
        <v>0.3</v>
      </c>
      <c r="K446">
        <v>0.33329999999999999</v>
      </c>
      <c r="L446">
        <v>0.42</v>
      </c>
      <c r="M446">
        <v>0</v>
      </c>
      <c r="N446">
        <v>7</v>
      </c>
      <c r="O446">
        <v>77</v>
      </c>
      <c r="P446">
        <v>84</v>
      </c>
      <c r="Q446">
        <v>0.33329999999999999</v>
      </c>
      <c r="R446">
        <v>0.42</v>
      </c>
      <c r="S446">
        <v>0</v>
      </c>
      <c r="T446">
        <v>7</v>
      </c>
      <c r="U446">
        <v>77</v>
      </c>
      <c r="V446">
        <v>84</v>
      </c>
    </row>
    <row r="447" spans="1:22" x14ac:dyDescent="0.3">
      <c r="A447">
        <v>445</v>
      </c>
      <c r="B447">
        <v>40563</v>
      </c>
      <c r="C447">
        <v>1</v>
      </c>
      <c r="D447">
        <v>0</v>
      </c>
      <c r="E447">
        <v>1</v>
      </c>
      <c r="F447">
        <v>13</v>
      </c>
      <c r="G447" t="b">
        <v>0</v>
      </c>
      <c r="H447">
        <v>4</v>
      </c>
      <c r="I447">
        <v>2</v>
      </c>
      <c r="J447">
        <v>0.28000000000000003</v>
      </c>
      <c r="K447">
        <v>0.28789999999999999</v>
      </c>
      <c r="L447">
        <v>0.45</v>
      </c>
      <c r="M447">
        <v>0.1045</v>
      </c>
      <c r="N447">
        <v>12</v>
      </c>
      <c r="O447">
        <v>86</v>
      </c>
      <c r="P447">
        <v>98</v>
      </c>
      <c r="Q447">
        <v>0.28789999999999999</v>
      </c>
      <c r="R447">
        <v>0.45</v>
      </c>
      <c r="S447">
        <v>0.1045</v>
      </c>
      <c r="T447">
        <v>12</v>
      </c>
      <c r="U447">
        <v>86</v>
      </c>
      <c r="V447">
        <v>98</v>
      </c>
    </row>
    <row r="448" spans="1:22" x14ac:dyDescent="0.3">
      <c r="A448">
        <v>446</v>
      </c>
      <c r="B448">
        <v>40563</v>
      </c>
      <c r="C448">
        <v>1</v>
      </c>
      <c r="D448">
        <v>0</v>
      </c>
      <c r="E448">
        <v>1</v>
      </c>
      <c r="F448">
        <v>14</v>
      </c>
      <c r="G448" t="b">
        <v>0</v>
      </c>
      <c r="H448">
        <v>4</v>
      </c>
      <c r="I448">
        <v>2</v>
      </c>
      <c r="J448">
        <v>0.3</v>
      </c>
      <c r="K448">
        <v>0.30299999999999999</v>
      </c>
      <c r="L448">
        <v>0.45</v>
      </c>
      <c r="M448">
        <v>0.1343</v>
      </c>
      <c r="N448">
        <v>6</v>
      </c>
      <c r="O448">
        <v>75</v>
      </c>
      <c r="P448">
        <v>81</v>
      </c>
      <c r="Q448">
        <v>0.30299999999999999</v>
      </c>
      <c r="R448">
        <v>0.45</v>
      </c>
      <c r="S448">
        <v>0.1343</v>
      </c>
      <c r="T448">
        <v>6</v>
      </c>
      <c r="U448">
        <v>75</v>
      </c>
      <c r="V448">
        <v>81</v>
      </c>
    </row>
    <row r="449" spans="1:22" x14ac:dyDescent="0.3">
      <c r="A449">
        <v>447</v>
      </c>
      <c r="B449">
        <v>40563</v>
      </c>
      <c r="C449">
        <v>1</v>
      </c>
      <c r="D449">
        <v>0</v>
      </c>
      <c r="E449">
        <v>1</v>
      </c>
      <c r="F449">
        <v>15</v>
      </c>
      <c r="G449" t="b">
        <v>0</v>
      </c>
      <c r="H449">
        <v>4</v>
      </c>
      <c r="I449">
        <v>2</v>
      </c>
      <c r="J449">
        <v>0.32</v>
      </c>
      <c r="K449">
        <v>0.31819999999999998</v>
      </c>
      <c r="L449">
        <v>0.45</v>
      </c>
      <c r="M449">
        <v>0.19400000000000001</v>
      </c>
      <c r="N449">
        <v>8</v>
      </c>
      <c r="O449">
        <v>62</v>
      </c>
      <c r="P449">
        <v>70</v>
      </c>
      <c r="Q449">
        <v>0.31819999999999998</v>
      </c>
      <c r="R449">
        <v>0.45</v>
      </c>
      <c r="S449">
        <v>0.19400000000000001</v>
      </c>
      <c r="T449">
        <v>8</v>
      </c>
      <c r="U449">
        <v>62</v>
      </c>
      <c r="V449">
        <v>70</v>
      </c>
    </row>
    <row r="450" spans="1:22" x14ac:dyDescent="0.3">
      <c r="A450">
        <v>448</v>
      </c>
      <c r="B450">
        <v>40563</v>
      </c>
      <c r="C450">
        <v>1</v>
      </c>
      <c r="D450">
        <v>0</v>
      </c>
      <c r="E450">
        <v>1</v>
      </c>
      <c r="F450">
        <v>16</v>
      </c>
      <c r="G450" t="b">
        <v>0</v>
      </c>
      <c r="H450">
        <v>4</v>
      </c>
      <c r="I450">
        <v>2</v>
      </c>
      <c r="J450">
        <v>0.3</v>
      </c>
      <c r="K450">
        <v>0.30299999999999999</v>
      </c>
      <c r="L450">
        <v>0.49</v>
      </c>
      <c r="M450">
        <v>0.1343</v>
      </c>
      <c r="N450">
        <v>8</v>
      </c>
      <c r="O450">
        <v>83</v>
      </c>
      <c r="P450">
        <v>91</v>
      </c>
      <c r="Q450">
        <v>0.30299999999999999</v>
      </c>
      <c r="R450">
        <v>0.49</v>
      </c>
      <c r="S450">
        <v>0.1343</v>
      </c>
      <c r="T450">
        <v>8</v>
      </c>
      <c r="U450">
        <v>83</v>
      </c>
      <c r="V450">
        <v>91</v>
      </c>
    </row>
    <row r="451" spans="1:22" x14ac:dyDescent="0.3">
      <c r="A451">
        <v>449</v>
      </c>
      <c r="B451">
        <v>40563</v>
      </c>
      <c r="C451">
        <v>1</v>
      </c>
      <c r="D451">
        <v>0</v>
      </c>
      <c r="E451">
        <v>1</v>
      </c>
      <c r="F451">
        <v>17</v>
      </c>
      <c r="G451" t="b">
        <v>0</v>
      </c>
      <c r="H451">
        <v>4</v>
      </c>
      <c r="I451">
        <v>2</v>
      </c>
      <c r="J451">
        <v>0.3</v>
      </c>
      <c r="K451">
        <v>0.31819999999999998</v>
      </c>
      <c r="L451">
        <v>0.49</v>
      </c>
      <c r="M451">
        <v>0.1045</v>
      </c>
      <c r="N451">
        <v>8</v>
      </c>
      <c r="O451">
        <v>207</v>
      </c>
      <c r="P451">
        <v>215</v>
      </c>
      <c r="Q451">
        <v>0.31819999999999998</v>
      </c>
      <c r="R451">
        <v>0.49</v>
      </c>
      <c r="S451">
        <v>0.1045</v>
      </c>
      <c r="T451">
        <v>8</v>
      </c>
      <c r="U451">
        <v>207</v>
      </c>
      <c r="V451">
        <v>215</v>
      </c>
    </row>
    <row r="452" spans="1:22" x14ac:dyDescent="0.3">
      <c r="A452">
        <v>450</v>
      </c>
      <c r="B452">
        <v>40563</v>
      </c>
      <c r="C452">
        <v>1</v>
      </c>
      <c r="D452">
        <v>0</v>
      </c>
      <c r="E452">
        <v>1</v>
      </c>
      <c r="F452">
        <v>18</v>
      </c>
      <c r="G452" t="b">
        <v>0</v>
      </c>
      <c r="H452">
        <v>4</v>
      </c>
      <c r="I452">
        <v>2</v>
      </c>
      <c r="J452">
        <v>0.26</v>
      </c>
      <c r="K452">
        <v>0.2576</v>
      </c>
      <c r="L452">
        <v>0.56000000000000005</v>
      </c>
      <c r="M452">
        <v>0.19400000000000001</v>
      </c>
      <c r="N452">
        <v>1</v>
      </c>
      <c r="O452">
        <v>184</v>
      </c>
      <c r="P452">
        <v>185</v>
      </c>
      <c r="Q452">
        <v>0.2576</v>
      </c>
      <c r="R452">
        <v>0.56000000000000005</v>
      </c>
      <c r="S452">
        <v>0.19400000000000001</v>
      </c>
      <c r="T452">
        <v>1</v>
      </c>
      <c r="U452">
        <v>184</v>
      </c>
      <c r="V452">
        <v>185</v>
      </c>
    </row>
    <row r="453" spans="1:22" x14ac:dyDescent="0.3">
      <c r="A453">
        <v>451</v>
      </c>
      <c r="B453">
        <v>40563</v>
      </c>
      <c r="C453">
        <v>1</v>
      </c>
      <c r="D453">
        <v>0</v>
      </c>
      <c r="E453">
        <v>1</v>
      </c>
      <c r="F453">
        <v>19</v>
      </c>
      <c r="G453" t="b">
        <v>0</v>
      </c>
      <c r="H453">
        <v>4</v>
      </c>
      <c r="I453">
        <v>1</v>
      </c>
      <c r="J453">
        <v>0.26</v>
      </c>
      <c r="K453">
        <v>0.2273</v>
      </c>
      <c r="L453">
        <v>0.56000000000000005</v>
      </c>
      <c r="M453">
        <v>0.32840000000000003</v>
      </c>
      <c r="N453">
        <v>6</v>
      </c>
      <c r="O453">
        <v>146</v>
      </c>
      <c r="P453">
        <v>152</v>
      </c>
      <c r="Q453">
        <v>0.2273</v>
      </c>
      <c r="R453">
        <v>0.56000000000000005</v>
      </c>
      <c r="S453">
        <v>0.32840000000000003</v>
      </c>
      <c r="T453">
        <v>6</v>
      </c>
      <c r="U453">
        <v>146</v>
      </c>
      <c r="V453">
        <v>152</v>
      </c>
    </row>
    <row r="454" spans="1:22" x14ac:dyDescent="0.3">
      <c r="A454">
        <v>452</v>
      </c>
      <c r="B454">
        <v>40563</v>
      </c>
      <c r="C454">
        <v>1</v>
      </c>
      <c r="D454">
        <v>0</v>
      </c>
      <c r="E454">
        <v>1</v>
      </c>
      <c r="F454">
        <v>20</v>
      </c>
      <c r="G454" t="b">
        <v>0</v>
      </c>
      <c r="H454">
        <v>4</v>
      </c>
      <c r="I454">
        <v>2</v>
      </c>
      <c r="J454">
        <v>0.26</v>
      </c>
      <c r="K454">
        <v>0.2424</v>
      </c>
      <c r="L454">
        <v>0.6</v>
      </c>
      <c r="M454">
        <v>0.28360000000000002</v>
      </c>
      <c r="N454">
        <v>2</v>
      </c>
      <c r="O454">
        <v>124</v>
      </c>
      <c r="P454">
        <v>126</v>
      </c>
      <c r="Q454">
        <v>0.2424</v>
      </c>
      <c r="R454">
        <v>0.6</v>
      </c>
      <c r="S454">
        <v>0.28360000000000002</v>
      </c>
      <c r="T454">
        <v>2</v>
      </c>
      <c r="U454">
        <v>124</v>
      </c>
      <c r="V454">
        <v>126</v>
      </c>
    </row>
    <row r="455" spans="1:22" x14ac:dyDescent="0.3">
      <c r="A455">
        <v>453</v>
      </c>
      <c r="B455">
        <v>40563</v>
      </c>
      <c r="C455">
        <v>1</v>
      </c>
      <c r="D455">
        <v>0</v>
      </c>
      <c r="E455">
        <v>1</v>
      </c>
      <c r="F455">
        <v>21</v>
      </c>
      <c r="G455" t="b">
        <v>0</v>
      </c>
      <c r="H455">
        <v>4</v>
      </c>
      <c r="I455">
        <v>2</v>
      </c>
      <c r="J455">
        <v>0.24</v>
      </c>
      <c r="K455">
        <v>0.2273</v>
      </c>
      <c r="L455">
        <v>0.6</v>
      </c>
      <c r="M455">
        <v>0.25369999999999998</v>
      </c>
      <c r="N455">
        <v>3</v>
      </c>
      <c r="O455">
        <v>54</v>
      </c>
      <c r="P455">
        <v>57</v>
      </c>
      <c r="Q455">
        <v>0.2273</v>
      </c>
      <c r="R455">
        <v>0.6</v>
      </c>
      <c r="S455">
        <v>0.25369999999999998</v>
      </c>
      <c r="T455">
        <v>3</v>
      </c>
      <c r="U455">
        <v>54</v>
      </c>
      <c r="V455">
        <v>57</v>
      </c>
    </row>
    <row r="456" spans="1:22" x14ac:dyDescent="0.3">
      <c r="A456">
        <v>454</v>
      </c>
      <c r="B456">
        <v>40563</v>
      </c>
      <c r="C456">
        <v>1</v>
      </c>
      <c r="D456">
        <v>0</v>
      </c>
      <c r="E456">
        <v>1</v>
      </c>
      <c r="F456">
        <v>22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0.28360000000000002</v>
      </c>
      <c r="N456">
        <v>0</v>
      </c>
      <c r="O456">
        <v>56</v>
      </c>
      <c r="P456">
        <v>56</v>
      </c>
      <c r="Q456">
        <v>0.21210000000000001</v>
      </c>
      <c r="R456">
        <v>0.65</v>
      </c>
      <c r="S456">
        <v>0.28360000000000002</v>
      </c>
      <c r="T456">
        <v>0</v>
      </c>
      <c r="U456">
        <v>56</v>
      </c>
      <c r="V456">
        <v>56</v>
      </c>
    </row>
    <row r="457" spans="1:22" x14ac:dyDescent="0.3">
      <c r="A457">
        <v>455</v>
      </c>
      <c r="B457">
        <v>40563</v>
      </c>
      <c r="C457">
        <v>1</v>
      </c>
      <c r="D457">
        <v>0</v>
      </c>
      <c r="E457">
        <v>1</v>
      </c>
      <c r="F457">
        <v>23</v>
      </c>
      <c r="G457" t="b">
        <v>0</v>
      </c>
      <c r="H457">
        <v>4</v>
      </c>
      <c r="I457">
        <v>2</v>
      </c>
      <c r="J457">
        <v>0.24</v>
      </c>
      <c r="K457">
        <v>0.21210000000000001</v>
      </c>
      <c r="L457">
        <v>0.65</v>
      </c>
      <c r="M457">
        <v>0.32840000000000003</v>
      </c>
      <c r="N457">
        <v>3</v>
      </c>
      <c r="O457">
        <v>28</v>
      </c>
      <c r="P457">
        <v>31</v>
      </c>
      <c r="Q457">
        <v>0.21210000000000001</v>
      </c>
      <c r="R457">
        <v>0.65</v>
      </c>
      <c r="S457">
        <v>0.32840000000000003</v>
      </c>
      <c r="T457">
        <v>3</v>
      </c>
      <c r="U457">
        <v>28</v>
      </c>
      <c r="V457">
        <v>31</v>
      </c>
    </row>
    <row r="458" spans="1:22" x14ac:dyDescent="0.3">
      <c r="A458">
        <v>456</v>
      </c>
      <c r="B458">
        <v>40564</v>
      </c>
      <c r="C458">
        <v>1</v>
      </c>
      <c r="D458">
        <v>0</v>
      </c>
      <c r="E458">
        <v>1</v>
      </c>
      <c r="F458">
        <v>0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1</v>
      </c>
      <c r="O458">
        <v>20</v>
      </c>
      <c r="P458">
        <v>21</v>
      </c>
      <c r="Q458">
        <v>0.2273</v>
      </c>
      <c r="R458">
        <v>0.7</v>
      </c>
      <c r="S458">
        <v>0.25369999999999998</v>
      </c>
      <c r="T458">
        <v>1</v>
      </c>
      <c r="U458">
        <v>20</v>
      </c>
      <c r="V458">
        <v>21</v>
      </c>
    </row>
    <row r="459" spans="1:22" x14ac:dyDescent="0.3">
      <c r="A459">
        <v>457</v>
      </c>
      <c r="B459">
        <v>40564</v>
      </c>
      <c r="C459">
        <v>1</v>
      </c>
      <c r="D459">
        <v>0</v>
      </c>
      <c r="E459">
        <v>1</v>
      </c>
      <c r="F459">
        <v>1</v>
      </c>
      <c r="G459" t="b">
        <v>0</v>
      </c>
      <c r="H459">
        <v>5</v>
      </c>
      <c r="I459">
        <v>2</v>
      </c>
      <c r="J459">
        <v>0.24</v>
      </c>
      <c r="K459">
        <v>0.2273</v>
      </c>
      <c r="L459">
        <v>0.7</v>
      </c>
      <c r="M459">
        <v>0.25369999999999998</v>
      </c>
      <c r="N459">
        <v>0</v>
      </c>
      <c r="O459">
        <v>6</v>
      </c>
      <c r="P459">
        <v>6</v>
      </c>
      <c r="Q459">
        <v>0.2273</v>
      </c>
      <c r="R459">
        <v>0.7</v>
      </c>
      <c r="S459">
        <v>0.25369999999999998</v>
      </c>
      <c r="T459">
        <v>0</v>
      </c>
      <c r="U459">
        <v>6</v>
      </c>
      <c r="V459">
        <v>6</v>
      </c>
    </row>
    <row r="460" spans="1:22" x14ac:dyDescent="0.3">
      <c r="A460">
        <v>458</v>
      </c>
      <c r="B460">
        <v>40564</v>
      </c>
      <c r="C460">
        <v>1</v>
      </c>
      <c r="D460">
        <v>0</v>
      </c>
      <c r="E460">
        <v>1</v>
      </c>
      <c r="F460">
        <v>2</v>
      </c>
      <c r="G460" t="b">
        <v>0</v>
      </c>
      <c r="H460">
        <v>5</v>
      </c>
      <c r="I460">
        <v>3</v>
      </c>
      <c r="J460">
        <v>0.24</v>
      </c>
      <c r="K460">
        <v>0.2424</v>
      </c>
      <c r="L460">
        <v>0.75</v>
      </c>
      <c r="M460">
        <v>0.16420000000000001</v>
      </c>
      <c r="N460">
        <v>0</v>
      </c>
      <c r="O460">
        <v>2</v>
      </c>
      <c r="P460">
        <v>2</v>
      </c>
      <c r="Q460">
        <v>0.2424</v>
      </c>
      <c r="R460">
        <v>0.75</v>
      </c>
      <c r="S460">
        <v>0.16420000000000001</v>
      </c>
      <c r="T460">
        <v>0</v>
      </c>
      <c r="U460">
        <v>2</v>
      </c>
      <c r="V460">
        <v>2</v>
      </c>
    </row>
    <row r="461" spans="1:22" x14ac:dyDescent="0.3">
      <c r="A461">
        <v>459</v>
      </c>
      <c r="B461">
        <v>40564</v>
      </c>
      <c r="C461">
        <v>1</v>
      </c>
      <c r="D461">
        <v>0</v>
      </c>
      <c r="E461">
        <v>1</v>
      </c>
      <c r="F461">
        <v>3</v>
      </c>
      <c r="G461" t="b">
        <v>0</v>
      </c>
      <c r="H461">
        <v>5</v>
      </c>
      <c r="I461">
        <v>3</v>
      </c>
      <c r="J461">
        <v>0.22</v>
      </c>
      <c r="K461">
        <v>0.21210000000000001</v>
      </c>
      <c r="L461">
        <v>0.8</v>
      </c>
      <c r="M461">
        <v>0.29849999999999999</v>
      </c>
      <c r="N461">
        <v>0</v>
      </c>
      <c r="O461">
        <v>1</v>
      </c>
      <c r="P461">
        <v>1</v>
      </c>
      <c r="Q461">
        <v>0.21210000000000001</v>
      </c>
      <c r="R461">
        <v>0.8</v>
      </c>
      <c r="S461">
        <v>0.29849999999999999</v>
      </c>
      <c r="T461">
        <v>0</v>
      </c>
      <c r="U461">
        <v>1</v>
      </c>
      <c r="V461">
        <v>1</v>
      </c>
    </row>
    <row r="462" spans="1:22" x14ac:dyDescent="0.3">
      <c r="A462">
        <v>460</v>
      </c>
      <c r="B462">
        <v>40564</v>
      </c>
      <c r="C462">
        <v>1</v>
      </c>
      <c r="D462">
        <v>0</v>
      </c>
      <c r="E462">
        <v>1</v>
      </c>
      <c r="F462">
        <v>4</v>
      </c>
      <c r="G462" t="b">
        <v>0</v>
      </c>
      <c r="H462">
        <v>5</v>
      </c>
      <c r="I462">
        <v>2</v>
      </c>
      <c r="J462">
        <v>0.22</v>
      </c>
      <c r="K462">
        <v>0.2576</v>
      </c>
      <c r="L462">
        <v>0.87</v>
      </c>
      <c r="M462">
        <v>8.9599999999999999E-2</v>
      </c>
      <c r="N462">
        <v>0</v>
      </c>
      <c r="O462">
        <v>1</v>
      </c>
      <c r="P462">
        <v>1</v>
      </c>
      <c r="Q462">
        <v>0.2576</v>
      </c>
      <c r="R462">
        <v>0.87</v>
      </c>
      <c r="S462">
        <v>8.9599999999999999E-2</v>
      </c>
      <c r="T462">
        <v>0</v>
      </c>
      <c r="U462">
        <v>1</v>
      </c>
      <c r="V462">
        <v>1</v>
      </c>
    </row>
    <row r="463" spans="1:22" x14ac:dyDescent="0.3">
      <c r="A463">
        <v>461</v>
      </c>
      <c r="B463">
        <v>40564</v>
      </c>
      <c r="C463">
        <v>1</v>
      </c>
      <c r="D463">
        <v>0</v>
      </c>
      <c r="E463">
        <v>1</v>
      </c>
      <c r="F463">
        <v>5</v>
      </c>
      <c r="G463" t="b">
        <v>0</v>
      </c>
      <c r="H463">
        <v>5</v>
      </c>
      <c r="I463">
        <v>1</v>
      </c>
      <c r="J463">
        <v>0.24</v>
      </c>
      <c r="K463">
        <v>0.19700000000000001</v>
      </c>
      <c r="L463">
        <v>0.6</v>
      </c>
      <c r="M463">
        <v>0.41789999999999999</v>
      </c>
      <c r="N463">
        <v>1</v>
      </c>
      <c r="O463">
        <v>4</v>
      </c>
      <c r="P463">
        <v>5</v>
      </c>
      <c r="Q463">
        <v>0.19700000000000001</v>
      </c>
      <c r="R463">
        <v>0.6</v>
      </c>
      <c r="S463">
        <v>0.41789999999999999</v>
      </c>
      <c r="T463">
        <v>1</v>
      </c>
      <c r="U463">
        <v>4</v>
      </c>
      <c r="V463">
        <v>5</v>
      </c>
    </row>
    <row r="464" spans="1:22" x14ac:dyDescent="0.3">
      <c r="A464">
        <v>462</v>
      </c>
      <c r="B464">
        <v>40564</v>
      </c>
      <c r="C464">
        <v>1</v>
      </c>
      <c r="D464">
        <v>0</v>
      </c>
      <c r="E464">
        <v>1</v>
      </c>
      <c r="F464">
        <v>6</v>
      </c>
      <c r="G464" t="b">
        <v>0</v>
      </c>
      <c r="H464">
        <v>5</v>
      </c>
      <c r="I464">
        <v>1</v>
      </c>
      <c r="J464">
        <v>0.22</v>
      </c>
      <c r="K464">
        <v>0.21210000000000001</v>
      </c>
      <c r="L464">
        <v>0.55000000000000004</v>
      </c>
      <c r="M464">
        <v>0.25369999999999998</v>
      </c>
      <c r="N464">
        <v>0</v>
      </c>
      <c r="O464">
        <v>27</v>
      </c>
      <c r="P464">
        <v>27</v>
      </c>
      <c r="Q464">
        <v>0.21210000000000001</v>
      </c>
      <c r="R464">
        <v>0.55000000000000004</v>
      </c>
      <c r="S464">
        <v>0.25369999999999998</v>
      </c>
      <c r="T464">
        <v>0</v>
      </c>
      <c r="U464">
        <v>27</v>
      </c>
      <c r="V464">
        <v>27</v>
      </c>
    </row>
    <row r="465" spans="1:22" x14ac:dyDescent="0.3">
      <c r="A465">
        <v>463</v>
      </c>
      <c r="B465">
        <v>40564</v>
      </c>
      <c r="C465">
        <v>1</v>
      </c>
      <c r="D465">
        <v>0</v>
      </c>
      <c r="E465">
        <v>1</v>
      </c>
      <c r="F465">
        <v>7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0.51</v>
      </c>
      <c r="M465">
        <v>0.28360000000000002</v>
      </c>
      <c r="N465">
        <v>2</v>
      </c>
      <c r="O465">
        <v>66</v>
      </c>
      <c r="P465">
        <v>68</v>
      </c>
      <c r="Q465">
        <v>0.18179999999999999</v>
      </c>
      <c r="R465">
        <v>0.51</v>
      </c>
      <c r="S465">
        <v>0.28360000000000002</v>
      </c>
      <c r="T465">
        <v>2</v>
      </c>
      <c r="U465">
        <v>66</v>
      </c>
      <c r="V465">
        <v>68</v>
      </c>
    </row>
    <row r="466" spans="1:22" x14ac:dyDescent="0.3">
      <c r="A466">
        <v>464</v>
      </c>
      <c r="B466">
        <v>40564</v>
      </c>
      <c r="C466">
        <v>1</v>
      </c>
      <c r="D466">
        <v>0</v>
      </c>
      <c r="E466">
        <v>1</v>
      </c>
      <c r="F466">
        <v>8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0.47</v>
      </c>
      <c r="M466">
        <v>0.32840000000000003</v>
      </c>
      <c r="N466">
        <v>7</v>
      </c>
      <c r="O466">
        <v>210</v>
      </c>
      <c r="P466">
        <v>217</v>
      </c>
      <c r="Q466">
        <v>0.18179999999999999</v>
      </c>
      <c r="R466">
        <v>0.47</v>
      </c>
      <c r="S466">
        <v>0.32840000000000003</v>
      </c>
      <c r="T466">
        <v>7</v>
      </c>
      <c r="U466">
        <v>210</v>
      </c>
      <c r="V466">
        <v>217</v>
      </c>
    </row>
    <row r="467" spans="1:22" x14ac:dyDescent="0.3">
      <c r="A467">
        <v>465</v>
      </c>
      <c r="B467">
        <v>40564</v>
      </c>
      <c r="C467">
        <v>1</v>
      </c>
      <c r="D467">
        <v>0</v>
      </c>
      <c r="E467">
        <v>1</v>
      </c>
      <c r="F467">
        <v>9</v>
      </c>
      <c r="G467" t="b">
        <v>0</v>
      </c>
      <c r="H467">
        <v>5</v>
      </c>
      <c r="I467">
        <v>1</v>
      </c>
      <c r="J467">
        <v>0.2</v>
      </c>
      <c r="K467">
        <v>0.18179999999999999</v>
      </c>
      <c r="L467">
        <v>0.51</v>
      </c>
      <c r="M467">
        <v>0.35820000000000002</v>
      </c>
      <c r="N467">
        <v>7</v>
      </c>
      <c r="O467">
        <v>159</v>
      </c>
      <c r="P467">
        <v>166</v>
      </c>
      <c r="Q467">
        <v>0.18179999999999999</v>
      </c>
      <c r="R467">
        <v>0.51</v>
      </c>
      <c r="S467">
        <v>0.35820000000000002</v>
      </c>
      <c r="T467">
        <v>7</v>
      </c>
      <c r="U467">
        <v>159</v>
      </c>
      <c r="V467">
        <v>166</v>
      </c>
    </row>
    <row r="468" spans="1:22" x14ac:dyDescent="0.3">
      <c r="A468">
        <v>466</v>
      </c>
      <c r="B468">
        <v>40564</v>
      </c>
      <c r="C468">
        <v>1</v>
      </c>
      <c r="D468">
        <v>0</v>
      </c>
      <c r="E468">
        <v>1</v>
      </c>
      <c r="F468">
        <v>10</v>
      </c>
      <c r="G468" t="b">
        <v>0</v>
      </c>
      <c r="H468">
        <v>5</v>
      </c>
      <c r="I468">
        <v>1</v>
      </c>
      <c r="J468">
        <v>0.2</v>
      </c>
      <c r="K468">
        <v>0.16669999999999999</v>
      </c>
      <c r="L468">
        <v>0.47</v>
      </c>
      <c r="M468">
        <v>0.4627</v>
      </c>
      <c r="N468">
        <v>6</v>
      </c>
      <c r="O468">
        <v>57</v>
      </c>
      <c r="P468">
        <v>63</v>
      </c>
      <c r="Q468">
        <v>0.16669999999999999</v>
      </c>
      <c r="R468">
        <v>0.47</v>
      </c>
      <c r="S468">
        <v>0.4627</v>
      </c>
      <c r="T468">
        <v>6</v>
      </c>
      <c r="U468">
        <v>57</v>
      </c>
      <c r="V468">
        <v>63</v>
      </c>
    </row>
    <row r="469" spans="1:22" x14ac:dyDescent="0.3">
      <c r="A469">
        <v>467</v>
      </c>
      <c r="B469">
        <v>40564</v>
      </c>
      <c r="C469">
        <v>1</v>
      </c>
      <c r="D469">
        <v>0</v>
      </c>
      <c r="E469">
        <v>1</v>
      </c>
      <c r="F469">
        <v>11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0.41</v>
      </c>
      <c r="M469">
        <v>0.4627</v>
      </c>
      <c r="N469">
        <v>6</v>
      </c>
      <c r="O469">
        <v>53</v>
      </c>
      <c r="P469">
        <v>59</v>
      </c>
      <c r="Q469">
        <v>0.18179999999999999</v>
      </c>
      <c r="R469">
        <v>0.41</v>
      </c>
      <c r="S469">
        <v>0.4627</v>
      </c>
      <c r="T469">
        <v>6</v>
      </c>
      <c r="U469">
        <v>53</v>
      </c>
      <c r="V469">
        <v>59</v>
      </c>
    </row>
    <row r="470" spans="1:22" x14ac:dyDescent="0.3">
      <c r="A470">
        <v>468</v>
      </c>
      <c r="B470">
        <v>40564</v>
      </c>
      <c r="C470">
        <v>1</v>
      </c>
      <c r="D470">
        <v>0</v>
      </c>
      <c r="E470">
        <v>1</v>
      </c>
      <c r="F470">
        <v>12</v>
      </c>
      <c r="G470" t="b">
        <v>0</v>
      </c>
      <c r="H470">
        <v>5</v>
      </c>
      <c r="I470">
        <v>1</v>
      </c>
      <c r="J470">
        <v>0.22</v>
      </c>
      <c r="K470">
        <v>0.18179999999999999</v>
      </c>
      <c r="L470">
        <v>0.27</v>
      </c>
      <c r="M470">
        <v>0.58209999999999995</v>
      </c>
      <c r="N470">
        <v>11</v>
      </c>
      <c r="O470">
        <v>67</v>
      </c>
      <c r="P470">
        <v>78</v>
      </c>
      <c r="Q470">
        <v>0.18179999999999999</v>
      </c>
      <c r="R470">
        <v>0.27</v>
      </c>
      <c r="S470">
        <v>0.58209999999999995</v>
      </c>
      <c r="T470">
        <v>11</v>
      </c>
      <c r="U470">
        <v>67</v>
      </c>
      <c r="V470">
        <v>78</v>
      </c>
    </row>
    <row r="471" spans="1:22" x14ac:dyDescent="0.3">
      <c r="A471">
        <v>469</v>
      </c>
      <c r="B471">
        <v>40564</v>
      </c>
      <c r="C471">
        <v>1</v>
      </c>
      <c r="D471">
        <v>0</v>
      </c>
      <c r="E471">
        <v>1</v>
      </c>
      <c r="F471">
        <v>13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0.21</v>
      </c>
      <c r="M471">
        <v>0.58209999999999995</v>
      </c>
      <c r="N471">
        <v>8</v>
      </c>
      <c r="O471">
        <v>65</v>
      </c>
      <c r="P471">
        <v>73</v>
      </c>
      <c r="Q471">
        <v>0.1515</v>
      </c>
      <c r="R471">
        <v>0.21</v>
      </c>
      <c r="S471">
        <v>0.58209999999999995</v>
      </c>
      <c r="T471">
        <v>8</v>
      </c>
      <c r="U471">
        <v>65</v>
      </c>
      <c r="V471">
        <v>73</v>
      </c>
    </row>
    <row r="472" spans="1:22" x14ac:dyDescent="0.3">
      <c r="A472">
        <v>470</v>
      </c>
      <c r="B472">
        <v>40564</v>
      </c>
      <c r="C472">
        <v>1</v>
      </c>
      <c r="D472">
        <v>0</v>
      </c>
      <c r="E472">
        <v>1</v>
      </c>
      <c r="F472">
        <v>14</v>
      </c>
      <c r="G472" t="b">
        <v>0</v>
      </c>
      <c r="H472">
        <v>5</v>
      </c>
      <c r="I472">
        <v>1</v>
      </c>
      <c r="J472">
        <v>0.2</v>
      </c>
      <c r="K472">
        <v>0.1515</v>
      </c>
      <c r="L472">
        <v>0.25</v>
      </c>
      <c r="M472">
        <v>0.52239999999999998</v>
      </c>
      <c r="N472">
        <v>6</v>
      </c>
      <c r="O472">
        <v>56</v>
      </c>
      <c r="P472">
        <v>62</v>
      </c>
      <c r="Q472">
        <v>0.1515</v>
      </c>
      <c r="R472">
        <v>0.25</v>
      </c>
      <c r="S472">
        <v>0.52239999999999998</v>
      </c>
      <c r="T472">
        <v>6</v>
      </c>
      <c r="U472">
        <v>56</v>
      </c>
      <c r="V472">
        <v>62</v>
      </c>
    </row>
    <row r="473" spans="1:22" x14ac:dyDescent="0.3">
      <c r="A473">
        <v>471</v>
      </c>
      <c r="B473">
        <v>40564</v>
      </c>
      <c r="C473">
        <v>1</v>
      </c>
      <c r="D473">
        <v>0</v>
      </c>
      <c r="E473">
        <v>1</v>
      </c>
      <c r="F473">
        <v>15</v>
      </c>
      <c r="G473" t="b">
        <v>0</v>
      </c>
      <c r="H473">
        <v>5</v>
      </c>
      <c r="I473">
        <v>1</v>
      </c>
      <c r="J473">
        <v>0.16</v>
      </c>
      <c r="K473">
        <v>0.1212</v>
      </c>
      <c r="L473">
        <v>0.26</v>
      </c>
      <c r="M473">
        <v>0.44779999999999998</v>
      </c>
      <c r="N473">
        <v>4</v>
      </c>
      <c r="O473">
        <v>61</v>
      </c>
      <c r="P473">
        <v>65</v>
      </c>
      <c r="Q473">
        <v>0.1212</v>
      </c>
      <c r="R473">
        <v>0.26</v>
      </c>
      <c r="S473">
        <v>0.44779999999999998</v>
      </c>
      <c r="T473">
        <v>4</v>
      </c>
      <c r="U473">
        <v>61</v>
      </c>
      <c r="V473">
        <v>65</v>
      </c>
    </row>
    <row r="474" spans="1:22" x14ac:dyDescent="0.3">
      <c r="A474">
        <v>472</v>
      </c>
      <c r="B474">
        <v>40564</v>
      </c>
      <c r="C474">
        <v>1</v>
      </c>
      <c r="D474">
        <v>0</v>
      </c>
      <c r="E474">
        <v>1</v>
      </c>
      <c r="F474">
        <v>16</v>
      </c>
      <c r="G474" t="b">
        <v>0</v>
      </c>
      <c r="H474">
        <v>5</v>
      </c>
      <c r="I474">
        <v>1</v>
      </c>
      <c r="J474">
        <v>0.16</v>
      </c>
      <c r="K474">
        <v>0.13639999999999999</v>
      </c>
      <c r="L474">
        <v>0.26</v>
      </c>
      <c r="M474">
        <v>0.35820000000000002</v>
      </c>
      <c r="N474">
        <v>0</v>
      </c>
      <c r="O474">
        <v>97</v>
      </c>
      <c r="P474">
        <v>97</v>
      </c>
      <c r="Q474">
        <v>0.13639999999999999</v>
      </c>
      <c r="R474">
        <v>0.26</v>
      </c>
      <c r="S474">
        <v>0.35820000000000002</v>
      </c>
      <c r="T474">
        <v>0</v>
      </c>
      <c r="U474">
        <v>97</v>
      </c>
      <c r="V474">
        <v>97</v>
      </c>
    </row>
    <row r="475" spans="1:22" x14ac:dyDescent="0.3">
      <c r="A475">
        <v>473</v>
      </c>
      <c r="B475">
        <v>40564</v>
      </c>
      <c r="C475">
        <v>1</v>
      </c>
      <c r="D475">
        <v>0</v>
      </c>
      <c r="E475">
        <v>1</v>
      </c>
      <c r="F475">
        <v>17</v>
      </c>
      <c r="G475" t="b">
        <v>0</v>
      </c>
      <c r="H475">
        <v>5</v>
      </c>
      <c r="I475">
        <v>1</v>
      </c>
      <c r="J475">
        <v>0.14000000000000001</v>
      </c>
      <c r="K475">
        <v>0.1212</v>
      </c>
      <c r="L475">
        <v>0.28000000000000003</v>
      </c>
      <c r="M475">
        <v>0.35820000000000002</v>
      </c>
      <c r="N475">
        <v>10</v>
      </c>
      <c r="O475">
        <v>151</v>
      </c>
      <c r="P475">
        <v>161</v>
      </c>
      <c r="Q475">
        <v>0.1212</v>
      </c>
      <c r="R475">
        <v>0.28000000000000003</v>
      </c>
      <c r="S475">
        <v>0.35820000000000002</v>
      </c>
      <c r="T475">
        <v>10</v>
      </c>
      <c r="U475">
        <v>151</v>
      </c>
      <c r="V475">
        <v>161</v>
      </c>
    </row>
    <row r="476" spans="1:22" x14ac:dyDescent="0.3">
      <c r="A476">
        <v>474</v>
      </c>
      <c r="B476">
        <v>40564</v>
      </c>
      <c r="C476">
        <v>1</v>
      </c>
      <c r="D476">
        <v>0</v>
      </c>
      <c r="E476">
        <v>1</v>
      </c>
      <c r="F476">
        <v>18</v>
      </c>
      <c r="G476" t="b">
        <v>0</v>
      </c>
      <c r="H476">
        <v>5</v>
      </c>
      <c r="I476">
        <v>1</v>
      </c>
      <c r="J476">
        <v>0.12</v>
      </c>
      <c r="K476">
        <v>0.1212</v>
      </c>
      <c r="L476">
        <v>0.3</v>
      </c>
      <c r="M476">
        <v>0.25369999999999998</v>
      </c>
      <c r="N476">
        <v>1</v>
      </c>
      <c r="O476">
        <v>119</v>
      </c>
      <c r="P476">
        <v>120</v>
      </c>
      <c r="Q476">
        <v>0.1212</v>
      </c>
      <c r="R476">
        <v>0.3</v>
      </c>
      <c r="S476">
        <v>0.25369999999999998</v>
      </c>
      <c r="T476">
        <v>1</v>
      </c>
      <c r="U476">
        <v>119</v>
      </c>
      <c r="V476">
        <v>120</v>
      </c>
    </row>
    <row r="477" spans="1:22" x14ac:dyDescent="0.3">
      <c r="A477">
        <v>475</v>
      </c>
      <c r="B477">
        <v>40564</v>
      </c>
      <c r="C477">
        <v>1</v>
      </c>
      <c r="D477">
        <v>0</v>
      </c>
      <c r="E477">
        <v>1</v>
      </c>
      <c r="F477">
        <v>19</v>
      </c>
      <c r="G477" t="b">
        <v>0</v>
      </c>
      <c r="H477">
        <v>5</v>
      </c>
      <c r="I477">
        <v>1</v>
      </c>
      <c r="J477">
        <v>0.12</v>
      </c>
      <c r="K477">
        <v>0.1061</v>
      </c>
      <c r="L477">
        <v>0.3</v>
      </c>
      <c r="M477">
        <v>0.32840000000000003</v>
      </c>
      <c r="N477">
        <v>3</v>
      </c>
      <c r="O477">
        <v>93</v>
      </c>
      <c r="P477">
        <v>96</v>
      </c>
      <c r="Q477">
        <v>0.1061</v>
      </c>
      <c r="R477">
        <v>0.3</v>
      </c>
      <c r="S477">
        <v>0.32840000000000003</v>
      </c>
      <c r="T477">
        <v>3</v>
      </c>
      <c r="U477">
        <v>93</v>
      </c>
      <c r="V477">
        <v>96</v>
      </c>
    </row>
    <row r="478" spans="1:22" x14ac:dyDescent="0.3">
      <c r="A478">
        <v>476</v>
      </c>
      <c r="B478">
        <v>40564</v>
      </c>
      <c r="C478">
        <v>1</v>
      </c>
      <c r="D478">
        <v>0</v>
      </c>
      <c r="E478">
        <v>1</v>
      </c>
      <c r="F478">
        <v>20</v>
      </c>
      <c r="G478" t="b">
        <v>0</v>
      </c>
      <c r="H478">
        <v>5</v>
      </c>
      <c r="I478">
        <v>1</v>
      </c>
      <c r="J478">
        <v>0.1</v>
      </c>
      <c r="K478">
        <v>7.5800000000000006E-2</v>
      </c>
      <c r="L478">
        <v>0.33</v>
      </c>
      <c r="M478">
        <v>0.41789999999999999</v>
      </c>
      <c r="N478">
        <v>1</v>
      </c>
      <c r="O478">
        <v>52</v>
      </c>
      <c r="P478">
        <v>53</v>
      </c>
      <c r="Q478">
        <v>7.5800000000000006E-2</v>
      </c>
      <c r="R478">
        <v>0.33</v>
      </c>
      <c r="S478">
        <v>0.41789999999999999</v>
      </c>
      <c r="T478">
        <v>1</v>
      </c>
      <c r="U478">
        <v>52</v>
      </c>
      <c r="V478">
        <v>53</v>
      </c>
    </row>
    <row r="479" spans="1:22" x14ac:dyDescent="0.3">
      <c r="A479">
        <v>477</v>
      </c>
      <c r="B479">
        <v>40564</v>
      </c>
      <c r="C479">
        <v>1</v>
      </c>
      <c r="D479">
        <v>0</v>
      </c>
      <c r="E479">
        <v>1</v>
      </c>
      <c r="F479">
        <v>21</v>
      </c>
      <c r="G479" t="b">
        <v>0</v>
      </c>
      <c r="H479">
        <v>5</v>
      </c>
      <c r="I479">
        <v>1</v>
      </c>
      <c r="J479">
        <v>0.08</v>
      </c>
      <c r="K479">
        <v>7.5800000000000006E-2</v>
      </c>
      <c r="L479">
        <v>0.38</v>
      </c>
      <c r="M479">
        <v>0.28360000000000002</v>
      </c>
      <c r="N479">
        <v>0</v>
      </c>
      <c r="O479">
        <v>41</v>
      </c>
      <c r="P479">
        <v>41</v>
      </c>
      <c r="Q479">
        <v>7.5800000000000006E-2</v>
      </c>
      <c r="R479">
        <v>0.38</v>
      </c>
      <c r="S479">
        <v>0.28360000000000002</v>
      </c>
      <c r="T479">
        <v>0</v>
      </c>
      <c r="U479">
        <v>41</v>
      </c>
      <c r="V479">
        <v>41</v>
      </c>
    </row>
    <row r="480" spans="1:22" x14ac:dyDescent="0.3">
      <c r="A480">
        <v>478</v>
      </c>
      <c r="B480">
        <v>40564</v>
      </c>
      <c r="C480">
        <v>1</v>
      </c>
      <c r="D480">
        <v>0</v>
      </c>
      <c r="E480">
        <v>1</v>
      </c>
      <c r="F480">
        <v>22</v>
      </c>
      <c r="G480" t="b">
        <v>0</v>
      </c>
      <c r="H480">
        <v>5</v>
      </c>
      <c r="I480">
        <v>1</v>
      </c>
      <c r="J480">
        <v>0.06</v>
      </c>
      <c r="K480">
        <v>3.0300000000000001E-2</v>
      </c>
      <c r="L480">
        <v>0.41</v>
      </c>
      <c r="M480">
        <v>0.3881</v>
      </c>
      <c r="N480">
        <v>1</v>
      </c>
      <c r="O480">
        <v>33</v>
      </c>
      <c r="P480">
        <v>34</v>
      </c>
      <c r="Q480">
        <v>3.0300000000000001E-2</v>
      </c>
      <c r="R480">
        <v>0.41</v>
      </c>
      <c r="S480">
        <v>0.3881</v>
      </c>
      <c r="T480">
        <v>1</v>
      </c>
      <c r="U480">
        <v>33</v>
      </c>
      <c r="V480">
        <v>34</v>
      </c>
    </row>
    <row r="481" spans="1:22" x14ac:dyDescent="0.3">
      <c r="A481">
        <v>479</v>
      </c>
      <c r="B481">
        <v>40564</v>
      </c>
      <c r="C481">
        <v>1</v>
      </c>
      <c r="D481">
        <v>0</v>
      </c>
      <c r="E481">
        <v>1</v>
      </c>
      <c r="F481">
        <v>23</v>
      </c>
      <c r="G481" t="b">
        <v>0</v>
      </c>
      <c r="H481">
        <v>5</v>
      </c>
      <c r="I481">
        <v>1</v>
      </c>
      <c r="J481">
        <v>0.06</v>
      </c>
      <c r="K481">
        <v>4.5499999999999999E-2</v>
      </c>
      <c r="L481">
        <v>0.38</v>
      </c>
      <c r="M481">
        <v>0.32840000000000003</v>
      </c>
      <c r="N481">
        <v>0</v>
      </c>
      <c r="O481">
        <v>27</v>
      </c>
      <c r="P481">
        <v>27</v>
      </c>
      <c r="Q481">
        <v>4.5499999999999999E-2</v>
      </c>
      <c r="R481">
        <v>0.38</v>
      </c>
      <c r="S481">
        <v>0.32840000000000003</v>
      </c>
      <c r="T481">
        <v>0</v>
      </c>
      <c r="U481">
        <v>27</v>
      </c>
      <c r="V481">
        <v>27</v>
      </c>
    </row>
    <row r="482" spans="1:22" x14ac:dyDescent="0.3">
      <c r="A482">
        <v>480</v>
      </c>
      <c r="B482">
        <v>40565</v>
      </c>
      <c r="C482">
        <v>1</v>
      </c>
      <c r="D482">
        <v>0</v>
      </c>
      <c r="E482">
        <v>1</v>
      </c>
      <c r="F482">
        <v>0</v>
      </c>
      <c r="G482" t="b">
        <v>0</v>
      </c>
      <c r="H482">
        <v>6</v>
      </c>
      <c r="I482">
        <v>1</v>
      </c>
      <c r="J482">
        <v>0.04</v>
      </c>
      <c r="K482">
        <v>3.0300000000000001E-2</v>
      </c>
      <c r="L482">
        <v>0.45</v>
      </c>
      <c r="M482">
        <v>0.25369999999999998</v>
      </c>
      <c r="N482">
        <v>0</v>
      </c>
      <c r="O482">
        <v>13</v>
      </c>
      <c r="P482">
        <v>13</v>
      </c>
      <c r="Q482">
        <v>3.0300000000000001E-2</v>
      </c>
      <c r="R482">
        <v>0.45</v>
      </c>
      <c r="S482">
        <v>0.25369999999999998</v>
      </c>
      <c r="T482">
        <v>0</v>
      </c>
      <c r="U482">
        <v>13</v>
      </c>
      <c r="V482">
        <v>13</v>
      </c>
    </row>
    <row r="483" spans="1:22" x14ac:dyDescent="0.3">
      <c r="A483">
        <v>481</v>
      </c>
      <c r="B483">
        <v>40565</v>
      </c>
      <c r="C483">
        <v>1</v>
      </c>
      <c r="D483">
        <v>0</v>
      </c>
      <c r="E483">
        <v>1</v>
      </c>
      <c r="F483">
        <v>1</v>
      </c>
      <c r="G483" t="b">
        <v>0</v>
      </c>
      <c r="H483">
        <v>6</v>
      </c>
      <c r="I483">
        <v>2</v>
      </c>
      <c r="J483">
        <v>0.04</v>
      </c>
      <c r="K483">
        <v>0</v>
      </c>
      <c r="L483">
        <v>0.41</v>
      </c>
      <c r="M483">
        <v>0.3881</v>
      </c>
      <c r="N483">
        <v>3</v>
      </c>
      <c r="O483">
        <v>9</v>
      </c>
      <c r="P483">
        <v>12</v>
      </c>
      <c r="Q483">
        <v>0</v>
      </c>
      <c r="R483">
        <v>0.41</v>
      </c>
      <c r="S483">
        <v>0.3881</v>
      </c>
      <c r="T483">
        <v>3</v>
      </c>
      <c r="U483">
        <v>9</v>
      </c>
      <c r="V483">
        <v>12</v>
      </c>
    </row>
    <row r="484" spans="1:22" x14ac:dyDescent="0.3">
      <c r="A484">
        <v>482</v>
      </c>
      <c r="B484">
        <v>40565</v>
      </c>
      <c r="C484">
        <v>1</v>
      </c>
      <c r="D484">
        <v>0</v>
      </c>
      <c r="E484">
        <v>1</v>
      </c>
      <c r="F484">
        <v>2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0.25369999999999998</v>
      </c>
      <c r="N484">
        <v>0</v>
      </c>
      <c r="O484">
        <v>11</v>
      </c>
      <c r="P484">
        <v>11</v>
      </c>
      <c r="Q484">
        <v>3.0300000000000001E-2</v>
      </c>
      <c r="R484">
        <v>0.41</v>
      </c>
      <c r="S484">
        <v>0.25369999999999998</v>
      </c>
      <c r="T484">
        <v>0</v>
      </c>
      <c r="U484">
        <v>11</v>
      </c>
      <c r="V484">
        <v>11</v>
      </c>
    </row>
    <row r="485" spans="1:22" x14ac:dyDescent="0.3">
      <c r="A485">
        <v>483</v>
      </c>
      <c r="B485">
        <v>40565</v>
      </c>
      <c r="C485">
        <v>1</v>
      </c>
      <c r="D485">
        <v>0</v>
      </c>
      <c r="E485">
        <v>1</v>
      </c>
      <c r="F485">
        <v>3</v>
      </c>
      <c r="G485" t="b">
        <v>0</v>
      </c>
      <c r="H485">
        <v>6</v>
      </c>
      <c r="I485">
        <v>2</v>
      </c>
      <c r="J485">
        <v>0.04</v>
      </c>
      <c r="K485">
        <v>3.0300000000000001E-2</v>
      </c>
      <c r="L485">
        <v>0.41</v>
      </c>
      <c r="M485">
        <v>0.28360000000000002</v>
      </c>
      <c r="N485">
        <v>1</v>
      </c>
      <c r="O485">
        <v>6</v>
      </c>
      <c r="P485">
        <v>7</v>
      </c>
      <c r="Q485">
        <v>3.0300000000000001E-2</v>
      </c>
      <c r="R485">
        <v>0.41</v>
      </c>
      <c r="S485">
        <v>0.28360000000000002</v>
      </c>
      <c r="T485">
        <v>1</v>
      </c>
      <c r="U485">
        <v>6</v>
      </c>
      <c r="V485">
        <v>7</v>
      </c>
    </row>
    <row r="486" spans="1:22" x14ac:dyDescent="0.3">
      <c r="A486">
        <v>484</v>
      </c>
      <c r="B486">
        <v>40565</v>
      </c>
      <c r="C486">
        <v>1</v>
      </c>
      <c r="D486">
        <v>0</v>
      </c>
      <c r="E486">
        <v>1</v>
      </c>
      <c r="F486">
        <v>4</v>
      </c>
      <c r="G486" t="b">
        <v>0</v>
      </c>
      <c r="H486">
        <v>6</v>
      </c>
      <c r="I486">
        <v>2</v>
      </c>
      <c r="J486">
        <v>0.02</v>
      </c>
      <c r="K486">
        <v>1.52E-2</v>
      </c>
      <c r="L486">
        <v>0.48</v>
      </c>
      <c r="M486">
        <v>0.29849999999999999</v>
      </c>
      <c r="N486">
        <v>0</v>
      </c>
      <c r="O486">
        <v>3</v>
      </c>
      <c r="P486">
        <v>3</v>
      </c>
      <c r="Q486">
        <v>1.52E-2</v>
      </c>
      <c r="R486">
        <v>0.48</v>
      </c>
      <c r="S486">
        <v>0.29849999999999999</v>
      </c>
      <c r="T486">
        <v>0</v>
      </c>
      <c r="U486">
        <v>3</v>
      </c>
      <c r="V486">
        <v>3</v>
      </c>
    </row>
    <row r="487" spans="1:22" x14ac:dyDescent="0.3">
      <c r="A487">
        <v>485</v>
      </c>
      <c r="B487">
        <v>40565</v>
      </c>
      <c r="C487">
        <v>1</v>
      </c>
      <c r="D487">
        <v>0</v>
      </c>
      <c r="E487">
        <v>1</v>
      </c>
      <c r="F487">
        <v>6</v>
      </c>
      <c r="G487" t="b">
        <v>0</v>
      </c>
      <c r="H487">
        <v>6</v>
      </c>
      <c r="I487">
        <v>2</v>
      </c>
      <c r="J487">
        <v>0.02</v>
      </c>
      <c r="K487">
        <v>3.0300000000000001E-2</v>
      </c>
      <c r="L487">
        <v>0.44</v>
      </c>
      <c r="M487">
        <v>0.22389999999999999</v>
      </c>
      <c r="N487">
        <v>0</v>
      </c>
      <c r="O487">
        <v>2</v>
      </c>
      <c r="P487">
        <v>2</v>
      </c>
      <c r="Q487">
        <v>3.0300000000000001E-2</v>
      </c>
      <c r="R487">
        <v>0.44</v>
      </c>
      <c r="S487">
        <v>0.22389999999999999</v>
      </c>
      <c r="T487">
        <v>0</v>
      </c>
      <c r="U487">
        <v>2</v>
      </c>
      <c r="V487">
        <v>2</v>
      </c>
    </row>
    <row r="488" spans="1:22" x14ac:dyDescent="0.3">
      <c r="A488">
        <v>486</v>
      </c>
      <c r="B488">
        <v>40565</v>
      </c>
      <c r="C488">
        <v>1</v>
      </c>
      <c r="D488">
        <v>0</v>
      </c>
      <c r="E488">
        <v>1</v>
      </c>
      <c r="F488">
        <v>7</v>
      </c>
      <c r="G488" t="b">
        <v>0</v>
      </c>
      <c r="H488">
        <v>6</v>
      </c>
      <c r="I488">
        <v>1</v>
      </c>
      <c r="J488">
        <v>0.02</v>
      </c>
      <c r="K488">
        <v>1.52E-2</v>
      </c>
      <c r="L488">
        <v>0.44</v>
      </c>
      <c r="M488">
        <v>0.28360000000000002</v>
      </c>
      <c r="N488">
        <v>0</v>
      </c>
      <c r="O488">
        <v>8</v>
      </c>
      <c r="P488">
        <v>8</v>
      </c>
      <c r="Q488">
        <v>1.52E-2</v>
      </c>
      <c r="R488">
        <v>0.44</v>
      </c>
      <c r="S488">
        <v>0.28360000000000002</v>
      </c>
      <c r="T488">
        <v>0</v>
      </c>
      <c r="U488">
        <v>8</v>
      </c>
      <c r="V488">
        <v>8</v>
      </c>
    </row>
    <row r="489" spans="1:22" x14ac:dyDescent="0.3">
      <c r="A489">
        <v>487</v>
      </c>
      <c r="B489">
        <v>40565</v>
      </c>
      <c r="C489">
        <v>1</v>
      </c>
      <c r="D489">
        <v>0</v>
      </c>
      <c r="E489">
        <v>1</v>
      </c>
      <c r="F489">
        <v>8</v>
      </c>
      <c r="G489" t="b">
        <v>0</v>
      </c>
      <c r="H489">
        <v>6</v>
      </c>
      <c r="I489">
        <v>1</v>
      </c>
      <c r="J489">
        <v>0.02</v>
      </c>
      <c r="K489">
        <v>0</v>
      </c>
      <c r="L489">
        <v>0.44</v>
      </c>
      <c r="M489">
        <v>0.32840000000000003</v>
      </c>
      <c r="N489">
        <v>1</v>
      </c>
      <c r="O489">
        <v>26</v>
      </c>
      <c r="P489">
        <v>27</v>
      </c>
      <c r="Q489">
        <v>0</v>
      </c>
      <c r="R489">
        <v>0.44</v>
      </c>
      <c r="S489">
        <v>0.32840000000000003</v>
      </c>
      <c r="T489">
        <v>1</v>
      </c>
      <c r="U489">
        <v>26</v>
      </c>
      <c r="V489">
        <v>27</v>
      </c>
    </row>
    <row r="490" spans="1:22" x14ac:dyDescent="0.3">
      <c r="A490">
        <v>488</v>
      </c>
      <c r="B490">
        <v>40565</v>
      </c>
      <c r="C490">
        <v>1</v>
      </c>
      <c r="D490">
        <v>0</v>
      </c>
      <c r="E490">
        <v>1</v>
      </c>
      <c r="F490">
        <v>9</v>
      </c>
      <c r="G490" t="b">
        <v>0</v>
      </c>
      <c r="H490">
        <v>6</v>
      </c>
      <c r="I490">
        <v>1</v>
      </c>
      <c r="J490">
        <v>0.04</v>
      </c>
      <c r="K490">
        <v>3.0300000000000001E-2</v>
      </c>
      <c r="L490">
        <v>0.41</v>
      </c>
      <c r="M490">
        <v>0.25369999999999998</v>
      </c>
      <c r="N490">
        <v>3</v>
      </c>
      <c r="O490">
        <v>37</v>
      </c>
      <c r="P490">
        <v>40</v>
      </c>
      <c r="Q490">
        <v>3.0300000000000001E-2</v>
      </c>
      <c r="R490">
        <v>0.41</v>
      </c>
      <c r="S490">
        <v>0.25369999999999998</v>
      </c>
      <c r="T490">
        <v>3</v>
      </c>
      <c r="U490">
        <v>37</v>
      </c>
      <c r="V490">
        <v>40</v>
      </c>
    </row>
    <row r="491" spans="1:22" x14ac:dyDescent="0.3">
      <c r="A491">
        <v>489</v>
      </c>
      <c r="B491">
        <v>40565</v>
      </c>
      <c r="C491">
        <v>1</v>
      </c>
      <c r="D491">
        <v>0</v>
      </c>
      <c r="E491">
        <v>1</v>
      </c>
      <c r="F491">
        <v>10</v>
      </c>
      <c r="G491" t="b">
        <v>0</v>
      </c>
      <c r="H491">
        <v>6</v>
      </c>
      <c r="I491">
        <v>2</v>
      </c>
      <c r="J491">
        <v>0.04</v>
      </c>
      <c r="K491">
        <v>6.0600000000000001E-2</v>
      </c>
      <c r="L491">
        <v>0.41</v>
      </c>
      <c r="M491">
        <v>0.16420000000000001</v>
      </c>
      <c r="N491">
        <v>3</v>
      </c>
      <c r="O491">
        <v>50</v>
      </c>
      <c r="P491">
        <v>53</v>
      </c>
      <c r="Q491">
        <v>6.0600000000000001E-2</v>
      </c>
      <c r="R491">
        <v>0.41</v>
      </c>
      <c r="S491">
        <v>0.16420000000000001</v>
      </c>
      <c r="T491">
        <v>3</v>
      </c>
      <c r="U491">
        <v>50</v>
      </c>
      <c r="V491">
        <v>53</v>
      </c>
    </row>
    <row r="492" spans="1:22" x14ac:dyDescent="0.3">
      <c r="A492">
        <v>490</v>
      </c>
      <c r="B492">
        <v>40565</v>
      </c>
      <c r="C492">
        <v>1</v>
      </c>
      <c r="D492">
        <v>0</v>
      </c>
      <c r="E492">
        <v>1</v>
      </c>
      <c r="F492">
        <v>11</v>
      </c>
      <c r="G492" t="b">
        <v>0</v>
      </c>
      <c r="H492">
        <v>6</v>
      </c>
      <c r="I492">
        <v>2</v>
      </c>
      <c r="J492">
        <v>0.06</v>
      </c>
      <c r="K492">
        <v>7.5800000000000006E-2</v>
      </c>
      <c r="L492">
        <v>0.38</v>
      </c>
      <c r="M492">
        <v>0.1343</v>
      </c>
      <c r="N492">
        <v>4</v>
      </c>
      <c r="O492">
        <v>59</v>
      </c>
      <c r="P492">
        <v>63</v>
      </c>
      <c r="Q492">
        <v>7.5800000000000006E-2</v>
      </c>
      <c r="R492">
        <v>0.38</v>
      </c>
      <c r="S492">
        <v>0.1343</v>
      </c>
      <c r="T492">
        <v>4</v>
      </c>
      <c r="U492">
        <v>59</v>
      </c>
      <c r="V492">
        <v>63</v>
      </c>
    </row>
    <row r="493" spans="1:22" x14ac:dyDescent="0.3">
      <c r="A493">
        <v>491</v>
      </c>
      <c r="B493">
        <v>40565</v>
      </c>
      <c r="C493">
        <v>1</v>
      </c>
      <c r="D493">
        <v>0</v>
      </c>
      <c r="E493">
        <v>1</v>
      </c>
      <c r="F493">
        <v>12</v>
      </c>
      <c r="G493" t="b">
        <v>0</v>
      </c>
      <c r="H493">
        <v>6</v>
      </c>
      <c r="I493">
        <v>2</v>
      </c>
      <c r="J493">
        <v>0.06</v>
      </c>
      <c r="K493">
        <v>0.1061</v>
      </c>
      <c r="L493">
        <v>0.38</v>
      </c>
      <c r="M493">
        <v>0.1045</v>
      </c>
      <c r="N493">
        <v>10</v>
      </c>
      <c r="O493">
        <v>60</v>
      </c>
      <c r="P493">
        <v>70</v>
      </c>
      <c r="Q493">
        <v>0.1061</v>
      </c>
      <c r="R493">
        <v>0.38</v>
      </c>
      <c r="S493">
        <v>0.1045</v>
      </c>
      <c r="T493">
        <v>10</v>
      </c>
      <c r="U493">
        <v>60</v>
      </c>
      <c r="V493">
        <v>70</v>
      </c>
    </row>
    <row r="494" spans="1:22" x14ac:dyDescent="0.3">
      <c r="A494">
        <v>492</v>
      </c>
      <c r="B494">
        <v>40565</v>
      </c>
      <c r="C494">
        <v>1</v>
      </c>
      <c r="D494">
        <v>0</v>
      </c>
      <c r="E494">
        <v>1</v>
      </c>
      <c r="F494">
        <v>13</v>
      </c>
      <c r="G494" t="b">
        <v>0</v>
      </c>
      <c r="H494">
        <v>6</v>
      </c>
      <c r="I494">
        <v>1</v>
      </c>
      <c r="J494">
        <v>0.08</v>
      </c>
      <c r="K494">
        <v>0.16669999999999999</v>
      </c>
      <c r="L494">
        <v>0.35</v>
      </c>
      <c r="M494">
        <v>0</v>
      </c>
      <c r="N494">
        <v>12</v>
      </c>
      <c r="O494">
        <v>72</v>
      </c>
      <c r="P494">
        <v>84</v>
      </c>
      <c r="Q494">
        <v>0.16669999999999999</v>
      </c>
      <c r="R494">
        <v>0.35</v>
      </c>
      <c r="S494">
        <v>0</v>
      </c>
      <c r="T494">
        <v>12</v>
      </c>
      <c r="U494">
        <v>72</v>
      </c>
      <c r="V494">
        <v>84</v>
      </c>
    </row>
    <row r="495" spans="1:22" x14ac:dyDescent="0.3">
      <c r="A495">
        <v>493</v>
      </c>
      <c r="B495">
        <v>40565</v>
      </c>
      <c r="C495">
        <v>1</v>
      </c>
      <c r="D495">
        <v>0</v>
      </c>
      <c r="E495">
        <v>1</v>
      </c>
      <c r="F495">
        <v>14</v>
      </c>
      <c r="G495" t="b">
        <v>0</v>
      </c>
      <c r="H495">
        <v>6</v>
      </c>
      <c r="I495">
        <v>1</v>
      </c>
      <c r="J495">
        <v>0.1</v>
      </c>
      <c r="K495">
        <v>0.13639999999999999</v>
      </c>
      <c r="L495">
        <v>0.33</v>
      </c>
      <c r="M495">
        <v>0.1045</v>
      </c>
      <c r="N495">
        <v>11</v>
      </c>
      <c r="O495">
        <v>64</v>
      </c>
      <c r="P495">
        <v>75</v>
      </c>
      <c r="Q495">
        <v>0.13639999999999999</v>
      </c>
      <c r="R495">
        <v>0.33</v>
      </c>
      <c r="S495">
        <v>0.1045</v>
      </c>
      <c r="T495">
        <v>11</v>
      </c>
      <c r="U495">
        <v>64</v>
      </c>
      <c r="V495">
        <v>75</v>
      </c>
    </row>
    <row r="496" spans="1:22" x14ac:dyDescent="0.3">
      <c r="A496">
        <v>494</v>
      </c>
      <c r="B496">
        <v>40565</v>
      </c>
      <c r="C496">
        <v>1</v>
      </c>
      <c r="D496">
        <v>0</v>
      </c>
      <c r="E496">
        <v>1</v>
      </c>
      <c r="F496">
        <v>15</v>
      </c>
      <c r="G496" t="b">
        <v>0</v>
      </c>
      <c r="H496">
        <v>6</v>
      </c>
      <c r="I496">
        <v>1</v>
      </c>
      <c r="J496">
        <v>0.12</v>
      </c>
      <c r="K496">
        <v>0.1515</v>
      </c>
      <c r="L496">
        <v>0.28000000000000003</v>
      </c>
      <c r="M496">
        <v>0</v>
      </c>
      <c r="N496">
        <v>10</v>
      </c>
      <c r="O496">
        <v>93</v>
      </c>
      <c r="P496">
        <v>103</v>
      </c>
      <c r="Q496">
        <v>0.1515</v>
      </c>
      <c r="R496">
        <v>0.28000000000000003</v>
      </c>
      <c r="S496">
        <v>0</v>
      </c>
      <c r="T496">
        <v>10</v>
      </c>
      <c r="U496">
        <v>93</v>
      </c>
      <c r="V496">
        <v>103</v>
      </c>
    </row>
    <row r="497" spans="1:22" x14ac:dyDescent="0.3">
      <c r="A497">
        <v>495</v>
      </c>
      <c r="B497">
        <v>40565</v>
      </c>
      <c r="C497">
        <v>1</v>
      </c>
      <c r="D497">
        <v>0</v>
      </c>
      <c r="E497">
        <v>1</v>
      </c>
      <c r="F497">
        <v>16</v>
      </c>
      <c r="G497" t="b">
        <v>0</v>
      </c>
      <c r="H497">
        <v>6</v>
      </c>
      <c r="I497">
        <v>1</v>
      </c>
      <c r="J497">
        <v>0.12</v>
      </c>
      <c r="K497">
        <v>0.13639999999999999</v>
      </c>
      <c r="L497">
        <v>0.28000000000000003</v>
      </c>
      <c r="M497">
        <v>0.19400000000000001</v>
      </c>
      <c r="N497">
        <v>11</v>
      </c>
      <c r="O497">
        <v>72</v>
      </c>
      <c r="P497">
        <v>83</v>
      </c>
      <c r="Q497">
        <v>0.13639999999999999</v>
      </c>
      <c r="R497">
        <v>0.28000000000000003</v>
      </c>
      <c r="S497">
        <v>0.19400000000000001</v>
      </c>
      <c r="T497">
        <v>11</v>
      </c>
      <c r="U497">
        <v>72</v>
      </c>
      <c r="V497">
        <v>83</v>
      </c>
    </row>
    <row r="498" spans="1:22" x14ac:dyDescent="0.3">
      <c r="A498">
        <v>496</v>
      </c>
      <c r="B498">
        <v>40565</v>
      </c>
      <c r="C498">
        <v>1</v>
      </c>
      <c r="D498">
        <v>0</v>
      </c>
      <c r="E498">
        <v>1</v>
      </c>
      <c r="F498">
        <v>17</v>
      </c>
      <c r="G498" t="b">
        <v>0</v>
      </c>
      <c r="H498">
        <v>6</v>
      </c>
      <c r="I498">
        <v>1</v>
      </c>
      <c r="J498">
        <v>0.12</v>
      </c>
      <c r="K498">
        <v>0.19700000000000001</v>
      </c>
      <c r="L498">
        <v>0.28000000000000003</v>
      </c>
      <c r="M498">
        <v>0</v>
      </c>
      <c r="N498">
        <v>8</v>
      </c>
      <c r="O498">
        <v>59</v>
      </c>
      <c r="P498">
        <v>67</v>
      </c>
      <c r="Q498">
        <v>0.19700000000000001</v>
      </c>
      <c r="R498">
        <v>0.28000000000000003</v>
      </c>
      <c r="S498">
        <v>0</v>
      </c>
      <c r="T498">
        <v>8</v>
      </c>
      <c r="U498">
        <v>59</v>
      </c>
      <c r="V498">
        <v>67</v>
      </c>
    </row>
    <row r="499" spans="1:22" x14ac:dyDescent="0.3">
      <c r="A499">
        <v>497</v>
      </c>
      <c r="B499">
        <v>40565</v>
      </c>
      <c r="C499">
        <v>1</v>
      </c>
      <c r="D499">
        <v>0</v>
      </c>
      <c r="E499">
        <v>1</v>
      </c>
      <c r="F499">
        <v>18</v>
      </c>
      <c r="G499" t="b">
        <v>0</v>
      </c>
      <c r="H499">
        <v>6</v>
      </c>
      <c r="I499">
        <v>1</v>
      </c>
      <c r="J499">
        <v>0.08</v>
      </c>
      <c r="K499">
        <v>9.0899999999999995E-2</v>
      </c>
      <c r="L499">
        <v>0.35</v>
      </c>
      <c r="M499">
        <v>0.19400000000000001</v>
      </c>
      <c r="N499">
        <v>0</v>
      </c>
      <c r="O499">
        <v>54</v>
      </c>
      <c r="P499">
        <v>54</v>
      </c>
      <c r="Q499">
        <v>9.0899999999999995E-2</v>
      </c>
      <c r="R499">
        <v>0.35</v>
      </c>
      <c r="S499">
        <v>0.19400000000000001</v>
      </c>
      <c r="T499">
        <v>0</v>
      </c>
      <c r="U499">
        <v>54</v>
      </c>
      <c r="V499">
        <v>54</v>
      </c>
    </row>
    <row r="500" spans="1:22" x14ac:dyDescent="0.3">
      <c r="A500">
        <v>498</v>
      </c>
      <c r="B500">
        <v>40565</v>
      </c>
      <c r="C500">
        <v>1</v>
      </c>
      <c r="D500">
        <v>0</v>
      </c>
      <c r="E500">
        <v>1</v>
      </c>
      <c r="F500">
        <v>19</v>
      </c>
      <c r="G500" t="b">
        <v>0</v>
      </c>
      <c r="H500">
        <v>6</v>
      </c>
      <c r="I500">
        <v>1</v>
      </c>
      <c r="J500">
        <v>0.08</v>
      </c>
      <c r="K500">
        <v>0.1061</v>
      </c>
      <c r="L500">
        <v>0.35</v>
      </c>
      <c r="M500">
        <v>0.1343</v>
      </c>
      <c r="N500">
        <v>6</v>
      </c>
      <c r="O500">
        <v>53</v>
      </c>
      <c r="P500">
        <v>59</v>
      </c>
      <c r="Q500">
        <v>0.1061</v>
      </c>
      <c r="R500">
        <v>0.35</v>
      </c>
      <c r="S500">
        <v>0.1343</v>
      </c>
      <c r="T500">
        <v>6</v>
      </c>
      <c r="U500">
        <v>53</v>
      </c>
      <c r="V500">
        <v>59</v>
      </c>
    </row>
    <row r="501" spans="1:22" x14ac:dyDescent="0.3">
      <c r="A501">
        <v>499</v>
      </c>
      <c r="B501">
        <v>40565</v>
      </c>
      <c r="C501">
        <v>1</v>
      </c>
      <c r="D501">
        <v>0</v>
      </c>
      <c r="E501">
        <v>1</v>
      </c>
      <c r="F501">
        <v>20</v>
      </c>
      <c r="G501" t="b">
        <v>0</v>
      </c>
      <c r="H501">
        <v>6</v>
      </c>
      <c r="I501">
        <v>1</v>
      </c>
      <c r="J501">
        <v>0.06</v>
      </c>
      <c r="K501">
        <v>7.5800000000000006E-2</v>
      </c>
      <c r="L501">
        <v>0.45</v>
      </c>
      <c r="M501">
        <v>0.16420000000000001</v>
      </c>
      <c r="N501">
        <v>1</v>
      </c>
      <c r="O501">
        <v>44</v>
      </c>
      <c r="P501">
        <v>45</v>
      </c>
      <c r="Q501">
        <v>7.5800000000000006E-2</v>
      </c>
      <c r="R501">
        <v>0.45</v>
      </c>
      <c r="S501">
        <v>0.16420000000000001</v>
      </c>
      <c r="T501">
        <v>1</v>
      </c>
      <c r="U501">
        <v>44</v>
      </c>
      <c r="V501">
        <v>45</v>
      </c>
    </row>
    <row r="502" spans="1:22" x14ac:dyDescent="0.3">
      <c r="A502">
        <v>500</v>
      </c>
      <c r="B502">
        <v>40565</v>
      </c>
      <c r="C502">
        <v>1</v>
      </c>
      <c r="D502">
        <v>0</v>
      </c>
      <c r="E502">
        <v>1</v>
      </c>
      <c r="F502">
        <v>21</v>
      </c>
      <c r="G502" t="b">
        <v>0</v>
      </c>
      <c r="H502">
        <v>6</v>
      </c>
      <c r="I502">
        <v>1</v>
      </c>
      <c r="J502">
        <v>0.06</v>
      </c>
      <c r="K502">
        <v>0.1061</v>
      </c>
      <c r="L502">
        <v>0.41</v>
      </c>
      <c r="M502">
        <v>8.9599999999999999E-2</v>
      </c>
      <c r="N502">
        <v>0</v>
      </c>
      <c r="O502">
        <v>39</v>
      </c>
      <c r="P502">
        <v>39</v>
      </c>
      <c r="Q502">
        <v>0.1061</v>
      </c>
      <c r="R502">
        <v>0.41</v>
      </c>
      <c r="S502">
        <v>8.9599999999999999E-2</v>
      </c>
      <c r="T502">
        <v>0</v>
      </c>
      <c r="U502">
        <v>39</v>
      </c>
      <c r="V502">
        <v>39</v>
      </c>
    </row>
    <row r="503" spans="1:22" x14ac:dyDescent="0.3">
      <c r="A503">
        <v>501</v>
      </c>
      <c r="B503">
        <v>40565</v>
      </c>
      <c r="C503">
        <v>1</v>
      </c>
      <c r="D503">
        <v>0</v>
      </c>
      <c r="E503">
        <v>1</v>
      </c>
      <c r="F503">
        <v>22</v>
      </c>
      <c r="G503" t="b">
        <v>0</v>
      </c>
      <c r="H503">
        <v>6</v>
      </c>
      <c r="I503">
        <v>1</v>
      </c>
      <c r="J503">
        <v>0.06</v>
      </c>
      <c r="K503">
        <v>0.1515</v>
      </c>
      <c r="L503">
        <v>0.49</v>
      </c>
      <c r="M503">
        <v>0</v>
      </c>
      <c r="N503">
        <v>7</v>
      </c>
      <c r="O503">
        <v>23</v>
      </c>
      <c r="P503">
        <v>30</v>
      </c>
      <c r="Q503">
        <v>0.1515</v>
      </c>
      <c r="R503">
        <v>0.49</v>
      </c>
      <c r="S503">
        <v>0</v>
      </c>
      <c r="T503">
        <v>7</v>
      </c>
      <c r="U503">
        <v>23</v>
      </c>
      <c r="V503">
        <v>30</v>
      </c>
    </row>
    <row r="504" spans="1:22" x14ac:dyDescent="0.3">
      <c r="A504">
        <v>502</v>
      </c>
      <c r="B504">
        <v>40565</v>
      </c>
      <c r="C504">
        <v>1</v>
      </c>
      <c r="D504">
        <v>0</v>
      </c>
      <c r="E504">
        <v>1</v>
      </c>
      <c r="F504">
        <v>23</v>
      </c>
      <c r="G504" t="b">
        <v>0</v>
      </c>
      <c r="H504">
        <v>6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31</v>
      </c>
      <c r="P504">
        <v>33</v>
      </c>
      <c r="Q504">
        <v>7.5800000000000006E-2</v>
      </c>
      <c r="R504">
        <v>0.56999999999999995</v>
      </c>
      <c r="S504">
        <v>0.1045</v>
      </c>
      <c r="T504">
        <v>2</v>
      </c>
      <c r="U504">
        <v>31</v>
      </c>
      <c r="V504">
        <v>33</v>
      </c>
    </row>
    <row r="505" spans="1:22" x14ac:dyDescent="0.3">
      <c r="A505">
        <v>503</v>
      </c>
      <c r="B505">
        <v>40566</v>
      </c>
      <c r="C505">
        <v>1</v>
      </c>
      <c r="D505">
        <v>0</v>
      </c>
      <c r="E505">
        <v>1</v>
      </c>
      <c r="F505">
        <v>0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2</v>
      </c>
      <c r="O505">
        <v>20</v>
      </c>
      <c r="P505">
        <v>22</v>
      </c>
      <c r="Q505">
        <v>7.5800000000000006E-2</v>
      </c>
      <c r="R505">
        <v>0.56999999999999995</v>
      </c>
      <c r="S505">
        <v>0.1045</v>
      </c>
      <c r="T505">
        <v>2</v>
      </c>
      <c r="U505">
        <v>20</v>
      </c>
      <c r="V505">
        <v>22</v>
      </c>
    </row>
    <row r="506" spans="1:22" x14ac:dyDescent="0.3">
      <c r="A506">
        <v>504</v>
      </c>
      <c r="B506">
        <v>40566</v>
      </c>
      <c r="C506">
        <v>1</v>
      </c>
      <c r="D506">
        <v>0</v>
      </c>
      <c r="E506">
        <v>1</v>
      </c>
      <c r="F506">
        <v>1</v>
      </c>
      <c r="G506" t="b">
        <v>0</v>
      </c>
      <c r="H506">
        <v>0</v>
      </c>
      <c r="I506">
        <v>1</v>
      </c>
      <c r="J506">
        <v>0.04</v>
      </c>
      <c r="K506">
        <v>7.5800000000000006E-2</v>
      </c>
      <c r="L506">
        <v>0.56999999999999995</v>
      </c>
      <c r="M506">
        <v>0.1045</v>
      </c>
      <c r="N506">
        <v>1</v>
      </c>
      <c r="O506">
        <v>12</v>
      </c>
      <c r="P506">
        <v>13</v>
      </c>
      <c r="Q506">
        <v>7.5800000000000006E-2</v>
      </c>
      <c r="R506">
        <v>0.56999999999999995</v>
      </c>
      <c r="S506">
        <v>0.1045</v>
      </c>
      <c r="T506">
        <v>1</v>
      </c>
      <c r="U506">
        <v>12</v>
      </c>
      <c r="V506">
        <v>13</v>
      </c>
    </row>
    <row r="507" spans="1:22" x14ac:dyDescent="0.3">
      <c r="A507">
        <v>505</v>
      </c>
      <c r="B507">
        <v>40566</v>
      </c>
      <c r="C507">
        <v>1</v>
      </c>
      <c r="D507">
        <v>0</v>
      </c>
      <c r="E507">
        <v>1</v>
      </c>
      <c r="F507">
        <v>2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3</v>
      </c>
      <c r="O507">
        <v>15</v>
      </c>
      <c r="P507">
        <v>18</v>
      </c>
      <c r="Q507">
        <v>6.0600000000000001E-2</v>
      </c>
      <c r="R507">
        <v>0.62</v>
      </c>
      <c r="S507">
        <v>0.1343</v>
      </c>
      <c r="T507">
        <v>3</v>
      </c>
      <c r="U507">
        <v>15</v>
      </c>
      <c r="V507">
        <v>18</v>
      </c>
    </row>
    <row r="508" spans="1:22" x14ac:dyDescent="0.3">
      <c r="A508">
        <v>506</v>
      </c>
      <c r="B508">
        <v>40566</v>
      </c>
      <c r="C508">
        <v>1</v>
      </c>
      <c r="D508">
        <v>0</v>
      </c>
      <c r="E508">
        <v>1</v>
      </c>
      <c r="F508">
        <v>3</v>
      </c>
      <c r="G508" t="b">
        <v>0</v>
      </c>
      <c r="H508">
        <v>0</v>
      </c>
      <c r="I508">
        <v>1</v>
      </c>
      <c r="J508">
        <v>0.02</v>
      </c>
      <c r="K508">
        <v>6.0600000000000001E-2</v>
      </c>
      <c r="L508">
        <v>0.62</v>
      </c>
      <c r="M508">
        <v>0.1343</v>
      </c>
      <c r="N508">
        <v>1</v>
      </c>
      <c r="O508">
        <v>4</v>
      </c>
      <c r="P508">
        <v>5</v>
      </c>
      <c r="Q508">
        <v>6.0600000000000001E-2</v>
      </c>
      <c r="R508">
        <v>0.62</v>
      </c>
      <c r="S508">
        <v>0.1343</v>
      </c>
      <c r="T508">
        <v>1</v>
      </c>
      <c r="U508">
        <v>4</v>
      </c>
      <c r="V508">
        <v>5</v>
      </c>
    </row>
    <row r="509" spans="1:22" x14ac:dyDescent="0.3">
      <c r="A509">
        <v>507</v>
      </c>
      <c r="B509">
        <v>40566</v>
      </c>
      <c r="C509">
        <v>1</v>
      </c>
      <c r="D509">
        <v>0</v>
      </c>
      <c r="E509">
        <v>1</v>
      </c>
      <c r="F509">
        <v>5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3</v>
      </c>
      <c r="P509">
        <v>3</v>
      </c>
      <c r="Q509">
        <v>7.5800000000000006E-2</v>
      </c>
      <c r="R509">
        <v>0.56999999999999995</v>
      </c>
      <c r="S509">
        <v>0.1045</v>
      </c>
      <c r="T509">
        <v>0</v>
      </c>
      <c r="U509">
        <v>3</v>
      </c>
      <c r="V509">
        <v>3</v>
      </c>
    </row>
    <row r="510" spans="1:22" x14ac:dyDescent="0.3">
      <c r="A510">
        <v>508</v>
      </c>
      <c r="B510">
        <v>40566</v>
      </c>
      <c r="C510">
        <v>1</v>
      </c>
      <c r="D510">
        <v>0</v>
      </c>
      <c r="E510">
        <v>1</v>
      </c>
      <c r="F510">
        <v>6</v>
      </c>
      <c r="G510" t="b">
        <v>0</v>
      </c>
      <c r="H510">
        <v>0</v>
      </c>
      <c r="I510">
        <v>2</v>
      </c>
      <c r="J510">
        <v>0.04</v>
      </c>
      <c r="K510">
        <v>7.5800000000000006E-2</v>
      </c>
      <c r="L510">
        <v>0.56999999999999995</v>
      </c>
      <c r="M510">
        <v>0.1045</v>
      </c>
      <c r="N510">
        <v>0</v>
      </c>
      <c r="O510">
        <v>1</v>
      </c>
      <c r="P510">
        <v>1</v>
      </c>
      <c r="Q510">
        <v>7.5800000000000006E-2</v>
      </c>
      <c r="R510">
        <v>0.56999999999999995</v>
      </c>
      <c r="S510">
        <v>0.1045</v>
      </c>
      <c r="T510">
        <v>0</v>
      </c>
      <c r="U510">
        <v>1</v>
      </c>
      <c r="V510">
        <v>1</v>
      </c>
    </row>
    <row r="511" spans="1:22" x14ac:dyDescent="0.3">
      <c r="A511">
        <v>509</v>
      </c>
      <c r="B511">
        <v>40566</v>
      </c>
      <c r="C511">
        <v>1</v>
      </c>
      <c r="D511">
        <v>0</v>
      </c>
      <c r="E511">
        <v>1</v>
      </c>
      <c r="F511">
        <v>7</v>
      </c>
      <c r="G511" t="b">
        <v>0</v>
      </c>
      <c r="H511">
        <v>0</v>
      </c>
      <c r="I511">
        <v>1</v>
      </c>
      <c r="J511">
        <v>0.08</v>
      </c>
      <c r="K511">
        <v>0.1061</v>
      </c>
      <c r="L511">
        <v>0.57999999999999996</v>
      </c>
      <c r="M511">
        <v>0.16420000000000001</v>
      </c>
      <c r="N511">
        <v>1</v>
      </c>
      <c r="O511">
        <v>1</v>
      </c>
      <c r="P511">
        <v>2</v>
      </c>
      <c r="Q511">
        <v>0.1061</v>
      </c>
      <c r="R511">
        <v>0.57999999999999996</v>
      </c>
      <c r="S511">
        <v>0.16420000000000001</v>
      </c>
      <c r="T511">
        <v>1</v>
      </c>
      <c r="U511">
        <v>1</v>
      </c>
      <c r="V511">
        <v>2</v>
      </c>
    </row>
    <row r="512" spans="1:22" x14ac:dyDescent="0.3">
      <c r="A512">
        <v>510</v>
      </c>
      <c r="B512">
        <v>40566</v>
      </c>
      <c r="C512">
        <v>1</v>
      </c>
      <c r="D512">
        <v>0</v>
      </c>
      <c r="E512">
        <v>1</v>
      </c>
      <c r="F512">
        <v>8</v>
      </c>
      <c r="G512" t="b">
        <v>0</v>
      </c>
      <c r="H512">
        <v>0</v>
      </c>
      <c r="I512">
        <v>1</v>
      </c>
      <c r="J512">
        <v>0.06</v>
      </c>
      <c r="K512">
        <v>7.5800000000000006E-2</v>
      </c>
      <c r="L512">
        <v>0.62</v>
      </c>
      <c r="M512">
        <v>0.16420000000000001</v>
      </c>
      <c r="N512">
        <v>2</v>
      </c>
      <c r="O512">
        <v>17</v>
      </c>
      <c r="P512">
        <v>19</v>
      </c>
      <c r="Q512">
        <v>7.5800000000000006E-2</v>
      </c>
      <c r="R512">
        <v>0.62</v>
      </c>
      <c r="S512">
        <v>0.16420000000000001</v>
      </c>
      <c r="T512">
        <v>2</v>
      </c>
      <c r="U512">
        <v>17</v>
      </c>
      <c r="V512">
        <v>19</v>
      </c>
    </row>
    <row r="513" spans="1:22" x14ac:dyDescent="0.3">
      <c r="A513">
        <v>511</v>
      </c>
      <c r="B513">
        <v>40566</v>
      </c>
      <c r="C513">
        <v>1</v>
      </c>
      <c r="D513">
        <v>0</v>
      </c>
      <c r="E513">
        <v>1</v>
      </c>
      <c r="F513">
        <v>9</v>
      </c>
      <c r="G513" t="b">
        <v>0</v>
      </c>
      <c r="H513">
        <v>0</v>
      </c>
      <c r="I513">
        <v>1</v>
      </c>
      <c r="J513">
        <v>0.1</v>
      </c>
      <c r="K513">
        <v>7.5800000000000006E-2</v>
      </c>
      <c r="L513">
        <v>0.54</v>
      </c>
      <c r="M513">
        <v>0.35820000000000002</v>
      </c>
      <c r="N513">
        <v>3</v>
      </c>
      <c r="O513">
        <v>25</v>
      </c>
      <c r="P513">
        <v>28</v>
      </c>
      <c r="Q513">
        <v>7.5800000000000006E-2</v>
      </c>
      <c r="R513">
        <v>0.54</v>
      </c>
      <c r="S513">
        <v>0.35820000000000002</v>
      </c>
      <c r="T513">
        <v>3</v>
      </c>
      <c r="U513">
        <v>25</v>
      </c>
      <c r="V513">
        <v>28</v>
      </c>
    </row>
    <row r="514" spans="1:22" x14ac:dyDescent="0.3">
      <c r="A514">
        <v>512</v>
      </c>
      <c r="B514">
        <v>40566</v>
      </c>
      <c r="C514">
        <v>1</v>
      </c>
      <c r="D514">
        <v>0</v>
      </c>
      <c r="E514">
        <v>1</v>
      </c>
      <c r="F514">
        <v>10</v>
      </c>
      <c r="G514" t="b">
        <v>0</v>
      </c>
      <c r="H514">
        <v>0</v>
      </c>
      <c r="I514">
        <v>1</v>
      </c>
      <c r="J514">
        <v>0.14000000000000001</v>
      </c>
      <c r="K514">
        <v>0.1061</v>
      </c>
      <c r="L514">
        <v>0.46</v>
      </c>
      <c r="M514">
        <v>0.3881</v>
      </c>
      <c r="N514">
        <v>7</v>
      </c>
      <c r="O514">
        <v>51</v>
      </c>
      <c r="P514">
        <v>58</v>
      </c>
      <c r="Q514">
        <v>0.1061</v>
      </c>
      <c r="R514">
        <v>0.46</v>
      </c>
      <c r="S514">
        <v>0.3881</v>
      </c>
      <c r="T514">
        <v>7</v>
      </c>
      <c r="U514">
        <v>51</v>
      </c>
      <c r="V514">
        <v>58</v>
      </c>
    </row>
    <row r="515" spans="1:22" x14ac:dyDescent="0.3">
      <c r="A515">
        <v>513</v>
      </c>
      <c r="B515">
        <v>40566</v>
      </c>
      <c r="C515">
        <v>1</v>
      </c>
      <c r="D515">
        <v>0</v>
      </c>
      <c r="E515">
        <v>1</v>
      </c>
      <c r="F515">
        <v>11</v>
      </c>
      <c r="G515" t="b">
        <v>0</v>
      </c>
      <c r="H515">
        <v>0</v>
      </c>
      <c r="I515">
        <v>1</v>
      </c>
      <c r="J515">
        <v>0.14000000000000001</v>
      </c>
      <c r="K515">
        <v>0.13639999999999999</v>
      </c>
      <c r="L515">
        <v>0.43</v>
      </c>
      <c r="M515">
        <v>0.22389999999999999</v>
      </c>
      <c r="N515">
        <v>22</v>
      </c>
      <c r="O515">
        <v>77</v>
      </c>
      <c r="P515">
        <v>99</v>
      </c>
      <c r="Q515">
        <v>0.13639999999999999</v>
      </c>
      <c r="R515">
        <v>0.43</v>
      </c>
      <c r="S515">
        <v>0.22389999999999999</v>
      </c>
      <c r="T515">
        <v>22</v>
      </c>
      <c r="U515">
        <v>77</v>
      </c>
      <c r="V515">
        <v>99</v>
      </c>
    </row>
    <row r="516" spans="1:22" x14ac:dyDescent="0.3">
      <c r="A516">
        <v>514</v>
      </c>
      <c r="B516">
        <v>40566</v>
      </c>
      <c r="C516">
        <v>1</v>
      </c>
      <c r="D516">
        <v>0</v>
      </c>
      <c r="E516">
        <v>1</v>
      </c>
      <c r="F516">
        <v>12</v>
      </c>
      <c r="G516" t="b">
        <v>0</v>
      </c>
      <c r="H516">
        <v>0</v>
      </c>
      <c r="I516">
        <v>1</v>
      </c>
      <c r="J516">
        <v>0.16</v>
      </c>
      <c r="K516">
        <v>0.1212</v>
      </c>
      <c r="L516">
        <v>0.37</v>
      </c>
      <c r="M516">
        <v>0.4627</v>
      </c>
      <c r="N516">
        <v>24</v>
      </c>
      <c r="O516">
        <v>92</v>
      </c>
      <c r="P516">
        <v>116</v>
      </c>
      <c r="Q516">
        <v>0.1212</v>
      </c>
      <c r="R516">
        <v>0.37</v>
      </c>
      <c r="S516">
        <v>0.4627</v>
      </c>
      <c r="T516">
        <v>24</v>
      </c>
      <c r="U516">
        <v>92</v>
      </c>
      <c r="V516">
        <v>116</v>
      </c>
    </row>
    <row r="517" spans="1:22" x14ac:dyDescent="0.3">
      <c r="A517">
        <v>515</v>
      </c>
      <c r="B517">
        <v>40566</v>
      </c>
      <c r="C517">
        <v>1</v>
      </c>
      <c r="D517">
        <v>0</v>
      </c>
      <c r="E517">
        <v>1</v>
      </c>
      <c r="F517">
        <v>13</v>
      </c>
      <c r="G517" t="b">
        <v>0</v>
      </c>
      <c r="H517">
        <v>0</v>
      </c>
      <c r="I517">
        <v>1</v>
      </c>
      <c r="J517">
        <v>0.14000000000000001</v>
      </c>
      <c r="K517">
        <v>0.1061</v>
      </c>
      <c r="L517">
        <v>0.33</v>
      </c>
      <c r="M517">
        <v>0.3881</v>
      </c>
      <c r="N517">
        <v>12</v>
      </c>
      <c r="O517">
        <v>75</v>
      </c>
      <c r="P517">
        <v>87</v>
      </c>
      <c r="Q517">
        <v>0.1061</v>
      </c>
      <c r="R517">
        <v>0.33</v>
      </c>
      <c r="S517">
        <v>0.3881</v>
      </c>
      <c r="T517">
        <v>12</v>
      </c>
      <c r="U517">
        <v>75</v>
      </c>
      <c r="V517">
        <v>87</v>
      </c>
    </row>
    <row r="518" spans="1:22" x14ac:dyDescent="0.3">
      <c r="A518">
        <v>516</v>
      </c>
      <c r="B518">
        <v>40566</v>
      </c>
      <c r="C518">
        <v>1</v>
      </c>
      <c r="D518">
        <v>0</v>
      </c>
      <c r="E518">
        <v>1</v>
      </c>
      <c r="F518">
        <v>14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17</v>
      </c>
      <c r="O518">
        <v>93</v>
      </c>
      <c r="P518">
        <v>110</v>
      </c>
      <c r="Q518">
        <v>0.13639999999999999</v>
      </c>
      <c r="R518">
        <v>0.28000000000000003</v>
      </c>
      <c r="S518">
        <v>0.35820000000000002</v>
      </c>
      <c r="T518">
        <v>17</v>
      </c>
      <c r="U518">
        <v>93</v>
      </c>
      <c r="V518">
        <v>110</v>
      </c>
    </row>
    <row r="519" spans="1:22" x14ac:dyDescent="0.3">
      <c r="A519">
        <v>517</v>
      </c>
      <c r="B519">
        <v>40566</v>
      </c>
      <c r="C519">
        <v>1</v>
      </c>
      <c r="D519">
        <v>0</v>
      </c>
      <c r="E519">
        <v>1</v>
      </c>
      <c r="F519">
        <v>15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0.28000000000000003</v>
      </c>
      <c r="M519">
        <v>0.35820000000000002</v>
      </c>
      <c r="N519">
        <v>13</v>
      </c>
      <c r="O519">
        <v>64</v>
      </c>
      <c r="P519">
        <v>77</v>
      </c>
      <c r="Q519">
        <v>0.13639999999999999</v>
      </c>
      <c r="R519">
        <v>0.28000000000000003</v>
      </c>
      <c r="S519">
        <v>0.35820000000000002</v>
      </c>
      <c r="T519">
        <v>13</v>
      </c>
      <c r="U519">
        <v>64</v>
      </c>
      <c r="V519">
        <v>77</v>
      </c>
    </row>
    <row r="520" spans="1:22" x14ac:dyDescent="0.3">
      <c r="A520">
        <v>518</v>
      </c>
      <c r="B520">
        <v>40566</v>
      </c>
      <c r="C520">
        <v>1</v>
      </c>
      <c r="D520">
        <v>0</v>
      </c>
      <c r="E520">
        <v>1</v>
      </c>
      <c r="F520">
        <v>16</v>
      </c>
      <c r="G520" t="b">
        <v>0</v>
      </c>
      <c r="H520">
        <v>0</v>
      </c>
      <c r="I520">
        <v>1</v>
      </c>
      <c r="J520">
        <v>0.16</v>
      </c>
      <c r="K520">
        <v>0.13639999999999999</v>
      </c>
      <c r="L520">
        <v>0.26</v>
      </c>
      <c r="M520">
        <v>0.32840000000000003</v>
      </c>
      <c r="N520">
        <v>9</v>
      </c>
      <c r="O520">
        <v>56</v>
      </c>
      <c r="P520">
        <v>65</v>
      </c>
      <c r="Q520">
        <v>0.13639999999999999</v>
      </c>
      <c r="R520">
        <v>0.26</v>
      </c>
      <c r="S520">
        <v>0.32840000000000003</v>
      </c>
      <c r="T520">
        <v>9</v>
      </c>
      <c r="U520">
        <v>56</v>
      </c>
      <c r="V520">
        <v>65</v>
      </c>
    </row>
    <row r="521" spans="1:22" x14ac:dyDescent="0.3">
      <c r="A521">
        <v>519</v>
      </c>
      <c r="B521">
        <v>40566</v>
      </c>
      <c r="C521">
        <v>1</v>
      </c>
      <c r="D521">
        <v>0</v>
      </c>
      <c r="E521">
        <v>1</v>
      </c>
      <c r="F521">
        <v>17</v>
      </c>
      <c r="G521" t="b">
        <v>0</v>
      </c>
      <c r="H521">
        <v>0</v>
      </c>
      <c r="I521">
        <v>1</v>
      </c>
      <c r="J521">
        <v>0.14000000000000001</v>
      </c>
      <c r="K521">
        <v>0.1061</v>
      </c>
      <c r="L521">
        <v>0.26</v>
      </c>
      <c r="M521">
        <v>0.3881</v>
      </c>
      <c r="N521">
        <v>5</v>
      </c>
      <c r="O521">
        <v>50</v>
      </c>
      <c r="P521">
        <v>55</v>
      </c>
      <c r="Q521">
        <v>0.1061</v>
      </c>
      <c r="R521">
        <v>0.26</v>
      </c>
      <c r="S521">
        <v>0.3881</v>
      </c>
      <c r="T521">
        <v>5</v>
      </c>
      <c r="U521">
        <v>50</v>
      </c>
      <c r="V521">
        <v>55</v>
      </c>
    </row>
    <row r="522" spans="1:22" x14ac:dyDescent="0.3">
      <c r="A522">
        <v>520</v>
      </c>
      <c r="B522">
        <v>40566</v>
      </c>
      <c r="C522">
        <v>1</v>
      </c>
      <c r="D522">
        <v>0</v>
      </c>
      <c r="E522">
        <v>1</v>
      </c>
      <c r="F522">
        <v>18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0.25369999999999998</v>
      </c>
      <c r="N522">
        <v>5</v>
      </c>
      <c r="O522">
        <v>44</v>
      </c>
      <c r="P522">
        <v>49</v>
      </c>
      <c r="Q522">
        <v>0.1212</v>
      </c>
      <c r="R522">
        <v>0.3</v>
      </c>
      <c r="S522">
        <v>0.25369999999999998</v>
      </c>
      <c r="T522">
        <v>5</v>
      </c>
      <c r="U522">
        <v>44</v>
      </c>
      <c r="V522">
        <v>49</v>
      </c>
    </row>
    <row r="523" spans="1:22" x14ac:dyDescent="0.3">
      <c r="A523">
        <v>521</v>
      </c>
      <c r="B523">
        <v>40566</v>
      </c>
      <c r="C523">
        <v>1</v>
      </c>
      <c r="D523">
        <v>0</v>
      </c>
      <c r="E523">
        <v>1</v>
      </c>
      <c r="F523">
        <v>19</v>
      </c>
      <c r="G523" t="b">
        <v>0</v>
      </c>
      <c r="H523">
        <v>0</v>
      </c>
      <c r="I523">
        <v>1</v>
      </c>
      <c r="J523">
        <v>0.12</v>
      </c>
      <c r="K523">
        <v>0.1212</v>
      </c>
      <c r="L523">
        <v>0.3</v>
      </c>
      <c r="M523">
        <v>0.28360000000000002</v>
      </c>
      <c r="N523">
        <v>5</v>
      </c>
      <c r="O523">
        <v>45</v>
      </c>
      <c r="P523">
        <v>50</v>
      </c>
      <c r="Q523">
        <v>0.1212</v>
      </c>
      <c r="R523">
        <v>0.3</v>
      </c>
      <c r="S523">
        <v>0.28360000000000002</v>
      </c>
      <c r="T523">
        <v>5</v>
      </c>
      <c r="U523">
        <v>45</v>
      </c>
      <c r="V523">
        <v>50</v>
      </c>
    </row>
    <row r="524" spans="1:22" x14ac:dyDescent="0.3">
      <c r="A524">
        <v>522</v>
      </c>
      <c r="B524">
        <v>40566</v>
      </c>
      <c r="C524">
        <v>1</v>
      </c>
      <c r="D524">
        <v>0</v>
      </c>
      <c r="E524">
        <v>1</v>
      </c>
      <c r="F524">
        <v>20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0.25369999999999998</v>
      </c>
      <c r="N524">
        <v>4</v>
      </c>
      <c r="O524">
        <v>31</v>
      </c>
      <c r="P524">
        <v>35</v>
      </c>
      <c r="Q524">
        <v>0.1061</v>
      </c>
      <c r="R524">
        <v>0.36</v>
      </c>
      <c r="S524">
        <v>0.25369999999999998</v>
      </c>
      <c r="T524">
        <v>4</v>
      </c>
      <c r="U524">
        <v>31</v>
      </c>
      <c r="V524">
        <v>35</v>
      </c>
    </row>
    <row r="525" spans="1:22" x14ac:dyDescent="0.3">
      <c r="A525">
        <v>523</v>
      </c>
      <c r="B525">
        <v>40566</v>
      </c>
      <c r="C525">
        <v>1</v>
      </c>
      <c r="D525">
        <v>0</v>
      </c>
      <c r="E525">
        <v>1</v>
      </c>
      <c r="F525">
        <v>21</v>
      </c>
      <c r="G525" t="b">
        <v>0</v>
      </c>
      <c r="H525">
        <v>0</v>
      </c>
      <c r="I525">
        <v>1</v>
      </c>
      <c r="J525">
        <v>0.1</v>
      </c>
      <c r="K525">
        <v>0.1061</v>
      </c>
      <c r="L525">
        <v>0.36</v>
      </c>
      <c r="M525">
        <v>0.19400000000000001</v>
      </c>
      <c r="N525">
        <v>5</v>
      </c>
      <c r="O525">
        <v>20</v>
      </c>
      <c r="P525">
        <v>25</v>
      </c>
      <c r="Q525">
        <v>0.1061</v>
      </c>
      <c r="R525">
        <v>0.36</v>
      </c>
      <c r="S525">
        <v>0.19400000000000001</v>
      </c>
      <c r="T525">
        <v>5</v>
      </c>
      <c r="U525">
        <v>20</v>
      </c>
      <c r="V525">
        <v>25</v>
      </c>
    </row>
    <row r="526" spans="1:22" x14ac:dyDescent="0.3">
      <c r="A526">
        <v>524</v>
      </c>
      <c r="B526">
        <v>40566</v>
      </c>
      <c r="C526">
        <v>1</v>
      </c>
      <c r="D526">
        <v>0</v>
      </c>
      <c r="E526">
        <v>1</v>
      </c>
      <c r="F526">
        <v>22</v>
      </c>
      <c r="G526" t="b">
        <v>0</v>
      </c>
      <c r="H526">
        <v>0</v>
      </c>
      <c r="I526">
        <v>1</v>
      </c>
      <c r="J526">
        <v>0.08</v>
      </c>
      <c r="K526">
        <v>9.0899999999999995E-2</v>
      </c>
      <c r="L526">
        <v>0.38</v>
      </c>
      <c r="M526">
        <v>0.19400000000000001</v>
      </c>
      <c r="N526">
        <v>5</v>
      </c>
      <c r="O526">
        <v>23</v>
      </c>
      <c r="P526">
        <v>28</v>
      </c>
      <c r="Q526">
        <v>9.0899999999999995E-2</v>
      </c>
      <c r="R526">
        <v>0.38</v>
      </c>
      <c r="S526">
        <v>0.19400000000000001</v>
      </c>
      <c r="T526">
        <v>5</v>
      </c>
      <c r="U526">
        <v>23</v>
      </c>
      <c r="V526">
        <v>28</v>
      </c>
    </row>
    <row r="527" spans="1:22" x14ac:dyDescent="0.3">
      <c r="A527">
        <v>525</v>
      </c>
      <c r="B527">
        <v>40566</v>
      </c>
      <c r="C527">
        <v>1</v>
      </c>
      <c r="D527">
        <v>0</v>
      </c>
      <c r="E527">
        <v>1</v>
      </c>
      <c r="F527">
        <v>23</v>
      </c>
      <c r="G527" t="b">
        <v>0</v>
      </c>
      <c r="H527">
        <v>0</v>
      </c>
      <c r="I527">
        <v>1</v>
      </c>
      <c r="J527">
        <v>0.06</v>
      </c>
      <c r="K527">
        <v>6.0600000000000001E-2</v>
      </c>
      <c r="L527">
        <v>0.41</v>
      </c>
      <c r="M527">
        <v>0.22389999999999999</v>
      </c>
      <c r="N527">
        <v>4</v>
      </c>
      <c r="O527">
        <v>17</v>
      </c>
      <c r="P527">
        <v>21</v>
      </c>
      <c r="Q527">
        <v>6.0600000000000001E-2</v>
      </c>
      <c r="R527">
        <v>0.41</v>
      </c>
      <c r="S527">
        <v>0.22389999999999999</v>
      </c>
      <c r="T527">
        <v>4</v>
      </c>
      <c r="U527">
        <v>17</v>
      </c>
      <c r="V527">
        <v>21</v>
      </c>
    </row>
    <row r="528" spans="1:22" x14ac:dyDescent="0.3">
      <c r="A528">
        <v>526</v>
      </c>
      <c r="B528">
        <v>40567</v>
      </c>
      <c r="C528">
        <v>1</v>
      </c>
      <c r="D528">
        <v>0</v>
      </c>
      <c r="E528">
        <v>1</v>
      </c>
      <c r="F528">
        <v>0</v>
      </c>
      <c r="G528" t="b">
        <v>0</v>
      </c>
      <c r="H528">
        <v>1</v>
      </c>
      <c r="I528">
        <v>1</v>
      </c>
      <c r="J528">
        <v>0.06</v>
      </c>
      <c r="K528">
        <v>6.0600000000000001E-2</v>
      </c>
      <c r="L528">
        <v>0.41</v>
      </c>
      <c r="M528">
        <v>0.19400000000000001</v>
      </c>
      <c r="N528">
        <v>0</v>
      </c>
      <c r="O528">
        <v>7</v>
      </c>
      <c r="P528">
        <v>7</v>
      </c>
      <c r="Q528">
        <v>6.0600000000000001E-2</v>
      </c>
      <c r="R528">
        <v>0.41</v>
      </c>
      <c r="S528">
        <v>0.19400000000000001</v>
      </c>
      <c r="T528">
        <v>0</v>
      </c>
      <c r="U528">
        <v>7</v>
      </c>
      <c r="V528">
        <v>7</v>
      </c>
    </row>
    <row r="529" spans="1:22" x14ac:dyDescent="0.3">
      <c r="A529">
        <v>527</v>
      </c>
      <c r="B529">
        <v>40567</v>
      </c>
      <c r="C529">
        <v>1</v>
      </c>
      <c r="D529">
        <v>0</v>
      </c>
      <c r="E529">
        <v>1</v>
      </c>
      <c r="F529">
        <v>1</v>
      </c>
      <c r="G529" t="b">
        <v>0</v>
      </c>
      <c r="H529">
        <v>1</v>
      </c>
      <c r="I529">
        <v>1</v>
      </c>
      <c r="J529">
        <v>0.04</v>
      </c>
      <c r="K529">
        <v>4.5499999999999999E-2</v>
      </c>
      <c r="L529">
        <v>0.45</v>
      </c>
      <c r="M529">
        <v>0.19400000000000001</v>
      </c>
      <c r="N529">
        <v>0</v>
      </c>
      <c r="O529">
        <v>1</v>
      </c>
      <c r="P529">
        <v>1</v>
      </c>
      <c r="Q529">
        <v>4.5499999999999999E-2</v>
      </c>
      <c r="R529">
        <v>0.45</v>
      </c>
      <c r="S529">
        <v>0.19400000000000001</v>
      </c>
      <c r="T529">
        <v>0</v>
      </c>
      <c r="U529">
        <v>1</v>
      </c>
      <c r="V529">
        <v>1</v>
      </c>
    </row>
    <row r="530" spans="1:22" x14ac:dyDescent="0.3">
      <c r="A530">
        <v>528</v>
      </c>
      <c r="B530">
        <v>40567</v>
      </c>
      <c r="C530">
        <v>1</v>
      </c>
      <c r="D530">
        <v>0</v>
      </c>
      <c r="E530">
        <v>1</v>
      </c>
      <c r="F530">
        <v>3</v>
      </c>
      <c r="G530" t="b">
        <v>0</v>
      </c>
      <c r="H530">
        <v>1</v>
      </c>
      <c r="I530">
        <v>1</v>
      </c>
      <c r="J530">
        <v>0.04</v>
      </c>
      <c r="K530">
        <v>3.0300000000000001E-2</v>
      </c>
      <c r="L530">
        <v>0.45</v>
      </c>
      <c r="M530">
        <v>0.25369999999999998</v>
      </c>
      <c r="N530">
        <v>0</v>
      </c>
      <c r="O530">
        <v>1</v>
      </c>
      <c r="P530">
        <v>1</v>
      </c>
      <c r="Q530">
        <v>3.0300000000000001E-2</v>
      </c>
      <c r="R530">
        <v>0.45</v>
      </c>
      <c r="S530">
        <v>0.25369999999999998</v>
      </c>
      <c r="T530">
        <v>0</v>
      </c>
      <c r="U530">
        <v>1</v>
      </c>
      <c r="V530">
        <v>1</v>
      </c>
    </row>
    <row r="531" spans="1:22" x14ac:dyDescent="0.3">
      <c r="A531">
        <v>529</v>
      </c>
      <c r="B531">
        <v>40567</v>
      </c>
      <c r="C531">
        <v>1</v>
      </c>
      <c r="D531">
        <v>0</v>
      </c>
      <c r="E531">
        <v>1</v>
      </c>
      <c r="F531">
        <v>4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1</v>
      </c>
      <c r="P531">
        <v>1</v>
      </c>
      <c r="Q531">
        <v>6.0600000000000001E-2</v>
      </c>
      <c r="R531">
        <v>0.48</v>
      </c>
      <c r="S531">
        <v>0.1343</v>
      </c>
      <c r="T531">
        <v>0</v>
      </c>
      <c r="U531">
        <v>1</v>
      </c>
      <c r="V531">
        <v>1</v>
      </c>
    </row>
    <row r="532" spans="1:22" x14ac:dyDescent="0.3">
      <c r="A532">
        <v>530</v>
      </c>
      <c r="B532">
        <v>40567</v>
      </c>
      <c r="C532">
        <v>1</v>
      </c>
      <c r="D532">
        <v>0</v>
      </c>
      <c r="E532">
        <v>1</v>
      </c>
      <c r="F532">
        <v>5</v>
      </c>
      <c r="G532" t="b">
        <v>0</v>
      </c>
      <c r="H532">
        <v>1</v>
      </c>
      <c r="I532">
        <v>1</v>
      </c>
      <c r="J532">
        <v>0.02</v>
      </c>
      <c r="K532">
        <v>6.0600000000000001E-2</v>
      </c>
      <c r="L532">
        <v>0.48</v>
      </c>
      <c r="M532">
        <v>0.1343</v>
      </c>
      <c r="N532">
        <v>0</v>
      </c>
      <c r="O532">
        <v>5</v>
      </c>
      <c r="P532">
        <v>5</v>
      </c>
      <c r="Q532">
        <v>6.0600000000000001E-2</v>
      </c>
      <c r="R532">
        <v>0.48</v>
      </c>
      <c r="S532">
        <v>0.1343</v>
      </c>
      <c r="T532">
        <v>0</v>
      </c>
      <c r="U532">
        <v>5</v>
      </c>
      <c r="V532">
        <v>5</v>
      </c>
    </row>
    <row r="533" spans="1:22" x14ac:dyDescent="0.3">
      <c r="A533">
        <v>531</v>
      </c>
      <c r="B533">
        <v>40567</v>
      </c>
      <c r="C533">
        <v>1</v>
      </c>
      <c r="D533">
        <v>0</v>
      </c>
      <c r="E533">
        <v>1</v>
      </c>
      <c r="F533">
        <v>6</v>
      </c>
      <c r="G533" t="b">
        <v>0</v>
      </c>
      <c r="H533">
        <v>1</v>
      </c>
      <c r="I533">
        <v>1</v>
      </c>
      <c r="J533">
        <v>0.02</v>
      </c>
      <c r="K533">
        <v>7.5800000000000006E-2</v>
      </c>
      <c r="L533">
        <v>0.48</v>
      </c>
      <c r="M533">
        <v>8.9599999999999999E-2</v>
      </c>
      <c r="N533">
        <v>0</v>
      </c>
      <c r="O533">
        <v>15</v>
      </c>
      <c r="P533">
        <v>15</v>
      </c>
      <c r="Q533">
        <v>7.5800000000000006E-2</v>
      </c>
      <c r="R533">
        <v>0.48</v>
      </c>
      <c r="S533">
        <v>8.9599999999999999E-2</v>
      </c>
      <c r="T533">
        <v>0</v>
      </c>
      <c r="U533">
        <v>15</v>
      </c>
      <c r="V533">
        <v>15</v>
      </c>
    </row>
    <row r="534" spans="1:22" x14ac:dyDescent="0.3">
      <c r="A534">
        <v>532</v>
      </c>
      <c r="B534">
        <v>40567</v>
      </c>
      <c r="C534">
        <v>1</v>
      </c>
      <c r="D534">
        <v>0</v>
      </c>
      <c r="E534">
        <v>1</v>
      </c>
      <c r="F534">
        <v>7</v>
      </c>
      <c r="G534" t="b">
        <v>0</v>
      </c>
      <c r="H534">
        <v>1</v>
      </c>
      <c r="I534">
        <v>1</v>
      </c>
      <c r="J534">
        <v>0.02</v>
      </c>
      <c r="K534">
        <v>0.1212</v>
      </c>
      <c r="L534">
        <v>0.48</v>
      </c>
      <c r="M534">
        <v>0</v>
      </c>
      <c r="N534">
        <v>5</v>
      </c>
      <c r="O534">
        <v>79</v>
      </c>
      <c r="P534">
        <v>84</v>
      </c>
      <c r="Q534">
        <v>0.1212</v>
      </c>
      <c r="R534">
        <v>0.48</v>
      </c>
      <c r="S534">
        <v>0</v>
      </c>
      <c r="T534">
        <v>5</v>
      </c>
      <c r="U534">
        <v>79</v>
      </c>
      <c r="V534">
        <v>84</v>
      </c>
    </row>
    <row r="535" spans="1:22" x14ac:dyDescent="0.3">
      <c r="A535">
        <v>533</v>
      </c>
      <c r="B535">
        <v>40567</v>
      </c>
      <c r="C535">
        <v>1</v>
      </c>
      <c r="D535">
        <v>0</v>
      </c>
      <c r="E535">
        <v>1</v>
      </c>
      <c r="F535">
        <v>8</v>
      </c>
      <c r="G535" t="b">
        <v>0</v>
      </c>
      <c r="H535">
        <v>1</v>
      </c>
      <c r="I535">
        <v>1</v>
      </c>
      <c r="J535">
        <v>0.04</v>
      </c>
      <c r="K535">
        <v>0.13639999999999999</v>
      </c>
      <c r="L535">
        <v>0.49</v>
      </c>
      <c r="M535">
        <v>0</v>
      </c>
      <c r="N535">
        <v>6</v>
      </c>
      <c r="O535">
        <v>171</v>
      </c>
      <c r="P535">
        <v>177</v>
      </c>
      <c r="Q535">
        <v>0.13639999999999999</v>
      </c>
      <c r="R535">
        <v>0.49</v>
      </c>
      <c r="S535">
        <v>0</v>
      </c>
      <c r="T535">
        <v>6</v>
      </c>
      <c r="U535">
        <v>171</v>
      </c>
      <c r="V535">
        <v>177</v>
      </c>
    </row>
    <row r="536" spans="1:22" x14ac:dyDescent="0.3">
      <c r="A536">
        <v>534</v>
      </c>
      <c r="B536">
        <v>40567</v>
      </c>
      <c r="C536">
        <v>1</v>
      </c>
      <c r="D536">
        <v>0</v>
      </c>
      <c r="E536">
        <v>1</v>
      </c>
      <c r="F536">
        <v>9</v>
      </c>
      <c r="G536" t="b">
        <v>0</v>
      </c>
      <c r="H536">
        <v>1</v>
      </c>
      <c r="I536">
        <v>1</v>
      </c>
      <c r="J536">
        <v>0.06</v>
      </c>
      <c r="K536">
        <v>0.1515</v>
      </c>
      <c r="L536">
        <v>0.41</v>
      </c>
      <c r="M536">
        <v>0</v>
      </c>
      <c r="N536">
        <v>4</v>
      </c>
      <c r="O536">
        <v>98</v>
      </c>
      <c r="P536">
        <v>102</v>
      </c>
      <c r="Q536">
        <v>0.1515</v>
      </c>
      <c r="R536">
        <v>0.41</v>
      </c>
      <c r="S536">
        <v>0</v>
      </c>
      <c r="T536">
        <v>4</v>
      </c>
      <c r="U536">
        <v>98</v>
      </c>
      <c r="V536">
        <v>102</v>
      </c>
    </row>
    <row r="537" spans="1:22" x14ac:dyDescent="0.3">
      <c r="A537">
        <v>535</v>
      </c>
      <c r="B537">
        <v>40567</v>
      </c>
      <c r="C537">
        <v>1</v>
      </c>
      <c r="D537">
        <v>0</v>
      </c>
      <c r="E537">
        <v>1</v>
      </c>
      <c r="F537">
        <v>10</v>
      </c>
      <c r="G537" t="b">
        <v>0</v>
      </c>
      <c r="H537">
        <v>1</v>
      </c>
      <c r="I537">
        <v>1</v>
      </c>
      <c r="J537">
        <v>0.1</v>
      </c>
      <c r="K537">
        <v>0.13639999999999999</v>
      </c>
      <c r="L537">
        <v>0.42</v>
      </c>
      <c r="M537">
        <v>0</v>
      </c>
      <c r="N537">
        <v>6</v>
      </c>
      <c r="O537">
        <v>34</v>
      </c>
      <c r="P537">
        <v>40</v>
      </c>
      <c r="Q537">
        <v>0.13639999999999999</v>
      </c>
      <c r="R537">
        <v>0.42</v>
      </c>
      <c r="S537">
        <v>0</v>
      </c>
      <c r="T537">
        <v>6</v>
      </c>
      <c r="U537">
        <v>34</v>
      </c>
      <c r="V537">
        <v>40</v>
      </c>
    </row>
    <row r="538" spans="1:22" x14ac:dyDescent="0.3">
      <c r="A538">
        <v>536</v>
      </c>
      <c r="B538">
        <v>40567</v>
      </c>
      <c r="C538">
        <v>1</v>
      </c>
      <c r="D538">
        <v>0</v>
      </c>
      <c r="E538">
        <v>1</v>
      </c>
      <c r="F538">
        <v>11</v>
      </c>
      <c r="G538" t="b">
        <v>0</v>
      </c>
      <c r="H538">
        <v>1</v>
      </c>
      <c r="I538">
        <v>1</v>
      </c>
      <c r="J538">
        <v>0.1</v>
      </c>
      <c r="K538">
        <v>0.1212</v>
      </c>
      <c r="L538">
        <v>0.46</v>
      </c>
      <c r="M538">
        <v>0.1343</v>
      </c>
      <c r="N538">
        <v>3</v>
      </c>
      <c r="O538">
        <v>43</v>
      </c>
      <c r="P538">
        <v>46</v>
      </c>
      <c r="Q538">
        <v>0.1212</v>
      </c>
      <c r="R538">
        <v>0.46</v>
      </c>
      <c r="S538">
        <v>0.1343</v>
      </c>
      <c r="T538">
        <v>3</v>
      </c>
      <c r="U538">
        <v>43</v>
      </c>
      <c r="V538">
        <v>46</v>
      </c>
    </row>
    <row r="539" spans="1:22" x14ac:dyDescent="0.3">
      <c r="A539">
        <v>537</v>
      </c>
      <c r="B539">
        <v>40567</v>
      </c>
      <c r="C539">
        <v>1</v>
      </c>
      <c r="D539">
        <v>0</v>
      </c>
      <c r="E539">
        <v>1</v>
      </c>
      <c r="F539">
        <v>12</v>
      </c>
      <c r="G539" t="b">
        <v>0</v>
      </c>
      <c r="H539">
        <v>1</v>
      </c>
      <c r="I539">
        <v>2</v>
      </c>
      <c r="J539">
        <v>0.12</v>
      </c>
      <c r="K539">
        <v>0.13639999999999999</v>
      </c>
      <c r="L539">
        <v>0.42</v>
      </c>
      <c r="M539">
        <v>0.19400000000000001</v>
      </c>
      <c r="N539">
        <v>11</v>
      </c>
      <c r="O539">
        <v>52</v>
      </c>
      <c r="P539">
        <v>63</v>
      </c>
      <c r="Q539">
        <v>0.13639999999999999</v>
      </c>
      <c r="R539">
        <v>0.42</v>
      </c>
      <c r="S539">
        <v>0.19400000000000001</v>
      </c>
      <c r="T539">
        <v>11</v>
      </c>
      <c r="U539">
        <v>52</v>
      </c>
      <c r="V539">
        <v>63</v>
      </c>
    </row>
    <row r="540" spans="1:22" x14ac:dyDescent="0.3">
      <c r="A540">
        <v>538</v>
      </c>
      <c r="B540">
        <v>40567</v>
      </c>
      <c r="C540">
        <v>1</v>
      </c>
      <c r="D540">
        <v>0</v>
      </c>
      <c r="E540">
        <v>1</v>
      </c>
      <c r="F540">
        <v>13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0.43</v>
      </c>
      <c r="M540">
        <v>0.22389999999999999</v>
      </c>
      <c r="N540">
        <v>6</v>
      </c>
      <c r="O540">
        <v>54</v>
      </c>
      <c r="P540">
        <v>60</v>
      </c>
      <c r="Q540">
        <v>0.13639999999999999</v>
      </c>
      <c r="R540">
        <v>0.43</v>
      </c>
      <c r="S540">
        <v>0.22389999999999999</v>
      </c>
      <c r="T540">
        <v>6</v>
      </c>
      <c r="U540">
        <v>54</v>
      </c>
      <c r="V540">
        <v>60</v>
      </c>
    </row>
    <row r="541" spans="1:22" x14ac:dyDescent="0.3">
      <c r="A541">
        <v>539</v>
      </c>
      <c r="B541">
        <v>40567</v>
      </c>
      <c r="C541">
        <v>1</v>
      </c>
      <c r="D541">
        <v>0</v>
      </c>
      <c r="E541">
        <v>1</v>
      </c>
      <c r="F541">
        <v>14</v>
      </c>
      <c r="G541" t="b">
        <v>0</v>
      </c>
      <c r="H541">
        <v>1</v>
      </c>
      <c r="I541">
        <v>2</v>
      </c>
      <c r="J541">
        <v>0.14000000000000001</v>
      </c>
      <c r="K541">
        <v>0.13639999999999999</v>
      </c>
      <c r="L541">
        <v>0.46</v>
      </c>
      <c r="M541">
        <v>0.22389999999999999</v>
      </c>
      <c r="N541">
        <v>2</v>
      </c>
      <c r="O541">
        <v>43</v>
      </c>
      <c r="P541">
        <v>45</v>
      </c>
      <c r="Q541">
        <v>0.13639999999999999</v>
      </c>
      <c r="R541">
        <v>0.46</v>
      </c>
      <c r="S541">
        <v>0.22389999999999999</v>
      </c>
      <c r="T541">
        <v>2</v>
      </c>
      <c r="U541">
        <v>43</v>
      </c>
      <c r="V541">
        <v>45</v>
      </c>
    </row>
    <row r="542" spans="1:22" x14ac:dyDescent="0.3">
      <c r="A542">
        <v>540</v>
      </c>
      <c r="B542">
        <v>40567</v>
      </c>
      <c r="C542">
        <v>1</v>
      </c>
      <c r="D542">
        <v>0</v>
      </c>
      <c r="E542">
        <v>1</v>
      </c>
      <c r="F542">
        <v>15</v>
      </c>
      <c r="G542" t="b">
        <v>0</v>
      </c>
      <c r="H542">
        <v>1</v>
      </c>
      <c r="I542">
        <v>1</v>
      </c>
      <c r="J542">
        <v>0.16</v>
      </c>
      <c r="K542">
        <v>0.16669999999999999</v>
      </c>
      <c r="L542">
        <v>0.4</v>
      </c>
      <c r="M542">
        <v>0.16420000000000001</v>
      </c>
      <c r="N542">
        <v>7</v>
      </c>
      <c r="O542">
        <v>50</v>
      </c>
      <c r="P542">
        <v>57</v>
      </c>
      <c r="Q542">
        <v>0.16669999999999999</v>
      </c>
      <c r="R542">
        <v>0.4</v>
      </c>
      <c r="S542">
        <v>0.16420000000000001</v>
      </c>
      <c r="T542">
        <v>7</v>
      </c>
      <c r="U542">
        <v>50</v>
      </c>
      <c r="V542">
        <v>57</v>
      </c>
    </row>
    <row r="543" spans="1:22" x14ac:dyDescent="0.3">
      <c r="A543">
        <v>541</v>
      </c>
      <c r="B543">
        <v>40567</v>
      </c>
      <c r="C543">
        <v>1</v>
      </c>
      <c r="D543">
        <v>0</v>
      </c>
      <c r="E543">
        <v>1</v>
      </c>
      <c r="F543">
        <v>16</v>
      </c>
      <c r="G543" t="b">
        <v>0</v>
      </c>
      <c r="H543">
        <v>1</v>
      </c>
      <c r="I543">
        <v>1</v>
      </c>
      <c r="J543">
        <v>0.16</v>
      </c>
      <c r="K543">
        <v>0.1515</v>
      </c>
      <c r="L543">
        <v>0.47</v>
      </c>
      <c r="M543">
        <v>0.25369999999999998</v>
      </c>
      <c r="N543">
        <v>4</v>
      </c>
      <c r="O543">
        <v>66</v>
      </c>
      <c r="P543">
        <v>70</v>
      </c>
      <c r="Q543">
        <v>0.1515</v>
      </c>
      <c r="R543">
        <v>0.47</v>
      </c>
      <c r="S543">
        <v>0.25369999999999998</v>
      </c>
      <c r="T543">
        <v>4</v>
      </c>
      <c r="U543">
        <v>66</v>
      </c>
      <c r="V543">
        <v>70</v>
      </c>
    </row>
    <row r="544" spans="1:22" x14ac:dyDescent="0.3">
      <c r="A544">
        <v>542</v>
      </c>
      <c r="B544">
        <v>40567</v>
      </c>
      <c r="C544">
        <v>1</v>
      </c>
      <c r="D544">
        <v>0</v>
      </c>
      <c r="E544">
        <v>1</v>
      </c>
      <c r="F544">
        <v>17</v>
      </c>
      <c r="G544" t="b">
        <v>0</v>
      </c>
      <c r="H544">
        <v>1</v>
      </c>
      <c r="I544">
        <v>1</v>
      </c>
      <c r="J544">
        <v>0.14000000000000001</v>
      </c>
      <c r="K544">
        <v>0.1212</v>
      </c>
      <c r="L544">
        <v>0.5</v>
      </c>
      <c r="M544">
        <v>0.25369999999999998</v>
      </c>
      <c r="N544">
        <v>6</v>
      </c>
      <c r="O544">
        <v>178</v>
      </c>
      <c r="P544">
        <v>184</v>
      </c>
      <c r="Q544">
        <v>0.1212</v>
      </c>
      <c r="R544">
        <v>0.5</v>
      </c>
      <c r="S544">
        <v>0.25369999999999998</v>
      </c>
      <c r="T544">
        <v>6</v>
      </c>
      <c r="U544">
        <v>178</v>
      </c>
      <c r="V544">
        <v>184</v>
      </c>
    </row>
    <row r="545" spans="1:22" x14ac:dyDescent="0.3">
      <c r="A545">
        <v>543</v>
      </c>
      <c r="B545">
        <v>40567</v>
      </c>
      <c r="C545">
        <v>1</v>
      </c>
      <c r="D545">
        <v>0</v>
      </c>
      <c r="E545">
        <v>1</v>
      </c>
      <c r="F545">
        <v>18</v>
      </c>
      <c r="G545" t="b">
        <v>0</v>
      </c>
      <c r="H545">
        <v>1</v>
      </c>
      <c r="I545">
        <v>1</v>
      </c>
      <c r="J545">
        <v>0.14000000000000001</v>
      </c>
      <c r="K545">
        <v>0.13639999999999999</v>
      </c>
      <c r="L545">
        <v>0.59</v>
      </c>
      <c r="M545">
        <v>0.19400000000000001</v>
      </c>
      <c r="N545">
        <v>8</v>
      </c>
      <c r="O545">
        <v>145</v>
      </c>
      <c r="P545">
        <v>153</v>
      </c>
      <c r="Q545">
        <v>0.13639999999999999</v>
      </c>
      <c r="R545">
        <v>0.59</v>
      </c>
      <c r="S545">
        <v>0.19400000000000001</v>
      </c>
      <c r="T545">
        <v>8</v>
      </c>
      <c r="U545">
        <v>145</v>
      </c>
      <c r="V545">
        <v>153</v>
      </c>
    </row>
    <row r="546" spans="1:22" x14ac:dyDescent="0.3">
      <c r="A546">
        <v>544</v>
      </c>
      <c r="B546">
        <v>40567</v>
      </c>
      <c r="C546">
        <v>1</v>
      </c>
      <c r="D546">
        <v>0</v>
      </c>
      <c r="E546">
        <v>1</v>
      </c>
      <c r="F546">
        <v>19</v>
      </c>
      <c r="G546" t="b">
        <v>0</v>
      </c>
      <c r="H546">
        <v>1</v>
      </c>
      <c r="I546">
        <v>1</v>
      </c>
      <c r="J546">
        <v>0.14000000000000001</v>
      </c>
      <c r="K546">
        <v>0.1515</v>
      </c>
      <c r="L546">
        <v>0.54</v>
      </c>
      <c r="M546">
        <v>0.16420000000000001</v>
      </c>
      <c r="N546">
        <v>5</v>
      </c>
      <c r="O546">
        <v>101</v>
      </c>
      <c r="P546">
        <v>106</v>
      </c>
      <c r="Q546">
        <v>0.1515</v>
      </c>
      <c r="R546">
        <v>0.54</v>
      </c>
      <c r="S546">
        <v>0.16420000000000001</v>
      </c>
      <c r="T546">
        <v>5</v>
      </c>
      <c r="U546">
        <v>101</v>
      </c>
      <c r="V546">
        <v>106</v>
      </c>
    </row>
    <row r="547" spans="1:22" x14ac:dyDescent="0.3">
      <c r="A547">
        <v>545</v>
      </c>
      <c r="B547">
        <v>40567</v>
      </c>
      <c r="C547">
        <v>1</v>
      </c>
      <c r="D547">
        <v>0</v>
      </c>
      <c r="E547">
        <v>1</v>
      </c>
      <c r="F547">
        <v>20</v>
      </c>
      <c r="G547" t="b">
        <v>0</v>
      </c>
      <c r="H547">
        <v>1</v>
      </c>
      <c r="I547">
        <v>1</v>
      </c>
      <c r="J547">
        <v>0.14000000000000001</v>
      </c>
      <c r="K547">
        <v>0.13639999999999999</v>
      </c>
      <c r="L547">
        <v>0.59</v>
      </c>
      <c r="M547">
        <v>0.19400000000000001</v>
      </c>
      <c r="N547">
        <v>1</v>
      </c>
      <c r="O547">
        <v>80</v>
      </c>
      <c r="P547">
        <v>81</v>
      </c>
      <c r="Q547">
        <v>0.13639999999999999</v>
      </c>
      <c r="R547">
        <v>0.59</v>
      </c>
      <c r="S547">
        <v>0.19400000000000001</v>
      </c>
      <c r="T547">
        <v>1</v>
      </c>
      <c r="U547">
        <v>80</v>
      </c>
      <c r="V547">
        <v>81</v>
      </c>
    </row>
    <row r="548" spans="1:22" x14ac:dyDescent="0.3">
      <c r="A548">
        <v>546</v>
      </c>
      <c r="B548">
        <v>40567</v>
      </c>
      <c r="C548">
        <v>1</v>
      </c>
      <c r="D548">
        <v>0</v>
      </c>
      <c r="E548">
        <v>1</v>
      </c>
      <c r="F548">
        <v>21</v>
      </c>
      <c r="G548" t="b">
        <v>0</v>
      </c>
      <c r="H548">
        <v>1</v>
      </c>
      <c r="I548">
        <v>1</v>
      </c>
      <c r="J548">
        <v>0.14000000000000001</v>
      </c>
      <c r="K548">
        <v>0.1515</v>
      </c>
      <c r="L548">
        <v>0.63</v>
      </c>
      <c r="M548">
        <v>0.16420000000000001</v>
      </c>
      <c r="N548">
        <v>6</v>
      </c>
      <c r="O548">
        <v>53</v>
      </c>
      <c r="P548">
        <v>59</v>
      </c>
      <c r="Q548">
        <v>0.1515</v>
      </c>
      <c r="R548">
        <v>0.63</v>
      </c>
      <c r="S548">
        <v>0.16420000000000001</v>
      </c>
      <c r="T548">
        <v>6</v>
      </c>
      <c r="U548">
        <v>53</v>
      </c>
      <c r="V548">
        <v>59</v>
      </c>
    </row>
    <row r="549" spans="1:22" x14ac:dyDescent="0.3">
      <c r="A549">
        <v>547</v>
      </c>
      <c r="B549">
        <v>40567</v>
      </c>
      <c r="C549">
        <v>1</v>
      </c>
      <c r="D549">
        <v>0</v>
      </c>
      <c r="E549">
        <v>1</v>
      </c>
      <c r="F549">
        <v>22</v>
      </c>
      <c r="G549" t="b">
        <v>0</v>
      </c>
      <c r="H549">
        <v>1</v>
      </c>
      <c r="I549">
        <v>2</v>
      </c>
      <c r="J549">
        <v>0.14000000000000001</v>
      </c>
      <c r="K549">
        <v>0.13639999999999999</v>
      </c>
      <c r="L549">
        <v>0.63</v>
      </c>
      <c r="M549">
        <v>0.22389999999999999</v>
      </c>
      <c r="N549">
        <v>3</v>
      </c>
      <c r="O549">
        <v>32</v>
      </c>
      <c r="P549">
        <v>35</v>
      </c>
      <c r="Q549">
        <v>0.13639999999999999</v>
      </c>
      <c r="R549">
        <v>0.63</v>
      </c>
      <c r="S549">
        <v>0.22389999999999999</v>
      </c>
      <c r="T549">
        <v>3</v>
      </c>
      <c r="U549">
        <v>32</v>
      </c>
      <c r="V549">
        <v>35</v>
      </c>
    </row>
    <row r="550" spans="1:22" x14ac:dyDescent="0.3">
      <c r="A550">
        <v>548</v>
      </c>
      <c r="B550">
        <v>40567</v>
      </c>
      <c r="C550">
        <v>1</v>
      </c>
      <c r="D550">
        <v>0</v>
      </c>
      <c r="E550">
        <v>1</v>
      </c>
      <c r="F550">
        <v>23</v>
      </c>
      <c r="G550" t="b">
        <v>0</v>
      </c>
      <c r="H550">
        <v>1</v>
      </c>
      <c r="I550">
        <v>2</v>
      </c>
      <c r="J550">
        <v>0.16</v>
      </c>
      <c r="K550">
        <v>0.1515</v>
      </c>
      <c r="L550">
        <v>0.64</v>
      </c>
      <c r="M550">
        <v>0.25369999999999998</v>
      </c>
      <c r="N550">
        <v>3</v>
      </c>
      <c r="O550">
        <v>21</v>
      </c>
      <c r="P550">
        <v>24</v>
      </c>
      <c r="Q550">
        <v>0.1515</v>
      </c>
      <c r="R550">
        <v>0.64</v>
      </c>
      <c r="S550">
        <v>0.25369999999999998</v>
      </c>
      <c r="T550">
        <v>3</v>
      </c>
      <c r="U550">
        <v>21</v>
      </c>
      <c r="V550">
        <v>24</v>
      </c>
    </row>
    <row r="551" spans="1:22" x14ac:dyDescent="0.3">
      <c r="A551">
        <v>549</v>
      </c>
      <c r="B551">
        <v>40568</v>
      </c>
      <c r="C551">
        <v>1</v>
      </c>
      <c r="D551">
        <v>0</v>
      </c>
      <c r="E551">
        <v>1</v>
      </c>
      <c r="F551">
        <v>0</v>
      </c>
      <c r="G551" t="b">
        <v>0</v>
      </c>
      <c r="H551">
        <v>2</v>
      </c>
      <c r="I551">
        <v>2</v>
      </c>
      <c r="J551">
        <v>0.16</v>
      </c>
      <c r="K551">
        <v>0.13639999999999999</v>
      </c>
      <c r="L551">
        <v>0.69</v>
      </c>
      <c r="M551">
        <v>0.28360000000000002</v>
      </c>
      <c r="N551">
        <v>3</v>
      </c>
      <c r="O551">
        <v>6</v>
      </c>
      <c r="P551">
        <v>9</v>
      </c>
      <c r="Q551">
        <v>0.13639999999999999</v>
      </c>
      <c r="R551">
        <v>0.69</v>
      </c>
      <c r="S551">
        <v>0.28360000000000002</v>
      </c>
      <c r="T551">
        <v>3</v>
      </c>
      <c r="U551">
        <v>6</v>
      </c>
      <c r="V551">
        <v>9</v>
      </c>
    </row>
    <row r="552" spans="1:22" x14ac:dyDescent="0.3">
      <c r="A552">
        <v>550</v>
      </c>
      <c r="B552">
        <v>40568</v>
      </c>
      <c r="C552">
        <v>1</v>
      </c>
      <c r="D552">
        <v>0</v>
      </c>
      <c r="E552">
        <v>1</v>
      </c>
      <c r="F552">
        <v>1</v>
      </c>
      <c r="G552" t="b">
        <v>0</v>
      </c>
      <c r="H552">
        <v>2</v>
      </c>
      <c r="I552">
        <v>2</v>
      </c>
      <c r="J552">
        <v>0.16</v>
      </c>
      <c r="K552">
        <v>0.16669999999999999</v>
      </c>
      <c r="L552">
        <v>0.69</v>
      </c>
      <c r="M552">
        <v>0.16420000000000001</v>
      </c>
      <c r="N552">
        <v>0</v>
      </c>
      <c r="O552">
        <v>5</v>
      </c>
      <c r="P552">
        <v>5</v>
      </c>
      <c r="Q552">
        <v>0.16669999999999999</v>
      </c>
      <c r="R552">
        <v>0.69</v>
      </c>
      <c r="S552">
        <v>0.16420000000000001</v>
      </c>
      <c r="T552">
        <v>0</v>
      </c>
      <c r="U552">
        <v>5</v>
      </c>
      <c r="V552">
        <v>5</v>
      </c>
    </row>
    <row r="553" spans="1:22" x14ac:dyDescent="0.3">
      <c r="A553">
        <v>551</v>
      </c>
      <c r="B553">
        <v>40568</v>
      </c>
      <c r="C553">
        <v>1</v>
      </c>
      <c r="D553">
        <v>0</v>
      </c>
      <c r="E553">
        <v>1</v>
      </c>
      <c r="F553">
        <v>2</v>
      </c>
      <c r="G553" t="b">
        <v>0</v>
      </c>
      <c r="H553">
        <v>2</v>
      </c>
      <c r="I553">
        <v>1</v>
      </c>
      <c r="J553">
        <v>0.16</v>
      </c>
      <c r="K553">
        <v>0.1515</v>
      </c>
      <c r="L553">
        <v>0.69</v>
      </c>
      <c r="M553">
        <v>0.22389999999999999</v>
      </c>
      <c r="N553">
        <v>0</v>
      </c>
      <c r="O553">
        <v>2</v>
      </c>
      <c r="P553">
        <v>2</v>
      </c>
      <c r="Q553">
        <v>0.1515</v>
      </c>
      <c r="R553">
        <v>0.69</v>
      </c>
      <c r="S553">
        <v>0.22389999999999999</v>
      </c>
      <c r="T553">
        <v>0</v>
      </c>
      <c r="U553">
        <v>2</v>
      </c>
      <c r="V553">
        <v>2</v>
      </c>
    </row>
    <row r="554" spans="1:22" x14ac:dyDescent="0.3">
      <c r="A554">
        <v>552</v>
      </c>
      <c r="B554">
        <v>40568</v>
      </c>
      <c r="C554">
        <v>1</v>
      </c>
      <c r="D554">
        <v>0</v>
      </c>
      <c r="E554">
        <v>1</v>
      </c>
      <c r="F554">
        <v>4</v>
      </c>
      <c r="G554" t="b">
        <v>0</v>
      </c>
      <c r="H554">
        <v>2</v>
      </c>
      <c r="I554">
        <v>1</v>
      </c>
      <c r="J554">
        <v>0.14000000000000001</v>
      </c>
      <c r="K554">
        <v>0.16669999999999999</v>
      </c>
      <c r="L554">
        <v>0.74</v>
      </c>
      <c r="M554">
        <v>0.1045</v>
      </c>
      <c r="N554">
        <v>0</v>
      </c>
      <c r="O554">
        <v>1</v>
      </c>
      <c r="P554">
        <v>1</v>
      </c>
      <c r="Q554">
        <v>0.16669999999999999</v>
      </c>
      <c r="R554">
        <v>0.74</v>
      </c>
      <c r="S554">
        <v>0.1045</v>
      </c>
      <c r="T554">
        <v>0</v>
      </c>
      <c r="U554">
        <v>1</v>
      </c>
      <c r="V554">
        <v>1</v>
      </c>
    </row>
    <row r="555" spans="1:22" x14ac:dyDescent="0.3">
      <c r="A555">
        <v>553</v>
      </c>
      <c r="B555">
        <v>40568</v>
      </c>
      <c r="C555">
        <v>1</v>
      </c>
      <c r="D555">
        <v>0</v>
      </c>
      <c r="E555">
        <v>1</v>
      </c>
      <c r="F555">
        <v>5</v>
      </c>
      <c r="G555" t="b">
        <v>0</v>
      </c>
      <c r="H555">
        <v>2</v>
      </c>
      <c r="I555">
        <v>1</v>
      </c>
      <c r="J555">
        <v>0.14000000000000001</v>
      </c>
      <c r="K555">
        <v>0.13639999999999999</v>
      </c>
      <c r="L555">
        <v>0.74</v>
      </c>
      <c r="M555">
        <v>0.22389999999999999</v>
      </c>
      <c r="N555">
        <v>0</v>
      </c>
      <c r="O555">
        <v>9</v>
      </c>
      <c r="P555">
        <v>9</v>
      </c>
      <c r="Q555">
        <v>0.13639999999999999</v>
      </c>
      <c r="R555">
        <v>0.74</v>
      </c>
      <c r="S555">
        <v>0.22389999999999999</v>
      </c>
      <c r="T555">
        <v>0</v>
      </c>
      <c r="U555">
        <v>9</v>
      </c>
      <c r="V555">
        <v>9</v>
      </c>
    </row>
    <row r="556" spans="1:22" x14ac:dyDescent="0.3">
      <c r="A556">
        <v>554</v>
      </c>
      <c r="B556">
        <v>40568</v>
      </c>
      <c r="C556">
        <v>1</v>
      </c>
      <c r="D556">
        <v>0</v>
      </c>
      <c r="E556">
        <v>1</v>
      </c>
      <c r="F556">
        <v>6</v>
      </c>
      <c r="G556" t="b">
        <v>0</v>
      </c>
      <c r="H556">
        <v>2</v>
      </c>
      <c r="I556">
        <v>1</v>
      </c>
      <c r="J556">
        <v>0.16</v>
      </c>
      <c r="K556">
        <v>0.18179999999999999</v>
      </c>
      <c r="L556">
        <v>0.74</v>
      </c>
      <c r="M556">
        <v>0.1045</v>
      </c>
      <c r="N556">
        <v>1</v>
      </c>
      <c r="O556">
        <v>35</v>
      </c>
      <c r="P556">
        <v>36</v>
      </c>
      <c r="Q556">
        <v>0.18179999999999999</v>
      </c>
      <c r="R556">
        <v>0.74</v>
      </c>
      <c r="S556">
        <v>0.1045</v>
      </c>
      <c r="T556">
        <v>1</v>
      </c>
      <c r="U556">
        <v>35</v>
      </c>
      <c r="V556">
        <v>36</v>
      </c>
    </row>
    <row r="557" spans="1:22" x14ac:dyDescent="0.3">
      <c r="A557">
        <v>555</v>
      </c>
      <c r="B557">
        <v>40568</v>
      </c>
      <c r="C557">
        <v>1</v>
      </c>
      <c r="D557">
        <v>0</v>
      </c>
      <c r="E557">
        <v>1</v>
      </c>
      <c r="F557">
        <v>7</v>
      </c>
      <c r="G557" t="b">
        <v>0</v>
      </c>
      <c r="H557">
        <v>2</v>
      </c>
      <c r="I557">
        <v>1</v>
      </c>
      <c r="J557">
        <v>0.16</v>
      </c>
      <c r="K557">
        <v>0.1515</v>
      </c>
      <c r="L557">
        <v>0.74</v>
      </c>
      <c r="M557">
        <v>0.22389999999999999</v>
      </c>
      <c r="N557">
        <v>5</v>
      </c>
      <c r="O557">
        <v>103</v>
      </c>
      <c r="P557">
        <v>108</v>
      </c>
      <c r="Q557">
        <v>0.1515</v>
      </c>
      <c r="R557">
        <v>0.74</v>
      </c>
      <c r="S557">
        <v>0.22389999999999999</v>
      </c>
      <c r="T557">
        <v>5</v>
      </c>
      <c r="U557">
        <v>103</v>
      </c>
      <c r="V557">
        <v>108</v>
      </c>
    </row>
    <row r="558" spans="1:22" x14ac:dyDescent="0.3">
      <c r="A558">
        <v>556</v>
      </c>
      <c r="B558">
        <v>40568</v>
      </c>
      <c r="C558">
        <v>1</v>
      </c>
      <c r="D558">
        <v>0</v>
      </c>
      <c r="E558">
        <v>1</v>
      </c>
      <c r="F558">
        <v>8</v>
      </c>
      <c r="G558" t="b">
        <v>0</v>
      </c>
      <c r="H558">
        <v>2</v>
      </c>
      <c r="I558">
        <v>2</v>
      </c>
      <c r="J558">
        <v>0.16</v>
      </c>
      <c r="K558">
        <v>0.18179999999999999</v>
      </c>
      <c r="L558">
        <v>0.74</v>
      </c>
      <c r="M558">
        <v>0.1343</v>
      </c>
      <c r="N558">
        <v>5</v>
      </c>
      <c r="O558">
        <v>233</v>
      </c>
      <c r="P558">
        <v>238</v>
      </c>
      <c r="Q558">
        <v>0.18179999999999999</v>
      </c>
      <c r="R558">
        <v>0.74</v>
      </c>
      <c r="S558">
        <v>0.1343</v>
      </c>
      <c r="T558">
        <v>5</v>
      </c>
      <c r="U558">
        <v>233</v>
      </c>
      <c r="V558">
        <v>238</v>
      </c>
    </row>
    <row r="559" spans="1:22" x14ac:dyDescent="0.3">
      <c r="A559">
        <v>557</v>
      </c>
      <c r="B559">
        <v>40568</v>
      </c>
      <c r="C559">
        <v>1</v>
      </c>
      <c r="D559">
        <v>0</v>
      </c>
      <c r="E559">
        <v>1</v>
      </c>
      <c r="F559">
        <v>9</v>
      </c>
      <c r="G559" t="b">
        <v>0</v>
      </c>
      <c r="H559">
        <v>2</v>
      </c>
      <c r="I559">
        <v>2</v>
      </c>
      <c r="J559">
        <v>0.2</v>
      </c>
      <c r="K559">
        <v>0.2273</v>
      </c>
      <c r="L559">
        <v>0.64</v>
      </c>
      <c r="M559">
        <v>8.9599999999999999E-2</v>
      </c>
      <c r="N559">
        <v>10</v>
      </c>
      <c r="O559">
        <v>134</v>
      </c>
      <c r="P559">
        <v>144</v>
      </c>
      <c r="Q559">
        <v>0.2273</v>
      </c>
      <c r="R559">
        <v>0.64</v>
      </c>
      <c r="S559">
        <v>8.9599999999999999E-2</v>
      </c>
      <c r="T559">
        <v>10</v>
      </c>
      <c r="U559">
        <v>134</v>
      </c>
      <c r="V559">
        <v>144</v>
      </c>
    </row>
    <row r="560" spans="1:22" x14ac:dyDescent="0.3">
      <c r="A560">
        <v>558</v>
      </c>
      <c r="B560">
        <v>40568</v>
      </c>
      <c r="C560">
        <v>1</v>
      </c>
      <c r="D560">
        <v>0</v>
      </c>
      <c r="E560">
        <v>1</v>
      </c>
      <c r="F560">
        <v>10</v>
      </c>
      <c r="G560" t="b">
        <v>0</v>
      </c>
      <c r="H560">
        <v>2</v>
      </c>
      <c r="I560">
        <v>2</v>
      </c>
      <c r="J560">
        <v>0.22</v>
      </c>
      <c r="K560">
        <v>0.2424</v>
      </c>
      <c r="L560">
        <v>0.6</v>
      </c>
      <c r="M560">
        <v>0.1045</v>
      </c>
      <c r="N560">
        <v>6</v>
      </c>
      <c r="O560">
        <v>49</v>
      </c>
      <c r="P560">
        <v>55</v>
      </c>
      <c r="Q560">
        <v>0.2424</v>
      </c>
      <c r="R560">
        <v>0.6</v>
      </c>
      <c r="S560">
        <v>0.1045</v>
      </c>
      <c r="T560">
        <v>6</v>
      </c>
      <c r="U560">
        <v>49</v>
      </c>
      <c r="V560">
        <v>55</v>
      </c>
    </row>
    <row r="561" spans="1:22" x14ac:dyDescent="0.3">
      <c r="A561">
        <v>559</v>
      </c>
      <c r="B561">
        <v>40568</v>
      </c>
      <c r="C561">
        <v>1</v>
      </c>
      <c r="D561">
        <v>0</v>
      </c>
      <c r="E561">
        <v>1</v>
      </c>
      <c r="F561">
        <v>11</v>
      </c>
      <c r="G561" t="b">
        <v>0</v>
      </c>
      <c r="H561">
        <v>2</v>
      </c>
      <c r="I561">
        <v>2</v>
      </c>
      <c r="J561">
        <v>0.24</v>
      </c>
      <c r="K561">
        <v>0.2424</v>
      </c>
      <c r="L561">
        <v>0.6</v>
      </c>
      <c r="M561">
        <v>0.1343</v>
      </c>
      <c r="N561">
        <v>6</v>
      </c>
      <c r="O561">
        <v>55</v>
      </c>
      <c r="P561">
        <v>61</v>
      </c>
      <c r="Q561">
        <v>0.2424</v>
      </c>
      <c r="R561">
        <v>0.6</v>
      </c>
      <c r="S561">
        <v>0.1343</v>
      </c>
      <c r="T561">
        <v>6</v>
      </c>
      <c r="U561">
        <v>55</v>
      </c>
      <c r="V561">
        <v>61</v>
      </c>
    </row>
    <row r="562" spans="1:22" x14ac:dyDescent="0.3">
      <c r="A562">
        <v>560</v>
      </c>
      <c r="B562">
        <v>40568</v>
      </c>
      <c r="C562">
        <v>1</v>
      </c>
      <c r="D562">
        <v>0</v>
      </c>
      <c r="E562">
        <v>1</v>
      </c>
      <c r="F562">
        <v>12</v>
      </c>
      <c r="G562" t="b">
        <v>0</v>
      </c>
      <c r="H562">
        <v>2</v>
      </c>
      <c r="I562">
        <v>2</v>
      </c>
      <c r="J562">
        <v>0.26</v>
      </c>
      <c r="K562">
        <v>0.28789999999999999</v>
      </c>
      <c r="L562">
        <v>0.56000000000000005</v>
      </c>
      <c r="M562">
        <v>8.9599999999999999E-2</v>
      </c>
      <c r="N562">
        <v>21</v>
      </c>
      <c r="O562">
        <v>85</v>
      </c>
      <c r="P562">
        <v>106</v>
      </c>
      <c r="Q562">
        <v>0.28789999999999999</v>
      </c>
      <c r="R562">
        <v>0.56000000000000005</v>
      </c>
      <c r="S562">
        <v>8.9599999999999999E-2</v>
      </c>
      <c r="T562">
        <v>21</v>
      </c>
      <c r="U562">
        <v>85</v>
      </c>
      <c r="V562">
        <v>106</v>
      </c>
    </row>
    <row r="563" spans="1:22" x14ac:dyDescent="0.3">
      <c r="A563">
        <v>561</v>
      </c>
      <c r="B563">
        <v>40568</v>
      </c>
      <c r="C563">
        <v>1</v>
      </c>
      <c r="D563">
        <v>0</v>
      </c>
      <c r="E563">
        <v>1</v>
      </c>
      <c r="F563">
        <v>13</v>
      </c>
      <c r="G563" t="b">
        <v>0</v>
      </c>
      <c r="H563">
        <v>2</v>
      </c>
      <c r="I563">
        <v>2</v>
      </c>
      <c r="J563">
        <v>0.26</v>
      </c>
      <c r="K563">
        <v>0.2727</v>
      </c>
      <c r="L563">
        <v>0.56000000000000005</v>
      </c>
      <c r="M563">
        <v>0.1343</v>
      </c>
      <c r="N563">
        <v>21</v>
      </c>
      <c r="O563">
        <v>72</v>
      </c>
      <c r="P563">
        <v>93</v>
      </c>
      <c r="Q563">
        <v>0.2727</v>
      </c>
      <c r="R563">
        <v>0.56000000000000005</v>
      </c>
      <c r="S563">
        <v>0.1343</v>
      </c>
      <c r="T563">
        <v>21</v>
      </c>
      <c r="U563">
        <v>72</v>
      </c>
      <c r="V563">
        <v>93</v>
      </c>
    </row>
    <row r="564" spans="1:22" x14ac:dyDescent="0.3">
      <c r="A564">
        <v>562</v>
      </c>
      <c r="B564">
        <v>40568</v>
      </c>
      <c r="C564">
        <v>1</v>
      </c>
      <c r="D564">
        <v>0</v>
      </c>
      <c r="E564">
        <v>1</v>
      </c>
      <c r="F564">
        <v>14</v>
      </c>
      <c r="G564" t="b">
        <v>0</v>
      </c>
      <c r="H564">
        <v>2</v>
      </c>
      <c r="I564">
        <v>2</v>
      </c>
      <c r="J564">
        <v>0.3</v>
      </c>
      <c r="K564">
        <v>0.33329999999999999</v>
      </c>
      <c r="L564">
        <v>0.45</v>
      </c>
      <c r="M564">
        <v>0</v>
      </c>
      <c r="N564">
        <v>11</v>
      </c>
      <c r="O564">
        <v>57</v>
      </c>
      <c r="P564">
        <v>68</v>
      </c>
      <c r="Q564">
        <v>0.33329999999999999</v>
      </c>
      <c r="R564">
        <v>0.45</v>
      </c>
      <c r="S564">
        <v>0</v>
      </c>
      <c r="T564">
        <v>11</v>
      </c>
      <c r="U564">
        <v>57</v>
      </c>
      <c r="V564">
        <v>68</v>
      </c>
    </row>
    <row r="565" spans="1:22" x14ac:dyDescent="0.3">
      <c r="A565">
        <v>563</v>
      </c>
      <c r="B565">
        <v>40568</v>
      </c>
      <c r="C565">
        <v>1</v>
      </c>
      <c r="D565">
        <v>0</v>
      </c>
      <c r="E565">
        <v>1</v>
      </c>
      <c r="F565">
        <v>15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21</v>
      </c>
      <c r="O565">
        <v>63</v>
      </c>
      <c r="P565">
        <v>84</v>
      </c>
      <c r="Q565">
        <v>0.34849999999999998</v>
      </c>
      <c r="R565">
        <v>0.42</v>
      </c>
      <c r="S565">
        <v>0</v>
      </c>
      <c r="T565">
        <v>21</v>
      </c>
      <c r="U565">
        <v>63</v>
      </c>
      <c r="V565">
        <v>84</v>
      </c>
    </row>
    <row r="566" spans="1:22" x14ac:dyDescent="0.3">
      <c r="A566">
        <v>564</v>
      </c>
      <c r="B566">
        <v>40568</v>
      </c>
      <c r="C566">
        <v>1</v>
      </c>
      <c r="D566">
        <v>0</v>
      </c>
      <c r="E566">
        <v>1</v>
      </c>
      <c r="F566">
        <v>16</v>
      </c>
      <c r="G566" t="b">
        <v>0</v>
      </c>
      <c r="H566">
        <v>2</v>
      </c>
      <c r="I566">
        <v>2</v>
      </c>
      <c r="J566">
        <v>0.32</v>
      </c>
      <c r="K566">
        <v>0.34849999999999998</v>
      </c>
      <c r="L566">
        <v>0.42</v>
      </c>
      <c r="M566">
        <v>0</v>
      </c>
      <c r="N566">
        <v>14</v>
      </c>
      <c r="O566">
        <v>102</v>
      </c>
      <c r="P566">
        <v>116</v>
      </c>
      <c r="Q566">
        <v>0.34849999999999998</v>
      </c>
      <c r="R566">
        <v>0.42</v>
      </c>
      <c r="S566">
        <v>0</v>
      </c>
      <c r="T566">
        <v>14</v>
      </c>
      <c r="U566">
        <v>102</v>
      </c>
      <c r="V566">
        <v>116</v>
      </c>
    </row>
    <row r="567" spans="1:22" x14ac:dyDescent="0.3">
      <c r="A567">
        <v>565</v>
      </c>
      <c r="B567">
        <v>40568</v>
      </c>
      <c r="C567">
        <v>1</v>
      </c>
      <c r="D567">
        <v>0</v>
      </c>
      <c r="E567">
        <v>1</v>
      </c>
      <c r="F567">
        <v>17</v>
      </c>
      <c r="G567" t="b">
        <v>0</v>
      </c>
      <c r="H567">
        <v>2</v>
      </c>
      <c r="I567">
        <v>1</v>
      </c>
      <c r="J567">
        <v>0.3</v>
      </c>
      <c r="K567">
        <v>0.33329999999999999</v>
      </c>
      <c r="L567">
        <v>0.45</v>
      </c>
      <c r="M567">
        <v>0</v>
      </c>
      <c r="N567">
        <v>14</v>
      </c>
      <c r="O567">
        <v>208</v>
      </c>
      <c r="P567">
        <v>222</v>
      </c>
      <c r="Q567">
        <v>0.33329999999999999</v>
      </c>
      <c r="R567">
        <v>0.45</v>
      </c>
      <c r="S567">
        <v>0</v>
      </c>
      <c r="T567">
        <v>14</v>
      </c>
      <c r="U567">
        <v>208</v>
      </c>
      <c r="V567">
        <v>222</v>
      </c>
    </row>
    <row r="568" spans="1:22" x14ac:dyDescent="0.3">
      <c r="A568">
        <v>566</v>
      </c>
      <c r="B568">
        <v>40568</v>
      </c>
      <c r="C568">
        <v>1</v>
      </c>
      <c r="D568">
        <v>0</v>
      </c>
      <c r="E568">
        <v>1</v>
      </c>
      <c r="F568">
        <v>18</v>
      </c>
      <c r="G568" t="b">
        <v>0</v>
      </c>
      <c r="H568">
        <v>2</v>
      </c>
      <c r="I568">
        <v>2</v>
      </c>
      <c r="J568">
        <v>0.3</v>
      </c>
      <c r="K568">
        <v>0.31819999999999998</v>
      </c>
      <c r="L568">
        <v>0.49</v>
      </c>
      <c r="M568">
        <v>8.9599999999999999E-2</v>
      </c>
      <c r="N568">
        <v>7</v>
      </c>
      <c r="O568">
        <v>218</v>
      </c>
      <c r="P568">
        <v>225</v>
      </c>
      <c r="Q568">
        <v>0.31819999999999998</v>
      </c>
      <c r="R568">
        <v>0.49</v>
      </c>
      <c r="S568">
        <v>8.9599999999999999E-2</v>
      </c>
      <c r="T568">
        <v>7</v>
      </c>
      <c r="U568">
        <v>218</v>
      </c>
      <c r="V568">
        <v>225</v>
      </c>
    </row>
    <row r="569" spans="1:22" x14ac:dyDescent="0.3">
      <c r="A569">
        <v>567</v>
      </c>
      <c r="B569">
        <v>40568</v>
      </c>
      <c r="C569">
        <v>1</v>
      </c>
      <c r="D569">
        <v>0</v>
      </c>
      <c r="E569">
        <v>1</v>
      </c>
      <c r="F569">
        <v>19</v>
      </c>
      <c r="G569" t="b">
        <v>0</v>
      </c>
      <c r="H569">
        <v>2</v>
      </c>
      <c r="I569">
        <v>2</v>
      </c>
      <c r="J569">
        <v>0.26</v>
      </c>
      <c r="K569">
        <v>0.2576</v>
      </c>
      <c r="L569">
        <v>0.65</v>
      </c>
      <c r="M569">
        <v>0.16420000000000001</v>
      </c>
      <c r="N569">
        <v>13</v>
      </c>
      <c r="O569">
        <v>133</v>
      </c>
      <c r="P569">
        <v>146</v>
      </c>
      <c r="Q569">
        <v>0.2576</v>
      </c>
      <c r="R569">
        <v>0.65</v>
      </c>
      <c r="S569">
        <v>0.16420000000000001</v>
      </c>
      <c r="T569">
        <v>13</v>
      </c>
      <c r="U569">
        <v>133</v>
      </c>
      <c r="V569">
        <v>146</v>
      </c>
    </row>
    <row r="570" spans="1:22" x14ac:dyDescent="0.3">
      <c r="A570">
        <v>568</v>
      </c>
      <c r="B570">
        <v>40568</v>
      </c>
      <c r="C570">
        <v>1</v>
      </c>
      <c r="D570">
        <v>0</v>
      </c>
      <c r="E570">
        <v>1</v>
      </c>
      <c r="F570">
        <v>20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16</v>
      </c>
      <c r="O570">
        <v>103</v>
      </c>
      <c r="P570">
        <v>119</v>
      </c>
      <c r="Q570">
        <v>0.2273</v>
      </c>
      <c r="R570">
        <v>0.65</v>
      </c>
      <c r="S570">
        <v>0.19400000000000001</v>
      </c>
      <c r="T570">
        <v>16</v>
      </c>
      <c r="U570">
        <v>103</v>
      </c>
      <c r="V570">
        <v>119</v>
      </c>
    </row>
    <row r="571" spans="1:22" x14ac:dyDescent="0.3">
      <c r="A571">
        <v>569</v>
      </c>
      <c r="B571">
        <v>40568</v>
      </c>
      <c r="C571">
        <v>1</v>
      </c>
      <c r="D571">
        <v>0</v>
      </c>
      <c r="E571">
        <v>1</v>
      </c>
      <c r="F571">
        <v>21</v>
      </c>
      <c r="G571" t="b">
        <v>0</v>
      </c>
      <c r="H571">
        <v>2</v>
      </c>
      <c r="I571">
        <v>1</v>
      </c>
      <c r="J571">
        <v>0.24</v>
      </c>
      <c r="K571">
        <v>0.2273</v>
      </c>
      <c r="L571">
        <v>0.65</v>
      </c>
      <c r="M571">
        <v>0.19400000000000001</v>
      </c>
      <c r="N571">
        <v>5</v>
      </c>
      <c r="O571">
        <v>40</v>
      </c>
      <c r="P571">
        <v>45</v>
      </c>
      <c r="Q571">
        <v>0.2273</v>
      </c>
      <c r="R571">
        <v>0.65</v>
      </c>
      <c r="S571">
        <v>0.19400000000000001</v>
      </c>
      <c r="T571">
        <v>5</v>
      </c>
      <c r="U571">
        <v>40</v>
      </c>
      <c r="V571">
        <v>45</v>
      </c>
    </row>
    <row r="572" spans="1:22" x14ac:dyDescent="0.3">
      <c r="A572">
        <v>570</v>
      </c>
      <c r="B572">
        <v>40568</v>
      </c>
      <c r="C572">
        <v>1</v>
      </c>
      <c r="D572">
        <v>0</v>
      </c>
      <c r="E572">
        <v>1</v>
      </c>
      <c r="F572">
        <v>22</v>
      </c>
      <c r="G572" t="b">
        <v>0</v>
      </c>
      <c r="H572">
        <v>2</v>
      </c>
      <c r="I572">
        <v>1</v>
      </c>
      <c r="J572">
        <v>0.22</v>
      </c>
      <c r="K572">
        <v>0.2273</v>
      </c>
      <c r="L572">
        <v>0.64</v>
      </c>
      <c r="M572">
        <v>0.16420000000000001</v>
      </c>
      <c r="N572">
        <v>4</v>
      </c>
      <c r="O572">
        <v>49</v>
      </c>
      <c r="P572">
        <v>53</v>
      </c>
      <c r="Q572">
        <v>0.2273</v>
      </c>
      <c r="R572">
        <v>0.64</v>
      </c>
      <c r="S572">
        <v>0.16420000000000001</v>
      </c>
      <c r="T572">
        <v>4</v>
      </c>
      <c r="U572">
        <v>49</v>
      </c>
      <c r="V572">
        <v>53</v>
      </c>
    </row>
    <row r="573" spans="1:22" x14ac:dyDescent="0.3">
      <c r="A573">
        <v>571</v>
      </c>
      <c r="B573">
        <v>40568</v>
      </c>
      <c r="C573">
        <v>1</v>
      </c>
      <c r="D573">
        <v>0</v>
      </c>
      <c r="E573">
        <v>1</v>
      </c>
      <c r="F573">
        <v>23</v>
      </c>
      <c r="G573" t="b">
        <v>0</v>
      </c>
      <c r="H573">
        <v>2</v>
      </c>
      <c r="I573">
        <v>2</v>
      </c>
      <c r="J573">
        <v>0.22</v>
      </c>
      <c r="K573">
        <v>0.2273</v>
      </c>
      <c r="L573">
        <v>0.64</v>
      </c>
      <c r="M573">
        <v>0.16420000000000001</v>
      </c>
      <c r="N573">
        <v>3</v>
      </c>
      <c r="O573">
        <v>37</v>
      </c>
      <c r="P573">
        <v>40</v>
      </c>
      <c r="Q573">
        <v>0.2273</v>
      </c>
      <c r="R573">
        <v>0.64</v>
      </c>
      <c r="S573">
        <v>0.16420000000000001</v>
      </c>
      <c r="T573">
        <v>3</v>
      </c>
      <c r="U573">
        <v>37</v>
      </c>
      <c r="V573">
        <v>40</v>
      </c>
    </row>
    <row r="574" spans="1:22" x14ac:dyDescent="0.3">
      <c r="A574">
        <v>572</v>
      </c>
      <c r="B574">
        <v>40569</v>
      </c>
      <c r="C574">
        <v>1</v>
      </c>
      <c r="D574">
        <v>0</v>
      </c>
      <c r="E574">
        <v>1</v>
      </c>
      <c r="F574">
        <v>0</v>
      </c>
      <c r="G574" t="b">
        <v>0</v>
      </c>
      <c r="H574">
        <v>3</v>
      </c>
      <c r="I574">
        <v>2</v>
      </c>
      <c r="J574">
        <v>0.22</v>
      </c>
      <c r="K574">
        <v>0.2273</v>
      </c>
      <c r="L574">
        <v>0.69</v>
      </c>
      <c r="M574">
        <v>0.1343</v>
      </c>
      <c r="N574">
        <v>3</v>
      </c>
      <c r="O574">
        <v>14</v>
      </c>
      <c r="P574">
        <v>17</v>
      </c>
      <c r="Q574">
        <v>0.2273</v>
      </c>
      <c r="R574">
        <v>0.69</v>
      </c>
      <c r="S574">
        <v>0.1343</v>
      </c>
      <c r="T574">
        <v>3</v>
      </c>
      <c r="U574">
        <v>14</v>
      </c>
      <c r="V574">
        <v>17</v>
      </c>
    </row>
    <row r="575" spans="1:22" x14ac:dyDescent="0.3">
      <c r="A575">
        <v>573</v>
      </c>
      <c r="B575">
        <v>40569</v>
      </c>
      <c r="C575">
        <v>1</v>
      </c>
      <c r="D575">
        <v>0</v>
      </c>
      <c r="E575">
        <v>1</v>
      </c>
      <c r="F575">
        <v>1</v>
      </c>
      <c r="G575" t="b">
        <v>0</v>
      </c>
      <c r="H575">
        <v>3</v>
      </c>
      <c r="I575">
        <v>2</v>
      </c>
      <c r="J575">
        <v>0.24</v>
      </c>
      <c r="K575">
        <v>0.2424</v>
      </c>
      <c r="L575">
        <v>0.65</v>
      </c>
      <c r="M575">
        <v>0.1343</v>
      </c>
      <c r="N575">
        <v>0</v>
      </c>
      <c r="O575">
        <v>5</v>
      </c>
      <c r="P575">
        <v>5</v>
      </c>
      <c r="Q575">
        <v>0.2424</v>
      </c>
      <c r="R575">
        <v>0.65</v>
      </c>
      <c r="S575">
        <v>0.1343</v>
      </c>
      <c r="T575">
        <v>0</v>
      </c>
      <c r="U575">
        <v>5</v>
      </c>
      <c r="V575">
        <v>5</v>
      </c>
    </row>
    <row r="576" spans="1:22" x14ac:dyDescent="0.3">
      <c r="A576">
        <v>574</v>
      </c>
      <c r="B576">
        <v>40569</v>
      </c>
      <c r="C576">
        <v>1</v>
      </c>
      <c r="D576">
        <v>0</v>
      </c>
      <c r="E576">
        <v>1</v>
      </c>
      <c r="F576">
        <v>2</v>
      </c>
      <c r="G576" t="b">
        <v>0</v>
      </c>
      <c r="H576">
        <v>3</v>
      </c>
      <c r="I576">
        <v>3</v>
      </c>
      <c r="J576">
        <v>0.22</v>
      </c>
      <c r="K576">
        <v>0.2273</v>
      </c>
      <c r="L576">
        <v>0.69</v>
      </c>
      <c r="M576">
        <v>0.19400000000000001</v>
      </c>
      <c r="N576">
        <v>3</v>
      </c>
      <c r="O576">
        <v>7</v>
      </c>
      <c r="P576">
        <v>10</v>
      </c>
      <c r="Q576">
        <v>0.2273</v>
      </c>
      <c r="R576">
        <v>0.69</v>
      </c>
      <c r="S576">
        <v>0.19400000000000001</v>
      </c>
      <c r="T576">
        <v>3</v>
      </c>
      <c r="U576">
        <v>7</v>
      </c>
      <c r="V576">
        <v>10</v>
      </c>
    </row>
    <row r="577" spans="1:22" x14ac:dyDescent="0.3">
      <c r="A577">
        <v>575</v>
      </c>
      <c r="B577">
        <v>40569</v>
      </c>
      <c r="C577">
        <v>1</v>
      </c>
      <c r="D577">
        <v>0</v>
      </c>
      <c r="E577">
        <v>1</v>
      </c>
      <c r="F577">
        <v>5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1</v>
      </c>
      <c r="P577">
        <v>1</v>
      </c>
      <c r="Q577">
        <v>0.18179999999999999</v>
      </c>
      <c r="R577">
        <v>0.86</v>
      </c>
      <c r="S577">
        <v>0.28360000000000002</v>
      </c>
      <c r="T577">
        <v>0</v>
      </c>
      <c r="U577">
        <v>1</v>
      </c>
      <c r="V577">
        <v>1</v>
      </c>
    </row>
    <row r="578" spans="1:22" x14ac:dyDescent="0.3">
      <c r="A578">
        <v>576</v>
      </c>
      <c r="B578">
        <v>40569</v>
      </c>
      <c r="C578">
        <v>1</v>
      </c>
      <c r="D578">
        <v>0</v>
      </c>
      <c r="E578">
        <v>1</v>
      </c>
      <c r="F578">
        <v>6</v>
      </c>
      <c r="G578" t="b">
        <v>0</v>
      </c>
      <c r="H578">
        <v>3</v>
      </c>
      <c r="I578">
        <v>3</v>
      </c>
      <c r="J578">
        <v>0.2</v>
      </c>
      <c r="K578">
        <v>0.18179999999999999</v>
      </c>
      <c r="L578">
        <v>0.86</v>
      </c>
      <c r="M578">
        <v>0.28360000000000002</v>
      </c>
      <c r="N578">
        <v>0</v>
      </c>
      <c r="O578">
        <v>8</v>
      </c>
      <c r="P578">
        <v>8</v>
      </c>
      <c r="Q578">
        <v>0.18179999999999999</v>
      </c>
      <c r="R578">
        <v>0.86</v>
      </c>
      <c r="S578">
        <v>0.28360000000000002</v>
      </c>
      <c r="T578">
        <v>0</v>
      </c>
      <c r="U578">
        <v>8</v>
      </c>
      <c r="V578">
        <v>8</v>
      </c>
    </row>
    <row r="579" spans="1:22" x14ac:dyDescent="0.3">
      <c r="A579">
        <v>577</v>
      </c>
      <c r="B579">
        <v>40569</v>
      </c>
      <c r="C579">
        <v>1</v>
      </c>
      <c r="D579">
        <v>0</v>
      </c>
      <c r="E579">
        <v>1</v>
      </c>
      <c r="F579">
        <v>7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1</v>
      </c>
      <c r="O579">
        <v>29</v>
      </c>
      <c r="P579">
        <v>30</v>
      </c>
      <c r="Q579">
        <v>0.21210000000000001</v>
      </c>
      <c r="R579">
        <v>0.87</v>
      </c>
      <c r="S579">
        <v>0.29849999999999999</v>
      </c>
      <c r="T579">
        <v>1</v>
      </c>
      <c r="U579">
        <v>29</v>
      </c>
      <c r="V579">
        <v>30</v>
      </c>
    </row>
    <row r="580" spans="1:22" x14ac:dyDescent="0.3">
      <c r="A580">
        <v>578</v>
      </c>
      <c r="B580">
        <v>40569</v>
      </c>
      <c r="C580">
        <v>1</v>
      </c>
      <c r="D580">
        <v>0</v>
      </c>
      <c r="E580">
        <v>1</v>
      </c>
      <c r="F580">
        <v>8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69</v>
      </c>
      <c r="P580">
        <v>72</v>
      </c>
      <c r="Q580">
        <v>0.21210000000000001</v>
      </c>
      <c r="R580">
        <v>0.87</v>
      </c>
      <c r="S580">
        <v>0.29849999999999999</v>
      </c>
      <c r="T580">
        <v>3</v>
      </c>
      <c r="U580">
        <v>69</v>
      </c>
      <c r="V580">
        <v>72</v>
      </c>
    </row>
    <row r="581" spans="1:22" x14ac:dyDescent="0.3">
      <c r="A581">
        <v>579</v>
      </c>
      <c r="B581">
        <v>40569</v>
      </c>
      <c r="C581">
        <v>1</v>
      </c>
      <c r="D581">
        <v>0</v>
      </c>
      <c r="E581">
        <v>1</v>
      </c>
      <c r="F581">
        <v>9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0.87</v>
      </c>
      <c r="M581">
        <v>0.29849999999999999</v>
      </c>
      <c r="N581">
        <v>3</v>
      </c>
      <c r="O581">
        <v>55</v>
      </c>
      <c r="P581">
        <v>58</v>
      </c>
      <c r="Q581">
        <v>0.21210000000000001</v>
      </c>
      <c r="R581">
        <v>0.87</v>
      </c>
      <c r="S581">
        <v>0.29849999999999999</v>
      </c>
      <c r="T581">
        <v>3</v>
      </c>
      <c r="U581">
        <v>55</v>
      </c>
      <c r="V581">
        <v>58</v>
      </c>
    </row>
    <row r="582" spans="1:22" x14ac:dyDescent="0.3">
      <c r="A582">
        <v>580</v>
      </c>
      <c r="B582">
        <v>40569</v>
      </c>
      <c r="C582">
        <v>1</v>
      </c>
      <c r="D582">
        <v>0</v>
      </c>
      <c r="E582">
        <v>1</v>
      </c>
      <c r="F582">
        <v>10</v>
      </c>
      <c r="G582" t="b">
        <v>0</v>
      </c>
      <c r="H582">
        <v>3</v>
      </c>
      <c r="I582">
        <v>3</v>
      </c>
      <c r="J582">
        <v>0.22</v>
      </c>
      <c r="K582">
        <v>0.21210000000000001</v>
      </c>
      <c r="L582">
        <v>0.93</v>
      </c>
      <c r="M582">
        <v>0.28360000000000002</v>
      </c>
      <c r="N582">
        <v>2</v>
      </c>
      <c r="O582">
        <v>26</v>
      </c>
      <c r="P582">
        <v>28</v>
      </c>
      <c r="Q582">
        <v>0.21210000000000001</v>
      </c>
      <c r="R582">
        <v>0.93</v>
      </c>
      <c r="S582">
        <v>0.28360000000000002</v>
      </c>
      <c r="T582">
        <v>2</v>
      </c>
      <c r="U582">
        <v>26</v>
      </c>
      <c r="V582">
        <v>28</v>
      </c>
    </row>
    <row r="583" spans="1:22" x14ac:dyDescent="0.3">
      <c r="A583">
        <v>581</v>
      </c>
      <c r="B583">
        <v>40569</v>
      </c>
      <c r="C583">
        <v>1</v>
      </c>
      <c r="D583">
        <v>0</v>
      </c>
      <c r="E583">
        <v>1</v>
      </c>
      <c r="F583">
        <v>11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6</v>
      </c>
      <c r="O583">
        <v>35</v>
      </c>
      <c r="P583">
        <v>41</v>
      </c>
      <c r="Q583">
        <v>0.19700000000000001</v>
      </c>
      <c r="R583">
        <v>0.93</v>
      </c>
      <c r="S583">
        <v>0.32840000000000003</v>
      </c>
      <c r="T583">
        <v>6</v>
      </c>
      <c r="U583">
        <v>35</v>
      </c>
      <c r="V583">
        <v>41</v>
      </c>
    </row>
    <row r="584" spans="1:22" x14ac:dyDescent="0.3">
      <c r="A584">
        <v>582</v>
      </c>
      <c r="B584">
        <v>40569</v>
      </c>
      <c r="C584">
        <v>1</v>
      </c>
      <c r="D584">
        <v>0</v>
      </c>
      <c r="E584">
        <v>1</v>
      </c>
      <c r="F584">
        <v>12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7</v>
      </c>
      <c r="O584">
        <v>41</v>
      </c>
      <c r="P584">
        <v>48</v>
      </c>
      <c r="Q584">
        <v>0.19700000000000001</v>
      </c>
      <c r="R584">
        <v>0.93</v>
      </c>
      <c r="S584">
        <v>0.32840000000000003</v>
      </c>
      <c r="T584">
        <v>7</v>
      </c>
      <c r="U584">
        <v>41</v>
      </c>
      <c r="V584">
        <v>48</v>
      </c>
    </row>
    <row r="585" spans="1:22" x14ac:dyDescent="0.3">
      <c r="A585">
        <v>583</v>
      </c>
      <c r="B585">
        <v>40569</v>
      </c>
      <c r="C585">
        <v>1</v>
      </c>
      <c r="D585">
        <v>0</v>
      </c>
      <c r="E585">
        <v>1</v>
      </c>
      <c r="F585">
        <v>13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0.32840000000000003</v>
      </c>
      <c r="N585">
        <v>4</v>
      </c>
      <c r="O585">
        <v>43</v>
      </c>
      <c r="P585">
        <v>47</v>
      </c>
      <c r="Q585">
        <v>0.19700000000000001</v>
      </c>
      <c r="R585">
        <v>0.93</v>
      </c>
      <c r="S585">
        <v>0.32840000000000003</v>
      </c>
      <c r="T585">
        <v>4</v>
      </c>
      <c r="U585">
        <v>43</v>
      </c>
      <c r="V585">
        <v>47</v>
      </c>
    </row>
    <row r="586" spans="1:22" x14ac:dyDescent="0.3">
      <c r="A586">
        <v>584</v>
      </c>
      <c r="B586">
        <v>40569</v>
      </c>
      <c r="C586">
        <v>1</v>
      </c>
      <c r="D586">
        <v>0</v>
      </c>
      <c r="E586">
        <v>1</v>
      </c>
      <c r="F586">
        <v>14</v>
      </c>
      <c r="G586" t="b">
        <v>0</v>
      </c>
      <c r="H586">
        <v>3</v>
      </c>
      <c r="I586">
        <v>3</v>
      </c>
      <c r="J586">
        <v>0.22</v>
      </c>
      <c r="K586">
        <v>0.19700000000000001</v>
      </c>
      <c r="L586">
        <v>0.93</v>
      </c>
      <c r="M586">
        <v>0.35820000000000002</v>
      </c>
      <c r="N586">
        <v>0</v>
      </c>
      <c r="O586">
        <v>36</v>
      </c>
      <c r="P586">
        <v>36</v>
      </c>
      <c r="Q586">
        <v>0.19700000000000001</v>
      </c>
      <c r="R586">
        <v>0.93</v>
      </c>
      <c r="S586">
        <v>0.35820000000000002</v>
      </c>
      <c r="T586">
        <v>0</v>
      </c>
      <c r="U586">
        <v>36</v>
      </c>
      <c r="V586">
        <v>36</v>
      </c>
    </row>
    <row r="587" spans="1:22" x14ac:dyDescent="0.3">
      <c r="A587">
        <v>585</v>
      </c>
      <c r="B587">
        <v>40569</v>
      </c>
      <c r="C587">
        <v>1</v>
      </c>
      <c r="D587">
        <v>0</v>
      </c>
      <c r="E587">
        <v>1</v>
      </c>
      <c r="F587">
        <v>15</v>
      </c>
      <c r="G587" t="b">
        <v>0</v>
      </c>
      <c r="H587">
        <v>3</v>
      </c>
      <c r="I587">
        <v>3</v>
      </c>
      <c r="J587">
        <v>0.22</v>
      </c>
      <c r="K587">
        <v>0.18179999999999999</v>
      </c>
      <c r="L587">
        <v>0.93</v>
      </c>
      <c r="M587">
        <v>0.4627</v>
      </c>
      <c r="N587">
        <v>1</v>
      </c>
      <c r="O587">
        <v>42</v>
      </c>
      <c r="P587">
        <v>43</v>
      </c>
      <c r="Q587">
        <v>0.18179999999999999</v>
      </c>
      <c r="R587">
        <v>0.93</v>
      </c>
      <c r="S587">
        <v>0.4627</v>
      </c>
      <c r="T587">
        <v>1</v>
      </c>
      <c r="U587">
        <v>42</v>
      </c>
      <c r="V587">
        <v>43</v>
      </c>
    </row>
    <row r="588" spans="1:22" x14ac:dyDescent="0.3">
      <c r="A588">
        <v>586</v>
      </c>
      <c r="B588">
        <v>40569</v>
      </c>
      <c r="C588">
        <v>1</v>
      </c>
      <c r="D588">
        <v>0</v>
      </c>
      <c r="E588">
        <v>1</v>
      </c>
      <c r="F588">
        <v>16</v>
      </c>
      <c r="G588" t="b">
        <v>0</v>
      </c>
      <c r="H588">
        <v>3</v>
      </c>
      <c r="I588">
        <v>4</v>
      </c>
      <c r="J588">
        <v>0.22</v>
      </c>
      <c r="K588">
        <v>0.19700000000000001</v>
      </c>
      <c r="L588">
        <v>0.93</v>
      </c>
      <c r="M588">
        <v>0.32840000000000003</v>
      </c>
      <c r="N588">
        <v>1</v>
      </c>
      <c r="O588">
        <v>35</v>
      </c>
      <c r="P588">
        <v>36</v>
      </c>
      <c r="Q588">
        <v>0.19700000000000001</v>
      </c>
      <c r="R588">
        <v>0.93</v>
      </c>
      <c r="S588">
        <v>0.32840000000000003</v>
      </c>
      <c r="T588">
        <v>1</v>
      </c>
      <c r="U588">
        <v>35</v>
      </c>
      <c r="V588">
        <v>36</v>
      </c>
    </row>
    <row r="589" spans="1:22" x14ac:dyDescent="0.3">
      <c r="A589">
        <v>587</v>
      </c>
      <c r="B589">
        <v>40569</v>
      </c>
      <c r="C589">
        <v>1</v>
      </c>
      <c r="D589">
        <v>0</v>
      </c>
      <c r="E589">
        <v>1</v>
      </c>
      <c r="F589">
        <v>17</v>
      </c>
      <c r="G589" t="b">
        <v>0</v>
      </c>
      <c r="H589">
        <v>3</v>
      </c>
      <c r="I589">
        <v>3</v>
      </c>
      <c r="J589">
        <v>0.2</v>
      </c>
      <c r="K589">
        <v>0.18179999999999999</v>
      </c>
      <c r="L589">
        <v>0.93</v>
      </c>
      <c r="M589">
        <v>0.35820000000000002</v>
      </c>
      <c r="N589">
        <v>0</v>
      </c>
      <c r="O589">
        <v>26</v>
      </c>
      <c r="P589">
        <v>26</v>
      </c>
      <c r="Q589">
        <v>0.18179999999999999</v>
      </c>
      <c r="R589">
        <v>0.93</v>
      </c>
      <c r="S589">
        <v>0.35820000000000002</v>
      </c>
      <c r="T589">
        <v>0</v>
      </c>
      <c r="U589">
        <v>26</v>
      </c>
      <c r="V589">
        <v>26</v>
      </c>
    </row>
    <row r="590" spans="1:22" x14ac:dyDescent="0.3">
      <c r="A590">
        <v>588</v>
      </c>
      <c r="B590">
        <v>40570</v>
      </c>
      <c r="C590">
        <v>1</v>
      </c>
      <c r="D590">
        <v>0</v>
      </c>
      <c r="E590">
        <v>1</v>
      </c>
      <c r="F590">
        <v>16</v>
      </c>
      <c r="G590" t="b">
        <v>0</v>
      </c>
      <c r="H590">
        <v>4</v>
      </c>
      <c r="I590">
        <v>1</v>
      </c>
      <c r="J590">
        <v>0.22</v>
      </c>
      <c r="K590">
        <v>0.2273</v>
      </c>
      <c r="L590">
        <v>0.55000000000000004</v>
      </c>
      <c r="M590">
        <v>0.19400000000000001</v>
      </c>
      <c r="N590">
        <v>1</v>
      </c>
      <c r="O590">
        <v>23</v>
      </c>
      <c r="P590">
        <v>24</v>
      </c>
      <c r="Q590">
        <v>0.2273</v>
      </c>
      <c r="R590">
        <v>0.55000000000000004</v>
      </c>
      <c r="S590">
        <v>0.19400000000000001</v>
      </c>
      <c r="T590">
        <v>1</v>
      </c>
      <c r="U590">
        <v>23</v>
      </c>
      <c r="V590">
        <v>24</v>
      </c>
    </row>
    <row r="591" spans="1:22" x14ac:dyDescent="0.3">
      <c r="A591">
        <v>589</v>
      </c>
      <c r="B591">
        <v>40570</v>
      </c>
      <c r="C591">
        <v>1</v>
      </c>
      <c r="D591">
        <v>0</v>
      </c>
      <c r="E591">
        <v>1</v>
      </c>
      <c r="F591">
        <v>17</v>
      </c>
      <c r="G591" t="b">
        <v>0</v>
      </c>
      <c r="H591">
        <v>4</v>
      </c>
      <c r="I591">
        <v>1</v>
      </c>
      <c r="J591">
        <v>0.22</v>
      </c>
      <c r="K591">
        <v>0.2424</v>
      </c>
      <c r="L591">
        <v>0.55000000000000004</v>
      </c>
      <c r="M591">
        <v>0.1045</v>
      </c>
      <c r="N591">
        <v>2</v>
      </c>
      <c r="O591">
        <v>82</v>
      </c>
      <c r="P591">
        <v>84</v>
      </c>
      <c r="Q591">
        <v>0.2424</v>
      </c>
      <c r="R591">
        <v>0.55000000000000004</v>
      </c>
      <c r="S591">
        <v>0.1045</v>
      </c>
      <c r="T591">
        <v>2</v>
      </c>
      <c r="U591">
        <v>82</v>
      </c>
      <c r="V591">
        <v>84</v>
      </c>
    </row>
    <row r="592" spans="1:22" x14ac:dyDescent="0.3">
      <c r="A592">
        <v>590</v>
      </c>
      <c r="B592">
        <v>40570</v>
      </c>
      <c r="C592">
        <v>1</v>
      </c>
      <c r="D592">
        <v>0</v>
      </c>
      <c r="E592">
        <v>1</v>
      </c>
      <c r="F592">
        <v>18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101</v>
      </c>
      <c r="P592">
        <v>104</v>
      </c>
      <c r="Q592">
        <v>0.2273</v>
      </c>
      <c r="R592">
        <v>0.69</v>
      </c>
      <c r="S592">
        <v>8.9599999999999999E-2</v>
      </c>
      <c r="T592">
        <v>3</v>
      </c>
      <c r="U592">
        <v>101</v>
      </c>
      <c r="V592">
        <v>104</v>
      </c>
    </row>
    <row r="593" spans="1:22" x14ac:dyDescent="0.3">
      <c r="A593">
        <v>591</v>
      </c>
      <c r="B593">
        <v>40570</v>
      </c>
      <c r="C593">
        <v>1</v>
      </c>
      <c r="D593">
        <v>0</v>
      </c>
      <c r="E593">
        <v>1</v>
      </c>
      <c r="F593">
        <v>19</v>
      </c>
      <c r="G593" t="b">
        <v>0</v>
      </c>
      <c r="H593">
        <v>4</v>
      </c>
      <c r="I593">
        <v>1</v>
      </c>
      <c r="J593">
        <v>0.2</v>
      </c>
      <c r="K593">
        <v>0.2273</v>
      </c>
      <c r="L593">
        <v>0.69</v>
      </c>
      <c r="M593">
        <v>8.9599999999999999E-2</v>
      </c>
      <c r="N593">
        <v>3</v>
      </c>
      <c r="O593">
        <v>76</v>
      </c>
      <c r="P593">
        <v>79</v>
      </c>
      <c r="Q593">
        <v>0.2273</v>
      </c>
      <c r="R593">
        <v>0.69</v>
      </c>
      <c r="S593">
        <v>8.9599999999999999E-2</v>
      </c>
      <c r="T593">
        <v>3</v>
      </c>
      <c r="U593">
        <v>76</v>
      </c>
      <c r="V593">
        <v>79</v>
      </c>
    </row>
    <row r="594" spans="1:22" x14ac:dyDescent="0.3">
      <c r="A594">
        <v>592</v>
      </c>
      <c r="B594">
        <v>40570</v>
      </c>
      <c r="C594">
        <v>1</v>
      </c>
      <c r="D594">
        <v>0</v>
      </c>
      <c r="E594">
        <v>1</v>
      </c>
      <c r="F594">
        <v>20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4</v>
      </c>
      <c r="O594">
        <v>55</v>
      </c>
      <c r="P594">
        <v>59</v>
      </c>
      <c r="Q594">
        <v>0.21210000000000001</v>
      </c>
      <c r="R594">
        <v>0.74</v>
      </c>
      <c r="S594">
        <v>8.9599999999999999E-2</v>
      </c>
      <c r="T594">
        <v>4</v>
      </c>
      <c r="U594">
        <v>55</v>
      </c>
      <c r="V594">
        <v>59</v>
      </c>
    </row>
    <row r="595" spans="1:22" x14ac:dyDescent="0.3">
      <c r="A595">
        <v>593</v>
      </c>
      <c r="B595">
        <v>40570</v>
      </c>
      <c r="C595">
        <v>1</v>
      </c>
      <c r="D595">
        <v>0</v>
      </c>
      <c r="E595">
        <v>1</v>
      </c>
      <c r="F595">
        <v>21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2</v>
      </c>
      <c r="O595">
        <v>36</v>
      </c>
      <c r="P595">
        <v>38</v>
      </c>
      <c r="Q595">
        <v>0.21210000000000001</v>
      </c>
      <c r="R595">
        <v>0.74</v>
      </c>
      <c r="S595">
        <v>8.9599999999999999E-2</v>
      </c>
      <c r="T595">
        <v>2</v>
      </c>
      <c r="U595">
        <v>36</v>
      </c>
      <c r="V595">
        <v>38</v>
      </c>
    </row>
    <row r="596" spans="1:22" x14ac:dyDescent="0.3">
      <c r="A596">
        <v>594</v>
      </c>
      <c r="B596">
        <v>40570</v>
      </c>
      <c r="C596">
        <v>1</v>
      </c>
      <c r="D596">
        <v>0</v>
      </c>
      <c r="E596">
        <v>1</v>
      </c>
      <c r="F596">
        <v>22</v>
      </c>
      <c r="G596" t="b">
        <v>0</v>
      </c>
      <c r="H596">
        <v>4</v>
      </c>
      <c r="I596">
        <v>1</v>
      </c>
      <c r="J596">
        <v>0.18</v>
      </c>
      <c r="K596">
        <v>0.21210000000000001</v>
      </c>
      <c r="L596">
        <v>0.74</v>
      </c>
      <c r="M596">
        <v>8.9599999999999999E-2</v>
      </c>
      <c r="N596">
        <v>0</v>
      </c>
      <c r="O596">
        <v>27</v>
      </c>
      <c r="P596">
        <v>27</v>
      </c>
      <c r="Q596">
        <v>0.21210000000000001</v>
      </c>
      <c r="R596">
        <v>0.74</v>
      </c>
      <c r="S596">
        <v>8.9599999999999999E-2</v>
      </c>
      <c r="T596">
        <v>0</v>
      </c>
      <c r="U596">
        <v>27</v>
      </c>
      <c r="V596">
        <v>27</v>
      </c>
    </row>
    <row r="597" spans="1:22" x14ac:dyDescent="0.3">
      <c r="A597">
        <v>595</v>
      </c>
      <c r="B597">
        <v>40570</v>
      </c>
      <c r="C597">
        <v>1</v>
      </c>
      <c r="D597">
        <v>0</v>
      </c>
      <c r="E597">
        <v>1</v>
      </c>
      <c r="F597">
        <v>23</v>
      </c>
      <c r="G597" t="b">
        <v>0</v>
      </c>
      <c r="H597">
        <v>4</v>
      </c>
      <c r="I597">
        <v>1</v>
      </c>
      <c r="J597">
        <v>0.18</v>
      </c>
      <c r="K597">
        <v>0.19700000000000001</v>
      </c>
      <c r="L597">
        <v>0.8</v>
      </c>
      <c r="M597">
        <v>0.16420000000000001</v>
      </c>
      <c r="N597">
        <v>0</v>
      </c>
      <c r="O597">
        <v>16</v>
      </c>
      <c r="P597">
        <v>16</v>
      </c>
      <c r="Q597">
        <v>0.19700000000000001</v>
      </c>
      <c r="R597">
        <v>0.8</v>
      </c>
      <c r="S597">
        <v>0.16420000000000001</v>
      </c>
      <c r="T597">
        <v>0</v>
      </c>
      <c r="U597">
        <v>16</v>
      </c>
      <c r="V597">
        <v>16</v>
      </c>
    </row>
    <row r="598" spans="1:22" x14ac:dyDescent="0.3">
      <c r="A598">
        <v>596</v>
      </c>
      <c r="B598">
        <v>40571</v>
      </c>
      <c r="C598">
        <v>1</v>
      </c>
      <c r="D598">
        <v>0</v>
      </c>
      <c r="E598">
        <v>1</v>
      </c>
      <c r="F598">
        <v>0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0</v>
      </c>
      <c r="O598">
        <v>9</v>
      </c>
      <c r="P598">
        <v>9</v>
      </c>
      <c r="Q598">
        <v>0.21210000000000001</v>
      </c>
      <c r="R598">
        <v>0.75</v>
      </c>
      <c r="S598">
        <v>0.1343</v>
      </c>
      <c r="T598">
        <v>0</v>
      </c>
      <c r="U598">
        <v>9</v>
      </c>
      <c r="V598">
        <v>9</v>
      </c>
    </row>
    <row r="599" spans="1:22" x14ac:dyDescent="0.3">
      <c r="A599">
        <v>597</v>
      </c>
      <c r="B599">
        <v>40571</v>
      </c>
      <c r="C599">
        <v>1</v>
      </c>
      <c r="D599">
        <v>0</v>
      </c>
      <c r="E599">
        <v>1</v>
      </c>
      <c r="F599">
        <v>1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0.1343</v>
      </c>
      <c r="N599">
        <v>1</v>
      </c>
      <c r="O599">
        <v>2</v>
      </c>
      <c r="P599">
        <v>3</v>
      </c>
      <c r="Q599">
        <v>0.21210000000000001</v>
      </c>
      <c r="R599">
        <v>0.75</v>
      </c>
      <c r="S599">
        <v>0.1343</v>
      </c>
      <c r="T599">
        <v>1</v>
      </c>
      <c r="U599">
        <v>2</v>
      </c>
      <c r="V599">
        <v>3</v>
      </c>
    </row>
    <row r="600" spans="1:22" x14ac:dyDescent="0.3">
      <c r="A600">
        <v>598</v>
      </c>
      <c r="B600">
        <v>40571</v>
      </c>
      <c r="C600">
        <v>1</v>
      </c>
      <c r="D600">
        <v>0</v>
      </c>
      <c r="E600">
        <v>1</v>
      </c>
      <c r="F600">
        <v>2</v>
      </c>
      <c r="G600" t="b">
        <v>0</v>
      </c>
      <c r="H600">
        <v>5</v>
      </c>
      <c r="I600">
        <v>2</v>
      </c>
      <c r="J600">
        <v>0.2</v>
      </c>
      <c r="K600">
        <v>0.21210000000000001</v>
      </c>
      <c r="L600">
        <v>0.75</v>
      </c>
      <c r="M600">
        <v>0.16420000000000001</v>
      </c>
      <c r="N600">
        <v>0</v>
      </c>
      <c r="O600">
        <v>2</v>
      </c>
      <c r="P600">
        <v>2</v>
      </c>
      <c r="Q600">
        <v>0.21210000000000001</v>
      </c>
      <c r="R600">
        <v>0.75</v>
      </c>
      <c r="S600">
        <v>0.16420000000000001</v>
      </c>
      <c r="T600">
        <v>0</v>
      </c>
      <c r="U600">
        <v>2</v>
      </c>
      <c r="V600">
        <v>2</v>
      </c>
    </row>
    <row r="601" spans="1:22" x14ac:dyDescent="0.3">
      <c r="A601">
        <v>599</v>
      </c>
      <c r="B601">
        <v>40571</v>
      </c>
      <c r="C601">
        <v>1</v>
      </c>
      <c r="D601">
        <v>0</v>
      </c>
      <c r="E601">
        <v>1</v>
      </c>
      <c r="F601">
        <v>3</v>
      </c>
      <c r="G601" t="b">
        <v>0</v>
      </c>
      <c r="H601">
        <v>5</v>
      </c>
      <c r="I601">
        <v>2</v>
      </c>
      <c r="J601">
        <v>0.2</v>
      </c>
      <c r="K601">
        <v>0.2273</v>
      </c>
      <c r="L601">
        <v>0.75</v>
      </c>
      <c r="M601">
        <v>0.1045</v>
      </c>
      <c r="N601">
        <v>1</v>
      </c>
      <c r="O601">
        <v>0</v>
      </c>
      <c r="P601">
        <v>1</v>
      </c>
      <c r="Q601">
        <v>0.2273</v>
      </c>
      <c r="R601">
        <v>0.75</v>
      </c>
      <c r="S601">
        <v>0.1045</v>
      </c>
      <c r="T601">
        <v>1</v>
      </c>
      <c r="U601">
        <v>0</v>
      </c>
      <c r="V601">
        <v>1</v>
      </c>
    </row>
    <row r="602" spans="1:22" x14ac:dyDescent="0.3">
      <c r="A602">
        <v>600</v>
      </c>
      <c r="B602">
        <v>40571</v>
      </c>
      <c r="C602">
        <v>1</v>
      </c>
      <c r="D602">
        <v>0</v>
      </c>
      <c r="E602">
        <v>1</v>
      </c>
      <c r="F602">
        <v>5</v>
      </c>
      <c r="G602" t="b">
        <v>0</v>
      </c>
      <c r="H602">
        <v>5</v>
      </c>
      <c r="I602">
        <v>2</v>
      </c>
      <c r="J602">
        <v>0.18</v>
      </c>
      <c r="K602">
        <v>0.21210000000000001</v>
      </c>
      <c r="L602">
        <v>0.8</v>
      </c>
      <c r="M602">
        <v>0.1045</v>
      </c>
      <c r="N602">
        <v>0</v>
      </c>
      <c r="O602">
        <v>4</v>
      </c>
      <c r="P602">
        <v>4</v>
      </c>
      <c r="Q602">
        <v>0.21210000000000001</v>
      </c>
      <c r="R602">
        <v>0.8</v>
      </c>
      <c r="S602">
        <v>0.1045</v>
      </c>
      <c r="T602">
        <v>0</v>
      </c>
      <c r="U602">
        <v>4</v>
      </c>
      <c r="V602">
        <v>4</v>
      </c>
    </row>
    <row r="603" spans="1:22" x14ac:dyDescent="0.3">
      <c r="A603">
        <v>601</v>
      </c>
      <c r="B603">
        <v>40571</v>
      </c>
      <c r="C603">
        <v>1</v>
      </c>
      <c r="D603">
        <v>0</v>
      </c>
      <c r="E603">
        <v>1</v>
      </c>
      <c r="F603">
        <v>6</v>
      </c>
      <c r="G603" t="b">
        <v>0</v>
      </c>
      <c r="H603">
        <v>5</v>
      </c>
      <c r="I603">
        <v>2</v>
      </c>
      <c r="J603">
        <v>0.18</v>
      </c>
      <c r="K603">
        <v>0.19700000000000001</v>
      </c>
      <c r="L603">
        <v>0.8</v>
      </c>
      <c r="M603">
        <v>0.1343</v>
      </c>
      <c r="N603">
        <v>0</v>
      </c>
      <c r="O603">
        <v>16</v>
      </c>
      <c r="P603">
        <v>16</v>
      </c>
      <c r="Q603">
        <v>0.19700000000000001</v>
      </c>
      <c r="R603">
        <v>0.8</v>
      </c>
      <c r="S603">
        <v>0.1343</v>
      </c>
      <c r="T603">
        <v>0</v>
      </c>
      <c r="U603">
        <v>16</v>
      </c>
      <c r="V603">
        <v>16</v>
      </c>
    </row>
    <row r="604" spans="1:22" x14ac:dyDescent="0.3">
      <c r="A604">
        <v>602</v>
      </c>
      <c r="B604">
        <v>40571</v>
      </c>
      <c r="C604">
        <v>1</v>
      </c>
      <c r="D604">
        <v>0</v>
      </c>
      <c r="E604">
        <v>1</v>
      </c>
      <c r="F604">
        <v>7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58</v>
      </c>
      <c r="P604">
        <v>60</v>
      </c>
      <c r="Q604">
        <v>0.19700000000000001</v>
      </c>
      <c r="R604">
        <v>0.86</v>
      </c>
      <c r="S604">
        <v>8.9599999999999999E-2</v>
      </c>
      <c r="T604">
        <v>2</v>
      </c>
      <c r="U604">
        <v>58</v>
      </c>
      <c r="V604">
        <v>60</v>
      </c>
    </row>
    <row r="605" spans="1:22" x14ac:dyDescent="0.3">
      <c r="A605">
        <v>603</v>
      </c>
      <c r="B605">
        <v>40571</v>
      </c>
      <c r="C605">
        <v>1</v>
      </c>
      <c r="D605">
        <v>0</v>
      </c>
      <c r="E605">
        <v>1</v>
      </c>
      <c r="F605">
        <v>8</v>
      </c>
      <c r="G605" t="b">
        <v>0</v>
      </c>
      <c r="H605">
        <v>5</v>
      </c>
      <c r="I605">
        <v>2</v>
      </c>
      <c r="J605">
        <v>0.16</v>
      </c>
      <c r="K605">
        <v>0.19700000000000001</v>
      </c>
      <c r="L605">
        <v>0.86</v>
      </c>
      <c r="M605">
        <v>8.9599999999999999E-2</v>
      </c>
      <c r="N605">
        <v>2</v>
      </c>
      <c r="O605">
        <v>155</v>
      </c>
      <c r="P605">
        <v>157</v>
      </c>
      <c r="Q605">
        <v>0.19700000000000001</v>
      </c>
      <c r="R605">
        <v>0.86</v>
      </c>
      <c r="S605">
        <v>8.9599999999999999E-2</v>
      </c>
      <c r="T605">
        <v>2</v>
      </c>
      <c r="U605">
        <v>155</v>
      </c>
      <c r="V605">
        <v>157</v>
      </c>
    </row>
    <row r="606" spans="1:22" x14ac:dyDescent="0.3">
      <c r="A606">
        <v>604</v>
      </c>
      <c r="B606">
        <v>40571</v>
      </c>
      <c r="C606">
        <v>1</v>
      </c>
      <c r="D606">
        <v>0</v>
      </c>
      <c r="E606">
        <v>1</v>
      </c>
      <c r="F606">
        <v>9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8.9599999999999999E-2</v>
      </c>
      <c r="N606">
        <v>6</v>
      </c>
      <c r="O606">
        <v>95</v>
      </c>
      <c r="P606">
        <v>101</v>
      </c>
      <c r="Q606">
        <v>0.21210000000000001</v>
      </c>
      <c r="R606">
        <v>0.86</v>
      </c>
      <c r="S606">
        <v>8.9599999999999999E-2</v>
      </c>
      <c r="T606">
        <v>6</v>
      </c>
      <c r="U606">
        <v>95</v>
      </c>
      <c r="V606">
        <v>101</v>
      </c>
    </row>
    <row r="607" spans="1:22" x14ac:dyDescent="0.3">
      <c r="A607">
        <v>605</v>
      </c>
      <c r="B607">
        <v>40571</v>
      </c>
      <c r="C607">
        <v>1</v>
      </c>
      <c r="D607">
        <v>0</v>
      </c>
      <c r="E607">
        <v>1</v>
      </c>
      <c r="F607">
        <v>10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0.86</v>
      </c>
      <c r="M607">
        <v>0.1045</v>
      </c>
      <c r="N607">
        <v>0</v>
      </c>
      <c r="O607">
        <v>49</v>
      </c>
      <c r="P607">
        <v>49</v>
      </c>
      <c r="Q607">
        <v>0.21210000000000001</v>
      </c>
      <c r="R607">
        <v>0.86</v>
      </c>
      <c r="S607">
        <v>0.1045</v>
      </c>
      <c r="T607">
        <v>0</v>
      </c>
      <c r="U607">
        <v>49</v>
      </c>
      <c r="V607">
        <v>49</v>
      </c>
    </row>
    <row r="608" spans="1:22" x14ac:dyDescent="0.3">
      <c r="A608">
        <v>606</v>
      </c>
      <c r="B608">
        <v>40571</v>
      </c>
      <c r="C608">
        <v>1</v>
      </c>
      <c r="D608">
        <v>0</v>
      </c>
      <c r="E608">
        <v>1</v>
      </c>
      <c r="F608">
        <v>11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0</v>
      </c>
      <c r="O608">
        <v>30</v>
      </c>
      <c r="P608">
        <v>30</v>
      </c>
      <c r="Q608">
        <v>0.21210000000000001</v>
      </c>
      <c r="R608">
        <v>0.93</v>
      </c>
      <c r="S608">
        <v>0.1045</v>
      </c>
      <c r="T608">
        <v>0</v>
      </c>
      <c r="U608">
        <v>30</v>
      </c>
      <c r="V608">
        <v>30</v>
      </c>
    </row>
    <row r="609" spans="1:22" x14ac:dyDescent="0.3">
      <c r="A609">
        <v>607</v>
      </c>
      <c r="B609">
        <v>40571</v>
      </c>
      <c r="C609">
        <v>1</v>
      </c>
      <c r="D609">
        <v>0</v>
      </c>
      <c r="E609">
        <v>1</v>
      </c>
      <c r="F609">
        <v>12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1</v>
      </c>
      <c r="O609">
        <v>28</v>
      </c>
      <c r="P609">
        <v>29</v>
      </c>
      <c r="Q609">
        <v>0.21210000000000001</v>
      </c>
      <c r="R609">
        <v>0.93</v>
      </c>
      <c r="S609">
        <v>0.1045</v>
      </c>
      <c r="T609">
        <v>1</v>
      </c>
      <c r="U609">
        <v>28</v>
      </c>
      <c r="V609">
        <v>29</v>
      </c>
    </row>
    <row r="610" spans="1:22" x14ac:dyDescent="0.3">
      <c r="A610">
        <v>608</v>
      </c>
      <c r="B610">
        <v>40571</v>
      </c>
      <c r="C610">
        <v>1</v>
      </c>
      <c r="D610">
        <v>0</v>
      </c>
      <c r="E610">
        <v>1</v>
      </c>
      <c r="F610">
        <v>13</v>
      </c>
      <c r="G610" t="b">
        <v>0</v>
      </c>
      <c r="H610">
        <v>5</v>
      </c>
      <c r="I610">
        <v>3</v>
      </c>
      <c r="J610">
        <v>0.18</v>
      </c>
      <c r="K610">
        <v>0.21210000000000001</v>
      </c>
      <c r="L610">
        <v>0.93</v>
      </c>
      <c r="M610">
        <v>0.1045</v>
      </c>
      <c r="N610">
        <v>0</v>
      </c>
      <c r="O610">
        <v>31</v>
      </c>
      <c r="P610">
        <v>31</v>
      </c>
      <c r="Q610">
        <v>0.21210000000000001</v>
      </c>
      <c r="R610">
        <v>0.93</v>
      </c>
      <c r="S610">
        <v>0.1045</v>
      </c>
      <c r="T610">
        <v>0</v>
      </c>
      <c r="U610">
        <v>31</v>
      </c>
      <c r="V610">
        <v>31</v>
      </c>
    </row>
    <row r="611" spans="1:22" x14ac:dyDescent="0.3">
      <c r="A611">
        <v>609</v>
      </c>
      <c r="B611">
        <v>40571</v>
      </c>
      <c r="C611">
        <v>1</v>
      </c>
      <c r="D611">
        <v>0</v>
      </c>
      <c r="E611">
        <v>1</v>
      </c>
      <c r="F611">
        <v>14</v>
      </c>
      <c r="G611" t="b">
        <v>0</v>
      </c>
      <c r="H611">
        <v>5</v>
      </c>
      <c r="I611">
        <v>3</v>
      </c>
      <c r="J611">
        <v>0.22</v>
      </c>
      <c r="K611">
        <v>0.2727</v>
      </c>
      <c r="L611">
        <v>0.8</v>
      </c>
      <c r="M611">
        <v>0</v>
      </c>
      <c r="N611">
        <v>2</v>
      </c>
      <c r="O611">
        <v>36</v>
      </c>
      <c r="P611">
        <v>38</v>
      </c>
      <c r="Q611">
        <v>0.2727</v>
      </c>
      <c r="R611">
        <v>0.8</v>
      </c>
      <c r="S611">
        <v>0</v>
      </c>
      <c r="T611">
        <v>2</v>
      </c>
      <c r="U611">
        <v>36</v>
      </c>
      <c r="V611">
        <v>38</v>
      </c>
    </row>
    <row r="612" spans="1:22" x14ac:dyDescent="0.3">
      <c r="A612">
        <v>610</v>
      </c>
      <c r="B612">
        <v>40571</v>
      </c>
      <c r="C612">
        <v>1</v>
      </c>
      <c r="D612">
        <v>0</v>
      </c>
      <c r="E612">
        <v>1</v>
      </c>
      <c r="F612">
        <v>15</v>
      </c>
      <c r="G612" t="b">
        <v>0</v>
      </c>
      <c r="H612">
        <v>5</v>
      </c>
      <c r="I612">
        <v>2</v>
      </c>
      <c r="J612">
        <v>0.2</v>
      </c>
      <c r="K612">
        <v>0.2576</v>
      </c>
      <c r="L612">
        <v>0.86</v>
      </c>
      <c r="M612">
        <v>0</v>
      </c>
      <c r="N612">
        <v>1</v>
      </c>
      <c r="O612">
        <v>40</v>
      </c>
      <c r="P612">
        <v>41</v>
      </c>
      <c r="Q612">
        <v>0.2576</v>
      </c>
      <c r="R612">
        <v>0.86</v>
      </c>
      <c r="S612">
        <v>0</v>
      </c>
      <c r="T612">
        <v>1</v>
      </c>
      <c r="U612">
        <v>40</v>
      </c>
      <c r="V612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5ECD-A135-4BD0-855B-13B27B578643}">
  <sheetPr>
    <tabColor rgb="FFC00000"/>
  </sheetPr>
  <dimension ref="A1:P391"/>
  <sheetViews>
    <sheetView workbookViewId="0">
      <selection activeCell="G9" sqref="A2:P391"/>
    </sheetView>
  </sheetViews>
  <sheetFormatPr defaultRowHeight="14.4" x14ac:dyDescent="0.3"/>
  <cols>
    <col min="1" max="1" width="9.33203125" bestFit="1" customWidth="1"/>
    <col min="2" max="2" width="10.109375" bestFit="1" customWidth="1"/>
    <col min="3" max="3" width="9.5546875" bestFit="1" customWidth="1"/>
    <col min="4" max="4" width="5" bestFit="1" customWidth="1"/>
    <col min="5" max="5" width="7.88671875" bestFit="1" customWidth="1"/>
    <col min="6" max="6" width="5.109375" bestFit="1" customWidth="1"/>
    <col min="7" max="7" width="10" bestFit="1" customWidth="1"/>
    <col min="8" max="8" width="11.44140625" bestFit="1" customWidth="1"/>
    <col min="9" max="9" width="12.6640625" bestFit="1" customWidth="1"/>
    <col min="10" max="10" width="7.88671875" bestFit="1" customWidth="1"/>
    <col min="11" max="11" width="9" bestFit="1" customWidth="1"/>
    <col min="12" max="12" width="7.33203125" bestFit="1" customWidth="1"/>
    <col min="13" max="13" width="13.109375" bestFit="1" customWidth="1"/>
    <col min="15" max="15" width="12.44140625" bestFit="1" customWidth="1"/>
    <col min="16" max="16" width="6" bestFit="1" customWidth="1"/>
  </cols>
  <sheetData>
    <row r="1" spans="1:16" ht="15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1" t="s">
        <v>16</v>
      </c>
    </row>
    <row r="2" spans="1:16" ht="15" thickBot="1" x14ac:dyDescent="0.35">
      <c r="A2" s="7">
        <v>620</v>
      </c>
      <c r="B2" s="3">
        <v>40572</v>
      </c>
      <c r="C2" s="1">
        <v>1</v>
      </c>
      <c r="D2" s="1">
        <v>0</v>
      </c>
      <c r="E2" s="1">
        <v>1</v>
      </c>
      <c r="F2" s="1">
        <v>1</v>
      </c>
      <c r="G2" s="4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8">
        <v>20</v>
      </c>
    </row>
    <row r="3" spans="1:16" ht="15" thickBot="1" x14ac:dyDescent="0.35">
      <c r="A3" s="7">
        <v>621</v>
      </c>
      <c r="B3" s="3">
        <v>40572</v>
      </c>
      <c r="C3" s="1">
        <v>1</v>
      </c>
      <c r="D3" s="1">
        <v>0</v>
      </c>
      <c r="E3" s="1">
        <v>1</v>
      </c>
      <c r="F3" s="1">
        <v>2</v>
      </c>
      <c r="G3" s="4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8">
        <v>15</v>
      </c>
    </row>
    <row r="4" spans="1:16" ht="15" thickBot="1" x14ac:dyDescent="0.35">
      <c r="A4" s="7">
        <v>622</v>
      </c>
      <c r="B4" s="3">
        <v>40572</v>
      </c>
      <c r="C4" s="1">
        <v>1</v>
      </c>
      <c r="D4" s="1">
        <v>0</v>
      </c>
      <c r="E4" s="1">
        <v>1</v>
      </c>
      <c r="F4" s="1">
        <v>3</v>
      </c>
      <c r="G4" s="4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8">
        <v>8</v>
      </c>
    </row>
    <row r="5" spans="1:16" ht="15" thickBot="1" x14ac:dyDescent="0.35">
      <c r="A5" s="7">
        <v>623</v>
      </c>
      <c r="B5" s="3">
        <v>40572</v>
      </c>
      <c r="C5" s="1">
        <v>1</v>
      </c>
      <c r="D5" s="1">
        <v>0</v>
      </c>
      <c r="E5" s="1">
        <v>1</v>
      </c>
      <c r="F5" s="1">
        <v>4</v>
      </c>
      <c r="G5" s="4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8">
        <v>3</v>
      </c>
    </row>
    <row r="6" spans="1:16" ht="15" thickBot="1" x14ac:dyDescent="0.35">
      <c r="A6" s="7">
        <v>624</v>
      </c>
      <c r="B6" s="3">
        <v>40572</v>
      </c>
      <c r="C6" s="1">
        <v>1</v>
      </c>
      <c r="D6" s="1">
        <v>0</v>
      </c>
      <c r="E6" s="1">
        <v>1</v>
      </c>
      <c r="F6" s="1">
        <v>6</v>
      </c>
      <c r="G6" s="4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8">
        <v>2</v>
      </c>
    </row>
    <row r="7" spans="1:16" ht="15" thickBot="1" x14ac:dyDescent="0.35">
      <c r="A7" s="7">
        <v>625</v>
      </c>
      <c r="B7" s="3">
        <v>40572</v>
      </c>
      <c r="C7" s="1">
        <v>1</v>
      </c>
      <c r="D7" s="1">
        <v>0</v>
      </c>
      <c r="E7" s="1">
        <v>1</v>
      </c>
      <c r="F7" s="1">
        <v>7</v>
      </c>
      <c r="G7" s="4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8">
        <v>5</v>
      </c>
    </row>
    <row r="8" spans="1:16" ht="15" thickBot="1" x14ac:dyDescent="0.35">
      <c r="A8" s="7">
        <v>626</v>
      </c>
      <c r="B8" s="3">
        <v>40572</v>
      </c>
      <c r="C8" s="1">
        <v>1</v>
      </c>
      <c r="D8" s="1">
        <v>0</v>
      </c>
      <c r="E8" s="1">
        <v>1</v>
      </c>
      <c r="F8" s="1">
        <v>8</v>
      </c>
      <c r="G8" s="4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8">
        <v>34</v>
      </c>
    </row>
    <row r="9" spans="1:16" ht="15" thickBot="1" x14ac:dyDescent="0.35">
      <c r="A9" s="7">
        <v>627</v>
      </c>
      <c r="B9" s="3">
        <v>40572</v>
      </c>
      <c r="C9" s="1">
        <v>1</v>
      </c>
      <c r="D9" s="1">
        <v>0</v>
      </c>
      <c r="E9" s="1">
        <v>1</v>
      </c>
      <c r="F9" s="1">
        <v>9</v>
      </c>
      <c r="G9" s="4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8">
        <v>34</v>
      </c>
    </row>
    <row r="10" spans="1:16" ht="15" thickBot="1" x14ac:dyDescent="0.35">
      <c r="A10" s="7">
        <v>628</v>
      </c>
      <c r="B10" s="3">
        <v>40572</v>
      </c>
      <c r="C10" s="1">
        <v>1</v>
      </c>
      <c r="D10" s="1">
        <v>0</v>
      </c>
      <c r="E10" s="1">
        <v>1</v>
      </c>
      <c r="F10" s="1">
        <v>10</v>
      </c>
      <c r="G10" s="4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8">
        <v>55</v>
      </c>
    </row>
    <row r="11" spans="1:16" ht="15" thickBot="1" x14ac:dyDescent="0.35">
      <c r="A11" s="7">
        <v>629</v>
      </c>
      <c r="B11" s="3">
        <v>40572</v>
      </c>
      <c r="C11" s="1">
        <v>1</v>
      </c>
      <c r="D11" s="1">
        <v>0</v>
      </c>
      <c r="E11" s="1">
        <v>1</v>
      </c>
      <c r="F11" s="1">
        <v>11</v>
      </c>
      <c r="G11" s="4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8">
        <v>64</v>
      </c>
    </row>
    <row r="12" spans="1:16" ht="15" thickBot="1" x14ac:dyDescent="0.35">
      <c r="A12" s="7">
        <v>630</v>
      </c>
      <c r="B12" s="3">
        <v>40572</v>
      </c>
      <c r="C12" s="1">
        <v>1</v>
      </c>
      <c r="D12" s="1">
        <v>0</v>
      </c>
      <c r="E12" s="1">
        <v>1</v>
      </c>
      <c r="F12" s="1">
        <v>12</v>
      </c>
      <c r="G12" s="4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8">
        <v>78</v>
      </c>
    </row>
    <row r="13" spans="1:16" ht="15" thickBot="1" x14ac:dyDescent="0.35">
      <c r="A13" s="7">
        <v>631</v>
      </c>
      <c r="B13" s="3">
        <v>40572</v>
      </c>
      <c r="C13" s="1">
        <v>1</v>
      </c>
      <c r="D13" s="1">
        <v>0</v>
      </c>
      <c r="E13" s="1">
        <v>1</v>
      </c>
      <c r="F13" s="1">
        <v>13</v>
      </c>
      <c r="G13" s="4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8">
        <v>65</v>
      </c>
    </row>
    <row r="14" spans="1:16" ht="15" thickBot="1" x14ac:dyDescent="0.35">
      <c r="A14" s="7">
        <v>632</v>
      </c>
      <c r="B14" s="3">
        <v>40572</v>
      </c>
      <c r="C14" s="1">
        <v>1</v>
      </c>
      <c r="D14" s="1">
        <v>0</v>
      </c>
      <c r="E14" s="1">
        <v>1</v>
      </c>
      <c r="F14" s="1">
        <v>14</v>
      </c>
      <c r="G14" s="4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8">
        <v>99</v>
      </c>
    </row>
    <row r="15" spans="1:16" ht="15" thickBot="1" x14ac:dyDescent="0.35">
      <c r="A15" s="7">
        <v>633</v>
      </c>
      <c r="B15" s="3">
        <v>40572</v>
      </c>
      <c r="C15" s="1">
        <v>1</v>
      </c>
      <c r="D15" s="1">
        <v>0</v>
      </c>
      <c r="E15" s="1">
        <v>1</v>
      </c>
      <c r="F15" s="1">
        <v>15</v>
      </c>
      <c r="G15" s="4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8">
        <v>120</v>
      </c>
    </row>
    <row r="16" spans="1:16" ht="15" thickBot="1" x14ac:dyDescent="0.35">
      <c r="A16" s="7">
        <v>634</v>
      </c>
      <c r="B16" s="3">
        <v>40572</v>
      </c>
      <c r="C16" s="1">
        <v>1</v>
      </c>
      <c r="D16" s="1">
        <v>0</v>
      </c>
      <c r="E16" s="1">
        <v>1</v>
      </c>
      <c r="F16" s="1">
        <v>16</v>
      </c>
      <c r="G16" s="4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8">
        <v>107</v>
      </c>
    </row>
    <row r="17" spans="1:16" ht="15" thickBot="1" x14ac:dyDescent="0.35">
      <c r="A17" s="7">
        <v>635</v>
      </c>
      <c r="B17" s="3">
        <v>40572</v>
      </c>
      <c r="C17" s="1">
        <v>1</v>
      </c>
      <c r="D17" s="1">
        <v>0</v>
      </c>
      <c r="E17" s="1">
        <v>1</v>
      </c>
      <c r="F17" s="1">
        <v>17</v>
      </c>
      <c r="G17" s="4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8">
        <v>91</v>
      </c>
    </row>
    <row r="18" spans="1:16" ht="15" thickBot="1" x14ac:dyDescent="0.35">
      <c r="A18" s="7">
        <v>636</v>
      </c>
      <c r="B18" s="3">
        <v>40572</v>
      </c>
      <c r="C18" s="1">
        <v>1</v>
      </c>
      <c r="D18" s="1">
        <v>0</v>
      </c>
      <c r="E18" s="1">
        <v>1</v>
      </c>
      <c r="F18" s="1">
        <v>18</v>
      </c>
      <c r="G18" s="4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8">
        <v>68</v>
      </c>
    </row>
    <row r="19" spans="1:16" ht="15" thickBot="1" x14ac:dyDescent="0.35">
      <c r="A19" s="7">
        <v>637</v>
      </c>
      <c r="B19" s="3">
        <v>40572</v>
      </c>
      <c r="C19" s="1">
        <v>1</v>
      </c>
      <c r="D19" s="1">
        <v>0</v>
      </c>
      <c r="E19" s="1">
        <v>1</v>
      </c>
      <c r="F19" s="1">
        <v>19</v>
      </c>
      <c r="G19" s="4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8">
        <v>58</v>
      </c>
    </row>
    <row r="20" spans="1:16" ht="15" thickBot="1" x14ac:dyDescent="0.35">
      <c r="A20" s="7">
        <v>638</v>
      </c>
      <c r="B20" s="3">
        <v>40572</v>
      </c>
      <c r="C20" s="1">
        <v>1</v>
      </c>
      <c r="D20" s="1">
        <v>0</v>
      </c>
      <c r="E20" s="1">
        <v>1</v>
      </c>
      <c r="F20" s="1">
        <v>20</v>
      </c>
      <c r="G20" s="4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8">
        <v>43</v>
      </c>
    </row>
    <row r="21" spans="1:16" ht="15" thickBot="1" x14ac:dyDescent="0.35">
      <c r="A21" s="7">
        <v>639</v>
      </c>
      <c r="B21" s="3">
        <v>40572</v>
      </c>
      <c r="C21" s="1">
        <v>1</v>
      </c>
      <c r="D21" s="1">
        <v>0</v>
      </c>
      <c r="E21" s="1">
        <v>1</v>
      </c>
      <c r="F21" s="1">
        <v>21</v>
      </c>
      <c r="G21" s="4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8">
        <v>36</v>
      </c>
    </row>
    <row r="22" spans="1:16" ht="15" thickBot="1" x14ac:dyDescent="0.35">
      <c r="A22" s="7">
        <v>640</v>
      </c>
      <c r="B22" s="3">
        <v>40572</v>
      </c>
      <c r="C22" s="1">
        <v>1</v>
      </c>
      <c r="D22" s="1">
        <v>0</v>
      </c>
      <c r="E22" s="1">
        <v>1</v>
      </c>
      <c r="F22" s="1">
        <v>22</v>
      </c>
      <c r="G22" s="4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8">
        <v>32</v>
      </c>
    </row>
    <row r="23" spans="1:16" ht="15" thickBot="1" x14ac:dyDescent="0.35">
      <c r="A23" s="7">
        <v>641</v>
      </c>
      <c r="B23" s="3">
        <v>40572</v>
      </c>
      <c r="C23" s="1">
        <v>1</v>
      </c>
      <c r="D23" s="1">
        <v>0</v>
      </c>
      <c r="E23" s="1">
        <v>1</v>
      </c>
      <c r="F23" s="1">
        <v>23</v>
      </c>
      <c r="G23" s="4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8">
        <v>33</v>
      </c>
    </row>
    <row r="24" spans="1:16" ht="15" thickBot="1" x14ac:dyDescent="0.35">
      <c r="A24" s="7">
        <v>642</v>
      </c>
      <c r="B24" s="3">
        <v>40573</v>
      </c>
      <c r="C24" s="1">
        <v>1</v>
      </c>
      <c r="D24" s="1">
        <v>0</v>
      </c>
      <c r="E24" s="1">
        <v>1</v>
      </c>
      <c r="F24" s="1">
        <v>0</v>
      </c>
      <c r="G24" s="4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8">
        <v>33</v>
      </c>
    </row>
    <row r="25" spans="1:16" ht="15" thickBot="1" x14ac:dyDescent="0.35">
      <c r="A25" s="7">
        <v>643</v>
      </c>
      <c r="B25" s="3">
        <v>40573</v>
      </c>
      <c r="C25" s="1">
        <v>1</v>
      </c>
      <c r="D25" s="1">
        <v>0</v>
      </c>
      <c r="E25" s="1">
        <v>1</v>
      </c>
      <c r="F25" s="1">
        <v>1</v>
      </c>
      <c r="G25" s="4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8">
        <v>29</v>
      </c>
    </row>
    <row r="26" spans="1:16" ht="15" thickBot="1" x14ac:dyDescent="0.35">
      <c r="A26" s="7">
        <v>644</v>
      </c>
      <c r="B26" s="3">
        <v>40573</v>
      </c>
      <c r="C26" s="1">
        <v>1</v>
      </c>
      <c r="D26" s="1">
        <v>0</v>
      </c>
      <c r="E26" s="1">
        <v>1</v>
      </c>
      <c r="F26" s="1">
        <v>2</v>
      </c>
      <c r="G26" s="4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8">
        <v>11</v>
      </c>
    </row>
    <row r="27" spans="1:16" ht="15" thickBot="1" x14ac:dyDescent="0.35">
      <c r="A27" s="7">
        <v>645</v>
      </c>
      <c r="B27" s="3">
        <v>40573</v>
      </c>
      <c r="C27" s="1">
        <v>1</v>
      </c>
      <c r="D27" s="1">
        <v>0</v>
      </c>
      <c r="E27" s="1">
        <v>1</v>
      </c>
      <c r="F27" s="1">
        <v>3</v>
      </c>
      <c r="G27" s="4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8">
        <v>8</v>
      </c>
    </row>
    <row r="28" spans="1:16" ht="15" thickBot="1" x14ac:dyDescent="0.35">
      <c r="A28" s="7">
        <v>646</v>
      </c>
      <c r="B28" s="3">
        <v>40573</v>
      </c>
      <c r="C28" s="1">
        <v>1</v>
      </c>
      <c r="D28" s="1">
        <v>0</v>
      </c>
      <c r="E28" s="1">
        <v>1</v>
      </c>
      <c r="F28" s="1">
        <v>4</v>
      </c>
      <c r="G28" s="4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8">
        <v>1</v>
      </c>
    </row>
    <row r="29" spans="1:16" ht="15" thickBot="1" x14ac:dyDescent="0.35">
      <c r="A29" s="7">
        <v>647</v>
      </c>
      <c r="B29" s="3">
        <v>40573</v>
      </c>
      <c r="C29" s="1">
        <v>1</v>
      </c>
      <c r="D29" s="1">
        <v>0</v>
      </c>
      <c r="E29" s="1">
        <v>1</v>
      </c>
      <c r="F29" s="1">
        <v>5</v>
      </c>
      <c r="G29" s="4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8">
        <v>3</v>
      </c>
    </row>
    <row r="30" spans="1:16" ht="15" thickBot="1" x14ac:dyDescent="0.35">
      <c r="A30" s="7">
        <v>648</v>
      </c>
      <c r="B30" s="3">
        <v>40573</v>
      </c>
      <c r="C30" s="1">
        <v>1</v>
      </c>
      <c r="D30" s="1">
        <v>0</v>
      </c>
      <c r="E30" s="1">
        <v>1</v>
      </c>
      <c r="F30" s="1">
        <v>7</v>
      </c>
      <c r="G30" s="4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8">
        <v>3</v>
      </c>
    </row>
    <row r="31" spans="1:16" ht="15" thickBot="1" x14ac:dyDescent="0.35">
      <c r="A31" s="7">
        <v>649</v>
      </c>
      <c r="B31" s="3">
        <v>40573</v>
      </c>
      <c r="C31" s="1">
        <v>1</v>
      </c>
      <c r="D31" s="1">
        <v>0</v>
      </c>
      <c r="E31" s="1">
        <v>1</v>
      </c>
      <c r="F31" s="1">
        <v>8</v>
      </c>
      <c r="G31" s="4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8">
        <v>12</v>
      </c>
    </row>
    <row r="32" spans="1:16" ht="15" thickBot="1" x14ac:dyDescent="0.35">
      <c r="A32" s="7">
        <v>650</v>
      </c>
      <c r="B32" s="3">
        <v>40573</v>
      </c>
      <c r="C32" s="1">
        <v>1</v>
      </c>
      <c r="D32" s="1">
        <v>0</v>
      </c>
      <c r="E32" s="1">
        <v>1</v>
      </c>
      <c r="F32" s="1">
        <v>9</v>
      </c>
      <c r="G32" s="4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8">
        <v>38</v>
      </c>
    </row>
    <row r="33" spans="1:16" ht="15" thickBot="1" x14ac:dyDescent="0.35">
      <c r="A33" s="7">
        <v>651</v>
      </c>
      <c r="B33" s="3">
        <v>40573</v>
      </c>
      <c r="C33" s="1">
        <v>1</v>
      </c>
      <c r="D33" s="1">
        <v>0</v>
      </c>
      <c r="E33" s="1">
        <v>1</v>
      </c>
      <c r="F33" s="1">
        <v>10</v>
      </c>
      <c r="G33" s="4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8">
        <v>64</v>
      </c>
    </row>
    <row r="34" spans="1:16" ht="15" thickBot="1" x14ac:dyDescent="0.35">
      <c r="A34" s="7">
        <v>652</v>
      </c>
      <c r="B34" s="3">
        <v>40573</v>
      </c>
      <c r="C34" s="1">
        <v>1</v>
      </c>
      <c r="D34" s="1">
        <v>0</v>
      </c>
      <c r="E34" s="1">
        <v>1</v>
      </c>
      <c r="F34" s="1">
        <v>11</v>
      </c>
      <c r="G34" s="4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8">
        <v>59</v>
      </c>
    </row>
    <row r="35" spans="1:16" ht="15" thickBot="1" x14ac:dyDescent="0.35">
      <c r="A35" s="7">
        <v>653</v>
      </c>
      <c r="B35" s="3">
        <v>40573</v>
      </c>
      <c r="C35" s="1">
        <v>1</v>
      </c>
      <c r="D35" s="1">
        <v>0</v>
      </c>
      <c r="E35" s="1">
        <v>1</v>
      </c>
      <c r="F35" s="1">
        <v>12</v>
      </c>
      <c r="G35" s="4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8">
        <v>97</v>
      </c>
    </row>
    <row r="36" spans="1:16" ht="15" thickBot="1" x14ac:dyDescent="0.35">
      <c r="A36" s="7">
        <v>654</v>
      </c>
      <c r="B36" s="3">
        <v>40573</v>
      </c>
      <c r="C36" s="1">
        <v>1</v>
      </c>
      <c r="D36" s="1">
        <v>0</v>
      </c>
      <c r="E36" s="1">
        <v>1</v>
      </c>
      <c r="F36" s="1">
        <v>13</v>
      </c>
      <c r="G36" s="4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8">
        <v>84</v>
      </c>
    </row>
    <row r="37" spans="1:16" ht="15" thickBot="1" x14ac:dyDescent="0.35">
      <c r="A37" s="7">
        <v>655</v>
      </c>
      <c r="B37" s="3">
        <v>40573</v>
      </c>
      <c r="C37" s="1">
        <v>1</v>
      </c>
      <c r="D37" s="1">
        <v>0</v>
      </c>
      <c r="E37" s="1">
        <v>1</v>
      </c>
      <c r="F37" s="1">
        <v>14</v>
      </c>
      <c r="G37" s="4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8">
        <v>122</v>
      </c>
    </row>
    <row r="38" spans="1:16" ht="15" thickBot="1" x14ac:dyDescent="0.35">
      <c r="A38" s="7">
        <v>656</v>
      </c>
      <c r="B38" s="3">
        <v>40573</v>
      </c>
      <c r="C38" s="1">
        <v>1</v>
      </c>
      <c r="D38" s="1">
        <v>0</v>
      </c>
      <c r="E38" s="1">
        <v>1</v>
      </c>
      <c r="F38" s="1">
        <v>15</v>
      </c>
      <c r="G38" s="4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8">
        <v>109</v>
      </c>
    </row>
    <row r="39" spans="1:16" ht="15" thickBot="1" x14ac:dyDescent="0.35">
      <c r="A39" s="7">
        <v>657</v>
      </c>
      <c r="B39" s="3">
        <v>40573</v>
      </c>
      <c r="C39" s="1">
        <v>1</v>
      </c>
      <c r="D39" s="1">
        <v>0</v>
      </c>
      <c r="E39" s="1">
        <v>1</v>
      </c>
      <c r="F39" s="1">
        <v>16</v>
      </c>
      <c r="G39" s="4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8">
        <v>123</v>
      </c>
    </row>
    <row r="40" spans="1:16" ht="15" thickBot="1" x14ac:dyDescent="0.35">
      <c r="A40" s="7">
        <v>658</v>
      </c>
      <c r="B40" s="3">
        <v>40573</v>
      </c>
      <c r="C40" s="1">
        <v>1</v>
      </c>
      <c r="D40" s="1">
        <v>0</v>
      </c>
      <c r="E40" s="1">
        <v>1</v>
      </c>
      <c r="F40" s="1">
        <v>17</v>
      </c>
      <c r="G40" s="4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8">
        <v>77</v>
      </c>
    </row>
    <row r="41" spans="1:16" ht="15" thickBot="1" x14ac:dyDescent="0.35">
      <c r="A41" s="7">
        <v>659</v>
      </c>
      <c r="B41" s="3">
        <v>40573</v>
      </c>
      <c r="C41" s="1">
        <v>1</v>
      </c>
      <c r="D41" s="1">
        <v>0</v>
      </c>
      <c r="E41" s="1">
        <v>1</v>
      </c>
      <c r="F41" s="1">
        <v>18</v>
      </c>
      <c r="G41" s="4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8">
        <v>65</v>
      </c>
    </row>
    <row r="42" spans="1:16" ht="15" thickBot="1" x14ac:dyDescent="0.35">
      <c r="A42" s="7">
        <v>660</v>
      </c>
      <c r="B42" s="3">
        <v>40573</v>
      </c>
      <c r="C42" s="1">
        <v>1</v>
      </c>
      <c r="D42" s="1">
        <v>0</v>
      </c>
      <c r="E42" s="1">
        <v>1</v>
      </c>
      <c r="F42" s="1">
        <v>19</v>
      </c>
      <c r="G42" s="4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8">
        <v>55</v>
      </c>
    </row>
    <row r="43" spans="1:16" ht="15" thickBot="1" x14ac:dyDescent="0.35">
      <c r="A43" s="7">
        <v>661</v>
      </c>
      <c r="B43" s="3">
        <v>40573</v>
      </c>
      <c r="C43" s="1">
        <v>1</v>
      </c>
      <c r="D43" s="1">
        <v>0</v>
      </c>
      <c r="E43" s="1">
        <v>1</v>
      </c>
      <c r="F43" s="1">
        <v>20</v>
      </c>
      <c r="G43" s="4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8">
        <v>33</v>
      </c>
    </row>
    <row r="44" spans="1:16" ht="15" thickBot="1" x14ac:dyDescent="0.35">
      <c r="A44" s="7">
        <v>662</v>
      </c>
      <c r="B44" s="3">
        <v>40573</v>
      </c>
      <c r="C44" s="1">
        <v>1</v>
      </c>
      <c r="D44" s="1">
        <v>0</v>
      </c>
      <c r="E44" s="1">
        <v>1</v>
      </c>
      <c r="F44" s="1">
        <v>21</v>
      </c>
      <c r="G44" s="4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8">
        <v>28</v>
      </c>
    </row>
    <row r="45" spans="1:16" ht="15" thickBot="1" x14ac:dyDescent="0.35">
      <c r="A45" s="7">
        <v>663</v>
      </c>
      <c r="B45" s="3">
        <v>40573</v>
      </c>
      <c r="C45" s="1">
        <v>1</v>
      </c>
      <c r="D45" s="1">
        <v>0</v>
      </c>
      <c r="E45" s="1">
        <v>1</v>
      </c>
      <c r="F45" s="1">
        <v>22</v>
      </c>
      <c r="G45" s="4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8">
        <v>21</v>
      </c>
    </row>
    <row r="46" spans="1:16" ht="15" thickBot="1" x14ac:dyDescent="0.35">
      <c r="A46" s="7">
        <v>664</v>
      </c>
      <c r="B46" s="3">
        <v>40573</v>
      </c>
      <c r="C46" s="1">
        <v>1</v>
      </c>
      <c r="D46" s="1">
        <v>0</v>
      </c>
      <c r="E46" s="1">
        <v>1</v>
      </c>
      <c r="F46" s="1">
        <v>23</v>
      </c>
      <c r="G46" s="4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8">
        <v>21</v>
      </c>
    </row>
    <row r="47" spans="1:16" ht="15" thickBot="1" x14ac:dyDescent="0.35">
      <c r="A47" s="7">
        <v>665</v>
      </c>
      <c r="B47" s="3">
        <v>40574</v>
      </c>
      <c r="C47" s="1">
        <v>1</v>
      </c>
      <c r="D47" s="1">
        <v>0</v>
      </c>
      <c r="E47" s="1">
        <v>1</v>
      </c>
      <c r="F47" s="1">
        <v>0</v>
      </c>
      <c r="G47" s="4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8">
        <v>7</v>
      </c>
    </row>
    <row r="48" spans="1:16" ht="15" thickBot="1" x14ac:dyDescent="0.35">
      <c r="A48" s="7">
        <v>666</v>
      </c>
      <c r="B48" s="3">
        <v>40574</v>
      </c>
      <c r="C48" s="1">
        <v>1</v>
      </c>
      <c r="D48" s="1">
        <v>0</v>
      </c>
      <c r="E48" s="1">
        <v>1</v>
      </c>
      <c r="F48" s="1">
        <v>1</v>
      </c>
      <c r="G48" s="4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8">
        <v>7</v>
      </c>
    </row>
    <row r="49" spans="1:16" ht="15" thickBot="1" x14ac:dyDescent="0.35">
      <c r="A49" s="7">
        <v>667</v>
      </c>
      <c r="B49" s="3">
        <v>40574</v>
      </c>
      <c r="C49" s="1">
        <v>1</v>
      </c>
      <c r="D49" s="1">
        <v>0</v>
      </c>
      <c r="E49" s="1">
        <v>1</v>
      </c>
      <c r="F49" s="1">
        <v>2</v>
      </c>
      <c r="G49" s="4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8">
        <v>1</v>
      </c>
    </row>
    <row r="50" spans="1:16" ht="15" thickBot="1" x14ac:dyDescent="0.35">
      <c r="A50" s="7">
        <v>668</v>
      </c>
      <c r="B50" s="3">
        <v>40574</v>
      </c>
      <c r="C50" s="1">
        <v>1</v>
      </c>
      <c r="D50" s="1">
        <v>0</v>
      </c>
      <c r="E50" s="1">
        <v>1</v>
      </c>
      <c r="F50" s="1">
        <v>3</v>
      </c>
      <c r="G50" s="4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8">
        <v>2</v>
      </c>
    </row>
    <row r="51" spans="1:16" ht="15" thickBot="1" x14ac:dyDescent="0.35">
      <c r="A51" s="7">
        <v>669</v>
      </c>
      <c r="B51" s="3">
        <v>40574</v>
      </c>
      <c r="C51" s="1">
        <v>1</v>
      </c>
      <c r="D51" s="1">
        <v>0</v>
      </c>
      <c r="E51" s="1">
        <v>1</v>
      </c>
      <c r="F51" s="1">
        <v>4</v>
      </c>
      <c r="G51" s="4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8">
        <v>2</v>
      </c>
    </row>
    <row r="52" spans="1:16" ht="15" thickBot="1" x14ac:dyDescent="0.35">
      <c r="A52" s="7">
        <v>670</v>
      </c>
      <c r="B52" s="3">
        <v>40574</v>
      </c>
      <c r="C52" s="1">
        <v>1</v>
      </c>
      <c r="D52" s="1">
        <v>0</v>
      </c>
      <c r="E52" s="1">
        <v>1</v>
      </c>
      <c r="F52" s="1">
        <v>5</v>
      </c>
      <c r="G52" s="4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8">
        <v>8</v>
      </c>
    </row>
    <row r="53" spans="1:16" ht="15" thickBot="1" x14ac:dyDescent="0.35">
      <c r="A53" s="7">
        <v>671</v>
      </c>
      <c r="B53" s="3">
        <v>40574</v>
      </c>
      <c r="C53" s="1">
        <v>1</v>
      </c>
      <c r="D53" s="1">
        <v>0</v>
      </c>
      <c r="E53" s="1">
        <v>1</v>
      </c>
      <c r="F53" s="1">
        <v>6</v>
      </c>
      <c r="G53" s="4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8">
        <v>37</v>
      </c>
    </row>
    <row r="54" spans="1:16" ht="15" thickBot="1" x14ac:dyDescent="0.35">
      <c r="A54" s="7">
        <v>672</v>
      </c>
      <c r="B54" s="3">
        <v>40574</v>
      </c>
      <c r="C54" s="1">
        <v>1</v>
      </c>
      <c r="D54" s="1">
        <v>0</v>
      </c>
      <c r="E54" s="1">
        <v>1</v>
      </c>
      <c r="F54" s="1">
        <v>7</v>
      </c>
      <c r="G54" s="4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8">
        <v>72</v>
      </c>
    </row>
    <row r="55" spans="1:16" ht="15" thickBot="1" x14ac:dyDescent="0.35">
      <c r="A55" s="7">
        <v>673</v>
      </c>
      <c r="B55" s="3">
        <v>40574</v>
      </c>
      <c r="C55" s="1">
        <v>1</v>
      </c>
      <c r="D55" s="1">
        <v>0</v>
      </c>
      <c r="E55" s="1">
        <v>1</v>
      </c>
      <c r="F55" s="1">
        <v>8</v>
      </c>
      <c r="G55" s="4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8">
        <v>185</v>
      </c>
    </row>
    <row r="56" spans="1:16" ht="15" thickBot="1" x14ac:dyDescent="0.35">
      <c r="A56" s="7">
        <v>674</v>
      </c>
      <c r="B56" s="3">
        <v>40574</v>
      </c>
      <c r="C56" s="1">
        <v>1</v>
      </c>
      <c r="D56" s="1">
        <v>0</v>
      </c>
      <c r="E56" s="1">
        <v>1</v>
      </c>
      <c r="F56" s="1">
        <v>9</v>
      </c>
      <c r="G56" s="4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8">
        <v>112</v>
      </c>
    </row>
    <row r="57" spans="1:16" ht="15" thickBot="1" x14ac:dyDescent="0.35">
      <c r="A57" s="7">
        <v>675</v>
      </c>
      <c r="B57" s="3">
        <v>40574</v>
      </c>
      <c r="C57" s="1">
        <v>1</v>
      </c>
      <c r="D57" s="1">
        <v>0</v>
      </c>
      <c r="E57" s="1">
        <v>1</v>
      </c>
      <c r="F57" s="1">
        <v>10</v>
      </c>
      <c r="G57" s="4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8">
        <v>69</v>
      </c>
    </row>
    <row r="58" spans="1:16" ht="15" thickBot="1" x14ac:dyDescent="0.35">
      <c r="A58" s="7">
        <v>676</v>
      </c>
      <c r="B58" s="3">
        <v>40574</v>
      </c>
      <c r="C58" s="1">
        <v>1</v>
      </c>
      <c r="D58" s="1">
        <v>0</v>
      </c>
      <c r="E58" s="1">
        <v>1</v>
      </c>
      <c r="F58" s="1">
        <v>11</v>
      </c>
      <c r="G58" s="4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8">
        <v>48</v>
      </c>
    </row>
    <row r="59" spans="1:16" ht="15" thickBot="1" x14ac:dyDescent="0.35">
      <c r="A59" s="7">
        <v>677</v>
      </c>
      <c r="B59" s="3">
        <v>40574</v>
      </c>
      <c r="C59" s="1">
        <v>1</v>
      </c>
      <c r="D59" s="1">
        <v>0</v>
      </c>
      <c r="E59" s="1">
        <v>1</v>
      </c>
      <c r="F59" s="1">
        <v>12</v>
      </c>
      <c r="G59" s="4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8">
        <v>68</v>
      </c>
    </row>
    <row r="60" spans="1:16" ht="15" thickBot="1" x14ac:dyDescent="0.35">
      <c r="A60" s="7">
        <v>678</v>
      </c>
      <c r="B60" s="3">
        <v>40574</v>
      </c>
      <c r="C60" s="1">
        <v>1</v>
      </c>
      <c r="D60" s="1">
        <v>0</v>
      </c>
      <c r="E60" s="1">
        <v>1</v>
      </c>
      <c r="F60" s="1">
        <v>13</v>
      </c>
      <c r="G60" s="4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8">
        <v>54</v>
      </c>
    </row>
    <row r="61" spans="1:16" ht="15" thickBot="1" x14ac:dyDescent="0.35">
      <c r="A61" s="7">
        <v>679</v>
      </c>
      <c r="B61" s="3">
        <v>40574</v>
      </c>
      <c r="C61" s="1">
        <v>1</v>
      </c>
      <c r="D61" s="1">
        <v>0</v>
      </c>
      <c r="E61" s="1">
        <v>1</v>
      </c>
      <c r="F61" s="1">
        <v>14</v>
      </c>
      <c r="G61" s="4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8">
        <v>86</v>
      </c>
    </row>
    <row r="62" spans="1:16" ht="15" thickBot="1" x14ac:dyDescent="0.35">
      <c r="A62" s="7">
        <v>680</v>
      </c>
      <c r="B62" s="3">
        <v>40574</v>
      </c>
      <c r="C62" s="1">
        <v>1</v>
      </c>
      <c r="D62" s="1">
        <v>0</v>
      </c>
      <c r="E62" s="1">
        <v>1</v>
      </c>
      <c r="F62" s="1">
        <v>15</v>
      </c>
      <c r="G62" s="4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8">
        <v>44</v>
      </c>
    </row>
    <row r="63" spans="1:16" ht="15" thickBot="1" x14ac:dyDescent="0.35">
      <c r="A63" s="7">
        <v>681</v>
      </c>
      <c r="B63" s="3">
        <v>40574</v>
      </c>
      <c r="C63" s="1">
        <v>1</v>
      </c>
      <c r="D63" s="1">
        <v>0</v>
      </c>
      <c r="E63" s="1">
        <v>1</v>
      </c>
      <c r="F63" s="1">
        <v>16</v>
      </c>
      <c r="G63" s="4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8">
        <v>86</v>
      </c>
    </row>
    <row r="64" spans="1:16" ht="15" thickBot="1" x14ac:dyDescent="0.35">
      <c r="A64" s="7">
        <v>682</v>
      </c>
      <c r="B64" s="3">
        <v>40574</v>
      </c>
      <c r="C64" s="1">
        <v>1</v>
      </c>
      <c r="D64" s="1">
        <v>0</v>
      </c>
      <c r="E64" s="1">
        <v>1</v>
      </c>
      <c r="F64" s="1">
        <v>17</v>
      </c>
      <c r="G64" s="4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8">
        <v>161</v>
      </c>
    </row>
    <row r="65" spans="1:16" ht="15" thickBot="1" x14ac:dyDescent="0.35">
      <c r="A65" s="7">
        <v>683</v>
      </c>
      <c r="B65" s="3">
        <v>40574</v>
      </c>
      <c r="C65" s="1">
        <v>1</v>
      </c>
      <c r="D65" s="1">
        <v>0</v>
      </c>
      <c r="E65" s="1">
        <v>1</v>
      </c>
      <c r="F65" s="1">
        <v>18</v>
      </c>
      <c r="G65" s="4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8">
        <v>156</v>
      </c>
    </row>
    <row r="66" spans="1:16" ht="15" thickBot="1" x14ac:dyDescent="0.35">
      <c r="A66" s="7">
        <v>684</v>
      </c>
      <c r="B66" s="3">
        <v>40574</v>
      </c>
      <c r="C66" s="1">
        <v>1</v>
      </c>
      <c r="D66" s="1">
        <v>0</v>
      </c>
      <c r="E66" s="1">
        <v>1</v>
      </c>
      <c r="F66" s="1">
        <v>19</v>
      </c>
      <c r="G66" s="4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8">
        <v>111</v>
      </c>
    </row>
    <row r="67" spans="1:16" ht="15" thickBot="1" x14ac:dyDescent="0.35">
      <c r="A67" s="7">
        <v>685</v>
      </c>
      <c r="B67" s="3">
        <v>40574</v>
      </c>
      <c r="C67" s="1">
        <v>1</v>
      </c>
      <c r="D67" s="1">
        <v>0</v>
      </c>
      <c r="E67" s="1">
        <v>1</v>
      </c>
      <c r="F67" s="1">
        <v>20</v>
      </c>
      <c r="G67" s="4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8">
        <v>78</v>
      </c>
    </row>
    <row r="68" spans="1:16" ht="15" thickBot="1" x14ac:dyDescent="0.35">
      <c r="A68" s="7">
        <v>686</v>
      </c>
      <c r="B68" s="3">
        <v>40574</v>
      </c>
      <c r="C68" s="1">
        <v>1</v>
      </c>
      <c r="D68" s="1">
        <v>0</v>
      </c>
      <c r="E68" s="1">
        <v>1</v>
      </c>
      <c r="F68" s="1">
        <v>21</v>
      </c>
      <c r="G68" s="4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8">
        <v>56</v>
      </c>
    </row>
    <row r="69" spans="1:16" ht="15" thickBot="1" x14ac:dyDescent="0.35">
      <c r="A69" s="7">
        <v>687</v>
      </c>
      <c r="B69" s="3">
        <v>40574</v>
      </c>
      <c r="C69" s="1">
        <v>1</v>
      </c>
      <c r="D69" s="1">
        <v>0</v>
      </c>
      <c r="E69" s="1">
        <v>1</v>
      </c>
      <c r="F69" s="1">
        <v>22</v>
      </c>
      <c r="G69" s="4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8">
        <v>34</v>
      </c>
    </row>
    <row r="70" spans="1:16" ht="15" thickBot="1" x14ac:dyDescent="0.35">
      <c r="A70" s="7">
        <v>688</v>
      </c>
      <c r="B70" s="3">
        <v>40574</v>
      </c>
      <c r="C70" s="1">
        <v>1</v>
      </c>
      <c r="D70" s="1">
        <v>0</v>
      </c>
      <c r="E70" s="1">
        <v>1</v>
      </c>
      <c r="F70" s="1">
        <v>23</v>
      </c>
      <c r="G70" s="4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8">
        <v>17</v>
      </c>
    </row>
    <row r="71" spans="1:16" ht="15" thickBot="1" x14ac:dyDescent="0.35">
      <c r="A71" s="7">
        <v>689</v>
      </c>
      <c r="B71" s="3">
        <v>40575</v>
      </c>
      <c r="C71" s="1">
        <v>1</v>
      </c>
      <c r="D71" s="1">
        <v>0</v>
      </c>
      <c r="E71" s="1">
        <v>2</v>
      </c>
      <c r="F71" s="1">
        <v>0</v>
      </c>
      <c r="G71" s="4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8">
        <v>8</v>
      </c>
    </row>
    <row r="72" spans="1:16" ht="15" thickBot="1" x14ac:dyDescent="0.35">
      <c r="A72" s="7">
        <v>690</v>
      </c>
      <c r="B72" s="3">
        <v>40575</v>
      </c>
      <c r="C72" s="1">
        <v>1</v>
      </c>
      <c r="D72" s="1">
        <v>0</v>
      </c>
      <c r="E72" s="1">
        <v>2</v>
      </c>
      <c r="F72" s="1">
        <v>1</v>
      </c>
      <c r="G72" s="4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8">
        <v>3</v>
      </c>
    </row>
    <row r="73" spans="1:16" ht="15" thickBot="1" x14ac:dyDescent="0.35">
      <c r="A73" s="7">
        <v>691</v>
      </c>
      <c r="B73" s="3">
        <v>40575</v>
      </c>
      <c r="C73" s="1">
        <v>1</v>
      </c>
      <c r="D73" s="1">
        <v>0</v>
      </c>
      <c r="E73" s="1">
        <v>2</v>
      </c>
      <c r="F73" s="1">
        <v>2</v>
      </c>
      <c r="G73" s="4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8">
        <v>2</v>
      </c>
    </row>
    <row r="74" spans="1:16" ht="15" thickBot="1" x14ac:dyDescent="0.35">
      <c r="A74" s="7">
        <v>692</v>
      </c>
      <c r="B74" s="3">
        <v>40575</v>
      </c>
      <c r="C74" s="1">
        <v>1</v>
      </c>
      <c r="D74" s="1">
        <v>0</v>
      </c>
      <c r="E74" s="1">
        <v>2</v>
      </c>
      <c r="F74" s="1">
        <v>3</v>
      </c>
      <c r="G74" s="4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8">
        <v>2</v>
      </c>
    </row>
    <row r="75" spans="1:16" ht="15" thickBot="1" x14ac:dyDescent="0.35">
      <c r="A75" s="7">
        <v>693</v>
      </c>
      <c r="B75" s="3">
        <v>40575</v>
      </c>
      <c r="C75" s="1">
        <v>1</v>
      </c>
      <c r="D75" s="1">
        <v>0</v>
      </c>
      <c r="E75" s="1">
        <v>2</v>
      </c>
      <c r="F75" s="1">
        <v>5</v>
      </c>
      <c r="G75" s="4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8">
        <v>3</v>
      </c>
    </row>
    <row r="76" spans="1:16" ht="15" thickBot="1" x14ac:dyDescent="0.35">
      <c r="A76" s="7">
        <v>694</v>
      </c>
      <c r="B76" s="3">
        <v>40575</v>
      </c>
      <c r="C76" s="1">
        <v>1</v>
      </c>
      <c r="D76" s="1">
        <v>0</v>
      </c>
      <c r="E76" s="1">
        <v>2</v>
      </c>
      <c r="F76" s="1">
        <v>6</v>
      </c>
      <c r="G76" s="4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8">
        <v>22</v>
      </c>
    </row>
    <row r="77" spans="1:16" ht="15" thickBot="1" x14ac:dyDescent="0.35">
      <c r="A77" s="7">
        <v>695</v>
      </c>
      <c r="B77" s="3">
        <v>40575</v>
      </c>
      <c r="C77" s="1">
        <v>1</v>
      </c>
      <c r="D77" s="1">
        <v>0</v>
      </c>
      <c r="E77" s="1">
        <v>2</v>
      </c>
      <c r="F77" s="1">
        <v>7</v>
      </c>
      <c r="G77" s="4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8">
        <v>52</v>
      </c>
    </row>
    <row r="78" spans="1:16" ht="15" thickBot="1" x14ac:dyDescent="0.35">
      <c r="A78" s="7">
        <v>696</v>
      </c>
      <c r="B78" s="3">
        <v>40575</v>
      </c>
      <c r="C78" s="1">
        <v>1</v>
      </c>
      <c r="D78" s="1">
        <v>0</v>
      </c>
      <c r="E78" s="1">
        <v>2</v>
      </c>
      <c r="F78" s="1">
        <v>8</v>
      </c>
      <c r="G78" s="4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8">
        <v>135</v>
      </c>
    </row>
    <row r="79" spans="1:16" ht="15" thickBot="1" x14ac:dyDescent="0.35">
      <c r="A79" s="7">
        <v>697</v>
      </c>
      <c r="B79" s="3">
        <v>40575</v>
      </c>
      <c r="C79" s="1">
        <v>1</v>
      </c>
      <c r="D79" s="1">
        <v>0</v>
      </c>
      <c r="E79" s="1">
        <v>2</v>
      </c>
      <c r="F79" s="1">
        <v>9</v>
      </c>
      <c r="G79" s="4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8">
        <v>116</v>
      </c>
    </row>
    <row r="80" spans="1:16" ht="15" thickBot="1" x14ac:dyDescent="0.35">
      <c r="A80" s="7">
        <v>698</v>
      </c>
      <c r="B80" s="3">
        <v>40575</v>
      </c>
      <c r="C80" s="1">
        <v>1</v>
      </c>
      <c r="D80" s="1">
        <v>0</v>
      </c>
      <c r="E80" s="1">
        <v>2</v>
      </c>
      <c r="F80" s="1">
        <v>10</v>
      </c>
      <c r="G80" s="4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8">
        <v>47</v>
      </c>
    </row>
    <row r="81" spans="1:16" ht="15" thickBot="1" x14ac:dyDescent="0.35">
      <c r="A81" s="7">
        <v>699</v>
      </c>
      <c r="B81" s="3">
        <v>40575</v>
      </c>
      <c r="C81" s="1">
        <v>1</v>
      </c>
      <c r="D81" s="1">
        <v>0</v>
      </c>
      <c r="E81" s="1">
        <v>2</v>
      </c>
      <c r="F81" s="1">
        <v>11</v>
      </c>
      <c r="G81" s="4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8">
        <v>51</v>
      </c>
    </row>
    <row r="82" spans="1:16" ht="15" thickBot="1" x14ac:dyDescent="0.35">
      <c r="A82" s="7">
        <v>700</v>
      </c>
      <c r="B82" s="3">
        <v>40575</v>
      </c>
      <c r="C82" s="1">
        <v>1</v>
      </c>
      <c r="D82" s="1">
        <v>0</v>
      </c>
      <c r="E82" s="1">
        <v>2</v>
      </c>
      <c r="F82" s="1">
        <v>12</v>
      </c>
      <c r="G82" s="4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8">
        <v>55</v>
      </c>
    </row>
    <row r="83" spans="1:16" ht="15" thickBot="1" x14ac:dyDescent="0.35">
      <c r="A83" s="7">
        <v>701</v>
      </c>
      <c r="B83" s="3">
        <v>40575</v>
      </c>
      <c r="C83" s="1">
        <v>1</v>
      </c>
      <c r="D83" s="1">
        <v>0</v>
      </c>
      <c r="E83" s="1">
        <v>2</v>
      </c>
      <c r="F83" s="1">
        <v>13</v>
      </c>
      <c r="G83" s="4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8">
        <v>52</v>
      </c>
    </row>
    <row r="84" spans="1:16" ht="15" thickBot="1" x14ac:dyDescent="0.35">
      <c r="A84" s="7">
        <v>702</v>
      </c>
      <c r="B84" s="3">
        <v>40575</v>
      </c>
      <c r="C84" s="1">
        <v>1</v>
      </c>
      <c r="D84" s="1">
        <v>0</v>
      </c>
      <c r="E84" s="1">
        <v>2</v>
      </c>
      <c r="F84" s="1">
        <v>14</v>
      </c>
      <c r="G84" s="4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8">
        <v>54</v>
      </c>
    </row>
    <row r="85" spans="1:16" ht="15" thickBot="1" x14ac:dyDescent="0.35">
      <c r="A85" s="7">
        <v>703</v>
      </c>
      <c r="B85" s="3">
        <v>40575</v>
      </c>
      <c r="C85" s="1">
        <v>1</v>
      </c>
      <c r="D85" s="1">
        <v>0</v>
      </c>
      <c r="E85" s="1">
        <v>2</v>
      </c>
      <c r="F85" s="1">
        <v>15</v>
      </c>
      <c r="G85" s="4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8">
        <v>52</v>
      </c>
    </row>
    <row r="86" spans="1:16" ht="15" thickBot="1" x14ac:dyDescent="0.35">
      <c r="A86" s="7">
        <v>704</v>
      </c>
      <c r="B86" s="3">
        <v>40575</v>
      </c>
      <c r="C86" s="1">
        <v>1</v>
      </c>
      <c r="D86" s="1">
        <v>0</v>
      </c>
      <c r="E86" s="1">
        <v>2</v>
      </c>
      <c r="F86" s="1">
        <v>16</v>
      </c>
      <c r="G86" s="4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8">
        <v>64</v>
      </c>
    </row>
    <row r="87" spans="1:16" ht="15" thickBot="1" x14ac:dyDescent="0.35">
      <c r="A87" s="7">
        <v>705</v>
      </c>
      <c r="B87" s="3">
        <v>40575</v>
      </c>
      <c r="C87" s="1">
        <v>1</v>
      </c>
      <c r="D87" s="1">
        <v>0</v>
      </c>
      <c r="E87" s="1">
        <v>2</v>
      </c>
      <c r="F87" s="1">
        <v>17</v>
      </c>
      <c r="G87" s="4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8">
        <v>176</v>
      </c>
    </row>
    <row r="88" spans="1:16" ht="15" thickBot="1" x14ac:dyDescent="0.35">
      <c r="A88" s="7">
        <v>706</v>
      </c>
      <c r="B88" s="3">
        <v>40575</v>
      </c>
      <c r="C88" s="1">
        <v>1</v>
      </c>
      <c r="D88" s="1">
        <v>0</v>
      </c>
      <c r="E88" s="1">
        <v>2</v>
      </c>
      <c r="F88" s="1">
        <v>18</v>
      </c>
      <c r="G88" s="4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8">
        <v>168</v>
      </c>
    </row>
    <row r="89" spans="1:16" ht="15" thickBot="1" x14ac:dyDescent="0.35">
      <c r="A89" s="7">
        <v>707</v>
      </c>
      <c r="B89" s="3">
        <v>40575</v>
      </c>
      <c r="C89" s="1">
        <v>1</v>
      </c>
      <c r="D89" s="1">
        <v>0</v>
      </c>
      <c r="E89" s="1">
        <v>2</v>
      </c>
      <c r="F89" s="1">
        <v>19</v>
      </c>
      <c r="G89" s="4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8">
        <v>108</v>
      </c>
    </row>
    <row r="90" spans="1:16" ht="15" thickBot="1" x14ac:dyDescent="0.35">
      <c r="A90" s="7">
        <v>708</v>
      </c>
      <c r="B90" s="3">
        <v>40575</v>
      </c>
      <c r="C90" s="1">
        <v>1</v>
      </c>
      <c r="D90" s="1">
        <v>0</v>
      </c>
      <c r="E90" s="1">
        <v>2</v>
      </c>
      <c r="F90" s="1">
        <v>20</v>
      </c>
      <c r="G90" s="4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8">
        <v>74</v>
      </c>
    </row>
    <row r="91" spans="1:16" ht="15" thickBot="1" x14ac:dyDescent="0.35">
      <c r="A91" s="7">
        <v>709</v>
      </c>
      <c r="B91" s="3">
        <v>40575</v>
      </c>
      <c r="C91" s="1">
        <v>1</v>
      </c>
      <c r="D91" s="1">
        <v>0</v>
      </c>
      <c r="E91" s="1">
        <v>2</v>
      </c>
      <c r="F91" s="1">
        <v>21</v>
      </c>
      <c r="G91" s="4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8">
        <v>64</v>
      </c>
    </row>
    <row r="92" spans="1:16" ht="15" thickBot="1" x14ac:dyDescent="0.35">
      <c r="A92" s="7">
        <v>710</v>
      </c>
      <c r="B92" s="3">
        <v>40575</v>
      </c>
      <c r="C92" s="1">
        <v>1</v>
      </c>
      <c r="D92" s="1">
        <v>0</v>
      </c>
      <c r="E92" s="1">
        <v>2</v>
      </c>
      <c r="F92" s="1">
        <v>22</v>
      </c>
      <c r="G92" s="4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8">
        <v>36</v>
      </c>
    </row>
    <row r="93" spans="1:16" ht="15" thickBot="1" x14ac:dyDescent="0.35">
      <c r="A93" s="7">
        <v>711</v>
      </c>
      <c r="B93" s="3">
        <v>40575</v>
      </c>
      <c r="C93" s="1">
        <v>1</v>
      </c>
      <c r="D93" s="1">
        <v>0</v>
      </c>
      <c r="E93" s="1">
        <v>2</v>
      </c>
      <c r="F93" s="1">
        <v>23</v>
      </c>
      <c r="G93" s="4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8">
        <v>16</v>
      </c>
    </row>
    <row r="94" spans="1:16" ht="15" thickBot="1" x14ac:dyDescent="0.35">
      <c r="A94" s="7">
        <v>712</v>
      </c>
      <c r="B94" s="3">
        <v>40576</v>
      </c>
      <c r="C94" s="1">
        <v>1</v>
      </c>
      <c r="D94" s="1">
        <v>0</v>
      </c>
      <c r="E94" s="1">
        <v>2</v>
      </c>
      <c r="F94" s="1">
        <v>0</v>
      </c>
      <c r="G94" s="4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8">
        <v>2</v>
      </c>
    </row>
    <row r="95" spans="1:16" ht="15" thickBot="1" x14ac:dyDescent="0.35">
      <c r="A95" s="7">
        <v>713</v>
      </c>
      <c r="B95" s="3">
        <v>40576</v>
      </c>
      <c r="C95" s="1">
        <v>1</v>
      </c>
      <c r="D95" s="1">
        <v>0</v>
      </c>
      <c r="E95" s="1">
        <v>2</v>
      </c>
      <c r="F95" s="1">
        <v>1</v>
      </c>
      <c r="G95" s="4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8">
        <v>3</v>
      </c>
    </row>
    <row r="96" spans="1:16" ht="15" thickBot="1" x14ac:dyDescent="0.35">
      <c r="A96" s="7">
        <v>714</v>
      </c>
      <c r="B96" s="3">
        <v>40576</v>
      </c>
      <c r="C96" s="1">
        <v>1</v>
      </c>
      <c r="D96" s="1">
        <v>0</v>
      </c>
      <c r="E96" s="1">
        <v>2</v>
      </c>
      <c r="F96" s="1">
        <v>2</v>
      </c>
      <c r="G96" s="4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8">
        <v>4</v>
      </c>
    </row>
    <row r="97" spans="1:16" ht="15" thickBot="1" x14ac:dyDescent="0.35">
      <c r="A97" s="7">
        <v>715</v>
      </c>
      <c r="B97" s="3">
        <v>40576</v>
      </c>
      <c r="C97" s="1">
        <v>1</v>
      </c>
      <c r="D97" s="1">
        <v>0</v>
      </c>
      <c r="E97" s="1">
        <v>2</v>
      </c>
      <c r="F97" s="1">
        <v>3</v>
      </c>
      <c r="G97" s="4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8">
        <v>1</v>
      </c>
    </row>
    <row r="98" spans="1:16" ht="15" thickBot="1" x14ac:dyDescent="0.35">
      <c r="A98" s="7">
        <v>716</v>
      </c>
      <c r="B98" s="3">
        <v>40576</v>
      </c>
      <c r="C98" s="1">
        <v>1</v>
      </c>
      <c r="D98" s="1">
        <v>0</v>
      </c>
      <c r="E98" s="1">
        <v>2</v>
      </c>
      <c r="F98" s="1">
        <v>4</v>
      </c>
      <c r="G98" s="4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8">
        <v>1</v>
      </c>
    </row>
    <row r="99" spans="1:16" ht="15" thickBot="1" x14ac:dyDescent="0.35">
      <c r="A99" s="7">
        <v>717</v>
      </c>
      <c r="B99" s="3">
        <v>40576</v>
      </c>
      <c r="C99" s="1">
        <v>1</v>
      </c>
      <c r="D99" s="1">
        <v>0</v>
      </c>
      <c r="E99" s="1">
        <v>2</v>
      </c>
      <c r="F99" s="1">
        <v>5</v>
      </c>
      <c r="G99" s="4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8">
        <v>3</v>
      </c>
    </row>
    <row r="100" spans="1:16" ht="15" thickBot="1" x14ac:dyDescent="0.35">
      <c r="A100" s="7">
        <v>718</v>
      </c>
      <c r="B100" s="3">
        <v>40576</v>
      </c>
      <c r="C100" s="1">
        <v>1</v>
      </c>
      <c r="D100" s="1">
        <v>0</v>
      </c>
      <c r="E100" s="1">
        <v>2</v>
      </c>
      <c r="F100" s="1">
        <v>6</v>
      </c>
      <c r="G100" s="4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8">
        <v>18</v>
      </c>
    </row>
    <row r="101" spans="1:16" ht="15" thickBot="1" x14ac:dyDescent="0.35">
      <c r="A101" s="7">
        <v>719</v>
      </c>
      <c r="B101" s="3">
        <v>40576</v>
      </c>
      <c r="C101" s="1">
        <v>1</v>
      </c>
      <c r="D101" s="1">
        <v>0</v>
      </c>
      <c r="E101" s="1">
        <v>2</v>
      </c>
      <c r="F101" s="1">
        <v>7</v>
      </c>
      <c r="G101" s="4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8">
        <v>49</v>
      </c>
    </row>
    <row r="102" spans="1:16" ht="15" thickBot="1" x14ac:dyDescent="0.35">
      <c r="A102" s="7">
        <v>720</v>
      </c>
      <c r="B102" s="3">
        <v>40576</v>
      </c>
      <c r="C102" s="1">
        <v>1</v>
      </c>
      <c r="D102" s="1">
        <v>0</v>
      </c>
      <c r="E102" s="1">
        <v>2</v>
      </c>
      <c r="F102" s="1">
        <v>8</v>
      </c>
      <c r="G102" s="4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8">
        <v>155</v>
      </c>
    </row>
    <row r="103" spans="1:16" ht="15" thickBot="1" x14ac:dyDescent="0.35">
      <c r="A103" s="7">
        <v>721</v>
      </c>
      <c r="B103" s="3">
        <v>40576</v>
      </c>
      <c r="C103" s="1">
        <v>1</v>
      </c>
      <c r="D103" s="1">
        <v>0</v>
      </c>
      <c r="E103" s="1">
        <v>2</v>
      </c>
      <c r="F103" s="1">
        <v>9</v>
      </c>
      <c r="G103" s="4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8">
        <v>123</v>
      </c>
    </row>
    <row r="104" spans="1:16" ht="15" thickBot="1" x14ac:dyDescent="0.35">
      <c r="A104" s="7">
        <v>722</v>
      </c>
      <c r="B104" s="3">
        <v>40576</v>
      </c>
      <c r="C104" s="1">
        <v>1</v>
      </c>
      <c r="D104" s="1">
        <v>0</v>
      </c>
      <c r="E104" s="1">
        <v>2</v>
      </c>
      <c r="F104" s="1">
        <v>10</v>
      </c>
      <c r="G104" s="4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8">
        <v>61</v>
      </c>
    </row>
    <row r="105" spans="1:16" ht="15" thickBot="1" x14ac:dyDescent="0.35">
      <c r="A105" s="7">
        <v>723</v>
      </c>
      <c r="B105" s="3">
        <v>40576</v>
      </c>
      <c r="C105" s="1">
        <v>1</v>
      </c>
      <c r="D105" s="1">
        <v>0</v>
      </c>
      <c r="E105" s="1">
        <v>2</v>
      </c>
      <c r="F105" s="1">
        <v>11</v>
      </c>
      <c r="G105" s="4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8">
        <v>52</v>
      </c>
    </row>
    <row r="106" spans="1:16" ht="15" thickBot="1" x14ac:dyDescent="0.35">
      <c r="A106" s="7">
        <v>724</v>
      </c>
      <c r="B106" s="3">
        <v>40576</v>
      </c>
      <c r="C106" s="1">
        <v>1</v>
      </c>
      <c r="D106" s="1">
        <v>0</v>
      </c>
      <c r="E106" s="1">
        <v>2</v>
      </c>
      <c r="F106" s="1">
        <v>12</v>
      </c>
      <c r="G106" s="4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8">
        <v>64</v>
      </c>
    </row>
    <row r="107" spans="1:16" ht="15" thickBot="1" x14ac:dyDescent="0.35">
      <c r="A107" s="7">
        <v>725</v>
      </c>
      <c r="B107" s="3">
        <v>40576</v>
      </c>
      <c r="C107" s="1">
        <v>1</v>
      </c>
      <c r="D107" s="1">
        <v>0</v>
      </c>
      <c r="E107" s="1">
        <v>2</v>
      </c>
      <c r="F107" s="1">
        <v>13</v>
      </c>
      <c r="G107" s="4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8">
        <v>75</v>
      </c>
    </row>
    <row r="108" spans="1:16" ht="15" thickBot="1" x14ac:dyDescent="0.35">
      <c r="A108" s="7">
        <v>726</v>
      </c>
      <c r="B108" s="3">
        <v>40576</v>
      </c>
      <c r="C108" s="1">
        <v>1</v>
      </c>
      <c r="D108" s="1">
        <v>0</v>
      </c>
      <c r="E108" s="1">
        <v>2</v>
      </c>
      <c r="F108" s="1">
        <v>14</v>
      </c>
      <c r="G108" s="4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8">
        <v>63</v>
      </c>
    </row>
    <row r="109" spans="1:16" ht="15" thickBot="1" x14ac:dyDescent="0.35">
      <c r="A109" s="7">
        <v>727</v>
      </c>
      <c r="B109" s="3">
        <v>40576</v>
      </c>
      <c r="C109" s="1">
        <v>1</v>
      </c>
      <c r="D109" s="1">
        <v>0</v>
      </c>
      <c r="E109" s="1">
        <v>2</v>
      </c>
      <c r="F109" s="1">
        <v>15</v>
      </c>
      <c r="G109" s="4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8">
        <v>76</v>
      </c>
    </row>
    <row r="110" spans="1:16" ht="15" thickBot="1" x14ac:dyDescent="0.35">
      <c r="A110" s="7">
        <v>728</v>
      </c>
      <c r="B110" s="3">
        <v>40576</v>
      </c>
      <c r="C110" s="1">
        <v>1</v>
      </c>
      <c r="D110" s="1">
        <v>0</v>
      </c>
      <c r="E110" s="1">
        <v>2</v>
      </c>
      <c r="F110" s="1">
        <v>16</v>
      </c>
      <c r="G110" s="4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8">
        <v>103</v>
      </c>
    </row>
    <row r="111" spans="1:16" ht="15" thickBot="1" x14ac:dyDescent="0.35">
      <c r="A111" s="7">
        <v>729</v>
      </c>
      <c r="B111" s="3">
        <v>40576</v>
      </c>
      <c r="C111" s="1">
        <v>1</v>
      </c>
      <c r="D111" s="1">
        <v>0</v>
      </c>
      <c r="E111" s="1">
        <v>2</v>
      </c>
      <c r="F111" s="1">
        <v>17</v>
      </c>
      <c r="G111" s="4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8">
        <v>190</v>
      </c>
    </row>
    <row r="112" spans="1:16" ht="15" thickBot="1" x14ac:dyDescent="0.35">
      <c r="A112" s="7">
        <v>730</v>
      </c>
      <c r="B112" s="3">
        <v>40576</v>
      </c>
      <c r="C112" s="1">
        <v>1</v>
      </c>
      <c r="D112" s="1">
        <v>0</v>
      </c>
      <c r="E112" s="1">
        <v>2</v>
      </c>
      <c r="F112" s="1">
        <v>18</v>
      </c>
      <c r="G112" s="4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8">
        <v>182</v>
      </c>
    </row>
    <row r="113" spans="1:16" ht="15" thickBot="1" x14ac:dyDescent="0.35">
      <c r="A113" s="7">
        <v>731</v>
      </c>
      <c r="B113" s="3">
        <v>40576</v>
      </c>
      <c r="C113" s="1">
        <v>1</v>
      </c>
      <c r="D113" s="1">
        <v>0</v>
      </c>
      <c r="E113" s="1">
        <v>2</v>
      </c>
      <c r="F113" s="1">
        <v>19</v>
      </c>
      <c r="G113" s="4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8">
        <v>91</v>
      </c>
    </row>
    <row r="114" spans="1:16" ht="15" thickBot="1" x14ac:dyDescent="0.35">
      <c r="A114" s="7">
        <v>732</v>
      </c>
      <c r="B114" s="3">
        <v>40576</v>
      </c>
      <c r="C114" s="1">
        <v>1</v>
      </c>
      <c r="D114" s="1">
        <v>0</v>
      </c>
      <c r="E114" s="1">
        <v>2</v>
      </c>
      <c r="F114" s="1">
        <v>20</v>
      </c>
      <c r="G114" s="4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8">
        <v>75</v>
      </c>
    </row>
    <row r="115" spans="1:16" ht="15" thickBot="1" x14ac:dyDescent="0.35">
      <c r="A115" s="7">
        <v>733</v>
      </c>
      <c r="B115" s="3">
        <v>40576</v>
      </c>
      <c r="C115" s="1">
        <v>1</v>
      </c>
      <c r="D115" s="1">
        <v>0</v>
      </c>
      <c r="E115" s="1">
        <v>2</v>
      </c>
      <c r="F115" s="1">
        <v>21</v>
      </c>
      <c r="G115" s="4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8">
        <v>63</v>
      </c>
    </row>
    <row r="116" spans="1:16" ht="15" thickBot="1" x14ac:dyDescent="0.35">
      <c r="A116" s="7">
        <v>734</v>
      </c>
      <c r="B116" s="3">
        <v>40576</v>
      </c>
      <c r="C116" s="1">
        <v>1</v>
      </c>
      <c r="D116" s="1">
        <v>0</v>
      </c>
      <c r="E116" s="1">
        <v>2</v>
      </c>
      <c r="F116" s="1">
        <v>22</v>
      </c>
      <c r="G116" s="4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8">
        <v>40</v>
      </c>
    </row>
    <row r="117" spans="1:16" ht="15" thickBot="1" x14ac:dyDescent="0.35">
      <c r="A117" s="7">
        <v>735</v>
      </c>
      <c r="B117" s="3">
        <v>40576</v>
      </c>
      <c r="C117" s="1">
        <v>1</v>
      </c>
      <c r="D117" s="1">
        <v>0</v>
      </c>
      <c r="E117" s="1">
        <v>2</v>
      </c>
      <c r="F117" s="1">
        <v>23</v>
      </c>
      <c r="G117" s="4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8">
        <v>32</v>
      </c>
    </row>
    <row r="118" spans="1:16" ht="15" thickBot="1" x14ac:dyDescent="0.35">
      <c r="A118" s="7">
        <v>736</v>
      </c>
      <c r="B118" s="3">
        <v>40577</v>
      </c>
      <c r="C118" s="1">
        <v>1</v>
      </c>
      <c r="D118" s="1">
        <v>0</v>
      </c>
      <c r="E118" s="1">
        <v>2</v>
      </c>
      <c r="F118" s="1">
        <v>0</v>
      </c>
      <c r="G118" s="4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8">
        <v>12</v>
      </c>
    </row>
    <row r="119" spans="1:16" ht="15" thickBot="1" x14ac:dyDescent="0.35">
      <c r="A119" s="7">
        <v>737</v>
      </c>
      <c r="B119" s="3">
        <v>40577</v>
      </c>
      <c r="C119" s="1">
        <v>1</v>
      </c>
      <c r="D119" s="1">
        <v>0</v>
      </c>
      <c r="E119" s="1">
        <v>2</v>
      </c>
      <c r="F119" s="1">
        <v>1</v>
      </c>
      <c r="G119" s="4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8">
        <v>5</v>
      </c>
    </row>
    <row r="120" spans="1:16" ht="15" thickBot="1" x14ac:dyDescent="0.35">
      <c r="A120" s="7">
        <v>738</v>
      </c>
      <c r="B120" s="3">
        <v>40577</v>
      </c>
      <c r="C120" s="1">
        <v>1</v>
      </c>
      <c r="D120" s="1">
        <v>0</v>
      </c>
      <c r="E120" s="1">
        <v>2</v>
      </c>
      <c r="F120" s="1">
        <v>2</v>
      </c>
      <c r="G120" s="4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8">
        <v>2</v>
      </c>
    </row>
    <row r="121" spans="1:16" ht="15" thickBot="1" x14ac:dyDescent="0.35">
      <c r="A121" s="7">
        <v>739</v>
      </c>
      <c r="B121" s="3">
        <v>40577</v>
      </c>
      <c r="C121" s="1">
        <v>1</v>
      </c>
      <c r="D121" s="1">
        <v>0</v>
      </c>
      <c r="E121" s="1">
        <v>2</v>
      </c>
      <c r="F121" s="1">
        <v>3</v>
      </c>
      <c r="G121" s="4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8">
        <v>1</v>
      </c>
    </row>
    <row r="122" spans="1:16" ht="15" thickBot="1" x14ac:dyDescent="0.35">
      <c r="A122" s="7">
        <v>740</v>
      </c>
      <c r="B122" s="3">
        <v>40577</v>
      </c>
      <c r="C122" s="1">
        <v>1</v>
      </c>
      <c r="D122" s="1">
        <v>0</v>
      </c>
      <c r="E122" s="1">
        <v>2</v>
      </c>
      <c r="F122" s="1">
        <v>5</v>
      </c>
      <c r="G122" s="4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8">
        <v>2</v>
      </c>
    </row>
    <row r="123" spans="1:16" ht="15" thickBot="1" x14ac:dyDescent="0.35">
      <c r="A123" s="7">
        <v>741</v>
      </c>
      <c r="B123" s="3">
        <v>40577</v>
      </c>
      <c r="C123" s="1">
        <v>1</v>
      </c>
      <c r="D123" s="1">
        <v>0</v>
      </c>
      <c r="E123" s="1">
        <v>2</v>
      </c>
      <c r="F123" s="1">
        <v>6</v>
      </c>
      <c r="G123" s="4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8">
        <v>39</v>
      </c>
    </row>
    <row r="124" spans="1:16" ht="15" thickBot="1" x14ac:dyDescent="0.35">
      <c r="A124" s="7">
        <v>742</v>
      </c>
      <c r="B124" s="3">
        <v>40577</v>
      </c>
      <c r="C124" s="1">
        <v>1</v>
      </c>
      <c r="D124" s="1">
        <v>0</v>
      </c>
      <c r="E124" s="1">
        <v>2</v>
      </c>
      <c r="F124" s="1">
        <v>7</v>
      </c>
      <c r="G124" s="4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8">
        <v>87</v>
      </c>
    </row>
    <row r="125" spans="1:16" ht="15" thickBot="1" x14ac:dyDescent="0.35">
      <c r="A125" s="7">
        <v>743</v>
      </c>
      <c r="B125" s="3">
        <v>40577</v>
      </c>
      <c r="C125" s="1">
        <v>1</v>
      </c>
      <c r="D125" s="1">
        <v>0</v>
      </c>
      <c r="E125" s="1">
        <v>2</v>
      </c>
      <c r="F125" s="1">
        <v>8</v>
      </c>
      <c r="G125" s="4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8">
        <v>188</v>
      </c>
    </row>
    <row r="126" spans="1:16" ht="15" thickBot="1" x14ac:dyDescent="0.35">
      <c r="A126" s="7">
        <v>744</v>
      </c>
      <c r="B126" s="3">
        <v>40577</v>
      </c>
      <c r="C126" s="1">
        <v>1</v>
      </c>
      <c r="D126" s="1">
        <v>0</v>
      </c>
      <c r="E126" s="1">
        <v>2</v>
      </c>
      <c r="F126" s="1">
        <v>9</v>
      </c>
      <c r="G126" s="4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8">
        <v>133</v>
      </c>
    </row>
    <row r="127" spans="1:16" ht="15" thickBot="1" x14ac:dyDescent="0.35">
      <c r="A127" s="7">
        <v>745</v>
      </c>
      <c r="B127" s="3">
        <v>40577</v>
      </c>
      <c r="C127" s="1">
        <v>1</v>
      </c>
      <c r="D127" s="1">
        <v>0</v>
      </c>
      <c r="E127" s="1">
        <v>2</v>
      </c>
      <c r="F127" s="1">
        <v>10</v>
      </c>
      <c r="G127" s="4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8">
        <v>52</v>
      </c>
    </row>
    <row r="128" spans="1:16" ht="15" thickBot="1" x14ac:dyDescent="0.35">
      <c r="A128" s="7">
        <v>746</v>
      </c>
      <c r="B128" s="3">
        <v>40577</v>
      </c>
      <c r="C128" s="1">
        <v>1</v>
      </c>
      <c r="D128" s="1">
        <v>0</v>
      </c>
      <c r="E128" s="1">
        <v>2</v>
      </c>
      <c r="F128" s="1">
        <v>11</v>
      </c>
      <c r="G128" s="4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8">
        <v>64</v>
      </c>
    </row>
    <row r="129" spans="1:16" ht="15" thickBot="1" x14ac:dyDescent="0.35">
      <c r="A129" s="7">
        <v>747</v>
      </c>
      <c r="B129" s="3">
        <v>40577</v>
      </c>
      <c r="C129" s="1">
        <v>1</v>
      </c>
      <c r="D129" s="1">
        <v>0</v>
      </c>
      <c r="E129" s="1">
        <v>2</v>
      </c>
      <c r="F129" s="1">
        <v>12</v>
      </c>
      <c r="G129" s="4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8">
        <v>69</v>
      </c>
    </row>
    <row r="130" spans="1:16" ht="15" thickBot="1" x14ac:dyDescent="0.35">
      <c r="A130" s="7">
        <v>748</v>
      </c>
      <c r="B130" s="3">
        <v>40577</v>
      </c>
      <c r="C130" s="1">
        <v>1</v>
      </c>
      <c r="D130" s="1">
        <v>0</v>
      </c>
      <c r="E130" s="1">
        <v>2</v>
      </c>
      <c r="F130" s="1">
        <v>13</v>
      </c>
      <c r="G130" s="4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8">
        <v>51</v>
      </c>
    </row>
    <row r="131" spans="1:16" ht="15" thickBot="1" x14ac:dyDescent="0.35">
      <c r="A131" s="7">
        <v>749</v>
      </c>
      <c r="B131" s="3">
        <v>40577</v>
      </c>
      <c r="C131" s="1">
        <v>1</v>
      </c>
      <c r="D131" s="1">
        <v>0</v>
      </c>
      <c r="E131" s="1">
        <v>2</v>
      </c>
      <c r="F131" s="1">
        <v>14</v>
      </c>
      <c r="G131" s="4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8">
        <v>47</v>
      </c>
    </row>
    <row r="132" spans="1:16" ht="15" thickBot="1" x14ac:dyDescent="0.35">
      <c r="A132" s="7">
        <v>750</v>
      </c>
      <c r="B132" s="3">
        <v>40577</v>
      </c>
      <c r="C132" s="1">
        <v>1</v>
      </c>
      <c r="D132" s="1">
        <v>0</v>
      </c>
      <c r="E132" s="1">
        <v>2</v>
      </c>
      <c r="F132" s="1">
        <v>15</v>
      </c>
      <c r="G132" s="4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8">
        <v>60</v>
      </c>
    </row>
    <row r="133" spans="1:16" ht="15" thickBot="1" x14ac:dyDescent="0.35">
      <c r="A133" s="7">
        <v>751</v>
      </c>
      <c r="B133" s="3">
        <v>40577</v>
      </c>
      <c r="C133" s="1">
        <v>1</v>
      </c>
      <c r="D133" s="1">
        <v>0</v>
      </c>
      <c r="E133" s="1">
        <v>2</v>
      </c>
      <c r="F133" s="1">
        <v>16</v>
      </c>
      <c r="G133" s="4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8">
        <v>78</v>
      </c>
    </row>
    <row r="134" spans="1:16" ht="15" thickBot="1" x14ac:dyDescent="0.35">
      <c r="A134" s="7">
        <v>752</v>
      </c>
      <c r="B134" s="3">
        <v>40577</v>
      </c>
      <c r="C134" s="1">
        <v>1</v>
      </c>
      <c r="D134" s="1">
        <v>0</v>
      </c>
      <c r="E134" s="1">
        <v>2</v>
      </c>
      <c r="F134" s="1">
        <v>17</v>
      </c>
      <c r="G134" s="4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8">
        <v>175</v>
      </c>
    </row>
    <row r="135" spans="1:16" ht="15" thickBot="1" x14ac:dyDescent="0.35">
      <c r="A135" s="7">
        <v>753</v>
      </c>
      <c r="B135" s="3">
        <v>40577</v>
      </c>
      <c r="C135" s="1">
        <v>1</v>
      </c>
      <c r="D135" s="1">
        <v>0</v>
      </c>
      <c r="E135" s="1">
        <v>2</v>
      </c>
      <c r="F135" s="1">
        <v>18</v>
      </c>
      <c r="G135" s="4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8">
        <v>147</v>
      </c>
    </row>
    <row r="136" spans="1:16" ht="15" thickBot="1" x14ac:dyDescent="0.35">
      <c r="A136" s="7">
        <v>754</v>
      </c>
      <c r="B136" s="3">
        <v>40577</v>
      </c>
      <c r="C136" s="1">
        <v>1</v>
      </c>
      <c r="D136" s="1">
        <v>0</v>
      </c>
      <c r="E136" s="1">
        <v>2</v>
      </c>
      <c r="F136" s="1">
        <v>19</v>
      </c>
      <c r="G136" s="4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8">
        <v>96</v>
      </c>
    </row>
    <row r="137" spans="1:16" ht="15" thickBot="1" x14ac:dyDescent="0.35">
      <c r="A137" s="7">
        <v>755</v>
      </c>
      <c r="B137" s="3">
        <v>40577</v>
      </c>
      <c r="C137" s="1">
        <v>1</v>
      </c>
      <c r="D137" s="1">
        <v>0</v>
      </c>
      <c r="E137" s="1">
        <v>2</v>
      </c>
      <c r="F137" s="1">
        <v>20</v>
      </c>
      <c r="G137" s="4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8">
        <v>109</v>
      </c>
    </row>
    <row r="138" spans="1:16" ht="15" thickBot="1" x14ac:dyDescent="0.35">
      <c r="A138" s="7">
        <v>756</v>
      </c>
      <c r="B138" s="3">
        <v>40577</v>
      </c>
      <c r="C138" s="1">
        <v>1</v>
      </c>
      <c r="D138" s="1">
        <v>0</v>
      </c>
      <c r="E138" s="1">
        <v>2</v>
      </c>
      <c r="F138" s="1">
        <v>21</v>
      </c>
      <c r="G138" s="4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8">
        <v>54</v>
      </c>
    </row>
    <row r="139" spans="1:16" ht="15" thickBot="1" x14ac:dyDescent="0.35">
      <c r="A139" s="7">
        <v>757</v>
      </c>
      <c r="B139" s="3">
        <v>40577</v>
      </c>
      <c r="C139" s="1">
        <v>1</v>
      </c>
      <c r="D139" s="1">
        <v>0</v>
      </c>
      <c r="E139" s="1">
        <v>2</v>
      </c>
      <c r="F139" s="1">
        <v>22</v>
      </c>
      <c r="G139" s="4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8">
        <v>41</v>
      </c>
    </row>
    <row r="140" spans="1:16" ht="15" thickBot="1" x14ac:dyDescent="0.35">
      <c r="A140" s="7">
        <v>758</v>
      </c>
      <c r="B140" s="3">
        <v>40577</v>
      </c>
      <c r="C140" s="1">
        <v>1</v>
      </c>
      <c r="D140" s="1">
        <v>0</v>
      </c>
      <c r="E140" s="1">
        <v>2</v>
      </c>
      <c r="F140" s="1">
        <v>23</v>
      </c>
      <c r="G140" s="4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8">
        <v>38</v>
      </c>
    </row>
    <row r="141" spans="1:16" ht="15" thickBot="1" x14ac:dyDescent="0.35">
      <c r="A141" s="7">
        <v>759</v>
      </c>
      <c r="B141" s="3">
        <v>40578</v>
      </c>
      <c r="C141" s="1">
        <v>1</v>
      </c>
      <c r="D141" s="1">
        <v>0</v>
      </c>
      <c r="E141" s="1">
        <v>2</v>
      </c>
      <c r="F141" s="1">
        <v>0</v>
      </c>
      <c r="G141" s="4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8">
        <v>13</v>
      </c>
    </row>
    <row r="142" spans="1:16" ht="15" thickBot="1" x14ac:dyDescent="0.35">
      <c r="A142" s="7">
        <v>760</v>
      </c>
      <c r="B142" s="3">
        <v>40578</v>
      </c>
      <c r="C142" s="1">
        <v>1</v>
      </c>
      <c r="D142" s="1">
        <v>0</v>
      </c>
      <c r="E142" s="1">
        <v>2</v>
      </c>
      <c r="F142" s="1">
        <v>1</v>
      </c>
      <c r="G142" s="4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8">
        <v>7</v>
      </c>
    </row>
    <row r="143" spans="1:16" ht="15" thickBot="1" x14ac:dyDescent="0.35">
      <c r="A143" s="7">
        <v>761</v>
      </c>
      <c r="B143" s="3">
        <v>40578</v>
      </c>
      <c r="C143" s="1">
        <v>1</v>
      </c>
      <c r="D143" s="1">
        <v>0</v>
      </c>
      <c r="E143" s="1">
        <v>2</v>
      </c>
      <c r="F143" s="1">
        <v>2</v>
      </c>
      <c r="G143" s="4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8">
        <v>1</v>
      </c>
    </row>
    <row r="144" spans="1:16" ht="15" thickBot="1" x14ac:dyDescent="0.35">
      <c r="A144" s="7">
        <v>762</v>
      </c>
      <c r="B144" s="3">
        <v>40578</v>
      </c>
      <c r="C144" s="1">
        <v>1</v>
      </c>
      <c r="D144" s="1">
        <v>0</v>
      </c>
      <c r="E144" s="1">
        <v>2</v>
      </c>
      <c r="F144" s="1">
        <v>3</v>
      </c>
      <c r="G144" s="4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8">
        <v>1</v>
      </c>
    </row>
    <row r="145" spans="1:16" ht="15" thickBot="1" x14ac:dyDescent="0.35">
      <c r="A145" s="7">
        <v>763</v>
      </c>
      <c r="B145" s="3">
        <v>40578</v>
      </c>
      <c r="C145" s="1">
        <v>1</v>
      </c>
      <c r="D145" s="1">
        <v>0</v>
      </c>
      <c r="E145" s="1">
        <v>2</v>
      </c>
      <c r="F145" s="1">
        <v>5</v>
      </c>
      <c r="G145" s="4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8">
        <v>7</v>
      </c>
    </row>
    <row r="146" spans="1:16" ht="15" thickBot="1" x14ac:dyDescent="0.35">
      <c r="A146" s="7">
        <v>764</v>
      </c>
      <c r="B146" s="3">
        <v>40578</v>
      </c>
      <c r="C146" s="1">
        <v>1</v>
      </c>
      <c r="D146" s="1">
        <v>0</v>
      </c>
      <c r="E146" s="1">
        <v>2</v>
      </c>
      <c r="F146" s="1">
        <v>6</v>
      </c>
      <c r="G146" s="4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8">
        <v>28</v>
      </c>
    </row>
    <row r="147" spans="1:16" ht="15" thickBot="1" x14ac:dyDescent="0.35">
      <c r="A147" s="7">
        <v>765</v>
      </c>
      <c r="B147" s="3">
        <v>40578</v>
      </c>
      <c r="C147" s="1">
        <v>1</v>
      </c>
      <c r="D147" s="1">
        <v>0</v>
      </c>
      <c r="E147" s="1">
        <v>2</v>
      </c>
      <c r="F147" s="1">
        <v>7</v>
      </c>
      <c r="G147" s="4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8">
        <v>87</v>
      </c>
    </row>
    <row r="148" spans="1:16" ht="15" thickBot="1" x14ac:dyDescent="0.35">
      <c r="A148" s="7">
        <v>766</v>
      </c>
      <c r="B148" s="3">
        <v>40578</v>
      </c>
      <c r="C148" s="1">
        <v>1</v>
      </c>
      <c r="D148" s="1">
        <v>0</v>
      </c>
      <c r="E148" s="1">
        <v>2</v>
      </c>
      <c r="F148" s="1">
        <v>8</v>
      </c>
      <c r="G148" s="4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8">
        <v>220</v>
      </c>
    </row>
    <row r="149" spans="1:16" ht="15" thickBot="1" x14ac:dyDescent="0.35">
      <c r="A149" s="7">
        <v>767</v>
      </c>
      <c r="B149" s="3">
        <v>40578</v>
      </c>
      <c r="C149" s="1">
        <v>1</v>
      </c>
      <c r="D149" s="1">
        <v>0</v>
      </c>
      <c r="E149" s="1">
        <v>2</v>
      </c>
      <c r="F149" s="1">
        <v>9</v>
      </c>
      <c r="G149" s="4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8">
        <v>127</v>
      </c>
    </row>
    <row r="150" spans="1:16" ht="15" thickBot="1" x14ac:dyDescent="0.35">
      <c r="A150" s="7">
        <v>768</v>
      </c>
      <c r="B150" s="3">
        <v>40578</v>
      </c>
      <c r="C150" s="1">
        <v>1</v>
      </c>
      <c r="D150" s="1">
        <v>0</v>
      </c>
      <c r="E150" s="1">
        <v>2</v>
      </c>
      <c r="F150" s="1">
        <v>10</v>
      </c>
      <c r="G150" s="4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8">
        <v>51</v>
      </c>
    </row>
    <row r="151" spans="1:16" ht="15" thickBot="1" x14ac:dyDescent="0.35">
      <c r="A151" s="7">
        <v>769</v>
      </c>
      <c r="B151" s="3">
        <v>40578</v>
      </c>
      <c r="C151" s="1">
        <v>1</v>
      </c>
      <c r="D151" s="1">
        <v>0</v>
      </c>
      <c r="E151" s="1">
        <v>2</v>
      </c>
      <c r="F151" s="1">
        <v>11</v>
      </c>
      <c r="G151" s="4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8">
        <v>64</v>
      </c>
    </row>
    <row r="152" spans="1:16" ht="15" thickBot="1" x14ac:dyDescent="0.35">
      <c r="A152" s="7">
        <v>770</v>
      </c>
      <c r="B152" s="3">
        <v>40578</v>
      </c>
      <c r="C152" s="1">
        <v>1</v>
      </c>
      <c r="D152" s="1">
        <v>0</v>
      </c>
      <c r="E152" s="1">
        <v>2</v>
      </c>
      <c r="F152" s="1">
        <v>12</v>
      </c>
      <c r="G152" s="4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8">
        <v>86</v>
      </c>
    </row>
    <row r="153" spans="1:16" ht="15" thickBot="1" x14ac:dyDescent="0.35">
      <c r="A153" s="7">
        <v>771</v>
      </c>
      <c r="B153" s="3">
        <v>40578</v>
      </c>
      <c r="C153" s="1">
        <v>1</v>
      </c>
      <c r="D153" s="1">
        <v>0</v>
      </c>
      <c r="E153" s="1">
        <v>2</v>
      </c>
      <c r="F153" s="1">
        <v>13</v>
      </c>
      <c r="G153" s="4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8">
        <v>82</v>
      </c>
    </row>
    <row r="154" spans="1:16" ht="15" thickBot="1" x14ac:dyDescent="0.35">
      <c r="A154" s="7">
        <v>772</v>
      </c>
      <c r="B154" s="3">
        <v>40578</v>
      </c>
      <c r="C154" s="1">
        <v>1</v>
      </c>
      <c r="D154" s="1">
        <v>0</v>
      </c>
      <c r="E154" s="1">
        <v>2</v>
      </c>
      <c r="F154" s="1">
        <v>14</v>
      </c>
      <c r="G154" s="4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8">
        <v>91</v>
      </c>
    </row>
    <row r="155" spans="1:16" ht="15" thickBot="1" x14ac:dyDescent="0.35">
      <c r="A155" s="7">
        <v>773</v>
      </c>
      <c r="B155" s="3">
        <v>40578</v>
      </c>
      <c r="C155" s="1">
        <v>1</v>
      </c>
      <c r="D155" s="1">
        <v>0</v>
      </c>
      <c r="E155" s="1">
        <v>2</v>
      </c>
      <c r="F155" s="1">
        <v>15</v>
      </c>
      <c r="G155" s="4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8">
        <v>90</v>
      </c>
    </row>
    <row r="156" spans="1:16" ht="15" thickBot="1" x14ac:dyDescent="0.35">
      <c r="A156" s="7">
        <v>774</v>
      </c>
      <c r="B156" s="3">
        <v>40578</v>
      </c>
      <c r="C156" s="1">
        <v>1</v>
      </c>
      <c r="D156" s="1">
        <v>0</v>
      </c>
      <c r="E156" s="1">
        <v>2</v>
      </c>
      <c r="F156" s="1">
        <v>16</v>
      </c>
      <c r="G156" s="4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8">
        <v>99</v>
      </c>
    </row>
    <row r="157" spans="1:16" ht="15" thickBot="1" x14ac:dyDescent="0.35">
      <c r="A157" s="7">
        <v>775</v>
      </c>
      <c r="B157" s="3">
        <v>40578</v>
      </c>
      <c r="C157" s="1">
        <v>1</v>
      </c>
      <c r="D157" s="1">
        <v>0</v>
      </c>
      <c r="E157" s="1">
        <v>2</v>
      </c>
      <c r="F157" s="1">
        <v>17</v>
      </c>
      <c r="G157" s="4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8">
        <v>205</v>
      </c>
    </row>
    <row r="158" spans="1:16" ht="15" thickBot="1" x14ac:dyDescent="0.35">
      <c r="A158" s="7">
        <v>776</v>
      </c>
      <c r="B158" s="3">
        <v>40578</v>
      </c>
      <c r="C158" s="1">
        <v>1</v>
      </c>
      <c r="D158" s="1">
        <v>0</v>
      </c>
      <c r="E158" s="1">
        <v>2</v>
      </c>
      <c r="F158" s="1">
        <v>18</v>
      </c>
      <c r="G158" s="4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8">
        <v>155</v>
      </c>
    </row>
    <row r="159" spans="1:16" ht="15" thickBot="1" x14ac:dyDescent="0.35">
      <c r="A159" s="7">
        <v>777</v>
      </c>
      <c r="B159" s="3">
        <v>40578</v>
      </c>
      <c r="C159" s="1">
        <v>1</v>
      </c>
      <c r="D159" s="1">
        <v>0</v>
      </c>
      <c r="E159" s="1">
        <v>2</v>
      </c>
      <c r="F159" s="1">
        <v>19</v>
      </c>
      <c r="G159" s="4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8">
        <v>103</v>
      </c>
    </row>
    <row r="160" spans="1:16" ht="15" thickBot="1" x14ac:dyDescent="0.35">
      <c r="A160" s="7">
        <v>778</v>
      </c>
      <c r="B160" s="3">
        <v>40578</v>
      </c>
      <c r="C160" s="1">
        <v>1</v>
      </c>
      <c r="D160" s="1">
        <v>0</v>
      </c>
      <c r="E160" s="1">
        <v>2</v>
      </c>
      <c r="F160" s="1">
        <v>20</v>
      </c>
      <c r="G160" s="4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8">
        <v>71</v>
      </c>
    </row>
    <row r="161" spans="1:16" ht="15" thickBot="1" x14ac:dyDescent="0.35">
      <c r="A161" s="7">
        <v>779</v>
      </c>
      <c r="B161" s="3">
        <v>40578</v>
      </c>
      <c r="C161" s="1">
        <v>1</v>
      </c>
      <c r="D161" s="1">
        <v>0</v>
      </c>
      <c r="E161" s="1">
        <v>2</v>
      </c>
      <c r="F161" s="1">
        <v>21</v>
      </c>
      <c r="G161" s="4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8">
        <v>43</v>
      </c>
    </row>
    <row r="162" spans="1:16" ht="15" thickBot="1" x14ac:dyDescent="0.35">
      <c r="A162" s="7">
        <v>780</v>
      </c>
      <c r="B162" s="3">
        <v>40578</v>
      </c>
      <c r="C162" s="1">
        <v>1</v>
      </c>
      <c r="D162" s="1">
        <v>0</v>
      </c>
      <c r="E162" s="1">
        <v>2</v>
      </c>
      <c r="F162" s="1">
        <v>22</v>
      </c>
      <c r="G162" s="4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8">
        <v>46</v>
      </c>
    </row>
    <row r="163" spans="1:16" ht="15" thickBot="1" x14ac:dyDescent="0.35">
      <c r="A163" s="7">
        <v>781</v>
      </c>
      <c r="B163" s="3">
        <v>40578</v>
      </c>
      <c r="C163" s="1">
        <v>1</v>
      </c>
      <c r="D163" s="1">
        <v>0</v>
      </c>
      <c r="E163" s="1">
        <v>2</v>
      </c>
      <c r="F163" s="1">
        <v>23</v>
      </c>
      <c r="G163" s="4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8">
        <v>31</v>
      </c>
    </row>
    <row r="164" spans="1:16" ht="15" thickBot="1" x14ac:dyDescent="0.35">
      <c r="A164" s="7">
        <v>782</v>
      </c>
      <c r="B164" s="3">
        <v>40579</v>
      </c>
      <c r="C164" s="1">
        <v>1</v>
      </c>
      <c r="D164" s="1">
        <v>0</v>
      </c>
      <c r="E164" s="1">
        <v>2</v>
      </c>
      <c r="F164" s="1">
        <v>0</v>
      </c>
      <c r="G164" s="4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8">
        <v>39</v>
      </c>
    </row>
    <row r="165" spans="1:16" ht="15" thickBot="1" x14ac:dyDescent="0.35">
      <c r="A165" s="7">
        <v>783</v>
      </c>
      <c r="B165" s="3">
        <v>40579</v>
      </c>
      <c r="C165" s="1">
        <v>1</v>
      </c>
      <c r="D165" s="1">
        <v>0</v>
      </c>
      <c r="E165" s="1">
        <v>2</v>
      </c>
      <c r="F165" s="1">
        <v>1</v>
      </c>
      <c r="G165" s="4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8">
        <v>18</v>
      </c>
    </row>
    <row r="166" spans="1:16" ht="15" thickBot="1" x14ac:dyDescent="0.35">
      <c r="A166" s="7">
        <v>784</v>
      </c>
      <c r="B166" s="3">
        <v>40579</v>
      </c>
      <c r="C166" s="1">
        <v>1</v>
      </c>
      <c r="D166" s="1">
        <v>0</v>
      </c>
      <c r="E166" s="1">
        <v>2</v>
      </c>
      <c r="F166" s="1">
        <v>2</v>
      </c>
      <c r="G166" s="4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8">
        <v>17</v>
      </c>
    </row>
    <row r="167" spans="1:16" ht="15" thickBot="1" x14ac:dyDescent="0.35">
      <c r="A167" s="7">
        <v>785</v>
      </c>
      <c r="B167" s="3">
        <v>40579</v>
      </c>
      <c r="C167" s="1">
        <v>1</v>
      </c>
      <c r="D167" s="1">
        <v>0</v>
      </c>
      <c r="E167" s="1">
        <v>2</v>
      </c>
      <c r="F167" s="1">
        <v>3</v>
      </c>
      <c r="G167" s="4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8">
        <v>11</v>
      </c>
    </row>
    <row r="168" spans="1:16" ht="15" thickBot="1" x14ac:dyDescent="0.35">
      <c r="A168" s="7">
        <v>786</v>
      </c>
      <c r="B168" s="3">
        <v>40579</v>
      </c>
      <c r="C168" s="1">
        <v>1</v>
      </c>
      <c r="D168" s="1">
        <v>0</v>
      </c>
      <c r="E168" s="1">
        <v>2</v>
      </c>
      <c r="F168" s="1">
        <v>4</v>
      </c>
      <c r="G168" s="4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8">
        <v>8</v>
      </c>
    </row>
    <row r="169" spans="1:16" ht="15" thickBot="1" x14ac:dyDescent="0.35">
      <c r="A169" s="7">
        <v>787</v>
      </c>
      <c r="B169" s="3">
        <v>40579</v>
      </c>
      <c r="C169" s="1">
        <v>1</v>
      </c>
      <c r="D169" s="1">
        <v>0</v>
      </c>
      <c r="E169" s="1">
        <v>2</v>
      </c>
      <c r="F169" s="1">
        <v>5</v>
      </c>
      <c r="G169" s="4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8">
        <v>9</v>
      </c>
    </row>
    <row r="170" spans="1:16" ht="15" thickBot="1" x14ac:dyDescent="0.35">
      <c r="A170" s="7">
        <v>788</v>
      </c>
      <c r="B170" s="3">
        <v>40579</v>
      </c>
      <c r="C170" s="1">
        <v>1</v>
      </c>
      <c r="D170" s="1">
        <v>0</v>
      </c>
      <c r="E170" s="1">
        <v>2</v>
      </c>
      <c r="F170" s="1">
        <v>6</v>
      </c>
      <c r="G170" s="4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8">
        <v>4</v>
      </c>
    </row>
    <row r="171" spans="1:16" ht="15" thickBot="1" x14ac:dyDescent="0.35">
      <c r="A171" s="7">
        <v>789</v>
      </c>
      <c r="B171" s="3">
        <v>40579</v>
      </c>
      <c r="C171" s="1">
        <v>1</v>
      </c>
      <c r="D171" s="1">
        <v>0</v>
      </c>
      <c r="E171" s="1">
        <v>2</v>
      </c>
      <c r="F171" s="1">
        <v>7</v>
      </c>
      <c r="G171" s="4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8">
        <v>4</v>
      </c>
    </row>
    <row r="172" spans="1:16" ht="15" thickBot="1" x14ac:dyDescent="0.35">
      <c r="A172" s="7">
        <v>790</v>
      </c>
      <c r="B172" s="3">
        <v>40579</v>
      </c>
      <c r="C172" s="1">
        <v>1</v>
      </c>
      <c r="D172" s="1">
        <v>0</v>
      </c>
      <c r="E172" s="1">
        <v>2</v>
      </c>
      <c r="F172" s="1">
        <v>8</v>
      </c>
      <c r="G172" s="4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8">
        <v>10</v>
      </c>
    </row>
    <row r="173" spans="1:16" ht="15" thickBot="1" x14ac:dyDescent="0.35">
      <c r="A173" s="7">
        <v>791</v>
      </c>
      <c r="B173" s="3">
        <v>40579</v>
      </c>
      <c r="C173" s="1">
        <v>1</v>
      </c>
      <c r="D173" s="1">
        <v>0</v>
      </c>
      <c r="E173" s="1">
        <v>2</v>
      </c>
      <c r="F173" s="1">
        <v>9</v>
      </c>
      <c r="G173" s="4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8">
        <v>20</v>
      </c>
    </row>
    <row r="174" spans="1:16" ht="15" thickBot="1" x14ac:dyDescent="0.35">
      <c r="A174" s="7">
        <v>792</v>
      </c>
      <c r="B174" s="3">
        <v>40579</v>
      </c>
      <c r="C174" s="1">
        <v>1</v>
      </c>
      <c r="D174" s="1">
        <v>0</v>
      </c>
      <c r="E174" s="1">
        <v>2</v>
      </c>
      <c r="F174" s="1">
        <v>10</v>
      </c>
      <c r="G174" s="4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8">
        <v>34</v>
      </c>
    </row>
    <row r="175" spans="1:16" ht="15" thickBot="1" x14ac:dyDescent="0.35">
      <c r="A175" s="7">
        <v>793</v>
      </c>
      <c r="B175" s="3">
        <v>40579</v>
      </c>
      <c r="C175" s="1">
        <v>1</v>
      </c>
      <c r="D175" s="1">
        <v>0</v>
      </c>
      <c r="E175" s="1">
        <v>2</v>
      </c>
      <c r="F175" s="1">
        <v>11</v>
      </c>
      <c r="G175" s="4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8">
        <v>47</v>
      </c>
    </row>
    <row r="176" spans="1:16" ht="15" thickBot="1" x14ac:dyDescent="0.35">
      <c r="A176" s="7">
        <v>794</v>
      </c>
      <c r="B176" s="3">
        <v>40579</v>
      </c>
      <c r="C176" s="1">
        <v>1</v>
      </c>
      <c r="D176" s="1">
        <v>0</v>
      </c>
      <c r="E176" s="1">
        <v>2</v>
      </c>
      <c r="F176" s="1">
        <v>12</v>
      </c>
      <c r="G176" s="4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8">
        <v>52</v>
      </c>
    </row>
    <row r="177" spans="1:16" ht="15" thickBot="1" x14ac:dyDescent="0.35">
      <c r="A177" s="7">
        <v>795</v>
      </c>
      <c r="B177" s="3">
        <v>40579</v>
      </c>
      <c r="C177" s="1">
        <v>1</v>
      </c>
      <c r="D177" s="1">
        <v>0</v>
      </c>
      <c r="E177" s="1">
        <v>2</v>
      </c>
      <c r="F177" s="1">
        <v>13</v>
      </c>
      <c r="G177" s="4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8">
        <v>72</v>
      </c>
    </row>
    <row r="178" spans="1:16" ht="15" thickBot="1" x14ac:dyDescent="0.35">
      <c r="A178" s="7">
        <v>796</v>
      </c>
      <c r="B178" s="3">
        <v>40579</v>
      </c>
      <c r="C178" s="1">
        <v>1</v>
      </c>
      <c r="D178" s="1">
        <v>0</v>
      </c>
      <c r="E178" s="1">
        <v>2</v>
      </c>
      <c r="F178" s="1">
        <v>14</v>
      </c>
      <c r="G178" s="4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8">
        <v>55</v>
      </c>
    </row>
    <row r="179" spans="1:16" ht="15" thickBot="1" x14ac:dyDescent="0.35">
      <c r="A179" s="7">
        <v>797</v>
      </c>
      <c r="B179" s="3">
        <v>40579</v>
      </c>
      <c r="C179" s="1">
        <v>1</v>
      </c>
      <c r="D179" s="1">
        <v>0</v>
      </c>
      <c r="E179" s="1">
        <v>2</v>
      </c>
      <c r="F179" s="1">
        <v>15</v>
      </c>
      <c r="G179" s="4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8">
        <v>60</v>
      </c>
    </row>
    <row r="180" spans="1:16" ht="15" thickBot="1" x14ac:dyDescent="0.35">
      <c r="A180" s="7">
        <v>798</v>
      </c>
      <c r="B180" s="3">
        <v>40579</v>
      </c>
      <c r="C180" s="1">
        <v>1</v>
      </c>
      <c r="D180" s="1">
        <v>0</v>
      </c>
      <c r="E180" s="1">
        <v>2</v>
      </c>
      <c r="F180" s="1">
        <v>16</v>
      </c>
      <c r="G180" s="4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8">
        <v>71</v>
      </c>
    </row>
    <row r="181" spans="1:16" ht="15" thickBot="1" x14ac:dyDescent="0.35">
      <c r="A181" s="7">
        <v>799</v>
      </c>
      <c r="B181" s="3">
        <v>40579</v>
      </c>
      <c r="C181" s="1">
        <v>1</v>
      </c>
      <c r="D181" s="1">
        <v>0</v>
      </c>
      <c r="E181" s="1">
        <v>2</v>
      </c>
      <c r="F181" s="1">
        <v>17</v>
      </c>
      <c r="G181" s="4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8">
        <v>78</v>
      </c>
    </row>
    <row r="182" spans="1:16" ht="15" thickBot="1" x14ac:dyDescent="0.35">
      <c r="A182" s="7">
        <v>800</v>
      </c>
      <c r="B182" s="3">
        <v>40579</v>
      </c>
      <c r="C182" s="1">
        <v>1</v>
      </c>
      <c r="D182" s="1">
        <v>0</v>
      </c>
      <c r="E182" s="1">
        <v>2</v>
      </c>
      <c r="F182" s="1">
        <v>18</v>
      </c>
      <c r="G182" s="4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8">
        <v>83</v>
      </c>
    </row>
    <row r="183" spans="1:16" ht="15" thickBot="1" x14ac:dyDescent="0.35">
      <c r="A183" s="7">
        <v>801</v>
      </c>
      <c r="B183" s="3">
        <v>40579</v>
      </c>
      <c r="C183" s="1">
        <v>1</v>
      </c>
      <c r="D183" s="1">
        <v>0</v>
      </c>
      <c r="E183" s="1">
        <v>2</v>
      </c>
      <c r="F183" s="1">
        <v>19</v>
      </c>
      <c r="G183" s="4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8">
        <v>84</v>
      </c>
    </row>
    <row r="184" spans="1:16" ht="15" thickBot="1" x14ac:dyDescent="0.35">
      <c r="A184" s="7">
        <v>802</v>
      </c>
      <c r="B184" s="3">
        <v>40579</v>
      </c>
      <c r="C184" s="1">
        <v>1</v>
      </c>
      <c r="D184" s="1">
        <v>0</v>
      </c>
      <c r="E184" s="1">
        <v>2</v>
      </c>
      <c r="F184" s="1">
        <v>20</v>
      </c>
      <c r="G184" s="4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8">
        <v>69</v>
      </c>
    </row>
    <row r="185" spans="1:16" ht="15" thickBot="1" x14ac:dyDescent="0.35">
      <c r="A185" s="7">
        <v>803</v>
      </c>
      <c r="B185" s="3">
        <v>40579</v>
      </c>
      <c r="C185" s="1">
        <v>1</v>
      </c>
      <c r="D185" s="1">
        <v>0</v>
      </c>
      <c r="E185" s="1">
        <v>2</v>
      </c>
      <c r="F185" s="1">
        <v>21</v>
      </c>
      <c r="G185" s="4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8">
        <v>56</v>
      </c>
    </row>
    <row r="186" spans="1:16" ht="15" thickBot="1" x14ac:dyDescent="0.35">
      <c r="A186" s="7">
        <v>804</v>
      </c>
      <c r="B186" s="3">
        <v>40579</v>
      </c>
      <c r="C186" s="1">
        <v>1</v>
      </c>
      <c r="D186" s="1">
        <v>0</v>
      </c>
      <c r="E186" s="1">
        <v>2</v>
      </c>
      <c r="F186" s="1">
        <v>22</v>
      </c>
      <c r="G186" s="4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8">
        <v>45</v>
      </c>
    </row>
    <row r="187" spans="1:16" ht="15" thickBot="1" x14ac:dyDescent="0.35">
      <c r="A187" s="7">
        <v>805</v>
      </c>
      <c r="B187" s="3">
        <v>40579</v>
      </c>
      <c r="C187" s="1">
        <v>1</v>
      </c>
      <c r="D187" s="1">
        <v>0</v>
      </c>
      <c r="E187" s="1">
        <v>2</v>
      </c>
      <c r="F187" s="1">
        <v>23</v>
      </c>
      <c r="G187" s="4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8">
        <v>59</v>
      </c>
    </row>
    <row r="188" spans="1:16" ht="15" thickBot="1" x14ac:dyDescent="0.35">
      <c r="A188" s="7">
        <v>806</v>
      </c>
      <c r="B188" s="3">
        <v>40580</v>
      </c>
      <c r="C188" s="1">
        <v>1</v>
      </c>
      <c r="D188" s="1">
        <v>0</v>
      </c>
      <c r="E188" s="1">
        <v>2</v>
      </c>
      <c r="F188" s="1">
        <v>0</v>
      </c>
      <c r="G188" s="4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8">
        <v>39</v>
      </c>
    </row>
    <row r="189" spans="1:16" ht="15" thickBot="1" x14ac:dyDescent="0.35">
      <c r="A189" s="7">
        <v>807</v>
      </c>
      <c r="B189" s="3">
        <v>40580</v>
      </c>
      <c r="C189" s="1">
        <v>1</v>
      </c>
      <c r="D189" s="1">
        <v>0</v>
      </c>
      <c r="E189" s="1">
        <v>2</v>
      </c>
      <c r="F189" s="1">
        <v>1</v>
      </c>
      <c r="G189" s="4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8">
        <v>44</v>
      </c>
    </row>
    <row r="190" spans="1:16" ht="15" thickBot="1" x14ac:dyDescent="0.35">
      <c r="A190" s="7">
        <v>808</v>
      </c>
      <c r="B190" s="3">
        <v>40580</v>
      </c>
      <c r="C190" s="1">
        <v>1</v>
      </c>
      <c r="D190" s="1">
        <v>0</v>
      </c>
      <c r="E190" s="1">
        <v>2</v>
      </c>
      <c r="F190" s="1">
        <v>2</v>
      </c>
      <c r="G190" s="4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8">
        <v>20</v>
      </c>
    </row>
    <row r="191" spans="1:16" ht="15" thickBot="1" x14ac:dyDescent="0.35">
      <c r="A191" s="7">
        <v>809</v>
      </c>
      <c r="B191" s="3">
        <v>40580</v>
      </c>
      <c r="C191" s="1">
        <v>1</v>
      </c>
      <c r="D191" s="1">
        <v>0</v>
      </c>
      <c r="E191" s="1">
        <v>2</v>
      </c>
      <c r="F191" s="1">
        <v>3</v>
      </c>
      <c r="G191" s="4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8">
        <v>13</v>
      </c>
    </row>
    <row r="192" spans="1:16" ht="15" thickBot="1" x14ac:dyDescent="0.35">
      <c r="A192" s="7">
        <v>810</v>
      </c>
      <c r="B192" s="3">
        <v>40580</v>
      </c>
      <c r="C192" s="1">
        <v>1</v>
      </c>
      <c r="D192" s="1">
        <v>0</v>
      </c>
      <c r="E192" s="1">
        <v>2</v>
      </c>
      <c r="F192" s="1">
        <v>4</v>
      </c>
      <c r="G192" s="4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8">
        <v>2</v>
      </c>
    </row>
    <row r="193" spans="1:16" ht="15" thickBot="1" x14ac:dyDescent="0.35">
      <c r="A193" s="7">
        <v>811</v>
      </c>
      <c r="B193" s="3">
        <v>40580</v>
      </c>
      <c r="C193" s="1">
        <v>1</v>
      </c>
      <c r="D193" s="1">
        <v>0</v>
      </c>
      <c r="E193" s="1">
        <v>2</v>
      </c>
      <c r="F193" s="1">
        <v>5</v>
      </c>
      <c r="G193" s="4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8">
        <v>1</v>
      </c>
    </row>
    <row r="194" spans="1:16" ht="15" thickBot="1" x14ac:dyDescent="0.35">
      <c r="A194" s="7">
        <v>812</v>
      </c>
      <c r="B194" s="3">
        <v>40580</v>
      </c>
      <c r="C194" s="1">
        <v>1</v>
      </c>
      <c r="D194" s="1">
        <v>0</v>
      </c>
      <c r="E194" s="1">
        <v>2</v>
      </c>
      <c r="F194" s="1">
        <v>6</v>
      </c>
      <c r="G194" s="4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8">
        <v>1</v>
      </c>
    </row>
    <row r="195" spans="1:16" ht="15" thickBot="1" x14ac:dyDescent="0.35">
      <c r="A195" s="7">
        <v>813</v>
      </c>
      <c r="B195" s="3">
        <v>40580</v>
      </c>
      <c r="C195" s="1">
        <v>1</v>
      </c>
      <c r="D195" s="1">
        <v>0</v>
      </c>
      <c r="E195" s="1">
        <v>2</v>
      </c>
      <c r="F195" s="1">
        <v>7</v>
      </c>
      <c r="G195" s="4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8">
        <v>8</v>
      </c>
    </row>
    <row r="196" spans="1:16" ht="15" thickBot="1" x14ac:dyDescent="0.35">
      <c r="A196" s="7">
        <v>814</v>
      </c>
      <c r="B196" s="3">
        <v>40580</v>
      </c>
      <c r="C196" s="1">
        <v>1</v>
      </c>
      <c r="D196" s="1">
        <v>0</v>
      </c>
      <c r="E196" s="1">
        <v>2</v>
      </c>
      <c r="F196" s="1">
        <v>8</v>
      </c>
      <c r="G196" s="4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8">
        <v>23</v>
      </c>
    </row>
    <row r="197" spans="1:16" ht="15" thickBot="1" x14ac:dyDescent="0.35">
      <c r="A197" s="7">
        <v>815</v>
      </c>
      <c r="B197" s="3">
        <v>40580</v>
      </c>
      <c r="C197" s="1">
        <v>1</v>
      </c>
      <c r="D197" s="1">
        <v>0</v>
      </c>
      <c r="E197" s="1">
        <v>2</v>
      </c>
      <c r="F197" s="1">
        <v>9</v>
      </c>
      <c r="G197" s="4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8">
        <v>45</v>
      </c>
    </row>
    <row r="198" spans="1:16" ht="15" thickBot="1" x14ac:dyDescent="0.35">
      <c r="A198" s="7">
        <v>816</v>
      </c>
      <c r="B198" s="3">
        <v>40580</v>
      </c>
      <c r="C198" s="1">
        <v>1</v>
      </c>
      <c r="D198" s="1">
        <v>0</v>
      </c>
      <c r="E198" s="1">
        <v>2</v>
      </c>
      <c r="F198" s="1">
        <v>10</v>
      </c>
      <c r="G198" s="4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8">
        <v>89</v>
      </c>
    </row>
    <row r="199" spans="1:16" ht="15" thickBot="1" x14ac:dyDescent="0.35">
      <c r="A199" s="7">
        <v>817</v>
      </c>
      <c r="B199" s="3">
        <v>40580</v>
      </c>
      <c r="C199" s="1">
        <v>1</v>
      </c>
      <c r="D199" s="1">
        <v>0</v>
      </c>
      <c r="E199" s="1">
        <v>2</v>
      </c>
      <c r="F199" s="1">
        <v>11</v>
      </c>
      <c r="G199" s="4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8">
        <v>117</v>
      </c>
    </row>
    <row r="200" spans="1:16" ht="15" thickBot="1" x14ac:dyDescent="0.35">
      <c r="A200" s="7">
        <v>818</v>
      </c>
      <c r="B200" s="3">
        <v>40580</v>
      </c>
      <c r="C200" s="1">
        <v>1</v>
      </c>
      <c r="D200" s="1">
        <v>0</v>
      </c>
      <c r="E200" s="1">
        <v>2</v>
      </c>
      <c r="F200" s="1">
        <v>12</v>
      </c>
      <c r="G200" s="4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8">
        <v>174</v>
      </c>
    </row>
    <row r="201" spans="1:16" ht="15" thickBot="1" x14ac:dyDescent="0.35">
      <c r="A201" s="7">
        <v>819</v>
      </c>
      <c r="B201" s="3">
        <v>40580</v>
      </c>
      <c r="C201" s="1">
        <v>1</v>
      </c>
      <c r="D201" s="1">
        <v>0</v>
      </c>
      <c r="E201" s="1">
        <v>2</v>
      </c>
      <c r="F201" s="1">
        <v>13</v>
      </c>
      <c r="G201" s="4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8">
        <v>182</v>
      </c>
    </row>
    <row r="202" spans="1:16" ht="15" thickBot="1" x14ac:dyDescent="0.35">
      <c r="A202" s="7">
        <v>820</v>
      </c>
      <c r="B202" s="3">
        <v>40580</v>
      </c>
      <c r="C202" s="1">
        <v>1</v>
      </c>
      <c r="D202" s="1">
        <v>0</v>
      </c>
      <c r="E202" s="1">
        <v>2</v>
      </c>
      <c r="F202" s="1">
        <v>14</v>
      </c>
      <c r="G202" s="4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8">
        <v>161</v>
      </c>
    </row>
    <row r="203" spans="1:16" ht="15" thickBot="1" x14ac:dyDescent="0.35">
      <c r="A203" s="7">
        <v>821</v>
      </c>
      <c r="B203" s="3">
        <v>40580</v>
      </c>
      <c r="C203" s="1">
        <v>1</v>
      </c>
      <c r="D203" s="1">
        <v>0</v>
      </c>
      <c r="E203" s="1">
        <v>2</v>
      </c>
      <c r="F203" s="1">
        <v>15</v>
      </c>
      <c r="G203" s="4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8">
        <v>182</v>
      </c>
    </row>
    <row r="204" spans="1:16" ht="15" thickBot="1" x14ac:dyDescent="0.35">
      <c r="A204" s="7">
        <v>822</v>
      </c>
      <c r="B204" s="3">
        <v>40580</v>
      </c>
      <c r="C204" s="1">
        <v>1</v>
      </c>
      <c r="D204" s="1">
        <v>0</v>
      </c>
      <c r="E204" s="1">
        <v>2</v>
      </c>
      <c r="F204" s="1">
        <v>16</v>
      </c>
      <c r="G204" s="4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8">
        <v>157</v>
      </c>
    </row>
    <row r="205" spans="1:16" ht="15" thickBot="1" x14ac:dyDescent="0.35">
      <c r="A205" s="7">
        <v>823</v>
      </c>
      <c r="B205" s="3">
        <v>40580</v>
      </c>
      <c r="C205" s="1">
        <v>1</v>
      </c>
      <c r="D205" s="1">
        <v>0</v>
      </c>
      <c r="E205" s="1">
        <v>2</v>
      </c>
      <c r="F205" s="1">
        <v>17</v>
      </c>
      <c r="G205" s="4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8">
        <v>121</v>
      </c>
    </row>
    <row r="206" spans="1:16" ht="15" thickBot="1" x14ac:dyDescent="0.35">
      <c r="A206" s="7">
        <v>824</v>
      </c>
      <c r="B206" s="3">
        <v>40580</v>
      </c>
      <c r="C206" s="1">
        <v>1</v>
      </c>
      <c r="D206" s="1">
        <v>0</v>
      </c>
      <c r="E206" s="1">
        <v>2</v>
      </c>
      <c r="F206" s="1">
        <v>18</v>
      </c>
      <c r="G206" s="4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8">
        <v>78</v>
      </c>
    </row>
    <row r="207" spans="1:16" ht="15" thickBot="1" x14ac:dyDescent="0.35">
      <c r="A207" s="7">
        <v>825</v>
      </c>
      <c r="B207" s="3">
        <v>40580</v>
      </c>
      <c r="C207" s="1">
        <v>1</v>
      </c>
      <c r="D207" s="1">
        <v>0</v>
      </c>
      <c r="E207" s="1">
        <v>2</v>
      </c>
      <c r="F207" s="1">
        <v>19</v>
      </c>
      <c r="G207" s="4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8">
        <v>21</v>
      </c>
    </row>
    <row r="208" spans="1:16" ht="15" thickBot="1" x14ac:dyDescent="0.35">
      <c r="A208" s="7">
        <v>826</v>
      </c>
      <c r="B208" s="3">
        <v>40580</v>
      </c>
      <c r="C208" s="1">
        <v>1</v>
      </c>
      <c r="D208" s="1">
        <v>0</v>
      </c>
      <c r="E208" s="1">
        <v>2</v>
      </c>
      <c r="F208" s="1">
        <v>20</v>
      </c>
      <c r="G208" s="4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8">
        <v>26</v>
      </c>
    </row>
    <row r="209" spans="1:16" ht="15" thickBot="1" x14ac:dyDescent="0.35">
      <c r="A209" s="7">
        <v>827</v>
      </c>
      <c r="B209" s="3">
        <v>40580</v>
      </c>
      <c r="C209" s="1">
        <v>1</v>
      </c>
      <c r="D209" s="1">
        <v>0</v>
      </c>
      <c r="E209" s="1">
        <v>2</v>
      </c>
      <c r="F209" s="1">
        <v>21</v>
      </c>
      <c r="G209" s="4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8">
        <v>27</v>
      </c>
    </row>
    <row r="210" spans="1:16" ht="15" thickBot="1" x14ac:dyDescent="0.35">
      <c r="A210" s="7">
        <v>828</v>
      </c>
      <c r="B210" s="3">
        <v>40580</v>
      </c>
      <c r="C210" s="1">
        <v>1</v>
      </c>
      <c r="D210" s="1">
        <v>0</v>
      </c>
      <c r="E210" s="1">
        <v>2</v>
      </c>
      <c r="F210" s="1">
        <v>22</v>
      </c>
      <c r="G210" s="4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8">
        <v>62</v>
      </c>
    </row>
    <row r="211" spans="1:16" ht="15" thickBot="1" x14ac:dyDescent="0.35">
      <c r="A211" s="7">
        <v>829</v>
      </c>
      <c r="B211" s="3">
        <v>40580</v>
      </c>
      <c r="C211" s="1">
        <v>1</v>
      </c>
      <c r="D211" s="1">
        <v>0</v>
      </c>
      <c r="E211" s="1">
        <v>2</v>
      </c>
      <c r="F211" s="1">
        <v>23</v>
      </c>
      <c r="G211" s="4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8">
        <v>30</v>
      </c>
    </row>
    <row r="212" spans="1:16" ht="15" thickBot="1" x14ac:dyDescent="0.35">
      <c r="A212" s="7">
        <v>830</v>
      </c>
      <c r="B212" s="3">
        <v>40581</v>
      </c>
      <c r="C212" s="1">
        <v>1</v>
      </c>
      <c r="D212" s="1">
        <v>0</v>
      </c>
      <c r="E212" s="1">
        <v>2</v>
      </c>
      <c r="F212" s="1">
        <v>0</v>
      </c>
      <c r="G212" s="4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8">
        <v>15</v>
      </c>
    </row>
    <row r="213" spans="1:16" ht="15" thickBot="1" x14ac:dyDescent="0.35">
      <c r="A213" s="7">
        <v>831</v>
      </c>
      <c r="B213" s="3">
        <v>40581</v>
      </c>
      <c r="C213" s="1">
        <v>1</v>
      </c>
      <c r="D213" s="1">
        <v>0</v>
      </c>
      <c r="E213" s="1">
        <v>2</v>
      </c>
      <c r="F213" s="1">
        <v>1</v>
      </c>
      <c r="G213" s="4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8">
        <v>5</v>
      </c>
    </row>
    <row r="214" spans="1:16" ht="15" thickBot="1" x14ac:dyDescent="0.35">
      <c r="A214" s="7">
        <v>832</v>
      </c>
      <c r="B214" s="3">
        <v>40581</v>
      </c>
      <c r="C214" s="1">
        <v>1</v>
      </c>
      <c r="D214" s="1">
        <v>0</v>
      </c>
      <c r="E214" s="1">
        <v>2</v>
      </c>
      <c r="F214" s="1">
        <v>2</v>
      </c>
      <c r="G214" s="4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8">
        <v>3</v>
      </c>
    </row>
    <row r="215" spans="1:16" ht="15" thickBot="1" x14ac:dyDescent="0.35">
      <c r="A215" s="7">
        <v>833</v>
      </c>
      <c r="B215" s="3">
        <v>40581</v>
      </c>
      <c r="C215" s="1">
        <v>1</v>
      </c>
      <c r="D215" s="1">
        <v>0</v>
      </c>
      <c r="E215" s="1">
        <v>2</v>
      </c>
      <c r="F215" s="1">
        <v>3</v>
      </c>
      <c r="G215" s="4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8">
        <v>1</v>
      </c>
    </row>
    <row r="216" spans="1:16" ht="15" thickBot="1" x14ac:dyDescent="0.35">
      <c r="A216" s="7">
        <v>834</v>
      </c>
      <c r="B216" s="3">
        <v>40581</v>
      </c>
      <c r="C216" s="1">
        <v>1</v>
      </c>
      <c r="D216" s="1">
        <v>0</v>
      </c>
      <c r="E216" s="1">
        <v>2</v>
      </c>
      <c r="F216" s="1">
        <v>4</v>
      </c>
      <c r="G216" s="4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8">
        <v>2</v>
      </c>
    </row>
    <row r="217" spans="1:16" ht="15" thickBot="1" x14ac:dyDescent="0.35">
      <c r="A217" s="7">
        <v>835</v>
      </c>
      <c r="B217" s="3">
        <v>40581</v>
      </c>
      <c r="C217" s="1">
        <v>1</v>
      </c>
      <c r="D217" s="1">
        <v>0</v>
      </c>
      <c r="E217" s="1">
        <v>2</v>
      </c>
      <c r="F217" s="1">
        <v>5</v>
      </c>
      <c r="G217" s="4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8">
        <v>10</v>
      </c>
    </row>
    <row r="218" spans="1:16" ht="15" thickBot="1" x14ac:dyDescent="0.35">
      <c r="A218" s="7">
        <v>836</v>
      </c>
      <c r="B218" s="3">
        <v>40581</v>
      </c>
      <c r="C218" s="1">
        <v>1</v>
      </c>
      <c r="D218" s="1">
        <v>0</v>
      </c>
      <c r="E218" s="1">
        <v>2</v>
      </c>
      <c r="F218" s="1">
        <v>6</v>
      </c>
      <c r="G218" s="4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8">
        <v>30</v>
      </c>
    </row>
    <row r="219" spans="1:16" ht="15" thickBot="1" x14ac:dyDescent="0.35">
      <c r="A219" s="7">
        <v>837</v>
      </c>
      <c r="B219" s="3">
        <v>40581</v>
      </c>
      <c r="C219" s="1">
        <v>1</v>
      </c>
      <c r="D219" s="1">
        <v>0</v>
      </c>
      <c r="E219" s="1">
        <v>2</v>
      </c>
      <c r="F219" s="1">
        <v>7</v>
      </c>
      <c r="G219" s="4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8">
        <v>95</v>
      </c>
    </row>
    <row r="220" spans="1:16" ht="15" thickBot="1" x14ac:dyDescent="0.35">
      <c r="A220" s="7">
        <v>838</v>
      </c>
      <c r="B220" s="3">
        <v>40581</v>
      </c>
      <c r="C220" s="1">
        <v>1</v>
      </c>
      <c r="D220" s="1">
        <v>0</v>
      </c>
      <c r="E220" s="1">
        <v>2</v>
      </c>
      <c r="F220" s="1">
        <v>8</v>
      </c>
      <c r="G220" s="4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8">
        <v>230</v>
      </c>
    </row>
    <row r="221" spans="1:16" ht="15" thickBot="1" x14ac:dyDescent="0.35">
      <c r="A221" s="7">
        <v>839</v>
      </c>
      <c r="B221" s="3">
        <v>40581</v>
      </c>
      <c r="C221" s="1">
        <v>1</v>
      </c>
      <c r="D221" s="1">
        <v>0</v>
      </c>
      <c r="E221" s="1">
        <v>2</v>
      </c>
      <c r="F221" s="1">
        <v>9</v>
      </c>
      <c r="G221" s="4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8">
        <v>118</v>
      </c>
    </row>
    <row r="222" spans="1:16" ht="15" thickBot="1" x14ac:dyDescent="0.35">
      <c r="A222" s="7">
        <v>840</v>
      </c>
      <c r="B222" s="3">
        <v>40581</v>
      </c>
      <c r="C222" s="1">
        <v>1</v>
      </c>
      <c r="D222" s="1">
        <v>0</v>
      </c>
      <c r="E222" s="1">
        <v>2</v>
      </c>
      <c r="F222" s="1">
        <v>10</v>
      </c>
      <c r="G222" s="4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8">
        <v>55</v>
      </c>
    </row>
    <row r="223" spans="1:16" ht="15" thickBot="1" x14ac:dyDescent="0.35">
      <c r="A223" s="7">
        <v>841</v>
      </c>
      <c r="B223" s="3">
        <v>40581</v>
      </c>
      <c r="C223" s="1">
        <v>1</v>
      </c>
      <c r="D223" s="1">
        <v>0</v>
      </c>
      <c r="E223" s="1">
        <v>2</v>
      </c>
      <c r="F223" s="1">
        <v>11</v>
      </c>
      <c r="G223" s="4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8">
        <v>47</v>
      </c>
    </row>
    <row r="224" spans="1:16" ht="15" thickBot="1" x14ac:dyDescent="0.35">
      <c r="A224" s="7">
        <v>842</v>
      </c>
      <c r="B224" s="3">
        <v>40581</v>
      </c>
      <c r="C224" s="1">
        <v>1</v>
      </c>
      <c r="D224" s="1">
        <v>0</v>
      </c>
      <c r="E224" s="1">
        <v>2</v>
      </c>
      <c r="F224" s="1">
        <v>12</v>
      </c>
      <c r="G224" s="4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8">
        <v>66</v>
      </c>
    </row>
    <row r="225" spans="1:16" ht="15" thickBot="1" x14ac:dyDescent="0.35">
      <c r="A225" s="7">
        <v>843</v>
      </c>
      <c r="B225" s="3">
        <v>40581</v>
      </c>
      <c r="C225" s="1">
        <v>1</v>
      </c>
      <c r="D225" s="1">
        <v>0</v>
      </c>
      <c r="E225" s="1">
        <v>2</v>
      </c>
      <c r="F225" s="1">
        <v>13</v>
      </c>
      <c r="G225" s="4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8">
        <v>64</v>
      </c>
    </row>
    <row r="226" spans="1:16" ht="15" thickBot="1" x14ac:dyDescent="0.35">
      <c r="A226" s="7">
        <v>844</v>
      </c>
      <c r="B226" s="3">
        <v>40581</v>
      </c>
      <c r="C226" s="1">
        <v>1</v>
      </c>
      <c r="D226" s="1">
        <v>0</v>
      </c>
      <c r="E226" s="1">
        <v>2</v>
      </c>
      <c r="F226" s="1">
        <v>14</v>
      </c>
      <c r="G226" s="4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8">
        <v>60</v>
      </c>
    </row>
    <row r="227" spans="1:16" ht="15" thickBot="1" x14ac:dyDescent="0.35">
      <c r="A227" s="7">
        <v>845</v>
      </c>
      <c r="B227" s="3">
        <v>40581</v>
      </c>
      <c r="C227" s="1">
        <v>1</v>
      </c>
      <c r="D227" s="1">
        <v>0</v>
      </c>
      <c r="E227" s="1">
        <v>2</v>
      </c>
      <c r="F227" s="1">
        <v>15</v>
      </c>
      <c r="G227" s="4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8">
        <v>50</v>
      </c>
    </row>
    <row r="228" spans="1:16" ht="15" thickBot="1" x14ac:dyDescent="0.35">
      <c r="A228" s="7">
        <v>846</v>
      </c>
      <c r="B228" s="3">
        <v>40581</v>
      </c>
      <c r="C228" s="1">
        <v>1</v>
      </c>
      <c r="D228" s="1">
        <v>0</v>
      </c>
      <c r="E228" s="1">
        <v>2</v>
      </c>
      <c r="F228" s="1">
        <v>16</v>
      </c>
      <c r="G228" s="4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8">
        <v>114</v>
      </c>
    </row>
    <row r="229" spans="1:16" ht="15" thickBot="1" x14ac:dyDescent="0.35">
      <c r="A229" s="7">
        <v>847</v>
      </c>
      <c r="B229" s="3">
        <v>40581</v>
      </c>
      <c r="C229" s="1">
        <v>1</v>
      </c>
      <c r="D229" s="1">
        <v>0</v>
      </c>
      <c r="E229" s="1">
        <v>2</v>
      </c>
      <c r="F229" s="1">
        <v>17</v>
      </c>
      <c r="G229" s="4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8">
        <v>216</v>
      </c>
    </row>
    <row r="230" spans="1:16" ht="15" thickBot="1" x14ac:dyDescent="0.35">
      <c r="A230" s="7">
        <v>848</v>
      </c>
      <c r="B230" s="3">
        <v>40581</v>
      </c>
      <c r="C230" s="1">
        <v>1</v>
      </c>
      <c r="D230" s="1">
        <v>0</v>
      </c>
      <c r="E230" s="1">
        <v>2</v>
      </c>
      <c r="F230" s="1">
        <v>18</v>
      </c>
      <c r="G230" s="4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8">
        <v>175</v>
      </c>
    </row>
    <row r="231" spans="1:16" ht="15" thickBot="1" x14ac:dyDescent="0.35">
      <c r="A231" s="7">
        <v>849</v>
      </c>
      <c r="B231" s="3">
        <v>40581</v>
      </c>
      <c r="C231" s="1">
        <v>1</v>
      </c>
      <c r="D231" s="1">
        <v>0</v>
      </c>
      <c r="E231" s="1">
        <v>2</v>
      </c>
      <c r="F231" s="1">
        <v>19</v>
      </c>
      <c r="G231" s="4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8">
        <v>128</v>
      </c>
    </row>
    <row r="232" spans="1:16" ht="15" thickBot="1" x14ac:dyDescent="0.35">
      <c r="A232" s="7">
        <v>850</v>
      </c>
      <c r="B232" s="3">
        <v>40581</v>
      </c>
      <c r="C232" s="1">
        <v>1</v>
      </c>
      <c r="D232" s="1">
        <v>0</v>
      </c>
      <c r="E232" s="1">
        <v>2</v>
      </c>
      <c r="F232" s="1">
        <v>20</v>
      </c>
      <c r="G232" s="4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8">
        <v>88</v>
      </c>
    </row>
    <row r="233" spans="1:16" ht="15" thickBot="1" x14ac:dyDescent="0.35">
      <c r="A233" s="7">
        <v>851</v>
      </c>
      <c r="B233" s="3">
        <v>40581</v>
      </c>
      <c r="C233" s="1">
        <v>1</v>
      </c>
      <c r="D233" s="1">
        <v>0</v>
      </c>
      <c r="E233" s="1">
        <v>2</v>
      </c>
      <c r="F233" s="1">
        <v>21</v>
      </c>
      <c r="G233" s="4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8">
        <v>78</v>
      </c>
    </row>
    <row r="234" spans="1:16" ht="15" thickBot="1" x14ac:dyDescent="0.35">
      <c r="A234" s="7">
        <v>852</v>
      </c>
      <c r="B234" s="3">
        <v>40581</v>
      </c>
      <c r="C234" s="1">
        <v>1</v>
      </c>
      <c r="D234" s="1">
        <v>0</v>
      </c>
      <c r="E234" s="1">
        <v>2</v>
      </c>
      <c r="F234" s="1">
        <v>22</v>
      </c>
      <c r="G234" s="4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8">
        <v>37</v>
      </c>
    </row>
    <row r="235" spans="1:16" ht="15" thickBot="1" x14ac:dyDescent="0.35">
      <c r="A235" s="7">
        <v>853</v>
      </c>
      <c r="B235" s="3">
        <v>40581</v>
      </c>
      <c r="C235" s="1">
        <v>1</v>
      </c>
      <c r="D235" s="1">
        <v>0</v>
      </c>
      <c r="E235" s="1">
        <v>2</v>
      </c>
      <c r="F235" s="1">
        <v>23</v>
      </c>
      <c r="G235" s="4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8">
        <v>25</v>
      </c>
    </row>
    <row r="236" spans="1:16" ht="15" thickBot="1" x14ac:dyDescent="0.35">
      <c r="A236" s="7">
        <v>854</v>
      </c>
      <c r="B236" s="3">
        <v>40582</v>
      </c>
      <c r="C236" s="1">
        <v>1</v>
      </c>
      <c r="D236" s="1">
        <v>0</v>
      </c>
      <c r="E236" s="1">
        <v>2</v>
      </c>
      <c r="F236" s="1">
        <v>0</v>
      </c>
      <c r="G236" s="4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8">
        <v>10</v>
      </c>
    </row>
    <row r="237" spans="1:16" ht="15" thickBot="1" x14ac:dyDescent="0.35">
      <c r="A237" s="7">
        <v>855</v>
      </c>
      <c r="B237" s="3">
        <v>40582</v>
      </c>
      <c r="C237" s="1">
        <v>1</v>
      </c>
      <c r="D237" s="1">
        <v>0</v>
      </c>
      <c r="E237" s="1">
        <v>2</v>
      </c>
      <c r="F237" s="1">
        <v>1</v>
      </c>
      <c r="G237" s="4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8">
        <v>4</v>
      </c>
    </row>
    <row r="238" spans="1:16" ht="15" thickBot="1" x14ac:dyDescent="0.35">
      <c r="A238" s="7">
        <v>856</v>
      </c>
      <c r="B238" s="3">
        <v>40582</v>
      </c>
      <c r="C238" s="1">
        <v>1</v>
      </c>
      <c r="D238" s="1">
        <v>0</v>
      </c>
      <c r="E238" s="1">
        <v>2</v>
      </c>
      <c r="F238" s="1">
        <v>2</v>
      </c>
      <c r="G238" s="4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8">
        <v>2</v>
      </c>
    </row>
    <row r="239" spans="1:16" ht="15" thickBot="1" x14ac:dyDescent="0.35">
      <c r="A239" s="7">
        <v>857</v>
      </c>
      <c r="B239" s="3">
        <v>40582</v>
      </c>
      <c r="C239" s="1">
        <v>1</v>
      </c>
      <c r="D239" s="1">
        <v>0</v>
      </c>
      <c r="E239" s="1">
        <v>2</v>
      </c>
      <c r="F239" s="1">
        <v>3</v>
      </c>
      <c r="G239" s="4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8">
        <v>1</v>
      </c>
    </row>
    <row r="240" spans="1:16" ht="15" thickBot="1" x14ac:dyDescent="0.35">
      <c r="A240" s="7">
        <v>858</v>
      </c>
      <c r="B240" s="3">
        <v>40582</v>
      </c>
      <c r="C240" s="1">
        <v>1</v>
      </c>
      <c r="D240" s="1">
        <v>0</v>
      </c>
      <c r="E240" s="1">
        <v>2</v>
      </c>
      <c r="F240" s="1">
        <v>4</v>
      </c>
      <c r="G240" s="4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8">
        <v>3</v>
      </c>
    </row>
    <row r="241" spans="1:16" ht="15" thickBot="1" x14ac:dyDescent="0.35">
      <c r="A241" s="7">
        <v>859</v>
      </c>
      <c r="B241" s="3">
        <v>40582</v>
      </c>
      <c r="C241" s="1">
        <v>1</v>
      </c>
      <c r="D241" s="1">
        <v>0</v>
      </c>
      <c r="E241" s="1">
        <v>2</v>
      </c>
      <c r="F241" s="1">
        <v>5</v>
      </c>
      <c r="G241" s="4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8">
        <v>2</v>
      </c>
    </row>
    <row r="242" spans="1:16" ht="15" thickBot="1" x14ac:dyDescent="0.35">
      <c r="A242" s="7">
        <v>860</v>
      </c>
      <c r="B242" s="3">
        <v>40582</v>
      </c>
      <c r="C242" s="1">
        <v>1</v>
      </c>
      <c r="D242" s="1">
        <v>0</v>
      </c>
      <c r="E242" s="1">
        <v>2</v>
      </c>
      <c r="F242" s="1">
        <v>6</v>
      </c>
      <c r="G242" s="4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8">
        <v>39</v>
      </c>
    </row>
    <row r="243" spans="1:16" ht="15" thickBot="1" x14ac:dyDescent="0.35">
      <c r="A243" s="7">
        <v>861</v>
      </c>
      <c r="B243" s="3">
        <v>40582</v>
      </c>
      <c r="C243" s="1">
        <v>1</v>
      </c>
      <c r="D243" s="1">
        <v>0</v>
      </c>
      <c r="E243" s="1">
        <v>2</v>
      </c>
      <c r="F243" s="1">
        <v>7</v>
      </c>
      <c r="G243" s="4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8">
        <v>100</v>
      </c>
    </row>
    <row r="244" spans="1:16" ht="15" thickBot="1" x14ac:dyDescent="0.35">
      <c r="A244" s="7">
        <v>862</v>
      </c>
      <c r="B244" s="3">
        <v>40582</v>
      </c>
      <c r="C244" s="1">
        <v>1</v>
      </c>
      <c r="D244" s="1">
        <v>0</v>
      </c>
      <c r="E244" s="1">
        <v>2</v>
      </c>
      <c r="F244" s="1">
        <v>8</v>
      </c>
      <c r="G244" s="4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8">
        <v>243</v>
      </c>
    </row>
    <row r="245" spans="1:16" ht="15" thickBot="1" x14ac:dyDescent="0.35">
      <c r="A245" s="7">
        <v>863</v>
      </c>
      <c r="B245" s="3">
        <v>40582</v>
      </c>
      <c r="C245" s="1">
        <v>1</v>
      </c>
      <c r="D245" s="1">
        <v>0</v>
      </c>
      <c r="E245" s="1">
        <v>2</v>
      </c>
      <c r="F245" s="1">
        <v>9</v>
      </c>
      <c r="G245" s="4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8">
        <v>135</v>
      </c>
    </row>
    <row r="246" spans="1:16" ht="15" thickBot="1" x14ac:dyDescent="0.35">
      <c r="A246" s="7">
        <v>864</v>
      </c>
      <c r="B246" s="3">
        <v>40582</v>
      </c>
      <c r="C246" s="1">
        <v>1</v>
      </c>
      <c r="D246" s="1">
        <v>0</v>
      </c>
      <c r="E246" s="1">
        <v>2</v>
      </c>
      <c r="F246" s="1">
        <v>10</v>
      </c>
      <c r="G246" s="4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8">
        <v>48</v>
      </c>
    </row>
    <row r="247" spans="1:16" ht="15" thickBot="1" x14ac:dyDescent="0.35">
      <c r="A247" s="7">
        <v>865</v>
      </c>
      <c r="B247" s="3">
        <v>40582</v>
      </c>
      <c r="C247" s="1">
        <v>1</v>
      </c>
      <c r="D247" s="1">
        <v>0</v>
      </c>
      <c r="E247" s="1">
        <v>2</v>
      </c>
      <c r="F247" s="1">
        <v>11</v>
      </c>
      <c r="G247" s="4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8">
        <v>50</v>
      </c>
    </row>
    <row r="248" spans="1:16" ht="15" thickBot="1" x14ac:dyDescent="0.35">
      <c r="A248" s="7">
        <v>866</v>
      </c>
      <c r="B248" s="3">
        <v>40582</v>
      </c>
      <c r="C248" s="1">
        <v>1</v>
      </c>
      <c r="D248" s="1">
        <v>0</v>
      </c>
      <c r="E248" s="1">
        <v>2</v>
      </c>
      <c r="F248" s="1">
        <v>12</v>
      </c>
      <c r="G248" s="4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8">
        <v>65</v>
      </c>
    </row>
    <row r="249" spans="1:16" ht="15" thickBot="1" x14ac:dyDescent="0.35">
      <c r="A249" s="7">
        <v>867</v>
      </c>
      <c r="B249" s="3">
        <v>40582</v>
      </c>
      <c r="C249" s="1">
        <v>1</v>
      </c>
      <c r="D249" s="1">
        <v>0</v>
      </c>
      <c r="E249" s="1">
        <v>2</v>
      </c>
      <c r="F249" s="1">
        <v>13</v>
      </c>
      <c r="G249" s="4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8">
        <v>50</v>
      </c>
    </row>
    <row r="250" spans="1:16" ht="15" thickBot="1" x14ac:dyDescent="0.35">
      <c r="A250" s="7">
        <v>868</v>
      </c>
      <c r="B250" s="3">
        <v>40582</v>
      </c>
      <c r="C250" s="1">
        <v>1</v>
      </c>
      <c r="D250" s="1">
        <v>0</v>
      </c>
      <c r="E250" s="1">
        <v>2</v>
      </c>
      <c r="F250" s="1">
        <v>14</v>
      </c>
      <c r="G250" s="4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8">
        <v>64</v>
      </c>
    </row>
    <row r="251" spans="1:16" ht="15" thickBot="1" x14ac:dyDescent="0.35">
      <c r="A251" s="7">
        <v>869</v>
      </c>
      <c r="B251" s="3">
        <v>40582</v>
      </c>
      <c r="C251" s="1">
        <v>1</v>
      </c>
      <c r="D251" s="1">
        <v>0</v>
      </c>
      <c r="E251" s="1">
        <v>2</v>
      </c>
      <c r="F251" s="1">
        <v>15</v>
      </c>
      <c r="G251" s="4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8">
        <v>51</v>
      </c>
    </row>
    <row r="252" spans="1:16" ht="15" thickBot="1" x14ac:dyDescent="0.35">
      <c r="A252" s="7">
        <v>870</v>
      </c>
      <c r="B252" s="3">
        <v>40582</v>
      </c>
      <c r="C252" s="1">
        <v>1</v>
      </c>
      <c r="D252" s="1">
        <v>0</v>
      </c>
      <c r="E252" s="1">
        <v>2</v>
      </c>
      <c r="F252" s="1">
        <v>16</v>
      </c>
      <c r="G252" s="4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8">
        <v>83</v>
      </c>
    </row>
    <row r="253" spans="1:16" ht="15" thickBot="1" x14ac:dyDescent="0.35">
      <c r="A253" s="7">
        <v>871</v>
      </c>
      <c r="B253" s="3">
        <v>40582</v>
      </c>
      <c r="C253" s="1">
        <v>1</v>
      </c>
      <c r="D253" s="1">
        <v>0</v>
      </c>
      <c r="E253" s="1">
        <v>2</v>
      </c>
      <c r="F253" s="1">
        <v>17</v>
      </c>
      <c r="G253" s="4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8">
        <v>176</v>
      </c>
    </row>
    <row r="254" spans="1:16" ht="15" thickBot="1" x14ac:dyDescent="0.35">
      <c r="A254" s="7">
        <v>872</v>
      </c>
      <c r="B254" s="3">
        <v>40582</v>
      </c>
      <c r="C254" s="1">
        <v>1</v>
      </c>
      <c r="D254" s="1">
        <v>0</v>
      </c>
      <c r="E254" s="1">
        <v>2</v>
      </c>
      <c r="F254" s="1">
        <v>18</v>
      </c>
      <c r="G254" s="4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8">
        <v>152</v>
      </c>
    </row>
    <row r="255" spans="1:16" ht="15" thickBot="1" x14ac:dyDescent="0.35">
      <c r="A255" s="7">
        <v>873</v>
      </c>
      <c r="B255" s="3">
        <v>40582</v>
      </c>
      <c r="C255" s="1">
        <v>1</v>
      </c>
      <c r="D255" s="1">
        <v>0</v>
      </c>
      <c r="E255" s="1">
        <v>2</v>
      </c>
      <c r="F255" s="1">
        <v>19</v>
      </c>
      <c r="G255" s="4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8">
        <v>101</v>
      </c>
    </row>
    <row r="256" spans="1:16" ht="15" thickBot="1" x14ac:dyDescent="0.35">
      <c r="A256" s="7">
        <v>874</v>
      </c>
      <c r="B256" s="3">
        <v>40582</v>
      </c>
      <c r="C256" s="1">
        <v>1</v>
      </c>
      <c r="D256" s="1">
        <v>0</v>
      </c>
      <c r="E256" s="1">
        <v>2</v>
      </c>
      <c r="F256" s="1">
        <v>20</v>
      </c>
      <c r="G256" s="4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8">
        <v>56</v>
      </c>
    </row>
    <row r="257" spans="1:16" ht="15" thickBot="1" x14ac:dyDescent="0.35">
      <c r="A257" s="7">
        <v>875</v>
      </c>
      <c r="B257" s="3">
        <v>40582</v>
      </c>
      <c r="C257" s="1">
        <v>1</v>
      </c>
      <c r="D257" s="1">
        <v>0</v>
      </c>
      <c r="E257" s="1">
        <v>2</v>
      </c>
      <c r="F257" s="1">
        <v>21</v>
      </c>
      <c r="G257" s="4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8">
        <v>54</v>
      </c>
    </row>
    <row r="258" spans="1:16" ht="15" thickBot="1" x14ac:dyDescent="0.35">
      <c r="A258" s="7">
        <v>876</v>
      </c>
      <c r="B258" s="3">
        <v>40582</v>
      </c>
      <c r="C258" s="1">
        <v>1</v>
      </c>
      <c r="D258" s="1">
        <v>0</v>
      </c>
      <c r="E258" s="1">
        <v>2</v>
      </c>
      <c r="F258" s="1">
        <v>22</v>
      </c>
      <c r="G258" s="4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8">
        <v>29</v>
      </c>
    </row>
    <row r="259" spans="1:16" ht="15" thickBot="1" x14ac:dyDescent="0.35">
      <c r="A259" s="7">
        <v>877</v>
      </c>
      <c r="B259" s="3">
        <v>40582</v>
      </c>
      <c r="C259" s="1">
        <v>1</v>
      </c>
      <c r="D259" s="1">
        <v>0</v>
      </c>
      <c r="E259" s="1">
        <v>2</v>
      </c>
      <c r="F259" s="1">
        <v>23</v>
      </c>
      <c r="G259" s="4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8">
        <v>12</v>
      </c>
    </row>
    <row r="260" spans="1:16" ht="15" thickBot="1" x14ac:dyDescent="0.35">
      <c r="A260" s="7">
        <v>878</v>
      </c>
      <c r="B260" s="3">
        <v>40583</v>
      </c>
      <c r="C260" s="1">
        <v>1</v>
      </c>
      <c r="D260" s="1">
        <v>0</v>
      </c>
      <c r="E260" s="1">
        <v>2</v>
      </c>
      <c r="F260" s="1">
        <v>0</v>
      </c>
      <c r="G260" s="4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8">
        <v>17</v>
      </c>
    </row>
    <row r="261" spans="1:16" ht="15" thickBot="1" x14ac:dyDescent="0.35">
      <c r="A261" s="7">
        <v>879</v>
      </c>
      <c r="B261" s="3">
        <v>40583</v>
      </c>
      <c r="C261" s="1">
        <v>1</v>
      </c>
      <c r="D261" s="1">
        <v>0</v>
      </c>
      <c r="E261" s="1">
        <v>2</v>
      </c>
      <c r="F261" s="1">
        <v>1</v>
      </c>
      <c r="G261" s="4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8">
        <v>7</v>
      </c>
    </row>
    <row r="262" spans="1:16" ht="15" thickBot="1" x14ac:dyDescent="0.35">
      <c r="A262" s="7">
        <v>880</v>
      </c>
      <c r="B262" s="3">
        <v>40583</v>
      </c>
      <c r="C262" s="1">
        <v>1</v>
      </c>
      <c r="D262" s="1">
        <v>0</v>
      </c>
      <c r="E262" s="1">
        <v>2</v>
      </c>
      <c r="F262" s="1">
        <v>2</v>
      </c>
      <c r="G262" s="4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8">
        <v>3</v>
      </c>
    </row>
    <row r="263" spans="1:16" ht="15" thickBot="1" x14ac:dyDescent="0.35">
      <c r="A263" s="7">
        <v>881</v>
      </c>
      <c r="B263" s="3">
        <v>40583</v>
      </c>
      <c r="C263" s="1">
        <v>1</v>
      </c>
      <c r="D263" s="1">
        <v>0</v>
      </c>
      <c r="E263" s="1">
        <v>2</v>
      </c>
      <c r="F263" s="1">
        <v>3</v>
      </c>
      <c r="G263" s="4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8">
        <v>2</v>
      </c>
    </row>
    <row r="264" spans="1:16" ht="15" thickBot="1" x14ac:dyDescent="0.35">
      <c r="A264" s="7">
        <v>882</v>
      </c>
      <c r="B264" s="3">
        <v>40583</v>
      </c>
      <c r="C264" s="1">
        <v>1</v>
      </c>
      <c r="D264" s="1">
        <v>0</v>
      </c>
      <c r="E264" s="1">
        <v>2</v>
      </c>
      <c r="F264" s="1">
        <v>5</v>
      </c>
      <c r="G264" s="4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8">
        <v>7</v>
      </c>
    </row>
    <row r="265" spans="1:16" ht="15" thickBot="1" x14ac:dyDescent="0.35">
      <c r="A265" s="7">
        <v>883</v>
      </c>
      <c r="B265" s="3">
        <v>40583</v>
      </c>
      <c r="C265" s="1">
        <v>1</v>
      </c>
      <c r="D265" s="1">
        <v>0</v>
      </c>
      <c r="E265" s="1">
        <v>2</v>
      </c>
      <c r="F265" s="1">
        <v>6</v>
      </c>
      <c r="G265" s="4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8">
        <v>43</v>
      </c>
    </row>
    <row r="266" spans="1:16" ht="15" thickBot="1" x14ac:dyDescent="0.35">
      <c r="A266" s="7">
        <v>884</v>
      </c>
      <c r="B266" s="3">
        <v>40583</v>
      </c>
      <c r="C266" s="1">
        <v>1</v>
      </c>
      <c r="D266" s="1">
        <v>0</v>
      </c>
      <c r="E266" s="1">
        <v>2</v>
      </c>
      <c r="F266" s="1">
        <v>7</v>
      </c>
      <c r="G266" s="4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8">
        <v>99</v>
      </c>
    </row>
    <row r="267" spans="1:16" ht="15" thickBot="1" x14ac:dyDescent="0.35">
      <c r="A267" s="7">
        <v>885</v>
      </c>
      <c r="B267" s="3">
        <v>40583</v>
      </c>
      <c r="C267" s="1">
        <v>1</v>
      </c>
      <c r="D267" s="1">
        <v>0</v>
      </c>
      <c r="E267" s="1">
        <v>2</v>
      </c>
      <c r="F267" s="1">
        <v>8</v>
      </c>
      <c r="G267" s="4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8">
        <v>199</v>
      </c>
    </row>
    <row r="268" spans="1:16" ht="15" thickBot="1" x14ac:dyDescent="0.35">
      <c r="A268" s="7">
        <v>886</v>
      </c>
      <c r="B268" s="3">
        <v>40583</v>
      </c>
      <c r="C268" s="1">
        <v>1</v>
      </c>
      <c r="D268" s="1">
        <v>0</v>
      </c>
      <c r="E268" s="1">
        <v>2</v>
      </c>
      <c r="F268" s="1">
        <v>9</v>
      </c>
      <c r="G268" s="4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8">
        <v>123</v>
      </c>
    </row>
    <row r="269" spans="1:16" ht="15" thickBot="1" x14ac:dyDescent="0.35">
      <c r="A269" s="7">
        <v>887</v>
      </c>
      <c r="B269" s="3">
        <v>40583</v>
      </c>
      <c r="C269" s="1">
        <v>1</v>
      </c>
      <c r="D269" s="1">
        <v>0</v>
      </c>
      <c r="E269" s="1">
        <v>2</v>
      </c>
      <c r="F269" s="1">
        <v>10</v>
      </c>
      <c r="G269" s="4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8">
        <v>59</v>
      </c>
    </row>
    <row r="270" spans="1:16" ht="15" thickBot="1" x14ac:dyDescent="0.35">
      <c r="A270" s="7">
        <v>888</v>
      </c>
      <c r="B270" s="3">
        <v>40583</v>
      </c>
      <c r="C270" s="1">
        <v>1</v>
      </c>
      <c r="D270" s="1">
        <v>0</v>
      </c>
      <c r="E270" s="1">
        <v>2</v>
      </c>
      <c r="F270" s="1">
        <v>11</v>
      </c>
      <c r="G270" s="4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8">
        <v>41</v>
      </c>
    </row>
    <row r="271" spans="1:16" ht="15" thickBot="1" x14ac:dyDescent="0.35">
      <c r="A271" s="7">
        <v>889</v>
      </c>
      <c r="B271" s="3">
        <v>40583</v>
      </c>
      <c r="C271" s="1">
        <v>1</v>
      </c>
      <c r="D271" s="1">
        <v>0</v>
      </c>
      <c r="E271" s="1">
        <v>2</v>
      </c>
      <c r="F271" s="1">
        <v>12</v>
      </c>
      <c r="G271" s="4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8">
        <v>61</v>
      </c>
    </row>
    <row r="272" spans="1:16" ht="15" thickBot="1" x14ac:dyDescent="0.35">
      <c r="A272" s="7">
        <v>890</v>
      </c>
      <c r="B272" s="3">
        <v>40583</v>
      </c>
      <c r="C272" s="1">
        <v>1</v>
      </c>
      <c r="D272" s="1">
        <v>0</v>
      </c>
      <c r="E272" s="1">
        <v>2</v>
      </c>
      <c r="F272" s="1">
        <v>13</v>
      </c>
      <c r="G272" s="4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8">
        <v>69</v>
      </c>
    </row>
    <row r="273" spans="1:16" ht="15" thickBot="1" x14ac:dyDescent="0.35">
      <c r="A273" s="7">
        <v>891</v>
      </c>
      <c r="B273" s="3">
        <v>40583</v>
      </c>
      <c r="C273" s="1">
        <v>1</v>
      </c>
      <c r="D273" s="1">
        <v>0</v>
      </c>
      <c r="E273" s="1">
        <v>2</v>
      </c>
      <c r="F273" s="1">
        <v>14</v>
      </c>
      <c r="G273" s="4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8">
        <v>58</v>
      </c>
    </row>
    <row r="274" spans="1:16" ht="15" thickBot="1" x14ac:dyDescent="0.35">
      <c r="A274" s="7">
        <v>892</v>
      </c>
      <c r="B274" s="3">
        <v>40583</v>
      </c>
      <c r="C274" s="1">
        <v>1</v>
      </c>
      <c r="D274" s="1">
        <v>0</v>
      </c>
      <c r="E274" s="1">
        <v>2</v>
      </c>
      <c r="F274" s="1">
        <v>15</v>
      </c>
      <c r="G274" s="4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8">
        <v>64</v>
      </c>
    </row>
    <row r="275" spans="1:16" ht="15" thickBot="1" x14ac:dyDescent="0.35">
      <c r="A275" s="7">
        <v>893</v>
      </c>
      <c r="B275" s="3">
        <v>40583</v>
      </c>
      <c r="C275" s="1">
        <v>1</v>
      </c>
      <c r="D275" s="1">
        <v>0</v>
      </c>
      <c r="E275" s="1">
        <v>2</v>
      </c>
      <c r="F275" s="1">
        <v>16</v>
      </c>
      <c r="G275" s="4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8">
        <v>79</v>
      </c>
    </row>
    <row r="276" spans="1:16" ht="15" thickBot="1" x14ac:dyDescent="0.35">
      <c r="A276" s="7">
        <v>894</v>
      </c>
      <c r="B276" s="3">
        <v>40583</v>
      </c>
      <c r="C276" s="1">
        <v>1</v>
      </c>
      <c r="D276" s="1">
        <v>0</v>
      </c>
      <c r="E276" s="1">
        <v>2</v>
      </c>
      <c r="F276" s="1">
        <v>17</v>
      </c>
      <c r="G276" s="4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8">
        <v>166</v>
      </c>
    </row>
    <row r="277" spans="1:16" ht="15" thickBot="1" x14ac:dyDescent="0.35">
      <c r="A277" s="7">
        <v>895</v>
      </c>
      <c r="B277" s="3">
        <v>40583</v>
      </c>
      <c r="C277" s="1">
        <v>1</v>
      </c>
      <c r="D277" s="1">
        <v>0</v>
      </c>
      <c r="E277" s="1">
        <v>2</v>
      </c>
      <c r="F277" s="1">
        <v>18</v>
      </c>
      <c r="G277" s="4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8">
        <v>170</v>
      </c>
    </row>
    <row r="278" spans="1:16" ht="15" thickBot="1" x14ac:dyDescent="0.35">
      <c r="A278" s="7">
        <v>896</v>
      </c>
      <c r="B278" s="3">
        <v>40583</v>
      </c>
      <c r="C278" s="1">
        <v>1</v>
      </c>
      <c r="D278" s="1">
        <v>0</v>
      </c>
      <c r="E278" s="1">
        <v>2</v>
      </c>
      <c r="F278" s="1">
        <v>19</v>
      </c>
      <c r="G278" s="4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8">
        <v>88</v>
      </c>
    </row>
    <row r="279" spans="1:16" ht="15" thickBot="1" x14ac:dyDescent="0.35">
      <c r="A279" s="7">
        <v>897</v>
      </c>
      <c r="B279" s="3">
        <v>40583</v>
      </c>
      <c r="C279" s="1">
        <v>1</v>
      </c>
      <c r="D279" s="1">
        <v>0</v>
      </c>
      <c r="E279" s="1">
        <v>2</v>
      </c>
      <c r="F279" s="1">
        <v>20</v>
      </c>
      <c r="G279" s="4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8">
        <v>84</v>
      </c>
    </row>
    <row r="280" spans="1:16" ht="15" thickBot="1" x14ac:dyDescent="0.35">
      <c r="A280" s="7">
        <v>898</v>
      </c>
      <c r="B280" s="3">
        <v>40583</v>
      </c>
      <c r="C280" s="1">
        <v>1</v>
      </c>
      <c r="D280" s="1">
        <v>0</v>
      </c>
      <c r="E280" s="1">
        <v>2</v>
      </c>
      <c r="F280" s="1">
        <v>21</v>
      </c>
      <c r="G280" s="4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8">
        <v>83</v>
      </c>
    </row>
    <row r="281" spans="1:16" ht="15" thickBot="1" x14ac:dyDescent="0.35">
      <c r="A281" s="7">
        <v>899</v>
      </c>
      <c r="B281" s="3">
        <v>40583</v>
      </c>
      <c r="C281" s="1">
        <v>1</v>
      </c>
      <c r="D281" s="1">
        <v>0</v>
      </c>
      <c r="E281" s="1">
        <v>2</v>
      </c>
      <c r="F281" s="1">
        <v>22</v>
      </c>
      <c r="G281" s="4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8">
        <v>46</v>
      </c>
    </row>
    <row r="282" spans="1:16" ht="15" thickBot="1" x14ac:dyDescent="0.35">
      <c r="A282" s="7">
        <v>900</v>
      </c>
      <c r="B282" s="3">
        <v>40583</v>
      </c>
      <c r="C282" s="1">
        <v>1</v>
      </c>
      <c r="D282" s="1">
        <v>0</v>
      </c>
      <c r="E282" s="1">
        <v>2</v>
      </c>
      <c r="F282" s="1">
        <v>23</v>
      </c>
      <c r="G282" s="4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8">
        <v>37</v>
      </c>
    </row>
    <row r="283" spans="1:16" ht="15" thickBot="1" x14ac:dyDescent="0.35">
      <c r="A283" s="7">
        <v>901</v>
      </c>
      <c r="B283" s="3">
        <v>40584</v>
      </c>
      <c r="C283" s="1">
        <v>1</v>
      </c>
      <c r="D283" s="1">
        <v>0</v>
      </c>
      <c r="E283" s="1">
        <v>2</v>
      </c>
      <c r="F283" s="1">
        <v>0</v>
      </c>
      <c r="G283" s="4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8">
        <v>16</v>
      </c>
    </row>
    <row r="284" spans="1:16" ht="15" thickBot="1" x14ac:dyDescent="0.35">
      <c r="A284" s="7">
        <v>902</v>
      </c>
      <c r="B284" s="3">
        <v>40584</v>
      </c>
      <c r="C284" s="1">
        <v>1</v>
      </c>
      <c r="D284" s="1">
        <v>0</v>
      </c>
      <c r="E284" s="1">
        <v>2</v>
      </c>
      <c r="F284" s="1">
        <v>1</v>
      </c>
      <c r="G284" s="4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8">
        <v>7</v>
      </c>
    </row>
    <row r="285" spans="1:16" ht="15" thickBot="1" x14ac:dyDescent="0.35">
      <c r="A285" s="7">
        <v>903</v>
      </c>
      <c r="B285" s="3">
        <v>40584</v>
      </c>
      <c r="C285" s="1">
        <v>1</v>
      </c>
      <c r="D285" s="1">
        <v>0</v>
      </c>
      <c r="E285" s="1">
        <v>2</v>
      </c>
      <c r="F285" s="1">
        <v>2</v>
      </c>
      <c r="G285" s="4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8">
        <v>3</v>
      </c>
    </row>
    <row r="286" spans="1:16" ht="15" thickBot="1" x14ac:dyDescent="0.35">
      <c r="A286" s="7">
        <v>904</v>
      </c>
      <c r="B286" s="3">
        <v>40584</v>
      </c>
      <c r="C286" s="1">
        <v>1</v>
      </c>
      <c r="D286" s="1">
        <v>0</v>
      </c>
      <c r="E286" s="1">
        <v>2</v>
      </c>
      <c r="F286" s="1">
        <v>4</v>
      </c>
      <c r="G286" s="4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8">
        <v>1</v>
      </c>
    </row>
    <row r="287" spans="1:16" ht="15" thickBot="1" x14ac:dyDescent="0.35">
      <c r="A287" s="7">
        <v>905</v>
      </c>
      <c r="B287" s="3">
        <v>40584</v>
      </c>
      <c r="C287" s="1">
        <v>1</v>
      </c>
      <c r="D287" s="1">
        <v>0</v>
      </c>
      <c r="E287" s="1">
        <v>2</v>
      </c>
      <c r="F287" s="1">
        <v>5</v>
      </c>
      <c r="G287" s="4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8">
        <v>6</v>
      </c>
    </row>
    <row r="288" spans="1:16" ht="15" thickBot="1" x14ac:dyDescent="0.35">
      <c r="A288" s="7">
        <v>906</v>
      </c>
      <c r="B288" s="3">
        <v>40584</v>
      </c>
      <c r="C288" s="1">
        <v>1</v>
      </c>
      <c r="D288" s="1">
        <v>0</v>
      </c>
      <c r="E288" s="1">
        <v>2</v>
      </c>
      <c r="F288" s="1">
        <v>6</v>
      </c>
      <c r="G288" s="4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8">
        <v>26</v>
      </c>
    </row>
    <row r="289" spans="1:16" ht="15" thickBot="1" x14ac:dyDescent="0.35">
      <c r="A289" s="7">
        <v>907</v>
      </c>
      <c r="B289" s="3">
        <v>40584</v>
      </c>
      <c r="C289" s="1">
        <v>1</v>
      </c>
      <c r="D289" s="1">
        <v>0</v>
      </c>
      <c r="E289" s="1">
        <v>2</v>
      </c>
      <c r="F289" s="1">
        <v>7</v>
      </c>
      <c r="G289" s="4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8">
        <v>99</v>
      </c>
    </row>
    <row r="290" spans="1:16" ht="15" thickBot="1" x14ac:dyDescent="0.35">
      <c r="A290" s="7">
        <v>908</v>
      </c>
      <c r="B290" s="3">
        <v>40584</v>
      </c>
      <c r="C290" s="1">
        <v>1</v>
      </c>
      <c r="D290" s="1">
        <v>0</v>
      </c>
      <c r="E290" s="1">
        <v>2</v>
      </c>
      <c r="F290" s="1">
        <v>8</v>
      </c>
      <c r="G290" s="4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8">
        <v>178</v>
      </c>
    </row>
    <row r="291" spans="1:16" ht="15" thickBot="1" x14ac:dyDescent="0.35">
      <c r="A291" s="7">
        <v>909</v>
      </c>
      <c r="B291" s="3">
        <v>40584</v>
      </c>
      <c r="C291" s="1">
        <v>1</v>
      </c>
      <c r="D291" s="1">
        <v>0</v>
      </c>
      <c r="E291" s="1">
        <v>2</v>
      </c>
      <c r="F291" s="1">
        <v>9</v>
      </c>
      <c r="G291" s="4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8">
        <v>122</v>
      </c>
    </row>
    <row r="292" spans="1:16" ht="15" thickBot="1" x14ac:dyDescent="0.35">
      <c r="A292" s="7">
        <v>910</v>
      </c>
      <c r="B292" s="3">
        <v>40584</v>
      </c>
      <c r="C292" s="1">
        <v>1</v>
      </c>
      <c r="D292" s="1">
        <v>0</v>
      </c>
      <c r="E292" s="1">
        <v>2</v>
      </c>
      <c r="F292" s="1">
        <v>10</v>
      </c>
      <c r="G292" s="4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8">
        <v>35</v>
      </c>
    </row>
    <row r="293" spans="1:16" ht="15" thickBot="1" x14ac:dyDescent="0.35">
      <c r="A293" s="7">
        <v>911</v>
      </c>
      <c r="B293" s="3">
        <v>40584</v>
      </c>
      <c r="C293" s="1">
        <v>1</v>
      </c>
      <c r="D293" s="1">
        <v>0</v>
      </c>
      <c r="E293" s="1">
        <v>2</v>
      </c>
      <c r="F293" s="1">
        <v>11</v>
      </c>
      <c r="G293" s="4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8">
        <v>45</v>
      </c>
    </row>
    <row r="294" spans="1:16" ht="15" thickBot="1" x14ac:dyDescent="0.35">
      <c r="A294" s="7">
        <v>912</v>
      </c>
      <c r="B294" s="3">
        <v>40584</v>
      </c>
      <c r="C294" s="1">
        <v>1</v>
      </c>
      <c r="D294" s="1">
        <v>0</v>
      </c>
      <c r="E294" s="1">
        <v>2</v>
      </c>
      <c r="F294" s="1">
        <v>12</v>
      </c>
      <c r="G294" s="4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8">
        <v>69</v>
      </c>
    </row>
    <row r="295" spans="1:16" ht="15" thickBot="1" x14ac:dyDescent="0.35">
      <c r="A295" s="7">
        <v>913</v>
      </c>
      <c r="B295" s="3">
        <v>40584</v>
      </c>
      <c r="C295" s="1">
        <v>1</v>
      </c>
      <c r="D295" s="1">
        <v>0</v>
      </c>
      <c r="E295" s="1">
        <v>2</v>
      </c>
      <c r="F295" s="1">
        <v>13</v>
      </c>
      <c r="G295" s="4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8">
        <v>62</v>
      </c>
    </row>
    <row r="296" spans="1:16" ht="15" thickBot="1" x14ac:dyDescent="0.35">
      <c r="A296" s="7">
        <v>914</v>
      </c>
      <c r="B296" s="3">
        <v>40584</v>
      </c>
      <c r="C296" s="1">
        <v>1</v>
      </c>
      <c r="D296" s="1">
        <v>0</v>
      </c>
      <c r="E296" s="1">
        <v>2</v>
      </c>
      <c r="F296" s="1">
        <v>14</v>
      </c>
      <c r="G296" s="4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8">
        <v>48</v>
      </c>
    </row>
    <row r="297" spans="1:16" ht="15" thickBot="1" x14ac:dyDescent="0.35">
      <c r="A297" s="7">
        <v>915</v>
      </c>
      <c r="B297" s="3">
        <v>40584</v>
      </c>
      <c r="C297" s="1">
        <v>1</v>
      </c>
      <c r="D297" s="1">
        <v>0</v>
      </c>
      <c r="E297" s="1">
        <v>2</v>
      </c>
      <c r="F297" s="1">
        <v>15</v>
      </c>
      <c r="G297" s="4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8">
        <v>50</v>
      </c>
    </row>
    <row r="298" spans="1:16" ht="15" thickBot="1" x14ac:dyDescent="0.35">
      <c r="A298" s="7">
        <v>916</v>
      </c>
      <c r="B298" s="3">
        <v>40584</v>
      </c>
      <c r="C298" s="1">
        <v>1</v>
      </c>
      <c r="D298" s="1">
        <v>0</v>
      </c>
      <c r="E298" s="1">
        <v>2</v>
      </c>
      <c r="F298" s="1">
        <v>16</v>
      </c>
      <c r="G298" s="4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8">
        <v>80</v>
      </c>
    </row>
    <row r="299" spans="1:16" ht="15" thickBot="1" x14ac:dyDescent="0.35">
      <c r="A299" s="7">
        <v>917</v>
      </c>
      <c r="B299" s="3">
        <v>40584</v>
      </c>
      <c r="C299" s="1">
        <v>1</v>
      </c>
      <c r="D299" s="1">
        <v>0</v>
      </c>
      <c r="E299" s="1">
        <v>2</v>
      </c>
      <c r="F299" s="1">
        <v>17</v>
      </c>
      <c r="G299" s="4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8">
        <v>165</v>
      </c>
    </row>
    <row r="300" spans="1:16" ht="15" thickBot="1" x14ac:dyDescent="0.35">
      <c r="A300" s="7">
        <v>918</v>
      </c>
      <c r="B300" s="3">
        <v>40584</v>
      </c>
      <c r="C300" s="1">
        <v>1</v>
      </c>
      <c r="D300" s="1">
        <v>0</v>
      </c>
      <c r="E300" s="1">
        <v>2</v>
      </c>
      <c r="F300" s="1">
        <v>18</v>
      </c>
      <c r="G300" s="4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8">
        <v>160</v>
      </c>
    </row>
    <row r="301" spans="1:16" ht="15" thickBot="1" x14ac:dyDescent="0.35">
      <c r="A301" s="7">
        <v>919</v>
      </c>
      <c r="B301" s="3">
        <v>40584</v>
      </c>
      <c r="C301" s="1">
        <v>1</v>
      </c>
      <c r="D301" s="1">
        <v>0</v>
      </c>
      <c r="E301" s="1">
        <v>2</v>
      </c>
      <c r="F301" s="1">
        <v>19</v>
      </c>
      <c r="G301" s="4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8">
        <v>112</v>
      </c>
    </row>
    <row r="302" spans="1:16" ht="15" thickBot="1" x14ac:dyDescent="0.35">
      <c r="A302" s="7">
        <v>920</v>
      </c>
      <c r="B302" s="3">
        <v>40584</v>
      </c>
      <c r="C302" s="1">
        <v>1</v>
      </c>
      <c r="D302" s="1">
        <v>0</v>
      </c>
      <c r="E302" s="1">
        <v>2</v>
      </c>
      <c r="F302" s="1">
        <v>20</v>
      </c>
      <c r="G302" s="4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8">
        <v>97</v>
      </c>
    </row>
    <row r="303" spans="1:16" ht="15" thickBot="1" x14ac:dyDescent="0.35">
      <c r="A303" s="7">
        <v>921</v>
      </c>
      <c r="B303" s="3">
        <v>40584</v>
      </c>
      <c r="C303" s="1">
        <v>1</v>
      </c>
      <c r="D303" s="1">
        <v>0</v>
      </c>
      <c r="E303" s="1">
        <v>2</v>
      </c>
      <c r="F303" s="1">
        <v>21</v>
      </c>
      <c r="G303" s="4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8">
        <v>72</v>
      </c>
    </row>
    <row r="304" spans="1:16" ht="15" thickBot="1" x14ac:dyDescent="0.35">
      <c r="A304" s="7">
        <v>922</v>
      </c>
      <c r="B304" s="3">
        <v>40584</v>
      </c>
      <c r="C304" s="1">
        <v>1</v>
      </c>
      <c r="D304" s="1">
        <v>0</v>
      </c>
      <c r="E304" s="1">
        <v>2</v>
      </c>
      <c r="F304" s="1">
        <v>22</v>
      </c>
      <c r="G304" s="4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8">
        <v>51</v>
      </c>
    </row>
    <row r="305" spans="1:16" ht="15" thickBot="1" x14ac:dyDescent="0.35">
      <c r="A305" s="7">
        <v>923</v>
      </c>
      <c r="B305" s="3">
        <v>40584</v>
      </c>
      <c r="C305" s="1">
        <v>1</v>
      </c>
      <c r="D305" s="1">
        <v>0</v>
      </c>
      <c r="E305" s="1">
        <v>2</v>
      </c>
      <c r="F305" s="1">
        <v>23</v>
      </c>
      <c r="G305" s="4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8">
        <v>34</v>
      </c>
    </row>
    <row r="306" spans="1:16" ht="15" thickBot="1" x14ac:dyDescent="0.35">
      <c r="A306" s="7">
        <v>924</v>
      </c>
      <c r="B306" s="3">
        <v>40585</v>
      </c>
      <c r="C306" s="1">
        <v>1</v>
      </c>
      <c r="D306" s="1">
        <v>0</v>
      </c>
      <c r="E306" s="1">
        <v>2</v>
      </c>
      <c r="F306" s="1">
        <v>0</v>
      </c>
      <c r="G306" s="4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8">
        <v>14</v>
      </c>
    </row>
    <row r="307" spans="1:16" ht="15" thickBot="1" x14ac:dyDescent="0.35">
      <c r="A307" s="7">
        <v>925</v>
      </c>
      <c r="B307" s="3">
        <v>40585</v>
      </c>
      <c r="C307" s="1">
        <v>1</v>
      </c>
      <c r="D307" s="1">
        <v>0</v>
      </c>
      <c r="E307" s="1">
        <v>2</v>
      </c>
      <c r="F307" s="1">
        <v>1</v>
      </c>
      <c r="G307" s="4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8">
        <v>7</v>
      </c>
    </row>
    <row r="308" spans="1:16" ht="15" thickBot="1" x14ac:dyDescent="0.35">
      <c r="A308" s="7">
        <v>926</v>
      </c>
      <c r="B308" s="3">
        <v>40585</v>
      </c>
      <c r="C308" s="1">
        <v>1</v>
      </c>
      <c r="D308" s="1">
        <v>0</v>
      </c>
      <c r="E308" s="1">
        <v>2</v>
      </c>
      <c r="F308" s="1">
        <v>2</v>
      </c>
      <c r="G308" s="4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8">
        <v>3</v>
      </c>
    </row>
    <row r="309" spans="1:16" ht="15" thickBot="1" x14ac:dyDescent="0.35">
      <c r="A309" s="7">
        <v>927</v>
      </c>
      <c r="B309" s="3">
        <v>40585</v>
      </c>
      <c r="C309" s="1">
        <v>1</v>
      </c>
      <c r="D309" s="1">
        <v>0</v>
      </c>
      <c r="E309" s="1">
        <v>2</v>
      </c>
      <c r="F309" s="1">
        <v>5</v>
      </c>
      <c r="G309" s="4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8">
        <v>4</v>
      </c>
    </row>
    <row r="310" spans="1:16" ht="15" thickBot="1" x14ac:dyDescent="0.35">
      <c r="A310" s="7">
        <v>928</v>
      </c>
      <c r="B310" s="3">
        <v>40585</v>
      </c>
      <c r="C310" s="1">
        <v>1</v>
      </c>
      <c r="D310" s="1">
        <v>0</v>
      </c>
      <c r="E310" s="1">
        <v>2</v>
      </c>
      <c r="F310" s="1">
        <v>6</v>
      </c>
      <c r="G310" s="4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8">
        <v>24</v>
      </c>
    </row>
    <row r="311" spans="1:16" ht="15" thickBot="1" x14ac:dyDescent="0.35">
      <c r="A311" s="7">
        <v>929</v>
      </c>
      <c r="B311" s="3">
        <v>40585</v>
      </c>
      <c r="C311" s="1">
        <v>1</v>
      </c>
      <c r="D311" s="1">
        <v>0</v>
      </c>
      <c r="E311" s="1">
        <v>2</v>
      </c>
      <c r="F311" s="1">
        <v>7</v>
      </c>
      <c r="G311" s="4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8">
        <v>74</v>
      </c>
    </row>
    <row r="312" spans="1:16" ht="15" thickBot="1" x14ac:dyDescent="0.35">
      <c r="A312" s="7">
        <v>930</v>
      </c>
      <c r="B312" s="3">
        <v>40585</v>
      </c>
      <c r="C312" s="1">
        <v>1</v>
      </c>
      <c r="D312" s="1">
        <v>0</v>
      </c>
      <c r="E312" s="1">
        <v>2</v>
      </c>
      <c r="F312" s="1">
        <v>8</v>
      </c>
      <c r="G312" s="4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8">
        <v>216</v>
      </c>
    </row>
    <row r="313" spans="1:16" ht="15" thickBot="1" x14ac:dyDescent="0.35">
      <c r="A313" s="7">
        <v>931</v>
      </c>
      <c r="B313" s="3">
        <v>40585</v>
      </c>
      <c r="C313" s="1">
        <v>1</v>
      </c>
      <c r="D313" s="1">
        <v>0</v>
      </c>
      <c r="E313" s="1">
        <v>2</v>
      </c>
      <c r="F313" s="1">
        <v>9</v>
      </c>
      <c r="G313" s="4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8">
        <v>140</v>
      </c>
    </row>
    <row r="314" spans="1:16" ht="15" thickBot="1" x14ac:dyDescent="0.35">
      <c r="A314" s="7">
        <v>932</v>
      </c>
      <c r="B314" s="3">
        <v>40585</v>
      </c>
      <c r="C314" s="1">
        <v>1</v>
      </c>
      <c r="D314" s="1">
        <v>0</v>
      </c>
      <c r="E314" s="1">
        <v>2</v>
      </c>
      <c r="F314" s="1">
        <v>10</v>
      </c>
      <c r="G314" s="4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8">
        <v>44</v>
      </c>
    </row>
    <row r="315" spans="1:16" ht="15" thickBot="1" x14ac:dyDescent="0.35">
      <c r="A315" s="7">
        <v>933</v>
      </c>
      <c r="B315" s="3">
        <v>40585</v>
      </c>
      <c r="C315" s="1">
        <v>1</v>
      </c>
      <c r="D315" s="1">
        <v>0</v>
      </c>
      <c r="E315" s="1">
        <v>2</v>
      </c>
      <c r="F315" s="1">
        <v>11</v>
      </c>
      <c r="G315" s="4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8">
        <v>64</v>
      </c>
    </row>
    <row r="316" spans="1:16" ht="15" thickBot="1" x14ac:dyDescent="0.35">
      <c r="A316" s="7">
        <v>934</v>
      </c>
      <c r="B316" s="3">
        <v>40585</v>
      </c>
      <c r="C316" s="1">
        <v>1</v>
      </c>
      <c r="D316" s="1">
        <v>0</v>
      </c>
      <c r="E316" s="1">
        <v>2</v>
      </c>
      <c r="F316" s="1">
        <v>12</v>
      </c>
      <c r="G316" s="4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8">
        <v>71</v>
      </c>
    </row>
    <row r="317" spans="1:16" ht="15" thickBot="1" x14ac:dyDescent="0.35">
      <c r="A317" s="7">
        <v>935</v>
      </c>
      <c r="B317" s="3">
        <v>40585</v>
      </c>
      <c r="C317" s="1">
        <v>1</v>
      </c>
      <c r="D317" s="1">
        <v>0</v>
      </c>
      <c r="E317" s="1">
        <v>2</v>
      </c>
      <c r="F317" s="1">
        <v>13</v>
      </c>
      <c r="G317" s="4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8">
        <v>110</v>
      </c>
    </row>
    <row r="318" spans="1:16" ht="15" thickBot="1" x14ac:dyDescent="0.35">
      <c r="A318" s="7">
        <v>936</v>
      </c>
      <c r="B318" s="3">
        <v>40585</v>
      </c>
      <c r="C318" s="1">
        <v>1</v>
      </c>
      <c r="D318" s="1">
        <v>0</v>
      </c>
      <c r="E318" s="1">
        <v>2</v>
      </c>
      <c r="F318" s="1">
        <v>14</v>
      </c>
      <c r="G318" s="4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8">
        <v>84</v>
      </c>
    </row>
    <row r="319" spans="1:16" ht="15" thickBot="1" x14ac:dyDescent="0.35">
      <c r="A319" s="7">
        <v>937</v>
      </c>
      <c r="B319" s="3">
        <v>40585</v>
      </c>
      <c r="C319" s="1">
        <v>1</v>
      </c>
      <c r="D319" s="1">
        <v>0</v>
      </c>
      <c r="E319" s="1">
        <v>2</v>
      </c>
      <c r="F319" s="1">
        <v>15</v>
      </c>
      <c r="G319" s="4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8">
        <v>74</v>
      </c>
    </row>
    <row r="320" spans="1:16" ht="15" thickBot="1" x14ac:dyDescent="0.35">
      <c r="A320" s="7">
        <v>938</v>
      </c>
      <c r="B320" s="3">
        <v>40585</v>
      </c>
      <c r="C320" s="1">
        <v>1</v>
      </c>
      <c r="D320" s="1">
        <v>0</v>
      </c>
      <c r="E320" s="1">
        <v>2</v>
      </c>
      <c r="F320" s="1">
        <v>16</v>
      </c>
      <c r="G320" s="4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8">
        <v>125</v>
      </c>
    </row>
    <row r="321" spans="1:16" ht="15" thickBot="1" x14ac:dyDescent="0.35">
      <c r="A321" s="7">
        <v>939</v>
      </c>
      <c r="B321" s="3">
        <v>40585</v>
      </c>
      <c r="C321" s="1">
        <v>1</v>
      </c>
      <c r="D321" s="1">
        <v>0</v>
      </c>
      <c r="E321" s="1">
        <v>2</v>
      </c>
      <c r="F321" s="1">
        <v>17</v>
      </c>
      <c r="G321" s="4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8">
        <v>211</v>
      </c>
    </row>
    <row r="322" spans="1:16" ht="15" thickBot="1" x14ac:dyDescent="0.35">
      <c r="A322" s="7">
        <v>940</v>
      </c>
      <c r="B322" s="3">
        <v>40585</v>
      </c>
      <c r="C322" s="1">
        <v>1</v>
      </c>
      <c r="D322" s="1">
        <v>0</v>
      </c>
      <c r="E322" s="1">
        <v>2</v>
      </c>
      <c r="F322" s="1">
        <v>18</v>
      </c>
      <c r="G322" s="4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8">
        <v>174</v>
      </c>
    </row>
    <row r="323" spans="1:16" ht="15" thickBot="1" x14ac:dyDescent="0.35">
      <c r="A323" s="7">
        <v>941</v>
      </c>
      <c r="B323" s="3">
        <v>40585</v>
      </c>
      <c r="C323" s="1">
        <v>1</v>
      </c>
      <c r="D323" s="1">
        <v>0</v>
      </c>
      <c r="E323" s="1">
        <v>2</v>
      </c>
      <c r="F323" s="1">
        <v>19</v>
      </c>
      <c r="G323" s="4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8">
        <v>101</v>
      </c>
    </row>
    <row r="324" spans="1:16" ht="15" thickBot="1" x14ac:dyDescent="0.35">
      <c r="A324" s="7">
        <v>942</v>
      </c>
      <c r="B324" s="3">
        <v>40585</v>
      </c>
      <c r="C324" s="1">
        <v>1</v>
      </c>
      <c r="D324" s="1">
        <v>0</v>
      </c>
      <c r="E324" s="1">
        <v>2</v>
      </c>
      <c r="F324" s="1">
        <v>20</v>
      </c>
      <c r="G324" s="4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8">
        <v>63</v>
      </c>
    </row>
    <row r="325" spans="1:16" ht="15" thickBot="1" x14ac:dyDescent="0.35">
      <c r="A325" s="7">
        <v>943</v>
      </c>
      <c r="B325" s="3">
        <v>40585</v>
      </c>
      <c r="C325" s="1">
        <v>1</v>
      </c>
      <c r="D325" s="1">
        <v>0</v>
      </c>
      <c r="E325" s="1">
        <v>2</v>
      </c>
      <c r="F325" s="1">
        <v>21</v>
      </c>
      <c r="G325" s="4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8">
        <v>47</v>
      </c>
    </row>
    <row r="326" spans="1:16" ht="15" thickBot="1" x14ac:dyDescent="0.35">
      <c r="A326" s="7">
        <v>944</v>
      </c>
      <c r="B326" s="3">
        <v>40585</v>
      </c>
      <c r="C326" s="1">
        <v>1</v>
      </c>
      <c r="D326" s="1">
        <v>0</v>
      </c>
      <c r="E326" s="1">
        <v>2</v>
      </c>
      <c r="F326" s="1">
        <v>22</v>
      </c>
      <c r="G326" s="4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8">
        <v>43</v>
      </c>
    </row>
    <row r="327" spans="1:16" ht="15" thickBot="1" x14ac:dyDescent="0.35">
      <c r="A327" s="7">
        <v>945</v>
      </c>
      <c r="B327" s="3">
        <v>40585</v>
      </c>
      <c r="C327" s="1">
        <v>1</v>
      </c>
      <c r="D327" s="1">
        <v>0</v>
      </c>
      <c r="E327" s="1">
        <v>2</v>
      </c>
      <c r="F327" s="1">
        <v>23</v>
      </c>
      <c r="G327" s="4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8">
        <v>53</v>
      </c>
    </row>
    <row r="328" spans="1:16" ht="15" thickBot="1" x14ac:dyDescent="0.35">
      <c r="A328" s="7">
        <v>946</v>
      </c>
      <c r="B328" s="3">
        <v>40586</v>
      </c>
      <c r="C328" s="1">
        <v>1</v>
      </c>
      <c r="D328" s="1">
        <v>0</v>
      </c>
      <c r="E328" s="1">
        <v>2</v>
      </c>
      <c r="F328" s="1">
        <v>0</v>
      </c>
      <c r="G328" s="4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8">
        <v>30</v>
      </c>
    </row>
    <row r="329" spans="1:16" ht="15" thickBot="1" x14ac:dyDescent="0.35">
      <c r="A329" s="7">
        <v>947</v>
      </c>
      <c r="B329" s="3">
        <v>40586</v>
      </c>
      <c r="C329" s="1">
        <v>1</v>
      </c>
      <c r="D329" s="1">
        <v>0</v>
      </c>
      <c r="E329" s="1">
        <v>2</v>
      </c>
      <c r="F329" s="1">
        <v>1</v>
      </c>
      <c r="G329" s="4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8">
        <v>24</v>
      </c>
    </row>
    <row r="330" spans="1:16" ht="15" thickBot="1" x14ac:dyDescent="0.35">
      <c r="A330" s="7">
        <v>948</v>
      </c>
      <c r="B330" s="3">
        <v>40586</v>
      </c>
      <c r="C330" s="1">
        <v>1</v>
      </c>
      <c r="D330" s="1">
        <v>0</v>
      </c>
      <c r="E330" s="1">
        <v>2</v>
      </c>
      <c r="F330" s="1">
        <v>2</v>
      </c>
      <c r="G330" s="4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8">
        <v>15</v>
      </c>
    </row>
    <row r="331" spans="1:16" ht="15" thickBot="1" x14ac:dyDescent="0.35">
      <c r="A331" s="7">
        <v>949</v>
      </c>
      <c r="B331" s="3">
        <v>40586</v>
      </c>
      <c r="C331" s="1">
        <v>1</v>
      </c>
      <c r="D331" s="1">
        <v>0</v>
      </c>
      <c r="E331" s="1">
        <v>2</v>
      </c>
      <c r="F331" s="1">
        <v>3</v>
      </c>
      <c r="G331" s="4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8">
        <v>10</v>
      </c>
    </row>
    <row r="332" spans="1:16" ht="15" thickBot="1" x14ac:dyDescent="0.35">
      <c r="A332" s="7">
        <v>950</v>
      </c>
      <c r="B332" s="3">
        <v>40586</v>
      </c>
      <c r="C332" s="1">
        <v>1</v>
      </c>
      <c r="D332" s="1">
        <v>0</v>
      </c>
      <c r="E332" s="1">
        <v>2</v>
      </c>
      <c r="F332" s="1">
        <v>4</v>
      </c>
      <c r="G332" s="4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8">
        <v>4</v>
      </c>
    </row>
    <row r="333" spans="1:16" ht="15" thickBot="1" x14ac:dyDescent="0.35">
      <c r="A333" s="7">
        <v>951</v>
      </c>
      <c r="B333" s="3">
        <v>40586</v>
      </c>
      <c r="C333" s="1">
        <v>1</v>
      </c>
      <c r="D333" s="1">
        <v>0</v>
      </c>
      <c r="E333" s="1">
        <v>2</v>
      </c>
      <c r="F333" s="1">
        <v>5</v>
      </c>
      <c r="G333" s="4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8">
        <v>1</v>
      </c>
    </row>
    <row r="334" spans="1:16" ht="15" thickBot="1" x14ac:dyDescent="0.35">
      <c r="A334" s="7">
        <v>952</v>
      </c>
      <c r="B334" s="3">
        <v>40586</v>
      </c>
      <c r="C334" s="1">
        <v>1</v>
      </c>
      <c r="D334" s="1">
        <v>0</v>
      </c>
      <c r="E334" s="1">
        <v>2</v>
      </c>
      <c r="F334" s="1">
        <v>6</v>
      </c>
      <c r="G334" s="4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8">
        <v>2</v>
      </c>
    </row>
    <row r="335" spans="1:16" ht="15" thickBot="1" x14ac:dyDescent="0.35">
      <c r="A335" s="7">
        <v>953</v>
      </c>
      <c r="B335" s="3">
        <v>40586</v>
      </c>
      <c r="C335" s="1">
        <v>1</v>
      </c>
      <c r="D335" s="1">
        <v>0</v>
      </c>
      <c r="E335" s="1">
        <v>2</v>
      </c>
      <c r="F335" s="1">
        <v>7</v>
      </c>
      <c r="G335" s="4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8">
        <v>11</v>
      </c>
    </row>
    <row r="336" spans="1:16" ht="15" thickBot="1" x14ac:dyDescent="0.35">
      <c r="A336" s="7">
        <v>954</v>
      </c>
      <c r="B336" s="3">
        <v>40586</v>
      </c>
      <c r="C336" s="1">
        <v>1</v>
      </c>
      <c r="D336" s="1">
        <v>0</v>
      </c>
      <c r="E336" s="1">
        <v>2</v>
      </c>
      <c r="F336" s="1">
        <v>8</v>
      </c>
      <c r="G336" s="4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8">
        <v>30</v>
      </c>
    </row>
    <row r="337" spans="1:16" ht="15" thickBot="1" x14ac:dyDescent="0.35">
      <c r="A337" s="7">
        <v>955</v>
      </c>
      <c r="B337" s="3">
        <v>40586</v>
      </c>
      <c r="C337" s="1">
        <v>1</v>
      </c>
      <c r="D337" s="1">
        <v>0</v>
      </c>
      <c r="E337" s="1">
        <v>2</v>
      </c>
      <c r="F337" s="1">
        <v>9</v>
      </c>
      <c r="G337" s="4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8">
        <v>43</v>
      </c>
    </row>
    <row r="338" spans="1:16" ht="15" thickBot="1" x14ac:dyDescent="0.35">
      <c r="A338" s="7">
        <v>956</v>
      </c>
      <c r="B338" s="3">
        <v>40586</v>
      </c>
      <c r="C338" s="1">
        <v>1</v>
      </c>
      <c r="D338" s="1">
        <v>0</v>
      </c>
      <c r="E338" s="1">
        <v>2</v>
      </c>
      <c r="F338" s="1">
        <v>10</v>
      </c>
      <c r="G338" s="4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8">
        <v>84</v>
      </c>
    </row>
    <row r="339" spans="1:16" ht="15" thickBot="1" x14ac:dyDescent="0.35">
      <c r="A339" s="7">
        <v>957</v>
      </c>
      <c r="B339" s="3">
        <v>40586</v>
      </c>
      <c r="C339" s="1">
        <v>1</v>
      </c>
      <c r="D339" s="1">
        <v>0</v>
      </c>
      <c r="E339" s="1">
        <v>2</v>
      </c>
      <c r="F339" s="1">
        <v>11</v>
      </c>
      <c r="G339" s="4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8">
        <v>114</v>
      </c>
    </row>
    <row r="340" spans="1:16" ht="15" thickBot="1" x14ac:dyDescent="0.35">
      <c r="A340" s="7">
        <v>958</v>
      </c>
      <c r="B340" s="3">
        <v>40586</v>
      </c>
      <c r="C340" s="1">
        <v>1</v>
      </c>
      <c r="D340" s="1">
        <v>0</v>
      </c>
      <c r="E340" s="1">
        <v>2</v>
      </c>
      <c r="F340" s="1">
        <v>12</v>
      </c>
      <c r="G340" s="4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8">
        <v>120</v>
      </c>
    </row>
    <row r="341" spans="1:16" ht="15" thickBot="1" x14ac:dyDescent="0.35">
      <c r="A341" s="7">
        <v>959</v>
      </c>
      <c r="B341" s="3">
        <v>40586</v>
      </c>
      <c r="C341" s="1">
        <v>1</v>
      </c>
      <c r="D341" s="1">
        <v>0</v>
      </c>
      <c r="E341" s="1">
        <v>2</v>
      </c>
      <c r="F341" s="1">
        <v>13</v>
      </c>
      <c r="G341" s="4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8">
        <v>135</v>
      </c>
    </row>
    <row r="342" spans="1:16" ht="15" thickBot="1" x14ac:dyDescent="0.35">
      <c r="A342" s="7">
        <v>960</v>
      </c>
      <c r="B342" s="3">
        <v>40586</v>
      </c>
      <c r="C342" s="1">
        <v>1</v>
      </c>
      <c r="D342" s="1">
        <v>0</v>
      </c>
      <c r="E342" s="1">
        <v>2</v>
      </c>
      <c r="F342" s="1">
        <v>14</v>
      </c>
      <c r="G342" s="4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8">
        <v>120</v>
      </c>
    </row>
    <row r="343" spans="1:16" ht="15" thickBot="1" x14ac:dyDescent="0.35">
      <c r="A343" s="7">
        <v>961</v>
      </c>
      <c r="B343" s="3">
        <v>40586</v>
      </c>
      <c r="C343" s="1">
        <v>1</v>
      </c>
      <c r="D343" s="1">
        <v>0</v>
      </c>
      <c r="E343" s="1">
        <v>2</v>
      </c>
      <c r="F343" s="1">
        <v>15</v>
      </c>
      <c r="G343" s="4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8">
        <v>174</v>
      </c>
    </row>
    <row r="344" spans="1:16" ht="15" thickBot="1" x14ac:dyDescent="0.35">
      <c r="A344" s="7">
        <v>962</v>
      </c>
      <c r="B344" s="3">
        <v>40586</v>
      </c>
      <c r="C344" s="1">
        <v>1</v>
      </c>
      <c r="D344" s="1">
        <v>0</v>
      </c>
      <c r="E344" s="1">
        <v>2</v>
      </c>
      <c r="F344" s="1">
        <v>16</v>
      </c>
      <c r="G344" s="4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8">
        <v>145</v>
      </c>
    </row>
    <row r="345" spans="1:16" ht="15" thickBot="1" x14ac:dyDescent="0.35">
      <c r="A345" s="7">
        <v>963</v>
      </c>
      <c r="B345" s="3">
        <v>40586</v>
      </c>
      <c r="C345" s="1">
        <v>1</v>
      </c>
      <c r="D345" s="1">
        <v>0</v>
      </c>
      <c r="E345" s="1">
        <v>2</v>
      </c>
      <c r="F345" s="1">
        <v>17</v>
      </c>
      <c r="G345" s="4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8">
        <v>137</v>
      </c>
    </row>
    <row r="346" spans="1:16" ht="15" thickBot="1" x14ac:dyDescent="0.35">
      <c r="A346" s="7">
        <v>964</v>
      </c>
      <c r="B346" s="3">
        <v>40586</v>
      </c>
      <c r="C346" s="1">
        <v>1</v>
      </c>
      <c r="D346" s="1">
        <v>0</v>
      </c>
      <c r="E346" s="1">
        <v>2</v>
      </c>
      <c r="F346" s="1">
        <v>18</v>
      </c>
      <c r="G346" s="4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8">
        <v>64</v>
      </c>
    </row>
    <row r="347" spans="1:16" ht="15" thickBot="1" x14ac:dyDescent="0.35">
      <c r="A347" s="7">
        <v>965</v>
      </c>
      <c r="B347" s="3">
        <v>40586</v>
      </c>
      <c r="C347" s="1">
        <v>1</v>
      </c>
      <c r="D347" s="1">
        <v>0</v>
      </c>
      <c r="E347" s="1">
        <v>2</v>
      </c>
      <c r="F347" s="1">
        <v>19</v>
      </c>
      <c r="G347" s="4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8">
        <v>41</v>
      </c>
    </row>
    <row r="348" spans="1:16" ht="15" thickBot="1" x14ac:dyDescent="0.35">
      <c r="A348" s="7">
        <v>966</v>
      </c>
      <c r="B348" s="3">
        <v>40586</v>
      </c>
      <c r="C348" s="1">
        <v>1</v>
      </c>
      <c r="D348" s="1">
        <v>0</v>
      </c>
      <c r="E348" s="1">
        <v>2</v>
      </c>
      <c r="F348" s="1">
        <v>20</v>
      </c>
      <c r="G348" s="4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8">
        <v>40</v>
      </c>
    </row>
    <row r="349" spans="1:16" ht="15" thickBot="1" x14ac:dyDescent="0.35">
      <c r="A349" s="7">
        <v>967</v>
      </c>
      <c r="B349" s="3">
        <v>40586</v>
      </c>
      <c r="C349" s="1">
        <v>1</v>
      </c>
      <c r="D349" s="1">
        <v>0</v>
      </c>
      <c r="E349" s="1">
        <v>2</v>
      </c>
      <c r="F349" s="1">
        <v>21</v>
      </c>
      <c r="G349" s="4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8">
        <v>51</v>
      </c>
    </row>
    <row r="350" spans="1:16" ht="15" thickBot="1" x14ac:dyDescent="0.35">
      <c r="A350" s="7">
        <v>968</v>
      </c>
      <c r="B350" s="3">
        <v>40586</v>
      </c>
      <c r="C350" s="1">
        <v>1</v>
      </c>
      <c r="D350" s="1">
        <v>0</v>
      </c>
      <c r="E350" s="1">
        <v>2</v>
      </c>
      <c r="F350" s="1">
        <v>22</v>
      </c>
      <c r="G350" s="4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8">
        <v>45</v>
      </c>
    </row>
    <row r="351" spans="1:16" ht="15" thickBot="1" x14ac:dyDescent="0.35">
      <c r="A351" s="7">
        <v>969</v>
      </c>
      <c r="B351" s="3">
        <v>40586</v>
      </c>
      <c r="C351" s="1">
        <v>1</v>
      </c>
      <c r="D351" s="1">
        <v>0</v>
      </c>
      <c r="E351" s="1">
        <v>2</v>
      </c>
      <c r="F351" s="1">
        <v>23</v>
      </c>
      <c r="G351" s="4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8">
        <v>32</v>
      </c>
    </row>
    <row r="352" spans="1:16" ht="15" thickBot="1" x14ac:dyDescent="0.35">
      <c r="A352" s="7">
        <v>970</v>
      </c>
      <c r="B352" s="3">
        <v>40587</v>
      </c>
      <c r="C352" s="1">
        <v>1</v>
      </c>
      <c r="D352" s="1">
        <v>0</v>
      </c>
      <c r="E352" s="1">
        <v>2</v>
      </c>
      <c r="F352" s="1">
        <v>0</v>
      </c>
      <c r="G352" s="4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8">
        <v>39</v>
      </c>
    </row>
    <row r="353" spans="1:16" ht="15" thickBot="1" x14ac:dyDescent="0.35">
      <c r="A353" s="7">
        <v>971</v>
      </c>
      <c r="B353" s="3">
        <v>40587</v>
      </c>
      <c r="C353" s="1">
        <v>1</v>
      </c>
      <c r="D353" s="1">
        <v>0</v>
      </c>
      <c r="E353" s="1">
        <v>2</v>
      </c>
      <c r="F353" s="1">
        <v>1</v>
      </c>
      <c r="G353" s="4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8">
        <v>24</v>
      </c>
    </row>
    <row r="354" spans="1:16" ht="15" thickBot="1" x14ac:dyDescent="0.35">
      <c r="A354" s="7">
        <v>972</v>
      </c>
      <c r="B354" s="3">
        <v>40587</v>
      </c>
      <c r="C354" s="1">
        <v>1</v>
      </c>
      <c r="D354" s="1">
        <v>0</v>
      </c>
      <c r="E354" s="1">
        <v>2</v>
      </c>
      <c r="F354" s="1">
        <v>2</v>
      </c>
      <c r="G354" s="4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8">
        <v>20</v>
      </c>
    </row>
    <row r="355" spans="1:16" ht="15" thickBot="1" x14ac:dyDescent="0.35">
      <c r="A355" s="7">
        <v>973</v>
      </c>
      <c r="B355" s="3">
        <v>40587</v>
      </c>
      <c r="C355" s="1">
        <v>1</v>
      </c>
      <c r="D355" s="1">
        <v>0</v>
      </c>
      <c r="E355" s="1">
        <v>2</v>
      </c>
      <c r="F355" s="1">
        <v>3</v>
      </c>
      <c r="G355" s="4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8">
        <v>12</v>
      </c>
    </row>
    <row r="356" spans="1:16" ht="15" thickBot="1" x14ac:dyDescent="0.35">
      <c r="A356" s="7">
        <v>974</v>
      </c>
      <c r="B356" s="3">
        <v>40587</v>
      </c>
      <c r="C356" s="1">
        <v>1</v>
      </c>
      <c r="D356" s="1">
        <v>0</v>
      </c>
      <c r="E356" s="1">
        <v>2</v>
      </c>
      <c r="F356" s="1">
        <v>4</v>
      </c>
      <c r="G356" s="4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8">
        <v>2</v>
      </c>
    </row>
    <row r="357" spans="1:16" ht="15" thickBot="1" x14ac:dyDescent="0.35">
      <c r="A357" s="7">
        <v>975</v>
      </c>
      <c r="B357" s="3">
        <v>40587</v>
      </c>
      <c r="C357" s="1">
        <v>1</v>
      </c>
      <c r="D357" s="1">
        <v>0</v>
      </c>
      <c r="E357" s="1">
        <v>2</v>
      </c>
      <c r="F357" s="1">
        <v>6</v>
      </c>
      <c r="G357" s="4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8">
        <v>5</v>
      </c>
    </row>
    <row r="358" spans="1:16" ht="15" thickBot="1" x14ac:dyDescent="0.35">
      <c r="A358" s="7">
        <v>976</v>
      </c>
      <c r="B358" s="3">
        <v>40587</v>
      </c>
      <c r="C358" s="1">
        <v>1</v>
      </c>
      <c r="D358" s="1">
        <v>0</v>
      </c>
      <c r="E358" s="1">
        <v>2</v>
      </c>
      <c r="F358" s="1">
        <v>7</v>
      </c>
      <c r="G358" s="4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8">
        <v>3</v>
      </c>
    </row>
    <row r="359" spans="1:16" ht="15" thickBot="1" x14ac:dyDescent="0.35">
      <c r="A359" s="7">
        <v>977</v>
      </c>
      <c r="B359" s="3">
        <v>40587</v>
      </c>
      <c r="C359" s="1">
        <v>1</v>
      </c>
      <c r="D359" s="1">
        <v>0</v>
      </c>
      <c r="E359" s="1">
        <v>2</v>
      </c>
      <c r="F359" s="1">
        <v>8</v>
      </c>
      <c r="G359" s="4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8">
        <v>12</v>
      </c>
    </row>
    <row r="360" spans="1:16" ht="15" thickBot="1" x14ac:dyDescent="0.35">
      <c r="A360" s="7">
        <v>978</v>
      </c>
      <c r="B360" s="3">
        <v>40587</v>
      </c>
      <c r="C360" s="1">
        <v>1</v>
      </c>
      <c r="D360" s="1">
        <v>0</v>
      </c>
      <c r="E360" s="1">
        <v>2</v>
      </c>
      <c r="F360" s="1">
        <v>9</v>
      </c>
      <c r="G360" s="4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8">
        <v>47</v>
      </c>
    </row>
    <row r="361" spans="1:16" ht="15" thickBot="1" x14ac:dyDescent="0.35">
      <c r="A361" s="7">
        <v>979</v>
      </c>
      <c r="B361" s="3">
        <v>40587</v>
      </c>
      <c r="C361" s="1">
        <v>1</v>
      </c>
      <c r="D361" s="1">
        <v>0</v>
      </c>
      <c r="E361" s="1">
        <v>2</v>
      </c>
      <c r="F361" s="1">
        <v>10</v>
      </c>
      <c r="G361" s="4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8">
        <v>105</v>
      </c>
    </row>
    <row r="362" spans="1:16" ht="15" thickBot="1" x14ac:dyDescent="0.35">
      <c r="A362" s="7">
        <v>980</v>
      </c>
      <c r="B362" s="3">
        <v>40587</v>
      </c>
      <c r="C362" s="1">
        <v>1</v>
      </c>
      <c r="D362" s="1">
        <v>0</v>
      </c>
      <c r="E362" s="1">
        <v>2</v>
      </c>
      <c r="F362" s="1">
        <v>11</v>
      </c>
      <c r="G362" s="4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8">
        <v>112</v>
      </c>
    </row>
    <row r="363" spans="1:16" ht="15" thickBot="1" x14ac:dyDescent="0.35">
      <c r="A363" s="7">
        <v>981</v>
      </c>
      <c r="B363" s="3">
        <v>40587</v>
      </c>
      <c r="C363" s="1">
        <v>1</v>
      </c>
      <c r="D363" s="1">
        <v>0</v>
      </c>
      <c r="E363" s="1">
        <v>2</v>
      </c>
      <c r="F363" s="1">
        <v>12</v>
      </c>
      <c r="G363" s="4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8">
        <v>152</v>
      </c>
    </row>
    <row r="364" spans="1:16" ht="15" thickBot="1" x14ac:dyDescent="0.35">
      <c r="A364" s="7">
        <v>982</v>
      </c>
      <c r="B364" s="3">
        <v>40587</v>
      </c>
      <c r="C364" s="1">
        <v>1</v>
      </c>
      <c r="D364" s="1">
        <v>0</v>
      </c>
      <c r="E364" s="1">
        <v>2</v>
      </c>
      <c r="F364" s="1">
        <v>13</v>
      </c>
      <c r="G364" s="4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8">
        <v>154</v>
      </c>
    </row>
    <row r="365" spans="1:16" ht="15" thickBot="1" x14ac:dyDescent="0.35">
      <c r="A365" s="7">
        <v>983</v>
      </c>
      <c r="B365" s="3">
        <v>40587</v>
      </c>
      <c r="C365" s="1">
        <v>1</v>
      </c>
      <c r="D365" s="1">
        <v>0</v>
      </c>
      <c r="E365" s="1">
        <v>2</v>
      </c>
      <c r="F365" s="1">
        <v>14</v>
      </c>
      <c r="G365" s="4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8">
        <v>161</v>
      </c>
    </row>
    <row r="366" spans="1:16" ht="15" thickBot="1" x14ac:dyDescent="0.35">
      <c r="A366" s="7">
        <v>984</v>
      </c>
      <c r="B366" s="3">
        <v>40587</v>
      </c>
      <c r="C366" s="1">
        <v>1</v>
      </c>
      <c r="D366" s="1">
        <v>0</v>
      </c>
      <c r="E366" s="1">
        <v>2</v>
      </c>
      <c r="F366" s="1">
        <v>15</v>
      </c>
      <c r="G366" s="4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8">
        <v>162</v>
      </c>
    </row>
    <row r="367" spans="1:16" ht="15" thickBot="1" x14ac:dyDescent="0.35">
      <c r="A367" s="7">
        <v>985</v>
      </c>
      <c r="B367" s="3">
        <v>40587</v>
      </c>
      <c r="C367" s="1">
        <v>1</v>
      </c>
      <c r="D367" s="1">
        <v>0</v>
      </c>
      <c r="E367" s="1">
        <v>2</v>
      </c>
      <c r="F367" s="1">
        <v>16</v>
      </c>
      <c r="G367" s="4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8">
        <v>134</v>
      </c>
    </row>
    <row r="368" spans="1:16" ht="15" thickBot="1" x14ac:dyDescent="0.35">
      <c r="A368" s="7">
        <v>986</v>
      </c>
      <c r="B368" s="3">
        <v>40587</v>
      </c>
      <c r="C368" s="1">
        <v>1</v>
      </c>
      <c r="D368" s="1">
        <v>0</v>
      </c>
      <c r="E368" s="1">
        <v>2</v>
      </c>
      <c r="F368" s="1">
        <v>17</v>
      </c>
      <c r="G368" s="4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8">
        <v>125</v>
      </c>
    </row>
    <row r="369" spans="1:16" ht="15" thickBot="1" x14ac:dyDescent="0.35">
      <c r="A369" s="7">
        <v>987</v>
      </c>
      <c r="B369" s="3">
        <v>40587</v>
      </c>
      <c r="C369" s="1">
        <v>1</v>
      </c>
      <c r="D369" s="1">
        <v>0</v>
      </c>
      <c r="E369" s="1">
        <v>2</v>
      </c>
      <c r="F369" s="1">
        <v>18</v>
      </c>
      <c r="G369" s="4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8">
        <v>95</v>
      </c>
    </row>
    <row r="370" spans="1:16" ht="15" thickBot="1" x14ac:dyDescent="0.35">
      <c r="A370" s="7">
        <v>988</v>
      </c>
      <c r="B370" s="3">
        <v>40587</v>
      </c>
      <c r="C370" s="1">
        <v>1</v>
      </c>
      <c r="D370" s="1">
        <v>0</v>
      </c>
      <c r="E370" s="1">
        <v>2</v>
      </c>
      <c r="F370" s="1">
        <v>19</v>
      </c>
      <c r="G370" s="4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8">
        <v>61</v>
      </c>
    </row>
    <row r="371" spans="1:16" ht="15" thickBot="1" x14ac:dyDescent="0.35">
      <c r="A371" s="7">
        <v>989</v>
      </c>
      <c r="B371" s="3">
        <v>40587</v>
      </c>
      <c r="C371" s="1">
        <v>1</v>
      </c>
      <c r="D371" s="1">
        <v>0</v>
      </c>
      <c r="E371" s="1">
        <v>2</v>
      </c>
      <c r="F371" s="1">
        <v>20</v>
      </c>
      <c r="G371" s="4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8">
        <v>47</v>
      </c>
    </row>
    <row r="372" spans="1:16" ht="15" thickBot="1" x14ac:dyDescent="0.35">
      <c r="A372" s="7">
        <v>990</v>
      </c>
      <c r="B372" s="3">
        <v>40587</v>
      </c>
      <c r="C372" s="1">
        <v>1</v>
      </c>
      <c r="D372" s="1">
        <v>0</v>
      </c>
      <c r="E372" s="1">
        <v>2</v>
      </c>
      <c r="F372" s="1">
        <v>21</v>
      </c>
      <c r="G372" s="4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8">
        <v>51</v>
      </c>
    </row>
    <row r="373" spans="1:16" ht="15" thickBot="1" x14ac:dyDescent="0.35">
      <c r="A373" s="7">
        <v>991</v>
      </c>
      <c r="B373" s="3">
        <v>40587</v>
      </c>
      <c r="C373" s="1">
        <v>1</v>
      </c>
      <c r="D373" s="1">
        <v>0</v>
      </c>
      <c r="E373" s="1">
        <v>2</v>
      </c>
      <c r="F373" s="1">
        <v>22</v>
      </c>
      <c r="G373" s="4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8">
        <v>36</v>
      </c>
    </row>
    <row r="374" spans="1:16" ht="15" thickBot="1" x14ac:dyDescent="0.35">
      <c r="A374" s="7">
        <v>992</v>
      </c>
      <c r="B374" s="3">
        <v>40587</v>
      </c>
      <c r="C374" s="1">
        <v>1</v>
      </c>
      <c r="D374" s="1">
        <v>0</v>
      </c>
      <c r="E374" s="1">
        <v>2</v>
      </c>
      <c r="F374" s="1">
        <v>23</v>
      </c>
      <c r="G374" s="4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8">
        <v>30</v>
      </c>
    </row>
    <row r="375" spans="1:16" ht="15" thickBot="1" x14ac:dyDescent="0.35">
      <c r="A375" s="7">
        <v>993</v>
      </c>
      <c r="B375" s="3">
        <v>40588</v>
      </c>
      <c r="C375" s="1">
        <v>1</v>
      </c>
      <c r="D375" s="1">
        <v>0</v>
      </c>
      <c r="E375" s="1">
        <v>2</v>
      </c>
      <c r="F375" s="1">
        <v>0</v>
      </c>
      <c r="G375" s="4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8">
        <v>11</v>
      </c>
    </row>
    <row r="376" spans="1:16" ht="15" thickBot="1" x14ac:dyDescent="0.35">
      <c r="A376" s="7">
        <v>994</v>
      </c>
      <c r="B376" s="3">
        <v>40588</v>
      </c>
      <c r="C376" s="1">
        <v>1</v>
      </c>
      <c r="D376" s="1">
        <v>0</v>
      </c>
      <c r="E376" s="1">
        <v>2</v>
      </c>
      <c r="F376" s="1">
        <v>1</v>
      </c>
      <c r="G376" s="4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8">
        <v>7</v>
      </c>
    </row>
    <row r="377" spans="1:16" ht="15" thickBot="1" x14ac:dyDescent="0.35">
      <c r="A377" s="7">
        <v>995</v>
      </c>
      <c r="B377" s="3">
        <v>40588</v>
      </c>
      <c r="C377" s="1">
        <v>1</v>
      </c>
      <c r="D377" s="1">
        <v>0</v>
      </c>
      <c r="E377" s="1">
        <v>2</v>
      </c>
      <c r="F377" s="1">
        <v>2</v>
      </c>
      <c r="G377" s="4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8">
        <v>2</v>
      </c>
    </row>
    <row r="378" spans="1:16" ht="15" thickBot="1" x14ac:dyDescent="0.35">
      <c r="A378" s="7">
        <v>996</v>
      </c>
      <c r="B378" s="3">
        <v>40588</v>
      </c>
      <c r="C378" s="1">
        <v>1</v>
      </c>
      <c r="D378" s="1">
        <v>0</v>
      </c>
      <c r="E378" s="1">
        <v>2</v>
      </c>
      <c r="F378" s="1">
        <v>3</v>
      </c>
      <c r="G378" s="4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8">
        <v>2</v>
      </c>
    </row>
    <row r="379" spans="1:16" ht="15" thickBot="1" x14ac:dyDescent="0.35">
      <c r="A379" s="7">
        <v>997</v>
      </c>
      <c r="B379" s="3">
        <v>40588</v>
      </c>
      <c r="C379" s="1">
        <v>1</v>
      </c>
      <c r="D379" s="1">
        <v>0</v>
      </c>
      <c r="E379" s="1">
        <v>2</v>
      </c>
      <c r="F379" s="1">
        <v>4</v>
      </c>
      <c r="G379" s="4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8">
        <v>2</v>
      </c>
    </row>
    <row r="380" spans="1:16" ht="15" thickBot="1" x14ac:dyDescent="0.35">
      <c r="A380" s="7">
        <v>998</v>
      </c>
      <c r="B380" s="3">
        <v>40588</v>
      </c>
      <c r="C380" s="1">
        <v>1</v>
      </c>
      <c r="D380" s="1">
        <v>0</v>
      </c>
      <c r="E380" s="1">
        <v>2</v>
      </c>
      <c r="F380" s="1">
        <v>5</v>
      </c>
      <c r="G380" s="4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8">
        <v>3</v>
      </c>
    </row>
    <row r="381" spans="1:16" ht="15" thickBot="1" x14ac:dyDescent="0.35">
      <c r="A381" s="7">
        <v>999</v>
      </c>
      <c r="B381" s="3">
        <v>40588</v>
      </c>
      <c r="C381" s="1">
        <v>1</v>
      </c>
      <c r="D381" s="1">
        <v>0</v>
      </c>
      <c r="E381" s="1">
        <v>2</v>
      </c>
      <c r="F381" s="1">
        <v>6</v>
      </c>
      <c r="G381" s="4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8">
        <v>26</v>
      </c>
    </row>
    <row r="382" spans="1:16" ht="15" thickBot="1" x14ac:dyDescent="0.35">
      <c r="A382" s="7">
        <v>1000</v>
      </c>
      <c r="B382" s="3">
        <v>40588</v>
      </c>
      <c r="C382" s="1">
        <v>1</v>
      </c>
      <c r="D382" s="1">
        <v>0</v>
      </c>
      <c r="E382" s="1">
        <v>2</v>
      </c>
      <c r="F382" s="1">
        <v>7</v>
      </c>
      <c r="G382" s="4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8">
        <v>98</v>
      </c>
    </row>
    <row r="383" spans="1:16" ht="15" thickBot="1" x14ac:dyDescent="0.35">
      <c r="A383" s="7">
        <v>611</v>
      </c>
      <c r="B383" s="3">
        <v>40571</v>
      </c>
      <c r="C383" s="1">
        <v>1</v>
      </c>
      <c r="D383" s="1">
        <v>0</v>
      </c>
      <c r="E383" s="1">
        <v>1</v>
      </c>
      <c r="F383" s="1">
        <v>16</v>
      </c>
      <c r="G383" s="4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8">
        <v>80</v>
      </c>
    </row>
    <row r="384" spans="1:16" ht="15" thickBot="1" x14ac:dyDescent="0.35">
      <c r="A384" s="7">
        <v>612</v>
      </c>
      <c r="B384" s="3">
        <v>40571</v>
      </c>
      <c r="C384" s="1">
        <v>1</v>
      </c>
      <c r="D384" s="1">
        <v>0</v>
      </c>
      <c r="E384" s="1">
        <v>1</v>
      </c>
      <c r="F384" s="1">
        <v>17</v>
      </c>
      <c r="G384" s="4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8">
        <v>149</v>
      </c>
    </row>
    <row r="385" spans="1:16" ht="15" thickBot="1" x14ac:dyDescent="0.35">
      <c r="A385" s="7">
        <v>613</v>
      </c>
      <c r="B385" s="3">
        <v>40571</v>
      </c>
      <c r="C385" s="1">
        <v>1</v>
      </c>
      <c r="D385" s="1">
        <v>0</v>
      </c>
      <c r="E385" s="1">
        <v>1</v>
      </c>
      <c r="F385" s="1">
        <v>18</v>
      </c>
      <c r="G385" s="4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8">
        <v>109</v>
      </c>
    </row>
    <row r="386" spans="1:16" ht="15" thickBot="1" x14ac:dyDescent="0.35">
      <c r="A386" s="7">
        <v>614</v>
      </c>
      <c r="B386" s="3">
        <v>40571</v>
      </c>
      <c r="C386" s="1">
        <v>1</v>
      </c>
      <c r="D386" s="1">
        <v>0</v>
      </c>
      <c r="E386" s="1">
        <v>1</v>
      </c>
      <c r="F386" s="1">
        <v>19</v>
      </c>
      <c r="G386" s="4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8">
        <v>89</v>
      </c>
    </row>
    <row r="387" spans="1:16" ht="15" thickBot="1" x14ac:dyDescent="0.35">
      <c r="A387" s="7">
        <v>615</v>
      </c>
      <c r="B387" s="3">
        <v>40571</v>
      </c>
      <c r="C387" s="1">
        <v>1</v>
      </c>
      <c r="D387" s="1">
        <v>0</v>
      </c>
      <c r="E387" s="1">
        <v>1</v>
      </c>
      <c r="F387" s="1">
        <v>20</v>
      </c>
      <c r="G387" s="4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8">
        <v>62</v>
      </c>
    </row>
    <row r="388" spans="1:16" ht="15" thickBot="1" x14ac:dyDescent="0.35">
      <c r="A388" s="7">
        <v>616</v>
      </c>
      <c r="B388" s="3">
        <v>40571</v>
      </c>
      <c r="C388" s="1">
        <v>1</v>
      </c>
      <c r="D388" s="1">
        <v>0</v>
      </c>
      <c r="E388" s="1">
        <v>1</v>
      </c>
      <c r="F388" s="1">
        <v>21</v>
      </c>
      <c r="G388" s="4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8">
        <v>58</v>
      </c>
    </row>
    <row r="389" spans="1:16" ht="15" thickBot="1" x14ac:dyDescent="0.35">
      <c r="A389" s="7">
        <v>617</v>
      </c>
      <c r="B389" s="3">
        <v>40571</v>
      </c>
      <c r="C389" s="1">
        <v>1</v>
      </c>
      <c r="D389" s="1">
        <v>0</v>
      </c>
      <c r="E389" s="1">
        <v>1</v>
      </c>
      <c r="F389" s="1">
        <v>22</v>
      </c>
      <c r="G389" s="4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8">
        <v>26</v>
      </c>
    </row>
    <row r="390" spans="1:16" ht="15" thickBot="1" x14ac:dyDescent="0.35">
      <c r="A390" s="7">
        <v>618</v>
      </c>
      <c r="B390" s="3">
        <v>40571</v>
      </c>
      <c r="C390" s="1">
        <v>1</v>
      </c>
      <c r="D390" s="1">
        <v>0</v>
      </c>
      <c r="E390" s="1">
        <v>1</v>
      </c>
      <c r="F390" s="1">
        <v>23</v>
      </c>
      <c r="G390" s="4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8">
        <v>23</v>
      </c>
    </row>
    <row r="391" spans="1:16" x14ac:dyDescent="0.3">
      <c r="A391" s="12">
        <v>619</v>
      </c>
      <c r="B391" s="13">
        <v>40572</v>
      </c>
      <c r="C391" s="14">
        <v>1</v>
      </c>
      <c r="D391" s="14">
        <v>0</v>
      </c>
      <c r="E391" s="14">
        <v>1</v>
      </c>
      <c r="F391" s="14">
        <v>0</v>
      </c>
      <c r="G391" s="15" t="b">
        <v>0</v>
      </c>
      <c r="H391" s="14">
        <v>6</v>
      </c>
      <c r="I391" s="14">
        <v>1</v>
      </c>
      <c r="J391" s="14">
        <v>0.22</v>
      </c>
      <c r="K391" s="14">
        <v>0.19700000000000001</v>
      </c>
      <c r="L391" s="14">
        <v>0.64</v>
      </c>
      <c r="M391" s="14">
        <v>0.35820000000000002</v>
      </c>
      <c r="N391" s="14">
        <v>2</v>
      </c>
      <c r="O391" s="14">
        <v>26</v>
      </c>
      <c r="P391" s="16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A521-65AE-4CC4-911D-36CADB3D6302}">
  <sheetPr>
    <tabColor rgb="FF00B0F0"/>
  </sheetPr>
  <dimension ref="A1:V1001"/>
  <sheetViews>
    <sheetView workbookViewId="0">
      <selection activeCell="J9" sqref="J9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664062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1.10937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6.88671875" bestFit="1" customWidth="1"/>
    <col min="13" max="13" width="12.33203125" bestFit="1" customWidth="1"/>
    <col min="14" max="14" width="8.6640625" bestFit="1" customWidth="1"/>
    <col min="15" max="15" width="11.6640625" bestFit="1" customWidth="1"/>
    <col min="16" max="16" width="5.88671875" bestFit="1" customWidth="1"/>
    <col min="17" max="17" width="10.33203125" bestFit="1" customWidth="1"/>
    <col min="18" max="18" width="8.44140625" bestFit="1" customWidth="1"/>
    <col min="19" max="19" width="13.88671875" bestFit="1" customWidth="1"/>
    <col min="20" max="20" width="10.33203125" bestFit="1" customWidth="1"/>
    <col min="21" max="21" width="13.33203125" bestFit="1" customWidth="1"/>
    <col min="22" max="22" width="7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  <c r="Q2">
        <v>0.28789999999999999</v>
      </c>
      <c r="R2">
        <v>0.81</v>
      </c>
      <c r="S2">
        <v>0</v>
      </c>
      <c r="T2">
        <v>3</v>
      </c>
      <c r="U2">
        <v>13</v>
      </c>
      <c r="V2">
        <v>16</v>
      </c>
    </row>
    <row r="3" spans="1:22" x14ac:dyDescent="0.3">
      <c r="A3">
        <v>2</v>
      </c>
      <c r="B3" s="2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>
        <v>0.2727</v>
      </c>
      <c r="R3">
        <v>0.8</v>
      </c>
      <c r="S3">
        <v>0</v>
      </c>
      <c r="T3">
        <v>8</v>
      </c>
      <c r="U3">
        <v>32</v>
      </c>
      <c r="V3">
        <v>40</v>
      </c>
    </row>
    <row r="4" spans="1:22" x14ac:dyDescent="0.3">
      <c r="A4">
        <v>3</v>
      </c>
      <c r="B4" s="2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  <c r="Q4">
        <v>0.2727</v>
      </c>
      <c r="R4">
        <v>0.8</v>
      </c>
      <c r="S4">
        <v>0</v>
      </c>
      <c r="T4">
        <v>5</v>
      </c>
      <c r="U4">
        <v>27</v>
      </c>
      <c r="V4">
        <v>32</v>
      </c>
    </row>
    <row r="5" spans="1:22" x14ac:dyDescent="0.3">
      <c r="A5">
        <v>4</v>
      </c>
      <c r="B5" s="2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>
        <v>0.28789999999999999</v>
      </c>
      <c r="R5">
        <v>0.75</v>
      </c>
      <c r="S5">
        <v>0</v>
      </c>
      <c r="T5">
        <v>3</v>
      </c>
      <c r="U5">
        <v>10</v>
      </c>
      <c r="V5">
        <v>13</v>
      </c>
    </row>
    <row r="6" spans="1:22" x14ac:dyDescent="0.3">
      <c r="A6">
        <v>5</v>
      </c>
      <c r="B6" s="2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  <c r="Q6">
        <v>0.28789999999999999</v>
      </c>
      <c r="R6">
        <v>0.75</v>
      </c>
      <c r="S6">
        <v>0</v>
      </c>
      <c r="T6">
        <v>0</v>
      </c>
      <c r="U6">
        <v>1</v>
      </c>
      <c r="V6">
        <v>1</v>
      </c>
    </row>
    <row r="7" spans="1:22" x14ac:dyDescent="0.3">
      <c r="A7">
        <v>6</v>
      </c>
      <c r="B7" s="2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  <c r="Q7">
        <v>0.2576</v>
      </c>
      <c r="R7">
        <v>0.75</v>
      </c>
      <c r="S7">
        <v>8.9599999999999999E-2</v>
      </c>
      <c r="T7">
        <v>0</v>
      </c>
      <c r="U7">
        <v>1</v>
      </c>
      <c r="V7">
        <v>1</v>
      </c>
    </row>
    <row r="8" spans="1:22" x14ac:dyDescent="0.3">
      <c r="A8">
        <v>7</v>
      </c>
      <c r="B8" s="2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  <c r="Q8">
        <v>0.2727</v>
      </c>
      <c r="R8">
        <v>0.8</v>
      </c>
      <c r="S8">
        <v>0</v>
      </c>
      <c r="T8">
        <v>2</v>
      </c>
      <c r="U8">
        <v>0</v>
      </c>
      <c r="V8">
        <v>2</v>
      </c>
    </row>
    <row r="9" spans="1:22" x14ac:dyDescent="0.3">
      <c r="A9">
        <v>8</v>
      </c>
      <c r="B9" s="2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  <c r="Q9">
        <v>0.2576</v>
      </c>
      <c r="R9">
        <v>0.86</v>
      </c>
      <c r="S9">
        <v>0</v>
      </c>
      <c r="T9">
        <v>1</v>
      </c>
      <c r="U9">
        <v>2</v>
      </c>
      <c r="V9">
        <v>3</v>
      </c>
    </row>
    <row r="10" spans="1:22" x14ac:dyDescent="0.3">
      <c r="A10">
        <v>9</v>
      </c>
      <c r="B10" s="2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  <c r="R10">
        <v>0.75</v>
      </c>
      <c r="S10">
        <v>0</v>
      </c>
      <c r="T10">
        <v>1</v>
      </c>
      <c r="U10">
        <v>7</v>
      </c>
      <c r="V10">
        <v>8</v>
      </c>
    </row>
    <row r="11" spans="1:22" x14ac:dyDescent="0.3">
      <c r="A11">
        <v>10</v>
      </c>
      <c r="B11" s="2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  <c r="Q11">
        <v>0.34849999999999998</v>
      </c>
      <c r="R11">
        <v>0.76</v>
      </c>
      <c r="S11">
        <v>0</v>
      </c>
      <c r="T11">
        <v>8</v>
      </c>
      <c r="U11">
        <v>6</v>
      </c>
      <c r="V11">
        <v>14</v>
      </c>
    </row>
    <row r="12" spans="1:22" x14ac:dyDescent="0.3">
      <c r="A12">
        <v>11</v>
      </c>
      <c r="B12" s="2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>
        <v>0.39389999999999997</v>
      </c>
      <c r="R12">
        <v>0.76</v>
      </c>
      <c r="S12">
        <v>0.25369999999999998</v>
      </c>
      <c r="T12">
        <v>12</v>
      </c>
      <c r="U12">
        <v>24</v>
      </c>
      <c r="V12">
        <v>36</v>
      </c>
    </row>
    <row r="13" spans="1:22" x14ac:dyDescent="0.3">
      <c r="A13">
        <v>12</v>
      </c>
      <c r="B13" s="2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>
        <v>0.33329999999999999</v>
      </c>
      <c r="R13">
        <v>0.81</v>
      </c>
      <c r="S13">
        <v>0.28360000000000002</v>
      </c>
      <c r="T13">
        <v>26</v>
      </c>
      <c r="U13">
        <v>30</v>
      </c>
      <c r="V13">
        <v>56</v>
      </c>
    </row>
    <row r="14" spans="1:22" x14ac:dyDescent="0.3">
      <c r="A14">
        <v>13</v>
      </c>
      <c r="B14" s="2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>
        <v>0.42420000000000002</v>
      </c>
      <c r="R14">
        <v>0.77</v>
      </c>
      <c r="S14">
        <v>0.28360000000000002</v>
      </c>
      <c r="T14">
        <v>29</v>
      </c>
      <c r="U14">
        <v>55</v>
      </c>
      <c r="V14">
        <v>84</v>
      </c>
    </row>
    <row r="15" spans="1:22" x14ac:dyDescent="0.3">
      <c r="A15">
        <v>14</v>
      </c>
      <c r="B15" s="2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>
        <v>0.45450000000000002</v>
      </c>
      <c r="R15">
        <v>0.72</v>
      </c>
      <c r="S15">
        <v>0.29849999999999999</v>
      </c>
      <c r="T15">
        <v>47</v>
      </c>
      <c r="U15">
        <v>47</v>
      </c>
      <c r="V15">
        <v>94</v>
      </c>
    </row>
    <row r="16" spans="1:22" x14ac:dyDescent="0.3">
      <c r="A16">
        <v>15</v>
      </c>
      <c r="B16" s="2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>
        <v>0.45450000000000002</v>
      </c>
      <c r="R16">
        <v>0.72</v>
      </c>
      <c r="S16">
        <v>0.28360000000000002</v>
      </c>
      <c r="T16">
        <v>35</v>
      </c>
      <c r="U16">
        <v>71</v>
      </c>
      <c r="V16">
        <v>106</v>
      </c>
    </row>
    <row r="17" spans="1:22" x14ac:dyDescent="0.3">
      <c r="A17">
        <v>16</v>
      </c>
      <c r="B17" s="2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>
        <v>0.43940000000000001</v>
      </c>
      <c r="R17">
        <v>0.77</v>
      </c>
      <c r="S17">
        <v>0.29849999999999999</v>
      </c>
      <c r="T17">
        <v>40</v>
      </c>
      <c r="U17">
        <v>70</v>
      </c>
      <c r="V17">
        <v>110</v>
      </c>
    </row>
    <row r="18" spans="1:22" x14ac:dyDescent="0.3">
      <c r="A18">
        <v>17</v>
      </c>
      <c r="B18" s="2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>
        <v>0.42420000000000002</v>
      </c>
      <c r="R18">
        <v>0.82</v>
      </c>
      <c r="S18">
        <v>0.29849999999999999</v>
      </c>
      <c r="T18">
        <v>41</v>
      </c>
      <c r="U18">
        <v>52</v>
      </c>
      <c r="V18">
        <v>93</v>
      </c>
    </row>
    <row r="19" spans="1:22" x14ac:dyDescent="0.3">
      <c r="A19">
        <v>18</v>
      </c>
      <c r="B19" s="2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R19">
        <v>0.82</v>
      </c>
      <c r="S19">
        <v>0.28360000000000002</v>
      </c>
      <c r="T19">
        <v>15</v>
      </c>
      <c r="U19">
        <v>52</v>
      </c>
      <c r="V19">
        <v>67</v>
      </c>
    </row>
    <row r="20" spans="1:22" x14ac:dyDescent="0.3">
      <c r="A20">
        <v>19</v>
      </c>
      <c r="B20" s="2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>
        <v>0.42420000000000002</v>
      </c>
      <c r="R20">
        <v>0.88</v>
      </c>
      <c r="S20">
        <v>0.25369999999999998</v>
      </c>
      <c r="T20">
        <v>9</v>
      </c>
      <c r="U20">
        <v>26</v>
      </c>
      <c r="V20">
        <v>35</v>
      </c>
    </row>
    <row r="21" spans="1:22" x14ac:dyDescent="0.3">
      <c r="A21">
        <v>20</v>
      </c>
      <c r="B21" s="2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>
        <v>0.42420000000000002</v>
      </c>
      <c r="R21">
        <v>0.88</v>
      </c>
      <c r="S21">
        <v>0.25369999999999998</v>
      </c>
      <c r="T21">
        <v>6</v>
      </c>
      <c r="U21">
        <v>31</v>
      </c>
      <c r="V21">
        <v>37</v>
      </c>
    </row>
    <row r="22" spans="1:22" x14ac:dyDescent="0.3">
      <c r="A22">
        <v>21</v>
      </c>
      <c r="B22" s="2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>
        <v>0.40910000000000002</v>
      </c>
      <c r="R22">
        <v>0.87</v>
      </c>
      <c r="S22">
        <v>0.25369999999999998</v>
      </c>
      <c r="T22">
        <v>11</v>
      </c>
      <c r="U22">
        <v>25</v>
      </c>
      <c r="V22">
        <v>36</v>
      </c>
    </row>
    <row r="23" spans="1:22" x14ac:dyDescent="0.3">
      <c r="A23">
        <v>22</v>
      </c>
      <c r="B23" s="2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>
        <v>0.40910000000000002</v>
      </c>
      <c r="R23">
        <v>0.87</v>
      </c>
      <c r="S23">
        <v>0.19400000000000001</v>
      </c>
      <c r="T23">
        <v>3</v>
      </c>
      <c r="U23">
        <v>31</v>
      </c>
      <c r="V23">
        <v>34</v>
      </c>
    </row>
    <row r="24" spans="1:22" x14ac:dyDescent="0.3">
      <c r="A24">
        <v>23</v>
      </c>
      <c r="B24" s="2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>
        <v>0.40910000000000002</v>
      </c>
      <c r="R24">
        <v>0.94</v>
      </c>
      <c r="S24">
        <v>0.22389999999999999</v>
      </c>
      <c r="T24">
        <v>11</v>
      </c>
      <c r="U24">
        <v>17</v>
      </c>
      <c r="V24">
        <v>28</v>
      </c>
    </row>
    <row r="25" spans="1:22" x14ac:dyDescent="0.3">
      <c r="A25">
        <v>24</v>
      </c>
      <c r="B25" s="2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R25">
        <v>0.88</v>
      </c>
      <c r="S25">
        <v>0.29849999999999999</v>
      </c>
      <c r="T25">
        <v>15</v>
      </c>
      <c r="U25">
        <v>24</v>
      </c>
      <c r="V25">
        <v>39</v>
      </c>
    </row>
    <row r="26" spans="1:22" x14ac:dyDescent="0.3">
      <c r="A26">
        <v>25</v>
      </c>
      <c r="B26" s="2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>
        <v>0.45450000000000002</v>
      </c>
      <c r="R26">
        <v>0.88</v>
      </c>
      <c r="S26">
        <v>0.29849999999999999</v>
      </c>
      <c r="T26">
        <v>4</v>
      </c>
      <c r="U26">
        <v>13</v>
      </c>
      <c r="V26">
        <v>17</v>
      </c>
    </row>
    <row r="27" spans="1:22" x14ac:dyDescent="0.3">
      <c r="A27">
        <v>26</v>
      </c>
      <c r="B27" s="2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>
        <v>0.43940000000000001</v>
      </c>
      <c r="R27">
        <v>0.94</v>
      </c>
      <c r="S27">
        <v>0.25369999999999998</v>
      </c>
      <c r="T27">
        <v>1</v>
      </c>
      <c r="U27">
        <v>16</v>
      </c>
      <c r="V27">
        <v>17</v>
      </c>
    </row>
    <row r="28" spans="1:22" x14ac:dyDescent="0.3">
      <c r="A28">
        <v>27</v>
      </c>
      <c r="B28" s="2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>
        <v>0.42420000000000002</v>
      </c>
      <c r="R28">
        <v>1</v>
      </c>
      <c r="S28">
        <v>0.28360000000000002</v>
      </c>
      <c r="T28">
        <v>1</v>
      </c>
      <c r="U28">
        <v>8</v>
      </c>
      <c r="V28">
        <v>9</v>
      </c>
    </row>
    <row r="29" spans="1:22" x14ac:dyDescent="0.3">
      <c r="A29">
        <v>28</v>
      </c>
      <c r="B29" s="2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>
        <v>0.45450000000000002</v>
      </c>
      <c r="R29">
        <v>0.94</v>
      </c>
      <c r="S29">
        <v>0.19400000000000001</v>
      </c>
      <c r="T29">
        <v>2</v>
      </c>
      <c r="U29">
        <v>4</v>
      </c>
      <c r="V29">
        <v>6</v>
      </c>
    </row>
    <row r="30" spans="1:22" x14ac:dyDescent="0.3">
      <c r="A30">
        <v>29</v>
      </c>
      <c r="B30" s="2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  <c r="R30">
        <v>0.94</v>
      </c>
      <c r="S30">
        <v>0.19400000000000001</v>
      </c>
      <c r="T30">
        <v>2</v>
      </c>
      <c r="U30">
        <v>1</v>
      </c>
      <c r="V30">
        <v>3</v>
      </c>
    </row>
    <row r="31" spans="1:22" x14ac:dyDescent="0.3">
      <c r="A31">
        <v>30</v>
      </c>
      <c r="B31" s="2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>
        <v>0.42420000000000002</v>
      </c>
      <c r="R31">
        <v>0.77</v>
      </c>
      <c r="S31">
        <v>0.29849999999999999</v>
      </c>
      <c r="T31">
        <v>0</v>
      </c>
      <c r="U31">
        <v>2</v>
      </c>
      <c r="V31">
        <v>2</v>
      </c>
    </row>
    <row r="32" spans="1:22" x14ac:dyDescent="0.3">
      <c r="A32">
        <v>31</v>
      </c>
      <c r="B32" s="2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>
        <v>0.40910000000000002</v>
      </c>
      <c r="R32">
        <v>0.76</v>
      </c>
      <c r="S32">
        <v>0.19400000000000001</v>
      </c>
      <c r="T32">
        <v>0</v>
      </c>
      <c r="U32">
        <v>1</v>
      </c>
      <c r="V32">
        <v>1</v>
      </c>
    </row>
    <row r="33" spans="1:22" x14ac:dyDescent="0.3">
      <c r="A33">
        <v>32</v>
      </c>
      <c r="B33" s="2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>
        <v>0.40910000000000002</v>
      </c>
      <c r="R33">
        <v>0.71</v>
      </c>
      <c r="S33">
        <v>0.22389999999999999</v>
      </c>
      <c r="T33">
        <v>0</v>
      </c>
      <c r="U33">
        <v>8</v>
      </c>
      <c r="V33">
        <v>8</v>
      </c>
    </row>
    <row r="34" spans="1:22" x14ac:dyDescent="0.3">
      <c r="A34">
        <v>33</v>
      </c>
      <c r="B34" s="2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R34">
        <v>0.76</v>
      </c>
      <c r="S34">
        <v>0.22389999999999999</v>
      </c>
      <c r="T34">
        <v>1</v>
      </c>
      <c r="U34">
        <v>19</v>
      </c>
      <c r="V34">
        <v>20</v>
      </c>
    </row>
    <row r="35" spans="1:22" x14ac:dyDescent="0.3">
      <c r="A35">
        <v>34</v>
      </c>
      <c r="B35" s="2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>
        <v>0.34849999999999998</v>
      </c>
      <c r="R35">
        <v>0.81</v>
      </c>
      <c r="S35">
        <v>0.22389999999999999</v>
      </c>
      <c r="T35">
        <v>7</v>
      </c>
      <c r="U35">
        <v>46</v>
      </c>
      <c r="V35">
        <v>53</v>
      </c>
    </row>
    <row r="36" spans="1:22" x14ac:dyDescent="0.3">
      <c r="A36">
        <v>35</v>
      </c>
      <c r="B36" s="2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>
        <v>0.33329999999999999</v>
      </c>
      <c r="R36">
        <v>0.71</v>
      </c>
      <c r="S36">
        <v>0.25369999999999998</v>
      </c>
      <c r="T36">
        <v>16</v>
      </c>
      <c r="U36">
        <v>54</v>
      </c>
      <c r="V36">
        <v>70</v>
      </c>
    </row>
    <row r="37" spans="1:22" x14ac:dyDescent="0.3">
      <c r="A37">
        <v>36</v>
      </c>
      <c r="B37" s="2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>
        <v>0.33329999999999999</v>
      </c>
      <c r="R37">
        <v>0.66</v>
      </c>
      <c r="S37">
        <v>0.29849999999999999</v>
      </c>
      <c r="T37">
        <v>20</v>
      </c>
      <c r="U37">
        <v>73</v>
      </c>
      <c r="V37">
        <v>93</v>
      </c>
    </row>
    <row r="38" spans="1:22" x14ac:dyDescent="0.3">
      <c r="A38">
        <v>37</v>
      </c>
      <c r="B38" s="2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  <c r="Q38">
        <v>0.34849999999999998</v>
      </c>
      <c r="R38">
        <v>0.66</v>
      </c>
      <c r="S38">
        <v>0.1343</v>
      </c>
      <c r="T38">
        <v>11</v>
      </c>
      <c r="U38">
        <v>64</v>
      </c>
      <c r="V38">
        <v>75</v>
      </c>
    </row>
    <row r="39" spans="1:22" x14ac:dyDescent="0.3">
      <c r="A39">
        <v>38</v>
      </c>
      <c r="B39" s="2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R39">
        <v>0.76</v>
      </c>
      <c r="S39">
        <v>0.19400000000000001</v>
      </c>
      <c r="T39">
        <v>4</v>
      </c>
      <c r="U39">
        <v>55</v>
      </c>
      <c r="V39">
        <v>59</v>
      </c>
    </row>
    <row r="40" spans="1:22" x14ac:dyDescent="0.3">
      <c r="A40">
        <v>39</v>
      </c>
      <c r="B40" s="2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>
        <v>0.33329999999999999</v>
      </c>
      <c r="R40">
        <v>0.81</v>
      </c>
      <c r="S40">
        <v>0.16420000000000001</v>
      </c>
      <c r="T40">
        <v>19</v>
      </c>
      <c r="U40">
        <v>55</v>
      </c>
      <c r="V40">
        <v>74</v>
      </c>
    </row>
    <row r="41" spans="1:22" x14ac:dyDescent="0.3">
      <c r="A41">
        <v>40</v>
      </c>
      <c r="B41" s="2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>
        <v>0.33329999999999999</v>
      </c>
      <c r="R41">
        <v>0.71</v>
      </c>
      <c r="S41">
        <v>0.16420000000000001</v>
      </c>
      <c r="T41">
        <v>9</v>
      </c>
      <c r="U41">
        <v>67</v>
      </c>
      <c r="V41">
        <v>76</v>
      </c>
    </row>
    <row r="42" spans="1:22" x14ac:dyDescent="0.3">
      <c r="A42">
        <v>41</v>
      </c>
      <c r="B42" s="2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>
        <v>0.33329999999999999</v>
      </c>
      <c r="R42">
        <v>0.56999999999999995</v>
      </c>
      <c r="S42">
        <v>0.19400000000000001</v>
      </c>
      <c r="T42">
        <v>7</v>
      </c>
      <c r="U42">
        <v>58</v>
      </c>
      <c r="V42">
        <v>65</v>
      </c>
    </row>
    <row r="43" spans="1:22" x14ac:dyDescent="0.3">
      <c r="A43">
        <v>42</v>
      </c>
      <c r="B43" s="2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>
        <v>0.33329999999999999</v>
      </c>
      <c r="R43">
        <v>0.46</v>
      </c>
      <c r="S43">
        <v>0.32840000000000003</v>
      </c>
      <c r="T43">
        <v>10</v>
      </c>
      <c r="U43">
        <v>43</v>
      </c>
      <c r="V43">
        <v>53</v>
      </c>
    </row>
    <row r="44" spans="1:22" x14ac:dyDescent="0.3">
      <c r="A44">
        <v>43</v>
      </c>
      <c r="B44" s="2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>
        <v>0.28789999999999999</v>
      </c>
      <c r="R44">
        <v>0.42</v>
      </c>
      <c r="S44">
        <v>0.44779999999999998</v>
      </c>
      <c r="T44">
        <v>1</v>
      </c>
      <c r="U44">
        <v>29</v>
      </c>
      <c r="V44">
        <v>30</v>
      </c>
    </row>
    <row r="45" spans="1:22" x14ac:dyDescent="0.3">
      <c r="A45">
        <v>44</v>
      </c>
      <c r="B45" s="2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R45">
        <v>0.39</v>
      </c>
      <c r="S45">
        <v>0.35820000000000002</v>
      </c>
      <c r="T45">
        <v>5</v>
      </c>
      <c r="U45">
        <v>17</v>
      </c>
      <c r="V45">
        <v>22</v>
      </c>
    </row>
    <row r="46" spans="1:22" x14ac:dyDescent="0.3">
      <c r="A46">
        <v>45</v>
      </c>
      <c r="B46" s="2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>
        <v>0.2273</v>
      </c>
      <c r="R46">
        <v>0.44</v>
      </c>
      <c r="S46">
        <v>0.32840000000000003</v>
      </c>
      <c r="T46">
        <v>11</v>
      </c>
      <c r="U46">
        <v>20</v>
      </c>
      <c r="V46">
        <v>31</v>
      </c>
    </row>
    <row r="47" spans="1:22" x14ac:dyDescent="0.3">
      <c r="A47">
        <v>46</v>
      </c>
      <c r="B47" s="2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>
        <v>0.21210000000000001</v>
      </c>
      <c r="R47">
        <v>0.44</v>
      </c>
      <c r="S47">
        <v>0.29849999999999999</v>
      </c>
      <c r="T47">
        <v>0</v>
      </c>
      <c r="U47">
        <v>9</v>
      </c>
      <c r="V47">
        <v>9</v>
      </c>
    </row>
    <row r="48" spans="1:22" x14ac:dyDescent="0.3">
      <c r="A48">
        <v>47</v>
      </c>
      <c r="B48" s="2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>
        <v>0.2273</v>
      </c>
      <c r="R48">
        <v>0.47</v>
      </c>
      <c r="S48">
        <v>0.16420000000000001</v>
      </c>
      <c r="T48">
        <v>0</v>
      </c>
      <c r="U48">
        <v>8</v>
      </c>
      <c r="V48">
        <v>8</v>
      </c>
    </row>
    <row r="49" spans="1:22" x14ac:dyDescent="0.3">
      <c r="A49">
        <v>48</v>
      </c>
      <c r="B49" s="2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>
        <v>0.19700000000000001</v>
      </c>
      <c r="R49">
        <v>0.44</v>
      </c>
      <c r="S49">
        <v>0.35820000000000002</v>
      </c>
      <c r="T49">
        <v>0</v>
      </c>
      <c r="U49">
        <v>5</v>
      </c>
      <c r="V49">
        <v>5</v>
      </c>
    </row>
    <row r="50" spans="1:22" x14ac:dyDescent="0.3">
      <c r="A50">
        <v>49</v>
      </c>
      <c r="B50" s="2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  <c r="R50">
        <v>0.44</v>
      </c>
      <c r="S50">
        <v>0.41789999999999999</v>
      </c>
      <c r="T50">
        <v>0</v>
      </c>
      <c r="U50">
        <v>2</v>
      </c>
      <c r="V50">
        <v>2</v>
      </c>
    </row>
    <row r="51" spans="1:22" x14ac:dyDescent="0.3">
      <c r="A51">
        <v>50</v>
      </c>
      <c r="B51" s="2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>
        <v>0.13639999999999999</v>
      </c>
      <c r="R51">
        <v>0.47</v>
      </c>
      <c r="S51">
        <v>0.3881</v>
      </c>
      <c r="T51">
        <v>0</v>
      </c>
      <c r="U51">
        <v>1</v>
      </c>
      <c r="V51">
        <v>1</v>
      </c>
    </row>
    <row r="52" spans="1:22" x14ac:dyDescent="0.3">
      <c r="A52">
        <v>51</v>
      </c>
      <c r="B52" s="2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>
        <v>0.13639999999999999</v>
      </c>
      <c r="R52">
        <v>0.47</v>
      </c>
      <c r="S52">
        <v>0.28360000000000002</v>
      </c>
      <c r="T52">
        <v>0</v>
      </c>
      <c r="U52">
        <v>3</v>
      </c>
      <c r="V52">
        <v>3</v>
      </c>
    </row>
    <row r="53" spans="1:22" x14ac:dyDescent="0.3">
      <c r="A53">
        <v>52</v>
      </c>
      <c r="B53" s="2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  <c r="Q53">
        <v>0.1061</v>
      </c>
      <c r="R53">
        <v>0.5</v>
      </c>
      <c r="S53">
        <v>0.3881</v>
      </c>
      <c r="T53">
        <v>0</v>
      </c>
      <c r="U53">
        <v>30</v>
      </c>
      <c r="V53">
        <v>30</v>
      </c>
    </row>
    <row r="54" spans="1:22" x14ac:dyDescent="0.3">
      <c r="A54">
        <v>53</v>
      </c>
      <c r="B54" s="2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>
        <v>0.13639999999999999</v>
      </c>
      <c r="R54">
        <v>0.5</v>
      </c>
      <c r="S54">
        <v>0.19400000000000001</v>
      </c>
      <c r="T54">
        <v>1</v>
      </c>
      <c r="U54">
        <v>63</v>
      </c>
      <c r="V54">
        <v>64</v>
      </c>
    </row>
    <row r="55" spans="1:22" x14ac:dyDescent="0.3">
      <c r="A55">
        <v>54</v>
      </c>
      <c r="B55" s="2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>
        <v>0.1212</v>
      </c>
      <c r="R55">
        <v>0.5</v>
      </c>
      <c r="S55">
        <v>0.28360000000000002</v>
      </c>
      <c r="T55">
        <v>1</v>
      </c>
      <c r="U55">
        <v>153</v>
      </c>
      <c r="V55">
        <v>154</v>
      </c>
    </row>
    <row r="56" spans="1:22" x14ac:dyDescent="0.3">
      <c r="A56">
        <v>55</v>
      </c>
      <c r="B56" s="2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>
        <v>0.13639999999999999</v>
      </c>
      <c r="R56">
        <v>0.43</v>
      </c>
      <c r="S56">
        <v>0.3881</v>
      </c>
      <c r="T56">
        <v>7</v>
      </c>
      <c r="U56">
        <v>81</v>
      </c>
      <c r="V56">
        <v>88</v>
      </c>
    </row>
    <row r="57" spans="1:22" x14ac:dyDescent="0.3">
      <c r="A57">
        <v>56</v>
      </c>
      <c r="B57" s="2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>
        <v>0.16669999999999999</v>
      </c>
      <c r="R57">
        <v>0.43</v>
      </c>
      <c r="S57">
        <v>0.25369999999999998</v>
      </c>
      <c r="T57">
        <v>11</v>
      </c>
      <c r="U57">
        <v>33</v>
      </c>
      <c r="V57">
        <v>44</v>
      </c>
    </row>
    <row r="58" spans="1:22" x14ac:dyDescent="0.3">
      <c r="A58">
        <v>57</v>
      </c>
      <c r="B58" s="2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>
        <v>0.18179999999999999</v>
      </c>
      <c r="R58">
        <v>0.4</v>
      </c>
      <c r="S58">
        <v>0.32840000000000003</v>
      </c>
      <c r="T58">
        <v>10</v>
      </c>
      <c r="U58">
        <v>41</v>
      </c>
      <c r="V58">
        <v>51</v>
      </c>
    </row>
    <row r="59" spans="1:22" x14ac:dyDescent="0.3">
      <c r="A59">
        <v>58</v>
      </c>
      <c r="B59" s="2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>
        <v>0.21210000000000001</v>
      </c>
      <c r="R59">
        <v>0.35</v>
      </c>
      <c r="S59">
        <v>0.29849999999999999</v>
      </c>
      <c r="T59">
        <v>13</v>
      </c>
      <c r="U59">
        <v>48</v>
      </c>
      <c r="V59">
        <v>61</v>
      </c>
    </row>
    <row r="60" spans="1:22" x14ac:dyDescent="0.3">
      <c r="A60">
        <v>59</v>
      </c>
      <c r="B60" s="2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R60">
        <v>0.35</v>
      </c>
      <c r="S60">
        <v>0.28360000000000002</v>
      </c>
      <c r="T60">
        <v>8</v>
      </c>
      <c r="U60">
        <v>53</v>
      </c>
      <c r="V60">
        <v>61</v>
      </c>
    </row>
    <row r="61" spans="1:22" x14ac:dyDescent="0.3">
      <c r="A61">
        <v>60</v>
      </c>
      <c r="B61" s="2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>
        <v>0.2424</v>
      </c>
      <c r="R61">
        <v>0.3</v>
      </c>
      <c r="S61">
        <v>0.28360000000000002</v>
      </c>
      <c r="T61">
        <v>11</v>
      </c>
      <c r="U61">
        <v>66</v>
      </c>
      <c r="V61">
        <v>77</v>
      </c>
    </row>
    <row r="62" spans="1:22" x14ac:dyDescent="0.3">
      <c r="A62">
        <v>61</v>
      </c>
      <c r="B62" s="2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>
        <v>0.2424</v>
      </c>
      <c r="R62">
        <v>0.3</v>
      </c>
      <c r="S62">
        <v>0.25369999999999998</v>
      </c>
      <c r="T62">
        <v>14</v>
      </c>
      <c r="U62">
        <v>58</v>
      </c>
      <c r="V62">
        <v>72</v>
      </c>
    </row>
    <row r="63" spans="1:22" x14ac:dyDescent="0.3">
      <c r="A63">
        <v>62</v>
      </c>
      <c r="B63" s="2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>
        <v>0.2424</v>
      </c>
      <c r="R63">
        <v>0.3</v>
      </c>
      <c r="S63">
        <v>0.25369999999999998</v>
      </c>
      <c r="T63">
        <v>9</v>
      </c>
      <c r="U63">
        <v>67</v>
      </c>
      <c r="V63">
        <v>76</v>
      </c>
    </row>
    <row r="64" spans="1:22" x14ac:dyDescent="0.3">
      <c r="A64">
        <v>63</v>
      </c>
      <c r="B64" s="2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>
        <v>0.2273</v>
      </c>
      <c r="R64">
        <v>0.3</v>
      </c>
      <c r="S64">
        <v>0.22389999999999999</v>
      </c>
      <c r="T64">
        <v>11</v>
      </c>
      <c r="U64">
        <v>146</v>
      </c>
      <c r="V64">
        <v>157</v>
      </c>
    </row>
    <row r="65" spans="1:22" x14ac:dyDescent="0.3">
      <c r="A65">
        <v>64</v>
      </c>
      <c r="B65" s="2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>
        <v>0.2576</v>
      </c>
      <c r="R65">
        <v>0.32</v>
      </c>
      <c r="S65">
        <v>0.1045</v>
      </c>
      <c r="T65">
        <v>9</v>
      </c>
      <c r="U65">
        <v>148</v>
      </c>
      <c r="V65">
        <v>157</v>
      </c>
    </row>
    <row r="66" spans="1:22" x14ac:dyDescent="0.3">
      <c r="A66">
        <v>65</v>
      </c>
      <c r="B66" s="2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  <c r="Q66">
        <v>0.2576</v>
      </c>
      <c r="R66">
        <v>0.47</v>
      </c>
      <c r="S66">
        <v>0</v>
      </c>
      <c r="T66">
        <v>8</v>
      </c>
      <c r="U66">
        <v>102</v>
      </c>
      <c r="V66">
        <v>110</v>
      </c>
    </row>
    <row r="67" spans="1:22" x14ac:dyDescent="0.3">
      <c r="A67">
        <v>66</v>
      </c>
      <c r="B67" s="2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  <c r="R67">
        <v>0.47</v>
      </c>
      <c r="S67">
        <v>0.1045</v>
      </c>
      <c r="T67">
        <v>3</v>
      </c>
      <c r="U67">
        <v>49</v>
      </c>
      <c r="V67">
        <v>52</v>
      </c>
    </row>
    <row r="68" spans="1:22" x14ac:dyDescent="0.3">
      <c r="A68">
        <v>67</v>
      </c>
      <c r="B68" s="2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  <c r="Q68">
        <v>0.19700000000000001</v>
      </c>
      <c r="R68">
        <v>0.64</v>
      </c>
      <c r="S68">
        <v>0.1343</v>
      </c>
      <c r="T68">
        <v>3</v>
      </c>
      <c r="U68">
        <v>49</v>
      </c>
      <c r="V68">
        <v>52</v>
      </c>
    </row>
    <row r="69" spans="1:22" x14ac:dyDescent="0.3">
      <c r="A69">
        <v>68</v>
      </c>
      <c r="B69" s="2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  <c r="Q69">
        <v>0.1515</v>
      </c>
      <c r="R69">
        <v>0.69</v>
      </c>
      <c r="S69">
        <v>0.1343</v>
      </c>
      <c r="T69">
        <v>0</v>
      </c>
      <c r="U69">
        <v>20</v>
      </c>
      <c r="V69">
        <v>20</v>
      </c>
    </row>
    <row r="70" spans="1:22" x14ac:dyDescent="0.3">
      <c r="A70">
        <v>69</v>
      </c>
      <c r="B70" s="2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>
        <v>0.21210000000000001</v>
      </c>
      <c r="R70">
        <v>0.55000000000000004</v>
      </c>
      <c r="S70">
        <v>0.1045</v>
      </c>
      <c r="T70">
        <v>1</v>
      </c>
      <c r="U70">
        <v>11</v>
      </c>
      <c r="V70">
        <v>12</v>
      </c>
    </row>
    <row r="71" spans="1:22" x14ac:dyDescent="0.3">
      <c r="A71">
        <v>70</v>
      </c>
      <c r="B71" s="2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R71">
        <v>0.55000000000000004</v>
      </c>
      <c r="S71">
        <v>0.1045</v>
      </c>
      <c r="T71">
        <v>0</v>
      </c>
      <c r="U71">
        <v>5</v>
      </c>
      <c r="V71">
        <v>5</v>
      </c>
    </row>
    <row r="72" spans="1:22" x14ac:dyDescent="0.3">
      <c r="A72">
        <v>71</v>
      </c>
      <c r="B72" s="2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  <c r="Q72">
        <v>0.18179999999999999</v>
      </c>
      <c r="R72">
        <v>0.59</v>
      </c>
      <c r="S72">
        <v>0.1045</v>
      </c>
      <c r="T72">
        <v>0</v>
      </c>
      <c r="U72">
        <v>2</v>
      </c>
      <c r="V72">
        <v>2</v>
      </c>
    </row>
    <row r="73" spans="1:22" x14ac:dyDescent="0.3">
      <c r="A73">
        <v>72</v>
      </c>
      <c r="B73" s="2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  <c r="Q73">
        <v>0.1515</v>
      </c>
      <c r="R73">
        <v>0.63</v>
      </c>
      <c r="S73">
        <v>0.1343</v>
      </c>
      <c r="T73">
        <v>0</v>
      </c>
      <c r="U73">
        <v>1</v>
      </c>
      <c r="V73">
        <v>1</v>
      </c>
    </row>
    <row r="74" spans="1:22" x14ac:dyDescent="0.3">
      <c r="A74">
        <v>73</v>
      </c>
      <c r="B74" s="2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>
        <v>0.18179999999999999</v>
      </c>
      <c r="R74">
        <v>0.63</v>
      </c>
      <c r="S74">
        <v>8.9599999999999999E-2</v>
      </c>
      <c r="T74">
        <v>0</v>
      </c>
      <c r="U74">
        <v>2</v>
      </c>
      <c r="V74">
        <v>2</v>
      </c>
    </row>
    <row r="75" spans="1:22" x14ac:dyDescent="0.3">
      <c r="A75">
        <v>74</v>
      </c>
      <c r="B75" s="2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>
        <v>0.1515</v>
      </c>
      <c r="R75">
        <v>0.68</v>
      </c>
      <c r="S75">
        <v>0.1045</v>
      </c>
      <c r="T75">
        <v>0</v>
      </c>
      <c r="U75">
        <v>4</v>
      </c>
      <c r="V75">
        <v>4</v>
      </c>
    </row>
    <row r="76" spans="1:22" x14ac:dyDescent="0.3">
      <c r="A76">
        <v>75</v>
      </c>
      <c r="B76" s="2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>
        <v>0.1515</v>
      </c>
      <c r="R76">
        <v>0.74</v>
      </c>
      <c r="S76">
        <v>0.1045</v>
      </c>
      <c r="T76">
        <v>0</v>
      </c>
      <c r="U76">
        <v>36</v>
      </c>
      <c r="V76">
        <v>36</v>
      </c>
    </row>
    <row r="77" spans="1:22" x14ac:dyDescent="0.3">
      <c r="A77">
        <v>76</v>
      </c>
      <c r="B77" s="2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>
        <v>0.1515</v>
      </c>
      <c r="R77">
        <v>0.74</v>
      </c>
      <c r="S77">
        <v>0.1343</v>
      </c>
      <c r="T77">
        <v>2</v>
      </c>
      <c r="U77">
        <v>92</v>
      </c>
      <c r="V77">
        <v>94</v>
      </c>
    </row>
    <row r="78" spans="1:22" x14ac:dyDescent="0.3">
      <c r="A78">
        <v>77</v>
      </c>
      <c r="B78" s="2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>
        <v>0.1515</v>
      </c>
      <c r="R78">
        <v>0.69</v>
      </c>
      <c r="S78">
        <v>0.16420000000000001</v>
      </c>
      <c r="T78">
        <v>2</v>
      </c>
      <c r="U78">
        <v>177</v>
      </c>
      <c r="V78">
        <v>179</v>
      </c>
    </row>
    <row r="79" spans="1:22" x14ac:dyDescent="0.3">
      <c r="A79">
        <v>78</v>
      </c>
      <c r="B79" s="2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>
        <v>0.1515</v>
      </c>
      <c r="R79">
        <v>0.64</v>
      </c>
      <c r="S79">
        <v>0.22389999999999999</v>
      </c>
      <c r="T79">
        <v>2</v>
      </c>
      <c r="U79">
        <v>98</v>
      </c>
      <c r="V79">
        <v>100</v>
      </c>
    </row>
    <row r="80" spans="1:22" x14ac:dyDescent="0.3">
      <c r="A80">
        <v>79</v>
      </c>
      <c r="B80" s="2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>
        <v>0.13639999999999999</v>
      </c>
      <c r="R80">
        <v>0.69</v>
      </c>
      <c r="S80">
        <v>0.32840000000000003</v>
      </c>
      <c r="T80">
        <v>5</v>
      </c>
      <c r="U80">
        <v>37</v>
      </c>
      <c r="V80">
        <v>42</v>
      </c>
    </row>
    <row r="81" spans="1:22" x14ac:dyDescent="0.3">
      <c r="A81">
        <v>80</v>
      </c>
      <c r="B81" s="2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>
        <v>0.21210000000000001</v>
      </c>
      <c r="R81">
        <v>0.51</v>
      </c>
      <c r="S81">
        <v>0.29849999999999999</v>
      </c>
      <c r="T81">
        <v>7</v>
      </c>
      <c r="U81">
        <v>50</v>
      </c>
      <c r="V81">
        <v>57</v>
      </c>
    </row>
    <row r="82" spans="1:22" x14ac:dyDescent="0.3">
      <c r="A82">
        <v>81</v>
      </c>
      <c r="B82" s="2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>
        <v>0.2273</v>
      </c>
      <c r="R82">
        <v>0.51</v>
      </c>
      <c r="S82">
        <v>0.16420000000000001</v>
      </c>
      <c r="T82">
        <v>12</v>
      </c>
      <c r="U82">
        <v>66</v>
      </c>
      <c r="V82">
        <v>78</v>
      </c>
    </row>
    <row r="83" spans="1:22" x14ac:dyDescent="0.3">
      <c r="A83">
        <v>82</v>
      </c>
      <c r="B83" s="2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>
        <v>0.2273</v>
      </c>
      <c r="R83">
        <v>0.56000000000000005</v>
      </c>
      <c r="S83">
        <v>0.19400000000000001</v>
      </c>
      <c r="T83">
        <v>18</v>
      </c>
      <c r="U83">
        <v>79</v>
      </c>
      <c r="V83">
        <v>97</v>
      </c>
    </row>
    <row r="84" spans="1:22" x14ac:dyDescent="0.3">
      <c r="A84">
        <v>83</v>
      </c>
      <c r="B84" s="2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>
        <v>0.2576</v>
      </c>
      <c r="R84">
        <v>0.52</v>
      </c>
      <c r="S84">
        <v>0.22389999999999999</v>
      </c>
      <c r="T84">
        <v>9</v>
      </c>
      <c r="U84">
        <v>54</v>
      </c>
      <c r="V84">
        <v>63</v>
      </c>
    </row>
    <row r="85" spans="1:22" x14ac:dyDescent="0.3">
      <c r="A85">
        <v>84</v>
      </c>
      <c r="B85" s="2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>
        <v>0.2727</v>
      </c>
      <c r="R85">
        <v>0.52</v>
      </c>
      <c r="S85">
        <v>0.25369999999999998</v>
      </c>
      <c r="T85">
        <v>17</v>
      </c>
      <c r="U85">
        <v>48</v>
      </c>
      <c r="V85">
        <v>65</v>
      </c>
    </row>
    <row r="86" spans="1:22" x14ac:dyDescent="0.3">
      <c r="A86">
        <v>85</v>
      </c>
      <c r="B86" s="2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>
        <v>0.28789999999999999</v>
      </c>
      <c r="R86">
        <v>0.49</v>
      </c>
      <c r="S86">
        <v>0.25369999999999998</v>
      </c>
      <c r="T86">
        <v>15</v>
      </c>
      <c r="U86">
        <v>68</v>
      </c>
      <c r="V86">
        <v>83</v>
      </c>
    </row>
    <row r="87" spans="1:22" x14ac:dyDescent="0.3">
      <c r="A87">
        <v>86</v>
      </c>
      <c r="B87" s="2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>
        <v>0.2727</v>
      </c>
      <c r="R87">
        <v>0.48</v>
      </c>
      <c r="S87">
        <v>0.22389999999999999</v>
      </c>
      <c r="T87">
        <v>10</v>
      </c>
      <c r="U87">
        <v>202</v>
      </c>
      <c r="V87">
        <v>212</v>
      </c>
    </row>
    <row r="88" spans="1:22" x14ac:dyDescent="0.3">
      <c r="A88">
        <v>87</v>
      </c>
      <c r="B88" s="2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>
        <v>0.2576</v>
      </c>
      <c r="R88">
        <v>0.48</v>
      </c>
      <c r="S88">
        <v>0.19400000000000001</v>
      </c>
      <c r="T88">
        <v>3</v>
      </c>
      <c r="U88">
        <v>179</v>
      </c>
      <c r="V88">
        <v>182</v>
      </c>
    </row>
    <row r="89" spans="1:22" x14ac:dyDescent="0.3">
      <c r="A89">
        <v>88</v>
      </c>
      <c r="B89" s="2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>
        <v>0.2576</v>
      </c>
      <c r="R89">
        <v>0.48</v>
      </c>
      <c r="S89">
        <v>0.1045</v>
      </c>
      <c r="T89">
        <v>2</v>
      </c>
      <c r="U89">
        <v>110</v>
      </c>
      <c r="V89">
        <v>112</v>
      </c>
    </row>
    <row r="90" spans="1:22" x14ac:dyDescent="0.3">
      <c r="A90">
        <v>89</v>
      </c>
      <c r="B90" s="2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  <c r="Q90">
        <v>0.2576</v>
      </c>
      <c r="R90">
        <v>0.48</v>
      </c>
      <c r="S90">
        <v>0.1045</v>
      </c>
      <c r="T90">
        <v>1</v>
      </c>
      <c r="U90">
        <v>53</v>
      </c>
      <c r="V90">
        <v>54</v>
      </c>
    </row>
    <row r="91" spans="1:22" x14ac:dyDescent="0.3">
      <c r="A91">
        <v>90</v>
      </c>
      <c r="B91" s="2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  <c r="Q91">
        <v>0.2727</v>
      </c>
      <c r="R91">
        <v>0.64</v>
      </c>
      <c r="S91">
        <v>0</v>
      </c>
      <c r="T91">
        <v>0</v>
      </c>
      <c r="U91">
        <v>48</v>
      </c>
      <c r="V91">
        <v>48</v>
      </c>
    </row>
    <row r="92" spans="1:22" x14ac:dyDescent="0.3">
      <c r="A92">
        <v>91</v>
      </c>
      <c r="B92" s="2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>
        <v>0.2576</v>
      </c>
      <c r="R92">
        <v>0.64</v>
      </c>
      <c r="S92">
        <v>8.9599999999999999E-2</v>
      </c>
      <c r="T92">
        <v>1</v>
      </c>
      <c r="U92">
        <v>34</v>
      </c>
      <c r="V92">
        <v>35</v>
      </c>
    </row>
    <row r="93" spans="1:22" x14ac:dyDescent="0.3">
      <c r="A93">
        <v>92</v>
      </c>
      <c r="B93" s="2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>
        <v>0.2273</v>
      </c>
      <c r="R93">
        <v>0.69</v>
      </c>
      <c r="S93">
        <v>8.9599999999999999E-2</v>
      </c>
      <c r="T93">
        <v>2</v>
      </c>
      <c r="U93">
        <v>9</v>
      </c>
      <c r="V93">
        <v>11</v>
      </c>
    </row>
    <row r="94" spans="1:22" x14ac:dyDescent="0.3">
      <c r="A94">
        <v>93</v>
      </c>
      <c r="B94" s="2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  <c r="Q94">
        <v>0.2576</v>
      </c>
      <c r="R94">
        <v>0.64</v>
      </c>
      <c r="S94">
        <v>0</v>
      </c>
      <c r="T94">
        <v>0</v>
      </c>
      <c r="U94">
        <v>6</v>
      </c>
      <c r="V94">
        <v>6</v>
      </c>
    </row>
    <row r="95" spans="1:22" x14ac:dyDescent="0.3">
      <c r="A95">
        <v>94</v>
      </c>
      <c r="B95" s="2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>
        <v>0.19700000000000001</v>
      </c>
      <c r="R95">
        <v>0.74</v>
      </c>
      <c r="S95">
        <v>8.9599999999999999E-2</v>
      </c>
      <c r="T95">
        <v>0</v>
      </c>
      <c r="U95">
        <v>6</v>
      </c>
      <c r="V95">
        <v>6</v>
      </c>
    </row>
    <row r="96" spans="1:22" x14ac:dyDescent="0.3">
      <c r="A96">
        <v>95</v>
      </c>
      <c r="B96" s="2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>
        <v>0.19700000000000001</v>
      </c>
      <c r="R96">
        <v>0.74</v>
      </c>
      <c r="S96">
        <v>8.9599999999999999E-2</v>
      </c>
      <c r="T96">
        <v>0</v>
      </c>
      <c r="U96">
        <v>2</v>
      </c>
      <c r="V96">
        <v>2</v>
      </c>
    </row>
    <row r="97" spans="1:22" x14ac:dyDescent="0.3">
      <c r="A97">
        <v>96</v>
      </c>
      <c r="B97" s="2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>
        <v>0.2273</v>
      </c>
      <c r="R97">
        <v>0.48</v>
      </c>
      <c r="S97">
        <v>0.22389999999999999</v>
      </c>
      <c r="T97">
        <v>0</v>
      </c>
      <c r="U97">
        <v>2</v>
      </c>
      <c r="V97">
        <v>2</v>
      </c>
    </row>
    <row r="98" spans="1:22" x14ac:dyDescent="0.3">
      <c r="A98">
        <v>97</v>
      </c>
      <c r="B98" s="2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>
        <v>0.2273</v>
      </c>
      <c r="R98">
        <v>0.47</v>
      </c>
      <c r="S98">
        <v>0.16420000000000001</v>
      </c>
      <c r="T98">
        <v>0</v>
      </c>
      <c r="U98">
        <v>3</v>
      </c>
      <c r="V98">
        <v>3</v>
      </c>
    </row>
    <row r="99" spans="1:22" x14ac:dyDescent="0.3">
      <c r="A99">
        <v>98</v>
      </c>
      <c r="B99" s="2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>
        <v>0.19700000000000001</v>
      </c>
      <c r="R99">
        <v>0.47</v>
      </c>
      <c r="S99">
        <v>0.22389999999999999</v>
      </c>
      <c r="T99">
        <v>0</v>
      </c>
      <c r="U99">
        <v>33</v>
      </c>
      <c r="V99">
        <v>33</v>
      </c>
    </row>
    <row r="100" spans="1:22" x14ac:dyDescent="0.3">
      <c r="A100">
        <v>99</v>
      </c>
      <c r="B100" s="2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>
        <v>0.18179999999999999</v>
      </c>
      <c r="R100">
        <v>0.43</v>
      </c>
      <c r="S100">
        <v>0.19400000000000001</v>
      </c>
      <c r="T100">
        <v>1</v>
      </c>
      <c r="U100">
        <v>87</v>
      </c>
      <c r="V100">
        <v>88</v>
      </c>
    </row>
    <row r="101" spans="1:22" x14ac:dyDescent="0.3">
      <c r="A101">
        <v>100</v>
      </c>
      <c r="B101" s="2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>
        <v>0.18179999999999999</v>
      </c>
      <c r="R101">
        <v>0.4</v>
      </c>
      <c r="S101">
        <v>0.29849999999999999</v>
      </c>
      <c r="T101">
        <v>3</v>
      </c>
      <c r="U101">
        <v>192</v>
      </c>
      <c r="V101">
        <v>195</v>
      </c>
    </row>
    <row r="102" spans="1:22" x14ac:dyDescent="0.3">
      <c r="A102">
        <v>101</v>
      </c>
      <c r="B102" s="2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>
        <v>0.19700000000000001</v>
      </c>
      <c r="R102">
        <v>0.37</v>
      </c>
      <c r="S102">
        <v>0.32840000000000003</v>
      </c>
      <c r="T102">
        <v>6</v>
      </c>
      <c r="U102">
        <v>109</v>
      </c>
      <c r="V102">
        <v>115</v>
      </c>
    </row>
    <row r="103" spans="1:22" x14ac:dyDescent="0.3">
      <c r="A103">
        <v>102</v>
      </c>
      <c r="B103" s="2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>
        <v>0.19700000000000001</v>
      </c>
      <c r="R103">
        <v>0.37</v>
      </c>
      <c r="S103">
        <v>0.32840000000000003</v>
      </c>
      <c r="T103">
        <v>4</v>
      </c>
      <c r="U103">
        <v>53</v>
      </c>
      <c r="V103">
        <v>57</v>
      </c>
    </row>
    <row r="104" spans="1:22" x14ac:dyDescent="0.3">
      <c r="A104">
        <v>103</v>
      </c>
      <c r="B104" s="2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>
        <v>0.2273</v>
      </c>
      <c r="R104">
        <v>0.33</v>
      </c>
      <c r="S104">
        <v>0.32840000000000003</v>
      </c>
      <c r="T104">
        <v>12</v>
      </c>
      <c r="U104">
        <v>34</v>
      </c>
      <c r="V104">
        <v>46</v>
      </c>
    </row>
    <row r="105" spans="1:22" x14ac:dyDescent="0.3">
      <c r="A105">
        <v>104</v>
      </c>
      <c r="B105" s="2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>
        <v>0.2273</v>
      </c>
      <c r="R105">
        <v>0.33</v>
      </c>
      <c r="S105">
        <v>0.32840000000000003</v>
      </c>
      <c r="T105">
        <v>5</v>
      </c>
      <c r="U105">
        <v>74</v>
      </c>
      <c r="V105">
        <v>79</v>
      </c>
    </row>
    <row r="106" spans="1:22" x14ac:dyDescent="0.3">
      <c r="A106">
        <v>105</v>
      </c>
      <c r="B106" s="2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>
        <v>0.2576</v>
      </c>
      <c r="R106">
        <v>0.3</v>
      </c>
      <c r="S106">
        <v>0.29849999999999999</v>
      </c>
      <c r="T106">
        <v>6</v>
      </c>
      <c r="U106">
        <v>65</v>
      </c>
      <c r="V106">
        <v>71</v>
      </c>
    </row>
    <row r="107" spans="1:22" x14ac:dyDescent="0.3">
      <c r="A107">
        <v>106</v>
      </c>
      <c r="B107" s="2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>
        <v>0.28789999999999999</v>
      </c>
      <c r="R107">
        <v>0.28000000000000003</v>
      </c>
      <c r="S107">
        <v>0.19400000000000001</v>
      </c>
      <c r="T107">
        <v>10</v>
      </c>
      <c r="U107">
        <v>52</v>
      </c>
      <c r="V107">
        <v>62</v>
      </c>
    </row>
    <row r="108" spans="1:22" x14ac:dyDescent="0.3">
      <c r="A108">
        <v>107</v>
      </c>
      <c r="B108" s="2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>
        <v>0.28789999999999999</v>
      </c>
      <c r="R108">
        <v>0.28000000000000003</v>
      </c>
      <c r="S108">
        <v>0.19400000000000001</v>
      </c>
      <c r="T108">
        <v>7</v>
      </c>
      <c r="U108">
        <v>55</v>
      </c>
      <c r="V108">
        <v>62</v>
      </c>
    </row>
    <row r="109" spans="1:22" x14ac:dyDescent="0.3">
      <c r="A109">
        <v>108</v>
      </c>
      <c r="B109" s="2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>
        <v>0.31819999999999998</v>
      </c>
      <c r="R109">
        <v>0.28000000000000003</v>
      </c>
      <c r="S109">
        <v>8.9599999999999999E-2</v>
      </c>
      <c r="T109">
        <v>4</v>
      </c>
      <c r="U109">
        <v>85</v>
      </c>
      <c r="V109">
        <v>89</v>
      </c>
    </row>
    <row r="110" spans="1:22" x14ac:dyDescent="0.3">
      <c r="A110">
        <v>109</v>
      </c>
      <c r="B110" s="2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>
        <v>0.2273</v>
      </c>
      <c r="R110">
        <v>0.38</v>
      </c>
      <c r="S110">
        <v>0.19400000000000001</v>
      </c>
      <c r="T110">
        <v>4</v>
      </c>
      <c r="U110">
        <v>186</v>
      </c>
      <c r="V110">
        <v>190</v>
      </c>
    </row>
    <row r="111" spans="1:22" x14ac:dyDescent="0.3">
      <c r="A111">
        <v>110</v>
      </c>
      <c r="B111" s="2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>
        <v>0.2424</v>
      </c>
      <c r="R111">
        <v>0.38</v>
      </c>
      <c r="S111">
        <v>0.1343</v>
      </c>
      <c r="T111">
        <v>3</v>
      </c>
      <c r="U111">
        <v>166</v>
      </c>
      <c r="V111">
        <v>169</v>
      </c>
    </row>
    <row r="112" spans="1:22" x14ac:dyDescent="0.3">
      <c r="A112">
        <v>111</v>
      </c>
      <c r="B112" s="2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>
        <v>0.2576</v>
      </c>
      <c r="R112">
        <v>0.38</v>
      </c>
      <c r="S112">
        <v>0.1045</v>
      </c>
      <c r="T112">
        <v>5</v>
      </c>
      <c r="U112">
        <v>127</v>
      </c>
      <c r="V112">
        <v>132</v>
      </c>
    </row>
    <row r="113" spans="1:22" x14ac:dyDescent="0.3">
      <c r="A113">
        <v>112</v>
      </c>
      <c r="B113" s="2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>
        <v>0.2273</v>
      </c>
      <c r="R113">
        <v>0.47</v>
      </c>
      <c r="S113">
        <v>0.16420000000000001</v>
      </c>
      <c r="T113">
        <v>7</v>
      </c>
      <c r="U113">
        <v>82</v>
      </c>
      <c r="V113">
        <v>89</v>
      </c>
    </row>
    <row r="114" spans="1:22" x14ac:dyDescent="0.3">
      <c r="A114">
        <v>113</v>
      </c>
      <c r="B114" s="2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>
        <v>0.19700000000000001</v>
      </c>
      <c r="R114">
        <v>0.51</v>
      </c>
      <c r="S114">
        <v>0.19400000000000001</v>
      </c>
      <c r="T114">
        <v>3</v>
      </c>
      <c r="U114">
        <v>40</v>
      </c>
      <c r="V114">
        <v>43</v>
      </c>
    </row>
    <row r="115" spans="1:22" x14ac:dyDescent="0.3">
      <c r="A115">
        <v>114</v>
      </c>
      <c r="B115" s="2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>
        <v>0.19700000000000001</v>
      </c>
      <c r="R115">
        <v>0.55000000000000004</v>
      </c>
      <c r="S115">
        <v>0.1343</v>
      </c>
      <c r="T115">
        <v>1</v>
      </c>
      <c r="U115">
        <v>41</v>
      </c>
      <c r="V115">
        <v>42</v>
      </c>
    </row>
    <row r="116" spans="1:22" x14ac:dyDescent="0.3">
      <c r="A116">
        <v>115</v>
      </c>
      <c r="B116" s="2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  <c r="Q116">
        <v>0.2576</v>
      </c>
      <c r="R116">
        <v>0.47</v>
      </c>
      <c r="S116">
        <v>0</v>
      </c>
      <c r="T116">
        <v>1</v>
      </c>
      <c r="U116">
        <v>18</v>
      </c>
      <c r="V116">
        <v>19</v>
      </c>
    </row>
    <row r="117" spans="1:22" x14ac:dyDescent="0.3">
      <c r="A117">
        <v>116</v>
      </c>
      <c r="B117" s="2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>
        <v>0.2424</v>
      </c>
      <c r="R117">
        <v>0.55000000000000004</v>
      </c>
      <c r="S117">
        <v>0</v>
      </c>
      <c r="T117">
        <v>0</v>
      </c>
      <c r="U117">
        <v>11</v>
      </c>
      <c r="V117">
        <v>11</v>
      </c>
    </row>
    <row r="118" spans="1:22" x14ac:dyDescent="0.3">
      <c r="A118">
        <v>117</v>
      </c>
      <c r="B118" s="2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>
        <v>0.2273</v>
      </c>
      <c r="R118">
        <v>0.64</v>
      </c>
      <c r="S118">
        <v>0</v>
      </c>
      <c r="T118">
        <v>0</v>
      </c>
      <c r="U118">
        <v>4</v>
      </c>
      <c r="V118">
        <v>4</v>
      </c>
    </row>
    <row r="119" spans="1:22" x14ac:dyDescent="0.3">
      <c r="A119">
        <v>118</v>
      </c>
      <c r="B119" s="2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  <c r="Q119">
        <v>0.2273</v>
      </c>
      <c r="R119">
        <v>0.64</v>
      </c>
      <c r="S119">
        <v>0</v>
      </c>
      <c r="T119">
        <v>0</v>
      </c>
      <c r="U119">
        <v>2</v>
      </c>
      <c r="V119">
        <v>2</v>
      </c>
    </row>
    <row r="120" spans="1:22" x14ac:dyDescent="0.3">
      <c r="A120">
        <v>119</v>
      </c>
      <c r="B120" s="2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>
        <v>0.19700000000000001</v>
      </c>
      <c r="R120">
        <v>0.64</v>
      </c>
      <c r="S120">
        <v>8.9599999999999999E-2</v>
      </c>
      <c r="T120">
        <v>0</v>
      </c>
      <c r="U120">
        <v>1</v>
      </c>
      <c r="V120">
        <v>1</v>
      </c>
    </row>
    <row r="121" spans="1:22" x14ac:dyDescent="0.3">
      <c r="A121">
        <v>120</v>
      </c>
      <c r="B121" s="2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>
        <v>0.18179999999999999</v>
      </c>
      <c r="R121">
        <v>0.69</v>
      </c>
      <c r="S121">
        <v>8.9599999999999999E-2</v>
      </c>
      <c r="T121">
        <v>0</v>
      </c>
      <c r="U121">
        <v>4</v>
      </c>
      <c r="V121">
        <v>4</v>
      </c>
    </row>
    <row r="122" spans="1:22" x14ac:dyDescent="0.3">
      <c r="A122">
        <v>121</v>
      </c>
      <c r="B122" s="2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  <c r="Q122">
        <v>0.16669999999999999</v>
      </c>
      <c r="R122">
        <v>0.63</v>
      </c>
      <c r="S122">
        <v>0.1045</v>
      </c>
      <c r="T122">
        <v>0</v>
      </c>
      <c r="U122">
        <v>36</v>
      </c>
      <c r="V122">
        <v>36</v>
      </c>
    </row>
    <row r="123" spans="1:22" x14ac:dyDescent="0.3">
      <c r="A123">
        <v>122</v>
      </c>
      <c r="B123" s="2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>
        <v>0.2273</v>
      </c>
      <c r="R123">
        <v>0.59</v>
      </c>
      <c r="S123">
        <v>0</v>
      </c>
      <c r="T123">
        <v>0</v>
      </c>
      <c r="U123">
        <v>95</v>
      </c>
      <c r="V123">
        <v>95</v>
      </c>
    </row>
    <row r="124" spans="1:22" x14ac:dyDescent="0.3">
      <c r="A124">
        <v>123</v>
      </c>
      <c r="B124" s="2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  <c r="Q124">
        <v>0.2273</v>
      </c>
      <c r="R124">
        <v>0.59</v>
      </c>
      <c r="S124">
        <v>0</v>
      </c>
      <c r="T124">
        <v>3</v>
      </c>
      <c r="U124">
        <v>216</v>
      </c>
      <c r="V124">
        <v>219</v>
      </c>
    </row>
    <row r="125" spans="1:22" x14ac:dyDescent="0.3">
      <c r="A125">
        <v>124</v>
      </c>
      <c r="B125" s="2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  <c r="Q125">
        <v>0.2424</v>
      </c>
      <c r="R125">
        <v>0.51</v>
      </c>
      <c r="S125">
        <v>0</v>
      </c>
      <c r="T125">
        <v>6</v>
      </c>
      <c r="U125">
        <v>116</v>
      </c>
      <c r="V125">
        <v>122</v>
      </c>
    </row>
    <row r="126" spans="1:22" x14ac:dyDescent="0.3">
      <c r="A126">
        <v>125</v>
      </c>
      <c r="B126" s="2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>
        <v>0.2576</v>
      </c>
      <c r="R126">
        <v>0.47</v>
      </c>
      <c r="S126">
        <v>0</v>
      </c>
      <c r="T126">
        <v>3</v>
      </c>
      <c r="U126">
        <v>42</v>
      </c>
      <c r="V126">
        <v>45</v>
      </c>
    </row>
    <row r="127" spans="1:22" x14ac:dyDescent="0.3">
      <c r="A127">
        <v>126</v>
      </c>
      <c r="B127" s="2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>
        <v>0.2576</v>
      </c>
      <c r="R127">
        <v>0.44</v>
      </c>
      <c r="S127">
        <v>8.9599999999999999E-2</v>
      </c>
      <c r="T127">
        <v>2</v>
      </c>
      <c r="U127">
        <v>57</v>
      </c>
      <c r="V127">
        <v>59</v>
      </c>
    </row>
    <row r="128" spans="1:22" x14ac:dyDescent="0.3">
      <c r="A128">
        <v>127</v>
      </c>
      <c r="B128" s="2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  <c r="Q128">
        <v>0.28789999999999999</v>
      </c>
      <c r="R128">
        <v>0.35</v>
      </c>
      <c r="S128">
        <v>0</v>
      </c>
      <c r="T128">
        <v>6</v>
      </c>
      <c r="U128">
        <v>78</v>
      </c>
      <c r="V128">
        <v>84</v>
      </c>
    </row>
    <row r="129" spans="1:22" x14ac:dyDescent="0.3">
      <c r="A129">
        <v>128</v>
      </c>
      <c r="B129" s="2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>
        <v>0.2727</v>
      </c>
      <c r="R129">
        <v>0.35</v>
      </c>
      <c r="S129">
        <v>0.1045</v>
      </c>
      <c r="T129">
        <v>12</v>
      </c>
      <c r="U129">
        <v>55</v>
      </c>
      <c r="V129">
        <v>67</v>
      </c>
    </row>
    <row r="130" spans="1:22" x14ac:dyDescent="0.3">
      <c r="A130">
        <v>129</v>
      </c>
      <c r="B130" s="2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>
        <v>0.2727</v>
      </c>
      <c r="R130">
        <v>0.36</v>
      </c>
      <c r="S130">
        <v>0.16420000000000001</v>
      </c>
      <c r="T130">
        <v>11</v>
      </c>
      <c r="U130">
        <v>59</v>
      </c>
      <c r="V130">
        <v>70</v>
      </c>
    </row>
    <row r="131" spans="1:22" x14ac:dyDescent="0.3">
      <c r="A131">
        <v>130</v>
      </c>
      <c r="B131" s="2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  <c r="Q131">
        <v>0.2727</v>
      </c>
      <c r="R131">
        <v>0.36</v>
      </c>
      <c r="S131">
        <v>0</v>
      </c>
      <c r="T131">
        <v>8</v>
      </c>
      <c r="U131">
        <v>54</v>
      </c>
      <c r="V131">
        <v>62</v>
      </c>
    </row>
    <row r="132" spans="1:22" x14ac:dyDescent="0.3">
      <c r="A132">
        <v>131</v>
      </c>
      <c r="B132" s="2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>
        <v>0.2576</v>
      </c>
      <c r="R132">
        <v>0.38</v>
      </c>
      <c r="S132">
        <v>0.16420000000000001</v>
      </c>
      <c r="T132">
        <v>12</v>
      </c>
      <c r="U132">
        <v>74</v>
      </c>
      <c r="V132">
        <v>86</v>
      </c>
    </row>
    <row r="133" spans="1:22" x14ac:dyDescent="0.3">
      <c r="A133">
        <v>132</v>
      </c>
      <c r="B133" s="2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>
        <v>0.2273</v>
      </c>
      <c r="R133">
        <v>0.51</v>
      </c>
      <c r="S133">
        <v>0.16420000000000001</v>
      </c>
      <c r="T133">
        <v>9</v>
      </c>
      <c r="U133">
        <v>163</v>
      </c>
      <c r="V133">
        <v>172</v>
      </c>
    </row>
    <row r="134" spans="1:22" x14ac:dyDescent="0.3">
      <c r="A134">
        <v>133</v>
      </c>
      <c r="B134" s="2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>
        <v>0.2273</v>
      </c>
      <c r="R134">
        <v>0.51</v>
      </c>
      <c r="S134">
        <v>0.1343</v>
      </c>
      <c r="T134">
        <v>5</v>
      </c>
      <c r="U134">
        <v>158</v>
      </c>
      <c r="V134">
        <v>163</v>
      </c>
    </row>
    <row r="135" spans="1:22" x14ac:dyDescent="0.3">
      <c r="A135">
        <v>134</v>
      </c>
      <c r="B135" s="2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>
        <v>0.2576</v>
      </c>
      <c r="R135">
        <v>0.55000000000000004</v>
      </c>
      <c r="S135">
        <v>8.9599999999999999E-2</v>
      </c>
      <c r="T135">
        <v>3</v>
      </c>
      <c r="U135">
        <v>109</v>
      </c>
      <c r="V135">
        <v>112</v>
      </c>
    </row>
    <row r="136" spans="1:22" x14ac:dyDescent="0.3">
      <c r="A136">
        <v>135</v>
      </c>
      <c r="B136" s="2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>
        <v>0.21210000000000001</v>
      </c>
      <c r="R136">
        <v>0.51</v>
      </c>
      <c r="S136">
        <v>0.16420000000000001</v>
      </c>
      <c r="T136">
        <v>3</v>
      </c>
      <c r="U136">
        <v>66</v>
      </c>
      <c r="V136">
        <v>69</v>
      </c>
    </row>
    <row r="137" spans="1:22" x14ac:dyDescent="0.3">
      <c r="A137">
        <v>136</v>
      </c>
      <c r="B137" s="2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>
        <v>0.21210000000000001</v>
      </c>
      <c r="R137">
        <v>0.55000000000000004</v>
      </c>
      <c r="S137">
        <v>0.22389999999999999</v>
      </c>
      <c r="T137">
        <v>0</v>
      </c>
      <c r="U137">
        <v>48</v>
      </c>
      <c r="V137">
        <v>48</v>
      </c>
    </row>
    <row r="138" spans="1:22" x14ac:dyDescent="0.3">
      <c r="A138">
        <v>137</v>
      </c>
      <c r="B138" s="2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>
        <v>0.21210000000000001</v>
      </c>
      <c r="R138">
        <v>0.51</v>
      </c>
      <c r="S138">
        <v>0.28360000000000002</v>
      </c>
      <c r="T138">
        <v>1</v>
      </c>
      <c r="U138">
        <v>51</v>
      </c>
      <c r="V138">
        <v>52</v>
      </c>
    </row>
    <row r="139" spans="1:22" x14ac:dyDescent="0.3">
      <c r="A139">
        <v>138</v>
      </c>
      <c r="B139" s="2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>
        <v>0.19700000000000001</v>
      </c>
      <c r="R139">
        <v>0.59</v>
      </c>
      <c r="S139">
        <v>0.19400000000000001</v>
      </c>
      <c r="T139">
        <v>4</v>
      </c>
      <c r="U139">
        <v>19</v>
      </c>
      <c r="V139">
        <v>23</v>
      </c>
    </row>
    <row r="140" spans="1:22" x14ac:dyDescent="0.3">
      <c r="A140">
        <v>139</v>
      </c>
      <c r="B140" s="2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>
        <v>0.19700000000000001</v>
      </c>
      <c r="R140">
        <v>0.64</v>
      </c>
      <c r="S140">
        <v>0.19400000000000001</v>
      </c>
      <c r="T140">
        <v>4</v>
      </c>
      <c r="U140">
        <v>13</v>
      </c>
      <c r="V140">
        <v>17</v>
      </c>
    </row>
    <row r="141" spans="1:22" x14ac:dyDescent="0.3">
      <c r="A141">
        <v>140</v>
      </c>
      <c r="B141" s="2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>
        <v>0.19700000000000001</v>
      </c>
      <c r="R141">
        <v>0.69</v>
      </c>
      <c r="S141">
        <v>0.22389999999999999</v>
      </c>
      <c r="T141">
        <v>2</v>
      </c>
      <c r="U141">
        <v>5</v>
      </c>
      <c r="V141">
        <v>7</v>
      </c>
    </row>
    <row r="142" spans="1:22" x14ac:dyDescent="0.3">
      <c r="A142">
        <v>141</v>
      </c>
      <c r="B142" s="2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>
        <v>0.19700000000000001</v>
      </c>
      <c r="R142">
        <v>0.69</v>
      </c>
      <c r="S142">
        <v>0.22389999999999999</v>
      </c>
      <c r="T142">
        <v>0</v>
      </c>
      <c r="U142">
        <v>1</v>
      </c>
      <c r="V142">
        <v>1</v>
      </c>
    </row>
    <row r="143" spans="1:22" x14ac:dyDescent="0.3">
      <c r="A143">
        <v>142</v>
      </c>
      <c r="B143" s="2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  <c r="Q143">
        <v>0.21210000000000001</v>
      </c>
      <c r="R143">
        <v>0.69</v>
      </c>
      <c r="S143">
        <v>0.1343</v>
      </c>
      <c r="T143">
        <v>0</v>
      </c>
      <c r="U143">
        <v>1</v>
      </c>
      <c r="V143">
        <v>1</v>
      </c>
    </row>
    <row r="144" spans="1:22" x14ac:dyDescent="0.3">
      <c r="A144">
        <v>143</v>
      </c>
      <c r="B144" s="2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>
        <v>0.2727</v>
      </c>
      <c r="R144">
        <v>0.55000000000000004</v>
      </c>
      <c r="S144">
        <v>0</v>
      </c>
      <c r="T144">
        <v>0</v>
      </c>
      <c r="U144">
        <v>5</v>
      </c>
      <c r="V144">
        <v>5</v>
      </c>
    </row>
    <row r="145" spans="1:22" x14ac:dyDescent="0.3">
      <c r="A145">
        <v>144</v>
      </c>
      <c r="B145" s="2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  <c r="Q145">
        <v>0.2576</v>
      </c>
      <c r="R145">
        <v>0.69</v>
      </c>
      <c r="S145">
        <v>0</v>
      </c>
      <c r="T145">
        <v>8</v>
      </c>
      <c r="U145">
        <v>26</v>
      </c>
      <c r="V145">
        <v>34</v>
      </c>
    </row>
    <row r="146" spans="1:22" x14ac:dyDescent="0.3">
      <c r="A146">
        <v>145</v>
      </c>
      <c r="B146" s="2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>
        <v>0.21210000000000001</v>
      </c>
      <c r="R146">
        <v>0.69</v>
      </c>
      <c r="S146">
        <v>0.1343</v>
      </c>
      <c r="T146">
        <v>8</v>
      </c>
      <c r="U146">
        <v>76</v>
      </c>
      <c r="V146">
        <v>84</v>
      </c>
    </row>
    <row r="147" spans="1:22" x14ac:dyDescent="0.3">
      <c r="A147">
        <v>146</v>
      </c>
      <c r="B147" s="2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>
        <v>0.19700000000000001</v>
      </c>
      <c r="R147">
        <v>0.51</v>
      </c>
      <c r="S147">
        <v>0.25369999999999998</v>
      </c>
      <c r="T147">
        <v>20</v>
      </c>
      <c r="U147">
        <v>190</v>
      </c>
      <c r="V147">
        <v>210</v>
      </c>
    </row>
    <row r="148" spans="1:22" x14ac:dyDescent="0.3">
      <c r="A148">
        <v>147</v>
      </c>
      <c r="B148" s="2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>
        <v>0.18179999999999999</v>
      </c>
      <c r="R148">
        <v>0.47</v>
      </c>
      <c r="S148">
        <v>0.29849999999999999</v>
      </c>
      <c r="T148">
        <v>9</v>
      </c>
      <c r="U148">
        <v>125</v>
      </c>
      <c r="V148">
        <v>134</v>
      </c>
    </row>
    <row r="149" spans="1:22" x14ac:dyDescent="0.3">
      <c r="A149">
        <v>148</v>
      </c>
      <c r="B149" s="2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>
        <v>0.19700000000000001</v>
      </c>
      <c r="R149">
        <v>0.37</v>
      </c>
      <c r="S149">
        <v>0.32840000000000003</v>
      </c>
      <c r="T149">
        <v>16</v>
      </c>
      <c r="U149">
        <v>47</v>
      </c>
      <c r="V149">
        <v>63</v>
      </c>
    </row>
    <row r="150" spans="1:22" x14ac:dyDescent="0.3">
      <c r="A150">
        <v>149</v>
      </c>
      <c r="B150" s="2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>
        <v>0.19700000000000001</v>
      </c>
      <c r="R150">
        <v>0.4</v>
      </c>
      <c r="S150">
        <v>0.22389999999999999</v>
      </c>
      <c r="T150">
        <v>19</v>
      </c>
      <c r="U150">
        <v>48</v>
      </c>
      <c r="V150">
        <v>67</v>
      </c>
    </row>
    <row r="151" spans="1:22" x14ac:dyDescent="0.3">
      <c r="A151">
        <v>150</v>
      </c>
      <c r="B151" s="2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>
        <v>0.19700000000000001</v>
      </c>
      <c r="R151">
        <v>0.37</v>
      </c>
      <c r="S151">
        <v>0.25369999999999998</v>
      </c>
      <c r="T151">
        <v>9</v>
      </c>
      <c r="U151">
        <v>50</v>
      </c>
      <c r="V151">
        <v>59</v>
      </c>
    </row>
    <row r="152" spans="1:22" x14ac:dyDescent="0.3">
      <c r="A152">
        <v>151</v>
      </c>
      <c r="B152" s="2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>
        <v>0.18179999999999999</v>
      </c>
      <c r="R152">
        <v>0.37</v>
      </c>
      <c r="S152">
        <v>0.28360000000000002</v>
      </c>
      <c r="T152">
        <v>9</v>
      </c>
      <c r="U152">
        <v>64</v>
      </c>
      <c r="V152">
        <v>73</v>
      </c>
    </row>
    <row r="153" spans="1:22" x14ac:dyDescent="0.3">
      <c r="A153">
        <v>152</v>
      </c>
      <c r="B153" s="2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>
        <v>0.19700000000000001</v>
      </c>
      <c r="R153">
        <v>0.4</v>
      </c>
      <c r="S153">
        <v>0.25369999999999998</v>
      </c>
      <c r="T153">
        <v>7</v>
      </c>
      <c r="U153">
        <v>43</v>
      </c>
      <c r="V153">
        <v>50</v>
      </c>
    </row>
    <row r="154" spans="1:22" x14ac:dyDescent="0.3">
      <c r="A154">
        <v>153</v>
      </c>
      <c r="B154" s="2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>
        <v>0.21210000000000001</v>
      </c>
      <c r="R154">
        <v>0.37</v>
      </c>
      <c r="S154">
        <v>0.16420000000000001</v>
      </c>
      <c r="T154">
        <v>9</v>
      </c>
      <c r="U154">
        <v>63</v>
      </c>
      <c r="V154">
        <v>72</v>
      </c>
    </row>
    <row r="155" spans="1:22" x14ac:dyDescent="0.3">
      <c r="A155">
        <v>154</v>
      </c>
      <c r="B155" s="2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>
        <v>0.21210000000000001</v>
      </c>
      <c r="R155">
        <v>0.37</v>
      </c>
      <c r="S155">
        <v>0.16420000000000001</v>
      </c>
      <c r="T155">
        <v>5</v>
      </c>
      <c r="U155">
        <v>82</v>
      </c>
      <c r="V155">
        <v>87</v>
      </c>
    </row>
    <row r="156" spans="1:22" x14ac:dyDescent="0.3">
      <c r="A156">
        <v>155</v>
      </c>
      <c r="B156" s="2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  <c r="Q156">
        <v>0.2576</v>
      </c>
      <c r="R156">
        <v>0.37</v>
      </c>
      <c r="S156">
        <v>0</v>
      </c>
      <c r="T156">
        <v>9</v>
      </c>
      <c r="U156">
        <v>178</v>
      </c>
      <c r="V156">
        <v>187</v>
      </c>
    </row>
    <row r="157" spans="1:22" x14ac:dyDescent="0.3">
      <c r="A157">
        <v>156</v>
      </c>
      <c r="B157" s="2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>
        <v>0.2273</v>
      </c>
      <c r="R157">
        <v>0.4</v>
      </c>
      <c r="S157">
        <v>8.9599999999999999E-2</v>
      </c>
      <c r="T157">
        <v>7</v>
      </c>
      <c r="U157">
        <v>116</v>
      </c>
      <c r="V157">
        <v>123</v>
      </c>
    </row>
    <row r="158" spans="1:22" x14ac:dyDescent="0.3">
      <c r="A158">
        <v>157</v>
      </c>
      <c r="B158" s="2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>
        <v>0.19700000000000001</v>
      </c>
      <c r="R158">
        <v>0.55000000000000004</v>
      </c>
      <c r="S158">
        <v>8.9599999999999999E-2</v>
      </c>
      <c r="T158">
        <v>3</v>
      </c>
      <c r="U158">
        <v>92</v>
      </c>
      <c r="V158">
        <v>95</v>
      </c>
    </row>
    <row r="159" spans="1:22" x14ac:dyDescent="0.3">
      <c r="A159">
        <v>158</v>
      </c>
      <c r="B159" s="2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>
        <v>0.21210000000000001</v>
      </c>
      <c r="R159">
        <v>0.47</v>
      </c>
      <c r="S159">
        <v>0.1045</v>
      </c>
      <c r="T159">
        <v>1</v>
      </c>
      <c r="U159">
        <v>50</v>
      </c>
      <c r="V159">
        <v>51</v>
      </c>
    </row>
    <row r="160" spans="1:22" x14ac:dyDescent="0.3">
      <c r="A160">
        <v>159</v>
      </c>
      <c r="B160" s="2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>
        <v>0.19700000000000001</v>
      </c>
      <c r="R160">
        <v>0.47</v>
      </c>
      <c r="S160">
        <v>0.1343</v>
      </c>
      <c r="T160">
        <v>0</v>
      </c>
      <c r="U160">
        <v>39</v>
      </c>
      <c r="V160">
        <v>39</v>
      </c>
    </row>
    <row r="161" spans="1:22" x14ac:dyDescent="0.3">
      <c r="A161">
        <v>160</v>
      </c>
      <c r="B161" s="2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>
        <v>0.19700000000000001</v>
      </c>
      <c r="R161">
        <v>0.43</v>
      </c>
      <c r="S161">
        <v>0.16420000000000001</v>
      </c>
      <c r="T161">
        <v>2</v>
      </c>
      <c r="U161">
        <v>34</v>
      </c>
      <c r="V161">
        <v>36</v>
      </c>
    </row>
    <row r="162" spans="1:22" x14ac:dyDescent="0.3">
      <c r="A162">
        <v>161</v>
      </c>
      <c r="B162" s="2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>
        <v>0.19700000000000001</v>
      </c>
      <c r="R162">
        <v>0.51</v>
      </c>
      <c r="S162">
        <v>0.16420000000000001</v>
      </c>
      <c r="T162">
        <v>1</v>
      </c>
      <c r="U162">
        <v>14</v>
      </c>
      <c r="V162">
        <v>15</v>
      </c>
    </row>
    <row r="163" spans="1:22" x14ac:dyDescent="0.3">
      <c r="A163">
        <v>162</v>
      </c>
      <c r="B163" s="2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>
        <v>0.19700000000000001</v>
      </c>
      <c r="R163">
        <v>0.51</v>
      </c>
      <c r="S163">
        <v>0.16420000000000001</v>
      </c>
      <c r="T163">
        <v>1</v>
      </c>
      <c r="U163">
        <v>24</v>
      </c>
      <c r="V163">
        <v>25</v>
      </c>
    </row>
    <row r="164" spans="1:22" x14ac:dyDescent="0.3">
      <c r="A164">
        <v>163</v>
      </c>
      <c r="B164" s="2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>
        <v>0.21210000000000001</v>
      </c>
      <c r="R164">
        <v>0.55000000000000004</v>
      </c>
      <c r="S164">
        <v>8.9599999999999999E-2</v>
      </c>
      <c r="T164">
        <v>1</v>
      </c>
      <c r="U164">
        <v>15</v>
      </c>
      <c r="V164">
        <v>16</v>
      </c>
    </row>
    <row r="165" spans="1:22" x14ac:dyDescent="0.3">
      <c r="A165">
        <v>164</v>
      </c>
      <c r="B165" s="2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>
        <v>0.2424</v>
      </c>
      <c r="R165">
        <v>0.55000000000000004</v>
      </c>
      <c r="S165">
        <v>0</v>
      </c>
      <c r="T165">
        <v>3</v>
      </c>
      <c r="U165">
        <v>13</v>
      </c>
      <c r="V165">
        <v>16</v>
      </c>
    </row>
    <row r="166" spans="1:22" x14ac:dyDescent="0.3">
      <c r="A166">
        <v>165</v>
      </c>
      <c r="B166" s="2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>
        <v>0.19700000000000001</v>
      </c>
      <c r="R166">
        <v>0.55000000000000004</v>
      </c>
      <c r="S166">
        <v>0.16420000000000001</v>
      </c>
      <c r="T166">
        <v>0</v>
      </c>
      <c r="U166">
        <v>7</v>
      </c>
      <c r="V166">
        <v>7</v>
      </c>
    </row>
    <row r="167" spans="1:22" x14ac:dyDescent="0.3">
      <c r="A167">
        <v>166</v>
      </c>
      <c r="B167" s="2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>
        <v>0.19700000000000001</v>
      </c>
      <c r="R167">
        <v>0.55000000000000004</v>
      </c>
      <c r="S167">
        <v>0.16420000000000001</v>
      </c>
      <c r="T167">
        <v>0</v>
      </c>
      <c r="U167">
        <v>1</v>
      </c>
      <c r="V167">
        <v>1</v>
      </c>
    </row>
    <row r="168" spans="1:22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>
        <v>0.16669999999999999</v>
      </c>
      <c r="R168">
        <v>0.74</v>
      </c>
      <c r="S168">
        <v>0.16420000000000001</v>
      </c>
      <c r="T168">
        <v>0</v>
      </c>
      <c r="U168">
        <v>5</v>
      </c>
      <c r="V168">
        <v>5</v>
      </c>
    </row>
    <row r="169" spans="1:22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>
        <v>0.16669999999999999</v>
      </c>
      <c r="R169">
        <v>0.74</v>
      </c>
      <c r="S169">
        <v>0.16420000000000001</v>
      </c>
      <c r="T169">
        <v>0</v>
      </c>
      <c r="U169">
        <v>2</v>
      </c>
      <c r="V169">
        <v>2</v>
      </c>
    </row>
    <row r="170" spans="1:22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>
        <v>0.18179999999999999</v>
      </c>
      <c r="R170">
        <v>0.74</v>
      </c>
      <c r="S170">
        <v>0.1045</v>
      </c>
      <c r="T170">
        <v>1</v>
      </c>
      <c r="U170">
        <v>8</v>
      </c>
      <c r="V170">
        <v>9</v>
      </c>
    </row>
    <row r="171" spans="1:22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>
        <v>0.18179999999999999</v>
      </c>
      <c r="R171">
        <v>0.93</v>
      </c>
      <c r="S171">
        <v>0.1045</v>
      </c>
      <c r="T171">
        <v>0</v>
      </c>
      <c r="U171">
        <v>15</v>
      </c>
      <c r="V171">
        <v>15</v>
      </c>
    </row>
    <row r="172" spans="1:22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  <c r="Q172">
        <v>0.18179999999999999</v>
      </c>
      <c r="R172">
        <v>0.93</v>
      </c>
      <c r="S172">
        <v>0.1045</v>
      </c>
      <c r="T172">
        <v>0</v>
      </c>
      <c r="U172">
        <v>20</v>
      </c>
      <c r="V172">
        <v>20</v>
      </c>
    </row>
    <row r="173" spans="1:22" x14ac:dyDescent="0.3">
      <c r="A173">
        <v>172</v>
      </c>
      <c r="B173" s="2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>
        <v>0.19700000000000001</v>
      </c>
      <c r="R173">
        <v>0.8</v>
      </c>
      <c r="S173">
        <v>0.16420000000000001</v>
      </c>
      <c r="T173">
        <v>5</v>
      </c>
      <c r="U173">
        <v>56</v>
      </c>
      <c r="V173">
        <v>61</v>
      </c>
    </row>
    <row r="174" spans="1:22" x14ac:dyDescent="0.3">
      <c r="A174">
        <v>173</v>
      </c>
      <c r="B174" s="2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>
        <v>0.18179999999999999</v>
      </c>
      <c r="R174">
        <v>0.69</v>
      </c>
      <c r="S174">
        <v>0.3881</v>
      </c>
      <c r="T174">
        <v>2</v>
      </c>
      <c r="U174">
        <v>60</v>
      </c>
      <c r="V174">
        <v>62</v>
      </c>
    </row>
    <row r="175" spans="1:22" x14ac:dyDescent="0.3">
      <c r="A175">
        <v>174</v>
      </c>
      <c r="B175" s="2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>
        <v>0.18179999999999999</v>
      </c>
      <c r="R175">
        <v>0.59</v>
      </c>
      <c r="S175">
        <v>0.35820000000000002</v>
      </c>
      <c r="T175">
        <v>8</v>
      </c>
      <c r="U175">
        <v>90</v>
      </c>
      <c r="V175">
        <v>98</v>
      </c>
    </row>
    <row r="176" spans="1:22" x14ac:dyDescent="0.3">
      <c r="A176">
        <v>175</v>
      </c>
      <c r="B176" s="2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>
        <v>0.18179999999999999</v>
      </c>
      <c r="R176">
        <v>0.44</v>
      </c>
      <c r="S176">
        <v>0.32840000000000003</v>
      </c>
      <c r="T176">
        <v>7</v>
      </c>
      <c r="U176">
        <v>95</v>
      </c>
      <c r="V176">
        <v>102</v>
      </c>
    </row>
    <row r="177" spans="1:22" x14ac:dyDescent="0.3">
      <c r="A177">
        <v>176</v>
      </c>
      <c r="B177" s="2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>
        <v>0.16669999999999999</v>
      </c>
      <c r="R177">
        <v>0.32</v>
      </c>
      <c r="S177">
        <v>0.49249999999999999</v>
      </c>
      <c r="T177">
        <v>12</v>
      </c>
      <c r="U177">
        <v>83</v>
      </c>
      <c r="V177">
        <v>95</v>
      </c>
    </row>
    <row r="178" spans="1:22" x14ac:dyDescent="0.3">
      <c r="A178">
        <v>177</v>
      </c>
      <c r="B178" s="2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>
        <v>0.16669999999999999</v>
      </c>
      <c r="R178">
        <v>0.32</v>
      </c>
      <c r="S178">
        <v>0.44779999999999998</v>
      </c>
      <c r="T178">
        <v>5</v>
      </c>
      <c r="U178">
        <v>69</v>
      </c>
      <c r="V178">
        <v>74</v>
      </c>
    </row>
    <row r="179" spans="1:22" x14ac:dyDescent="0.3">
      <c r="A179">
        <v>178</v>
      </c>
      <c r="B179" s="2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>
        <v>0.13639999999999999</v>
      </c>
      <c r="R179">
        <v>0.28999999999999998</v>
      </c>
      <c r="S179">
        <v>0.44779999999999998</v>
      </c>
      <c r="T179">
        <v>8</v>
      </c>
      <c r="U179">
        <v>68</v>
      </c>
      <c r="V179">
        <v>76</v>
      </c>
    </row>
    <row r="180" spans="1:22" x14ac:dyDescent="0.3">
      <c r="A180">
        <v>179</v>
      </c>
      <c r="B180" s="2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>
        <v>0.1212</v>
      </c>
      <c r="R180">
        <v>0.37</v>
      </c>
      <c r="S180">
        <v>0.55220000000000002</v>
      </c>
      <c r="T180">
        <v>5</v>
      </c>
      <c r="U180">
        <v>64</v>
      </c>
      <c r="V180">
        <v>69</v>
      </c>
    </row>
    <row r="181" spans="1:22" x14ac:dyDescent="0.3">
      <c r="A181">
        <v>180</v>
      </c>
      <c r="B181" s="2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>
        <v>0.1212</v>
      </c>
      <c r="R181">
        <v>0.39</v>
      </c>
      <c r="S181">
        <v>0.29849999999999999</v>
      </c>
      <c r="T181">
        <v>3</v>
      </c>
      <c r="U181">
        <v>52</v>
      </c>
      <c r="V181">
        <v>55</v>
      </c>
    </row>
    <row r="182" spans="1:22" x14ac:dyDescent="0.3">
      <c r="A182">
        <v>181</v>
      </c>
      <c r="B182" s="2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>
        <v>0.1212</v>
      </c>
      <c r="R182">
        <v>0.36</v>
      </c>
      <c r="S182">
        <v>0.25369999999999998</v>
      </c>
      <c r="T182">
        <v>4</v>
      </c>
      <c r="U182">
        <v>26</v>
      </c>
      <c r="V182">
        <v>30</v>
      </c>
    </row>
    <row r="183" spans="1:22" x14ac:dyDescent="0.3">
      <c r="A183">
        <v>182</v>
      </c>
      <c r="B183" s="2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>
        <v>0.1212</v>
      </c>
      <c r="R183">
        <v>0.36</v>
      </c>
      <c r="S183">
        <v>0.25369999999999998</v>
      </c>
      <c r="T183">
        <v>0</v>
      </c>
      <c r="U183">
        <v>28</v>
      </c>
      <c r="V183">
        <v>28</v>
      </c>
    </row>
    <row r="184" spans="1:22" x14ac:dyDescent="0.3">
      <c r="A184">
        <v>183</v>
      </c>
      <c r="B184" s="2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>
        <v>0.1061</v>
      </c>
      <c r="R184">
        <v>0.39</v>
      </c>
      <c r="S184">
        <v>0.35820000000000002</v>
      </c>
      <c r="T184">
        <v>2</v>
      </c>
      <c r="U184">
        <v>35</v>
      </c>
      <c r="V184">
        <v>37</v>
      </c>
    </row>
    <row r="185" spans="1:22" x14ac:dyDescent="0.3">
      <c r="A185">
        <v>184</v>
      </c>
      <c r="B185" s="2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  <c r="Q185">
        <v>0.1061</v>
      </c>
      <c r="R185">
        <v>0.36</v>
      </c>
      <c r="S185">
        <v>0.3881</v>
      </c>
      <c r="T185">
        <v>1</v>
      </c>
      <c r="U185">
        <v>33</v>
      </c>
      <c r="V185">
        <v>34</v>
      </c>
    </row>
    <row r="186" spans="1:22" x14ac:dyDescent="0.3">
      <c r="A186">
        <v>185</v>
      </c>
      <c r="B186" s="2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>
        <v>6.0600000000000001E-2</v>
      </c>
      <c r="R186">
        <v>0.39</v>
      </c>
      <c r="S186">
        <v>0.44779999999999998</v>
      </c>
      <c r="T186">
        <v>0</v>
      </c>
      <c r="U186">
        <v>22</v>
      </c>
      <c r="V186">
        <v>22</v>
      </c>
    </row>
    <row r="187" spans="1:22" x14ac:dyDescent="0.3">
      <c r="A187">
        <v>186</v>
      </c>
      <c r="B187" s="2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>
        <v>7.5800000000000006E-2</v>
      </c>
      <c r="R187">
        <v>0.42</v>
      </c>
      <c r="S187">
        <v>0.3881</v>
      </c>
      <c r="T187">
        <v>1</v>
      </c>
      <c r="U187">
        <v>24</v>
      </c>
      <c r="V187">
        <v>25</v>
      </c>
    </row>
    <row r="188" spans="1:22" x14ac:dyDescent="0.3">
      <c r="A188">
        <v>187</v>
      </c>
      <c r="B188" s="2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>
        <v>6.0600000000000001E-2</v>
      </c>
      <c r="R188">
        <v>0.42</v>
      </c>
      <c r="S188">
        <v>0.4627</v>
      </c>
      <c r="T188">
        <v>0</v>
      </c>
      <c r="U188">
        <v>12</v>
      </c>
      <c r="V188">
        <v>12</v>
      </c>
    </row>
    <row r="189" spans="1:22" x14ac:dyDescent="0.3">
      <c r="A189">
        <v>188</v>
      </c>
      <c r="B189" s="2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>
        <v>6.0600000000000001E-2</v>
      </c>
      <c r="R189">
        <v>0.46</v>
      </c>
      <c r="S189">
        <v>0.4627</v>
      </c>
      <c r="T189">
        <v>0</v>
      </c>
      <c r="U189">
        <v>11</v>
      </c>
      <c r="V189">
        <v>11</v>
      </c>
    </row>
    <row r="190" spans="1:22" x14ac:dyDescent="0.3">
      <c r="A190">
        <v>189</v>
      </c>
      <c r="B190" s="2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>
        <v>7.5800000000000006E-2</v>
      </c>
      <c r="R190">
        <v>0.46</v>
      </c>
      <c r="S190">
        <v>0.41789999999999999</v>
      </c>
      <c r="T190">
        <v>0</v>
      </c>
      <c r="U190">
        <v>4</v>
      </c>
      <c r="V190">
        <v>4</v>
      </c>
    </row>
    <row r="191" spans="1:22" x14ac:dyDescent="0.3">
      <c r="A191">
        <v>190</v>
      </c>
      <c r="B191" s="2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>
        <v>9.0899999999999995E-2</v>
      </c>
      <c r="R191">
        <v>0.53</v>
      </c>
      <c r="S191">
        <v>0.19400000000000001</v>
      </c>
      <c r="T191">
        <v>0</v>
      </c>
      <c r="U191">
        <v>1</v>
      </c>
      <c r="V191">
        <v>1</v>
      </c>
    </row>
    <row r="192" spans="1:22" x14ac:dyDescent="0.3">
      <c r="A192">
        <v>191</v>
      </c>
      <c r="B192" s="2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>
        <v>9.0899999999999995E-2</v>
      </c>
      <c r="R192">
        <v>0.53</v>
      </c>
      <c r="S192">
        <v>0.19400000000000001</v>
      </c>
      <c r="T192">
        <v>0</v>
      </c>
      <c r="U192">
        <v>1</v>
      </c>
      <c r="V192">
        <v>1</v>
      </c>
    </row>
    <row r="193" spans="1:22" x14ac:dyDescent="0.3">
      <c r="A193">
        <v>192</v>
      </c>
      <c r="B193" s="2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>
        <v>9.0899999999999995E-2</v>
      </c>
      <c r="R193">
        <v>0.49</v>
      </c>
      <c r="S193">
        <v>0.28360000000000002</v>
      </c>
      <c r="T193">
        <v>0</v>
      </c>
      <c r="U193">
        <v>1</v>
      </c>
      <c r="V193">
        <v>1</v>
      </c>
    </row>
    <row r="194" spans="1:22" x14ac:dyDescent="0.3">
      <c r="A194">
        <v>193</v>
      </c>
      <c r="B194" s="2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>
        <v>9.0899999999999995E-2</v>
      </c>
      <c r="R194">
        <v>0.53</v>
      </c>
      <c r="S194">
        <v>0.19400000000000001</v>
      </c>
      <c r="T194">
        <v>1</v>
      </c>
      <c r="U194">
        <v>5</v>
      </c>
      <c r="V194">
        <v>6</v>
      </c>
    </row>
    <row r="195" spans="1:22" x14ac:dyDescent="0.3">
      <c r="A195">
        <v>194</v>
      </c>
      <c r="B195" s="2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>
        <v>9.0899999999999995E-2</v>
      </c>
      <c r="R195">
        <v>0.49</v>
      </c>
      <c r="S195">
        <v>0.28360000000000002</v>
      </c>
      <c r="T195">
        <v>0</v>
      </c>
      <c r="U195">
        <v>10</v>
      </c>
      <c r="V195">
        <v>10</v>
      </c>
    </row>
    <row r="196" spans="1:22" x14ac:dyDescent="0.3">
      <c r="A196">
        <v>195</v>
      </c>
      <c r="B196" s="2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>
        <v>7.5800000000000006E-2</v>
      </c>
      <c r="R196">
        <v>0.46</v>
      </c>
      <c r="S196">
        <v>0.52239999999999998</v>
      </c>
      <c r="T196">
        <v>0</v>
      </c>
      <c r="U196">
        <v>19</v>
      </c>
      <c r="V196">
        <v>19</v>
      </c>
    </row>
    <row r="197" spans="1:22" x14ac:dyDescent="0.3">
      <c r="A197">
        <v>196</v>
      </c>
      <c r="B197" s="2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  <c r="Q197">
        <v>0.1061</v>
      </c>
      <c r="R197">
        <v>0.43</v>
      </c>
      <c r="S197">
        <v>0.3881</v>
      </c>
      <c r="T197">
        <v>0</v>
      </c>
      <c r="U197">
        <v>49</v>
      </c>
      <c r="V197">
        <v>49</v>
      </c>
    </row>
    <row r="198" spans="1:22" x14ac:dyDescent="0.3">
      <c r="A198">
        <v>197</v>
      </c>
      <c r="B198" s="2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>
        <v>0.1212</v>
      </c>
      <c r="R198">
        <v>0.4</v>
      </c>
      <c r="S198">
        <v>0.52239999999999998</v>
      </c>
      <c r="T198">
        <v>2</v>
      </c>
      <c r="U198">
        <v>47</v>
      </c>
      <c r="V198">
        <v>49</v>
      </c>
    </row>
    <row r="199" spans="1:22" x14ac:dyDescent="0.3">
      <c r="A199">
        <v>198</v>
      </c>
      <c r="B199" s="2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>
        <v>0.13639999999999999</v>
      </c>
      <c r="R199">
        <v>0.37</v>
      </c>
      <c r="S199">
        <v>0.44779999999999998</v>
      </c>
      <c r="T199">
        <v>4</v>
      </c>
      <c r="U199">
        <v>79</v>
      </c>
      <c r="V199">
        <v>83</v>
      </c>
    </row>
    <row r="200" spans="1:22" x14ac:dyDescent="0.3">
      <c r="A200">
        <v>199</v>
      </c>
      <c r="B200" s="2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>
        <v>0.16669999999999999</v>
      </c>
      <c r="R200">
        <v>0.34</v>
      </c>
      <c r="S200">
        <v>0.44779999999999998</v>
      </c>
      <c r="T200">
        <v>6</v>
      </c>
      <c r="U200">
        <v>69</v>
      </c>
      <c r="V200">
        <v>75</v>
      </c>
    </row>
    <row r="201" spans="1:22" x14ac:dyDescent="0.3">
      <c r="A201">
        <v>200</v>
      </c>
      <c r="B201" s="2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  <c r="Q201">
        <v>0.18179999999999999</v>
      </c>
      <c r="R201">
        <v>0.32</v>
      </c>
      <c r="S201">
        <v>0.4627</v>
      </c>
      <c r="T201">
        <v>8</v>
      </c>
      <c r="U201">
        <v>64</v>
      </c>
      <c r="V201">
        <v>72</v>
      </c>
    </row>
    <row r="202" spans="1:22" x14ac:dyDescent="0.3">
      <c r="A202">
        <v>201</v>
      </c>
      <c r="B202" s="2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>
        <v>0.19700000000000001</v>
      </c>
      <c r="R202">
        <v>0.35</v>
      </c>
      <c r="S202">
        <v>0.35820000000000002</v>
      </c>
      <c r="T202">
        <v>5</v>
      </c>
      <c r="U202">
        <v>77</v>
      </c>
      <c r="V202">
        <v>82</v>
      </c>
    </row>
    <row r="203" spans="1:22" x14ac:dyDescent="0.3">
      <c r="A203">
        <v>202</v>
      </c>
      <c r="B203" s="2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>
        <v>0.16669999999999999</v>
      </c>
      <c r="R203">
        <v>0.34</v>
      </c>
      <c r="S203">
        <v>0.44779999999999998</v>
      </c>
      <c r="T203">
        <v>13</v>
      </c>
      <c r="U203">
        <v>79</v>
      </c>
      <c r="V203">
        <v>92</v>
      </c>
    </row>
    <row r="204" spans="1:22" x14ac:dyDescent="0.3">
      <c r="A204">
        <v>203</v>
      </c>
      <c r="B204" s="2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  <c r="Q204">
        <v>0.1515</v>
      </c>
      <c r="R204">
        <v>0.37</v>
      </c>
      <c r="S204">
        <v>0.3881</v>
      </c>
      <c r="T204">
        <v>3</v>
      </c>
      <c r="U204">
        <v>59</v>
      </c>
      <c r="V204">
        <v>62</v>
      </c>
    </row>
    <row r="205" spans="1:22" x14ac:dyDescent="0.3">
      <c r="A205">
        <v>204</v>
      </c>
      <c r="B205" s="2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>
        <v>0.13639999999999999</v>
      </c>
      <c r="R205">
        <v>0.4</v>
      </c>
      <c r="S205">
        <v>0.32840000000000003</v>
      </c>
      <c r="T205">
        <v>4</v>
      </c>
      <c r="U205">
        <v>44</v>
      </c>
      <c r="V205">
        <v>48</v>
      </c>
    </row>
    <row r="206" spans="1:22" x14ac:dyDescent="0.3">
      <c r="A206">
        <v>205</v>
      </c>
      <c r="B206" s="2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>
        <v>0.13639999999999999</v>
      </c>
      <c r="R206">
        <v>0.43</v>
      </c>
      <c r="S206">
        <v>0.32840000000000003</v>
      </c>
      <c r="T206">
        <v>1</v>
      </c>
      <c r="U206">
        <v>40</v>
      </c>
      <c r="V206">
        <v>41</v>
      </c>
    </row>
    <row r="207" spans="1:22" x14ac:dyDescent="0.3">
      <c r="A207">
        <v>206</v>
      </c>
      <c r="B207" s="2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>
        <v>0.1212</v>
      </c>
      <c r="R207">
        <v>0.46</v>
      </c>
      <c r="S207">
        <v>0.25369999999999998</v>
      </c>
      <c r="T207">
        <v>0</v>
      </c>
      <c r="U207">
        <v>38</v>
      </c>
      <c r="V207">
        <v>38</v>
      </c>
    </row>
    <row r="208" spans="1:22" x14ac:dyDescent="0.3">
      <c r="A208">
        <v>207</v>
      </c>
      <c r="B208" s="2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>
        <v>0.1061</v>
      </c>
      <c r="R208">
        <v>0.46</v>
      </c>
      <c r="S208">
        <v>0.41789999999999999</v>
      </c>
      <c r="T208">
        <v>1</v>
      </c>
      <c r="U208">
        <v>19</v>
      </c>
      <c r="V208">
        <v>20</v>
      </c>
    </row>
    <row r="209" spans="1:22" x14ac:dyDescent="0.3">
      <c r="A209">
        <v>208</v>
      </c>
      <c r="B209" s="2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>
        <v>0.1212</v>
      </c>
      <c r="R209">
        <v>0.46</v>
      </c>
      <c r="S209">
        <v>0.29849999999999999</v>
      </c>
      <c r="T209">
        <v>5</v>
      </c>
      <c r="U209">
        <v>10</v>
      </c>
      <c r="V209">
        <v>15</v>
      </c>
    </row>
    <row r="210" spans="1:22" x14ac:dyDescent="0.3">
      <c r="A210">
        <v>209</v>
      </c>
      <c r="B210" s="2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>
        <v>0.13639999999999999</v>
      </c>
      <c r="R210">
        <v>0.5</v>
      </c>
      <c r="S210">
        <v>0.19400000000000001</v>
      </c>
      <c r="T210">
        <v>0</v>
      </c>
      <c r="U210">
        <v>6</v>
      </c>
      <c r="V210">
        <v>6</v>
      </c>
    </row>
    <row r="211" spans="1:22" x14ac:dyDescent="0.3">
      <c r="A211">
        <v>210</v>
      </c>
      <c r="B211" s="2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>
        <v>0.1212</v>
      </c>
      <c r="R211">
        <v>0.5</v>
      </c>
      <c r="S211">
        <v>0.28360000000000002</v>
      </c>
      <c r="T211">
        <v>2</v>
      </c>
      <c r="U211">
        <v>3</v>
      </c>
      <c r="V211">
        <v>5</v>
      </c>
    </row>
    <row r="212" spans="1:22" x14ac:dyDescent="0.3">
      <c r="A212">
        <v>211</v>
      </c>
      <c r="B212" s="2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>
        <v>0.1212</v>
      </c>
      <c r="R212">
        <v>0.5</v>
      </c>
      <c r="S212">
        <v>0.28360000000000002</v>
      </c>
      <c r="T212">
        <v>1</v>
      </c>
      <c r="U212">
        <v>0</v>
      </c>
      <c r="V212">
        <v>1</v>
      </c>
    </row>
    <row r="213" spans="1:22" x14ac:dyDescent="0.3">
      <c r="A213">
        <v>212</v>
      </c>
      <c r="B213" s="2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>
        <v>0.1212</v>
      </c>
      <c r="R213">
        <v>0.5</v>
      </c>
      <c r="S213">
        <v>0.22389999999999999</v>
      </c>
      <c r="T213">
        <v>0</v>
      </c>
      <c r="U213">
        <v>3</v>
      </c>
      <c r="V213">
        <v>3</v>
      </c>
    </row>
    <row r="214" spans="1:22" x14ac:dyDescent="0.3">
      <c r="A214">
        <v>213</v>
      </c>
      <c r="B214" s="2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>
        <v>0.1212</v>
      </c>
      <c r="R214">
        <v>0.5</v>
      </c>
      <c r="S214">
        <v>0.22389999999999999</v>
      </c>
      <c r="T214">
        <v>0</v>
      </c>
      <c r="U214">
        <v>1</v>
      </c>
      <c r="V214">
        <v>1</v>
      </c>
    </row>
    <row r="215" spans="1:22" x14ac:dyDescent="0.3">
      <c r="A215">
        <v>214</v>
      </c>
      <c r="B215" s="2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  <c r="Q215">
        <v>0.1212</v>
      </c>
      <c r="R215">
        <v>0.54</v>
      </c>
      <c r="S215">
        <v>0.1343</v>
      </c>
      <c r="T215">
        <v>1</v>
      </c>
      <c r="U215">
        <v>2</v>
      </c>
      <c r="V215">
        <v>3</v>
      </c>
    </row>
    <row r="216" spans="1:22" x14ac:dyDescent="0.3">
      <c r="A216">
        <v>215</v>
      </c>
      <c r="B216" s="2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>
        <v>0.1061</v>
      </c>
      <c r="R216">
        <v>0.54</v>
      </c>
      <c r="S216">
        <v>0.25369999999999998</v>
      </c>
      <c r="T216">
        <v>0</v>
      </c>
      <c r="U216">
        <v>3</v>
      </c>
      <c r="V216">
        <v>3</v>
      </c>
    </row>
    <row r="217" spans="1:22" x14ac:dyDescent="0.3">
      <c r="A217">
        <v>216</v>
      </c>
      <c r="B217" s="2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>
        <v>0.1212</v>
      </c>
      <c r="R217">
        <v>0.5</v>
      </c>
      <c r="S217">
        <v>0.28360000000000002</v>
      </c>
      <c r="T217">
        <v>0</v>
      </c>
      <c r="U217">
        <v>31</v>
      </c>
      <c r="V217">
        <v>31</v>
      </c>
    </row>
    <row r="218" spans="1:22" x14ac:dyDescent="0.3">
      <c r="A218">
        <v>217</v>
      </c>
      <c r="B218" s="2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>
        <v>0.1212</v>
      </c>
      <c r="R218">
        <v>0.5</v>
      </c>
      <c r="S218">
        <v>0.22389999999999999</v>
      </c>
      <c r="T218">
        <v>2</v>
      </c>
      <c r="U218">
        <v>75</v>
      </c>
      <c r="V218">
        <v>77</v>
      </c>
    </row>
    <row r="219" spans="1:22" x14ac:dyDescent="0.3">
      <c r="A219">
        <v>218</v>
      </c>
      <c r="B219" s="2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>
        <v>0.1212</v>
      </c>
      <c r="R219">
        <v>0.5</v>
      </c>
      <c r="S219">
        <v>0.28360000000000002</v>
      </c>
      <c r="T219">
        <v>4</v>
      </c>
      <c r="U219">
        <v>184</v>
      </c>
      <c r="V219">
        <v>188</v>
      </c>
    </row>
    <row r="220" spans="1:22" x14ac:dyDescent="0.3">
      <c r="A220">
        <v>219</v>
      </c>
      <c r="B220" s="2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>
        <v>0.1212</v>
      </c>
      <c r="R220">
        <v>0.5</v>
      </c>
      <c r="S220">
        <v>0.25369999999999998</v>
      </c>
      <c r="T220">
        <v>2</v>
      </c>
      <c r="U220">
        <v>92</v>
      </c>
      <c r="V220">
        <v>94</v>
      </c>
    </row>
    <row r="221" spans="1:22" x14ac:dyDescent="0.3">
      <c r="A221">
        <v>220</v>
      </c>
      <c r="B221" s="2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>
        <v>0.1212</v>
      </c>
      <c r="R221">
        <v>0.5</v>
      </c>
      <c r="S221">
        <v>0.29849999999999999</v>
      </c>
      <c r="T221">
        <v>0</v>
      </c>
      <c r="U221">
        <v>31</v>
      </c>
      <c r="V221">
        <v>31</v>
      </c>
    </row>
    <row r="222" spans="1:22" x14ac:dyDescent="0.3">
      <c r="A222">
        <v>221</v>
      </c>
      <c r="B222" s="2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>
        <v>0.13639999999999999</v>
      </c>
      <c r="R222">
        <v>0.47</v>
      </c>
      <c r="S222">
        <v>0.28360000000000002</v>
      </c>
      <c r="T222">
        <v>2</v>
      </c>
      <c r="U222">
        <v>28</v>
      </c>
      <c r="V222">
        <v>30</v>
      </c>
    </row>
    <row r="223" spans="1:22" x14ac:dyDescent="0.3">
      <c r="A223">
        <v>222</v>
      </c>
      <c r="B223" s="2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>
        <v>0.18179999999999999</v>
      </c>
      <c r="R223">
        <v>0.4</v>
      </c>
      <c r="S223">
        <v>0.28360000000000002</v>
      </c>
      <c r="T223">
        <v>5</v>
      </c>
      <c r="U223">
        <v>47</v>
      </c>
      <c r="V223">
        <v>52</v>
      </c>
    </row>
    <row r="224" spans="1:22" x14ac:dyDescent="0.3">
      <c r="A224">
        <v>223</v>
      </c>
      <c r="B224" s="2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>
        <v>0.18179999999999999</v>
      </c>
      <c r="R224">
        <v>0.4</v>
      </c>
      <c r="S224">
        <v>0.28360000000000002</v>
      </c>
      <c r="T224">
        <v>4</v>
      </c>
      <c r="U224">
        <v>50</v>
      </c>
      <c r="V224">
        <v>54</v>
      </c>
    </row>
    <row r="225" spans="1:22" x14ac:dyDescent="0.3">
      <c r="A225">
        <v>224</v>
      </c>
      <c r="B225" s="2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>
        <v>0.19700000000000001</v>
      </c>
      <c r="R225">
        <v>0.4</v>
      </c>
      <c r="S225">
        <v>0.22389999999999999</v>
      </c>
      <c r="T225">
        <v>0</v>
      </c>
      <c r="U225">
        <v>47</v>
      </c>
      <c r="V225">
        <v>47</v>
      </c>
    </row>
    <row r="226" spans="1:22" x14ac:dyDescent="0.3">
      <c r="A226">
        <v>225</v>
      </c>
      <c r="B226" s="2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>
        <v>0.19700000000000001</v>
      </c>
      <c r="R226">
        <v>0.4</v>
      </c>
      <c r="S226">
        <v>0.22389999999999999</v>
      </c>
      <c r="T226">
        <v>2</v>
      </c>
      <c r="U226">
        <v>43</v>
      </c>
      <c r="V226">
        <v>45</v>
      </c>
    </row>
    <row r="227" spans="1:22" x14ac:dyDescent="0.3">
      <c r="A227">
        <v>226</v>
      </c>
      <c r="B227" s="2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  <c r="Q227">
        <v>0.21210000000000001</v>
      </c>
      <c r="R227">
        <v>0.4</v>
      </c>
      <c r="S227">
        <v>0.1343</v>
      </c>
      <c r="T227">
        <v>4</v>
      </c>
      <c r="U227">
        <v>70</v>
      </c>
      <c r="V227">
        <v>74</v>
      </c>
    </row>
    <row r="228" spans="1:22" x14ac:dyDescent="0.3">
      <c r="A228">
        <v>227</v>
      </c>
      <c r="B228" s="2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  <c r="Q228">
        <v>0.2273</v>
      </c>
      <c r="R228">
        <v>0.4</v>
      </c>
      <c r="S228">
        <v>0.1045</v>
      </c>
      <c r="T228">
        <v>4</v>
      </c>
      <c r="U228">
        <v>174</v>
      </c>
      <c r="V228">
        <v>178</v>
      </c>
    </row>
    <row r="229" spans="1:22" x14ac:dyDescent="0.3">
      <c r="A229">
        <v>228</v>
      </c>
      <c r="B229" s="2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>
        <v>0.19700000000000001</v>
      </c>
      <c r="R229">
        <v>0.4</v>
      </c>
      <c r="S229">
        <v>0.22389999999999999</v>
      </c>
      <c r="T229">
        <v>1</v>
      </c>
      <c r="U229">
        <v>154</v>
      </c>
      <c r="V229">
        <v>155</v>
      </c>
    </row>
    <row r="230" spans="1:22" x14ac:dyDescent="0.3">
      <c r="A230">
        <v>229</v>
      </c>
      <c r="B230" s="2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>
        <v>0.16669999999999999</v>
      </c>
      <c r="R230">
        <v>0.47</v>
      </c>
      <c r="S230">
        <v>0.16420000000000001</v>
      </c>
      <c r="T230">
        <v>3</v>
      </c>
      <c r="U230">
        <v>92</v>
      </c>
      <c r="V230">
        <v>95</v>
      </c>
    </row>
    <row r="231" spans="1:22" x14ac:dyDescent="0.3">
      <c r="A231">
        <v>230</v>
      </c>
      <c r="B231" s="2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>
        <v>0.16669999999999999</v>
      </c>
      <c r="R231">
        <v>0.5</v>
      </c>
      <c r="S231">
        <v>0.16420000000000001</v>
      </c>
      <c r="T231">
        <v>1</v>
      </c>
      <c r="U231">
        <v>73</v>
      </c>
      <c r="V231">
        <v>74</v>
      </c>
    </row>
    <row r="232" spans="1:22" x14ac:dyDescent="0.3">
      <c r="A232">
        <v>231</v>
      </c>
      <c r="B232" s="2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>
        <v>0.13639999999999999</v>
      </c>
      <c r="R232">
        <v>0.59</v>
      </c>
      <c r="S232">
        <v>0.19400000000000001</v>
      </c>
      <c r="T232">
        <v>1</v>
      </c>
      <c r="U232">
        <v>37</v>
      </c>
      <c r="V232">
        <v>38</v>
      </c>
    </row>
    <row r="233" spans="1:22" x14ac:dyDescent="0.3">
      <c r="A233">
        <v>232</v>
      </c>
      <c r="B233" s="2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>
        <v>0.1515</v>
      </c>
      <c r="R233">
        <v>0.59</v>
      </c>
      <c r="S233">
        <v>0.16420000000000001</v>
      </c>
      <c r="T233">
        <v>2</v>
      </c>
      <c r="U233">
        <v>22</v>
      </c>
      <c r="V233">
        <v>24</v>
      </c>
    </row>
    <row r="234" spans="1:22" x14ac:dyDescent="0.3">
      <c r="A234">
        <v>233</v>
      </c>
      <c r="B234" s="2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>
        <v>0.1515</v>
      </c>
      <c r="R234">
        <v>0.59</v>
      </c>
      <c r="S234">
        <v>0.16420000000000001</v>
      </c>
      <c r="T234">
        <v>0</v>
      </c>
      <c r="U234">
        <v>18</v>
      </c>
      <c r="V234">
        <v>18</v>
      </c>
    </row>
    <row r="235" spans="1:22" x14ac:dyDescent="0.3">
      <c r="A235">
        <v>234</v>
      </c>
      <c r="B235" s="2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  <c r="Q235">
        <v>0.16669999999999999</v>
      </c>
      <c r="R235">
        <v>0.59</v>
      </c>
      <c r="S235">
        <v>0.1045</v>
      </c>
      <c r="T235">
        <v>2</v>
      </c>
      <c r="U235">
        <v>10</v>
      </c>
      <c r="V235">
        <v>12</v>
      </c>
    </row>
    <row r="236" spans="1:22" x14ac:dyDescent="0.3">
      <c r="A236">
        <v>235</v>
      </c>
      <c r="B236" s="2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>
        <v>0.1515</v>
      </c>
      <c r="R236">
        <v>0.59</v>
      </c>
      <c r="S236">
        <v>0.16420000000000001</v>
      </c>
      <c r="T236">
        <v>0</v>
      </c>
      <c r="U236">
        <v>3</v>
      </c>
      <c r="V236">
        <v>3</v>
      </c>
    </row>
    <row r="237" spans="1:22" x14ac:dyDescent="0.3">
      <c r="A237">
        <v>236</v>
      </c>
      <c r="B237" s="2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>
        <v>0.1515</v>
      </c>
      <c r="R237">
        <v>0.55000000000000004</v>
      </c>
      <c r="S237">
        <v>0.19400000000000001</v>
      </c>
      <c r="T237">
        <v>0</v>
      </c>
      <c r="U237">
        <v>3</v>
      </c>
      <c r="V237">
        <v>3</v>
      </c>
    </row>
    <row r="238" spans="1:22" x14ac:dyDescent="0.3">
      <c r="A238">
        <v>237</v>
      </c>
      <c r="B238" s="2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>
        <v>0.18179999999999999</v>
      </c>
      <c r="R238">
        <v>0.55000000000000004</v>
      </c>
      <c r="S238">
        <v>0.1343</v>
      </c>
      <c r="T238">
        <v>0</v>
      </c>
      <c r="U238">
        <v>6</v>
      </c>
      <c r="V238">
        <v>6</v>
      </c>
    </row>
    <row r="239" spans="1:22" x14ac:dyDescent="0.3">
      <c r="A239">
        <v>238</v>
      </c>
      <c r="B239" s="2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>
        <v>0.18179999999999999</v>
      </c>
      <c r="R239">
        <v>0.55000000000000004</v>
      </c>
      <c r="S239">
        <v>0.1343</v>
      </c>
      <c r="T239">
        <v>0</v>
      </c>
      <c r="U239">
        <v>27</v>
      </c>
      <c r="V239">
        <v>27</v>
      </c>
    </row>
    <row r="240" spans="1:22" x14ac:dyDescent="0.3">
      <c r="A240">
        <v>239</v>
      </c>
      <c r="B240" s="2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>
        <v>0.2273</v>
      </c>
      <c r="R240">
        <v>0.55000000000000004</v>
      </c>
      <c r="S240">
        <v>0</v>
      </c>
      <c r="T240">
        <v>2</v>
      </c>
      <c r="U240">
        <v>97</v>
      </c>
      <c r="V240">
        <v>99</v>
      </c>
    </row>
    <row r="241" spans="1:22" x14ac:dyDescent="0.3">
      <c r="A241">
        <v>240</v>
      </c>
      <c r="B241" s="2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>
        <v>0.21210000000000001</v>
      </c>
      <c r="R241">
        <v>0.51</v>
      </c>
      <c r="S241">
        <v>8.9599999999999999E-2</v>
      </c>
      <c r="T241">
        <v>3</v>
      </c>
      <c r="U241">
        <v>214</v>
      </c>
      <c r="V241">
        <v>217</v>
      </c>
    </row>
    <row r="242" spans="1:22" x14ac:dyDescent="0.3">
      <c r="A242">
        <v>241</v>
      </c>
      <c r="B242" s="2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>
        <v>0.19700000000000001</v>
      </c>
      <c r="R242">
        <v>0.51</v>
      </c>
      <c r="S242">
        <v>0.16420000000000001</v>
      </c>
      <c r="T242">
        <v>3</v>
      </c>
      <c r="U242">
        <v>127</v>
      </c>
      <c r="V242">
        <v>130</v>
      </c>
    </row>
    <row r="243" spans="1:22" x14ac:dyDescent="0.3">
      <c r="A243">
        <v>242</v>
      </c>
      <c r="B243" s="2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>
        <v>0.21210000000000001</v>
      </c>
      <c r="R243">
        <v>0.51</v>
      </c>
      <c r="S243">
        <v>0.16420000000000001</v>
      </c>
      <c r="T243">
        <v>3</v>
      </c>
      <c r="U243">
        <v>51</v>
      </c>
      <c r="V243">
        <v>54</v>
      </c>
    </row>
    <row r="244" spans="1:22" x14ac:dyDescent="0.3">
      <c r="A244">
        <v>243</v>
      </c>
      <c r="B244" s="2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  <c r="Q244">
        <v>0.21210000000000001</v>
      </c>
      <c r="R244">
        <v>0.47</v>
      </c>
      <c r="S244">
        <v>0.1343</v>
      </c>
      <c r="T244">
        <v>4</v>
      </c>
      <c r="U244">
        <v>31</v>
      </c>
      <c r="V244">
        <v>35</v>
      </c>
    </row>
    <row r="245" spans="1:22" x14ac:dyDescent="0.3">
      <c r="A245">
        <v>244</v>
      </c>
      <c r="B245" s="2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>
        <v>0.2273</v>
      </c>
      <c r="R245">
        <v>0.51</v>
      </c>
      <c r="S245">
        <v>0.1045</v>
      </c>
      <c r="T245">
        <v>2</v>
      </c>
      <c r="U245">
        <v>55</v>
      </c>
      <c r="V245">
        <v>57</v>
      </c>
    </row>
    <row r="246" spans="1:22" x14ac:dyDescent="0.3">
      <c r="A246">
        <v>245</v>
      </c>
      <c r="B246" s="2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>
        <v>0.2273</v>
      </c>
      <c r="R246">
        <v>0.59</v>
      </c>
      <c r="S246">
        <v>8.9599999999999999E-2</v>
      </c>
      <c r="T246">
        <v>6</v>
      </c>
      <c r="U246">
        <v>46</v>
      </c>
      <c r="V246">
        <v>52</v>
      </c>
    </row>
    <row r="247" spans="1:22" x14ac:dyDescent="0.3">
      <c r="A247">
        <v>246</v>
      </c>
      <c r="B247" s="2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>
        <v>0.2273</v>
      </c>
      <c r="R247">
        <v>0.59</v>
      </c>
      <c r="S247">
        <v>8.9599999999999999E-2</v>
      </c>
      <c r="T247">
        <v>3</v>
      </c>
      <c r="U247">
        <v>60</v>
      </c>
      <c r="V247">
        <v>63</v>
      </c>
    </row>
    <row r="248" spans="1:22" x14ac:dyDescent="0.3">
      <c r="A248">
        <v>247</v>
      </c>
      <c r="B248" s="2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>
        <v>0.19700000000000001</v>
      </c>
      <c r="R248">
        <v>0.8</v>
      </c>
      <c r="S248">
        <v>8.9599999999999999E-2</v>
      </c>
      <c r="T248">
        <v>2</v>
      </c>
      <c r="U248">
        <v>45</v>
      </c>
      <c r="V248">
        <v>47</v>
      </c>
    </row>
    <row r="249" spans="1:22" x14ac:dyDescent="0.3">
      <c r="A249">
        <v>248</v>
      </c>
      <c r="B249" s="2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>
        <v>0.1515</v>
      </c>
      <c r="R249">
        <v>0.86</v>
      </c>
      <c r="S249">
        <v>0.22389999999999999</v>
      </c>
      <c r="T249">
        <v>4</v>
      </c>
      <c r="U249">
        <v>72</v>
      </c>
      <c r="V249">
        <v>76</v>
      </c>
    </row>
    <row r="250" spans="1:22" x14ac:dyDescent="0.3">
      <c r="A250">
        <v>249</v>
      </c>
      <c r="B250" s="2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>
        <v>0.1515</v>
      </c>
      <c r="R250">
        <v>0.86</v>
      </c>
      <c r="S250">
        <v>0.22389999999999999</v>
      </c>
      <c r="T250">
        <v>6</v>
      </c>
      <c r="U250">
        <v>130</v>
      </c>
      <c r="V250">
        <v>136</v>
      </c>
    </row>
    <row r="251" spans="1:22" x14ac:dyDescent="0.3">
      <c r="A251">
        <v>250</v>
      </c>
      <c r="B251" s="2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  <c r="Q251">
        <v>0.18179999999999999</v>
      </c>
      <c r="R251">
        <v>0.93</v>
      </c>
      <c r="S251">
        <v>0.1045</v>
      </c>
      <c r="T251">
        <v>1</v>
      </c>
      <c r="U251">
        <v>94</v>
      </c>
      <c r="V251">
        <v>95</v>
      </c>
    </row>
    <row r="252" spans="1:22" x14ac:dyDescent="0.3">
      <c r="A252">
        <v>251</v>
      </c>
      <c r="B252" s="2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  <c r="Q252">
        <v>0.2273</v>
      </c>
      <c r="R252">
        <v>0.93</v>
      </c>
      <c r="S252">
        <v>0</v>
      </c>
      <c r="T252">
        <v>0</v>
      </c>
      <c r="U252">
        <v>51</v>
      </c>
      <c r="V252">
        <v>51</v>
      </c>
    </row>
    <row r="253" spans="1:22" x14ac:dyDescent="0.3">
      <c r="A253">
        <v>252</v>
      </c>
      <c r="B253" s="2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>
        <v>0.1515</v>
      </c>
      <c r="R253">
        <v>0.93</v>
      </c>
      <c r="S253">
        <v>0.19400000000000001</v>
      </c>
      <c r="T253">
        <v>0</v>
      </c>
      <c r="U253">
        <v>32</v>
      </c>
      <c r="V253">
        <v>32</v>
      </c>
    </row>
    <row r="254" spans="1:22" x14ac:dyDescent="0.3">
      <c r="A254">
        <v>253</v>
      </c>
      <c r="B254" s="2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>
        <v>0.19700000000000001</v>
      </c>
      <c r="R254">
        <v>0.86</v>
      </c>
      <c r="S254">
        <v>8.9599999999999999E-2</v>
      </c>
      <c r="T254">
        <v>0</v>
      </c>
      <c r="U254">
        <v>20</v>
      </c>
      <c r="V254">
        <v>20</v>
      </c>
    </row>
    <row r="255" spans="1:22" x14ac:dyDescent="0.3">
      <c r="A255">
        <v>254</v>
      </c>
      <c r="B255" s="2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  <c r="Q255">
        <v>0.18179999999999999</v>
      </c>
      <c r="R255">
        <v>0.93</v>
      </c>
      <c r="S255">
        <v>0.1045</v>
      </c>
      <c r="T255">
        <v>1</v>
      </c>
      <c r="U255">
        <v>28</v>
      </c>
      <c r="V255">
        <v>29</v>
      </c>
    </row>
    <row r="256" spans="1:22" x14ac:dyDescent="0.3">
      <c r="A256">
        <v>255</v>
      </c>
      <c r="B256" s="2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>
        <v>0.19700000000000001</v>
      </c>
      <c r="R256">
        <v>0.93</v>
      </c>
      <c r="S256">
        <v>8.9599999999999999E-2</v>
      </c>
      <c r="T256">
        <v>1</v>
      </c>
      <c r="U256">
        <v>18</v>
      </c>
      <c r="V256">
        <v>19</v>
      </c>
    </row>
    <row r="257" spans="1:22" x14ac:dyDescent="0.3">
      <c r="A257">
        <v>256</v>
      </c>
      <c r="B257" s="2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>
        <v>0.19700000000000001</v>
      </c>
      <c r="R257">
        <v>0.86</v>
      </c>
      <c r="S257">
        <v>8.9599999999999999E-2</v>
      </c>
      <c r="T257">
        <v>0</v>
      </c>
      <c r="U257">
        <v>7</v>
      </c>
      <c r="V257">
        <v>7</v>
      </c>
    </row>
    <row r="258" spans="1:22" x14ac:dyDescent="0.3">
      <c r="A258">
        <v>257</v>
      </c>
      <c r="B258" s="2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  <c r="Q258">
        <v>0.18179999999999999</v>
      </c>
      <c r="R258">
        <v>0.86</v>
      </c>
      <c r="S258">
        <v>0.1045</v>
      </c>
      <c r="T258">
        <v>0</v>
      </c>
      <c r="U258">
        <v>6</v>
      </c>
      <c r="V258">
        <v>6</v>
      </c>
    </row>
    <row r="259" spans="1:22" x14ac:dyDescent="0.3">
      <c r="A259">
        <v>258</v>
      </c>
      <c r="B259" s="2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>
        <v>0.1515</v>
      </c>
      <c r="R259">
        <v>0.86</v>
      </c>
      <c r="S259">
        <v>0.1343</v>
      </c>
      <c r="T259">
        <v>0</v>
      </c>
      <c r="U259">
        <v>1</v>
      </c>
      <c r="V259">
        <v>1</v>
      </c>
    </row>
    <row r="260" spans="1:22" x14ac:dyDescent="0.3">
      <c r="A260">
        <v>259</v>
      </c>
      <c r="B260" s="2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>
        <v>0.1515</v>
      </c>
      <c r="R260">
        <v>0.86</v>
      </c>
      <c r="S260">
        <v>0.16420000000000001</v>
      </c>
      <c r="T260">
        <v>0</v>
      </c>
      <c r="U260">
        <v>5</v>
      </c>
      <c r="V260">
        <v>5</v>
      </c>
    </row>
    <row r="261" spans="1:22" x14ac:dyDescent="0.3">
      <c r="A261">
        <v>260</v>
      </c>
      <c r="B261" s="2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>
        <v>0.1515</v>
      </c>
      <c r="R261">
        <v>0.93</v>
      </c>
      <c r="S261">
        <v>0.1343</v>
      </c>
      <c r="T261">
        <v>0</v>
      </c>
      <c r="U261">
        <v>16</v>
      </c>
      <c r="V261">
        <v>16</v>
      </c>
    </row>
    <row r="262" spans="1:22" x14ac:dyDescent="0.3">
      <c r="A262">
        <v>261</v>
      </c>
      <c r="B262" s="2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  <c r="Q262">
        <v>0.1515</v>
      </c>
      <c r="R262">
        <v>0.69</v>
      </c>
      <c r="S262">
        <v>0.1343</v>
      </c>
      <c r="T262">
        <v>0</v>
      </c>
      <c r="U262">
        <v>54</v>
      </c>
      <c r="V262">
        <v>54</v>
      </c>
    </row>
    <row r="263" spans="1:22" x14ac:dyDescent="0.3">
      <c r="A263">
        <v>262</v>
      </c>
      <c r="B263" s="2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>
        <v>0.16669999999999999</v>
      </c>
      <c r="R263">
        <v>0.59</v>
      </c>
      <c r="S263">
        <v>0.16420000000000001</v>
      </c>
      <c r="T263">
        <v>3</v>
      </c>
      <c r="U263">
        <v>125</v>
      </c>
      <c r="V263">
        <v>128</v>
      </c>
    </row>
    <row r="264" spans="1:22" x14ac:dyDescent="0.3">
      <c r="A264">
        <v>263</v>
      </c>
      <c r="B264" s="2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>
        <v>0.13639999999999999</v>
      </c>
      <c r="R264">
        <v>0.59</v>
      </c>
      <c r="S264">
        <v>0.32840000000000003</v>
      </c>
      <c r="T264">
        <v>3</v>
      </c>
      <c r="U264">
        <v>78</v>
      </c>
      <c r="V264">
        <v>81</v>
      </c>
    </row>
    <row r="265" spans="1:22" x14ac:dyDescent="0.3">
      <c r="A265">
        <v>264</v>
      </c>
      <c r="B265" s="2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>
        <v>0.18179999999999999</v>
      </c>
      <c r="R265">
        <v>0.55000000000000004</v>
      </c>
      <c r="S265">
        <v>0.22389999999999999</v>
      </c>
      <c r="T265">
        <v>0</v>
      </c>
      <c r="U265">
        <v>39</v>
      </c>
      <c r="V265">
        <v>39</v>
      </c>
    </row>
    <row r="266" spans="1:22" x14ac:dyDescent="0.3">
      <c r="A266">
        <v>265</v>
      </c>
      <c r="B266" s="2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  <c r="Q266">
        <v>0.18179999999999999</v>
      </c>
      <c r="R266">
        <v>0.51</v>
      </c>
      <c r="S266">
        <v>0.3881</v>
      </c>
      <c r="T266">
        <v>3</v>
      </c>
      <c r="U266">
        <v>32</v>
      </c>
      <c r="V266">
        <v>35</v>
      </c>
    </row>
    <row r="267" spans="1:22" x14ac:dyDescent="0.3">
      <c r="A267">
        <v>266</v>
      </c>
      <c r="B267" s="2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>
        <v>0.1515</v>
      </c>
      <c r="R267">
        <v>0.47</v>
      </c>
      <c r="S267">
        <v>0.58209999999999995</v>
      </c>
      <c r="T267">
        <v>3</v>
      </c>
      <c r="U267">
        <v>52</v>
      </c>
      <c r="V267">
        <v>55</v>
      </c>
    </row>
    <row r="268" spans="1:22" x14ac:dyDescent="0.3">
      <c r="A268">
        <v>267</v>
      </c>
      <c r="B268" s="2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>
        <v>0.19700000000000001</v>
      </c>
      <c r="R268">
        <v>0.44</v>
      </c>
      <c r="S268">
        <v>0.35820000000000002</v>
      </c>
      <c r="T268">
        <v>0</v>
      </c>
      <c r="U268">
        <v>49</v>
      </c>
      <c r="V268">
        <v>49</v>
      </c>
    </row>
    <row r="269" spans="1:22" x14ac:dyDescent="0.3">
      <c r="A269">
        <v>268</v>
      </c>
      <c r="B269" s="2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>
        <v>0.18179999999999999</v>
      </c>
      <c r="R269">
        <v>0.47</v>
      </c>
      <c r="S269">
        <v>0.32840000000000003</v>
      </c>
      <c r="T269">
        <v>0</v>
      </c>
      <c r="U269">
        <v>44</v>
      </c>
      <c r="V269">
        <v>44</v>
      </c>
    </row>
    <row r="270" spans="1:22" x14ac:dyDescent="0.3">
      <c r="A270">
        <v>269</v>
      </c>
      <c r="B270" s="2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>
        <v>0.16669999999999999</v>
      </c>
      <c r="R270">
        <v>0.47</v>
      </c>
      <c r="S270">
        <v>0.41789999999999999</v>
      </c>
      <c r="T270">
        <v>1</v>
      </c>
      <c r="U270">
        <v>48</v>
      </c>
      <c r="V270">
        <v>49</v>
      </c>
    </row>
    <row r="271" spans="1:22" x14ac:dyDescent="0.3">
      <c r="A271">
        <v>270</v>
      </c>
      <c r="B271" s="2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>
        <v>0.19700000000000001</v>
      </c>
      <c r="R271">
        <v>0.44</v>
      </c>
      <c r="S271">
        <v>0.32840000000000003</v>
      </c>
      <c r="T271">
        <v>5</v>
      </c>
      <c r="U271">
        <v>63</v>
      </c>
      <c r="V271">
        <v>68</v>
      </c>
    </row>
    <row r="272" spans="1:22" x14ac:dyDescent="0.3">
      <c r="A272">
        <v>271</v>
      </c>
      <c r="B272" s="2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>
        <v>0.18179999999999999</v>
      </c>
      <c r="R272">
        <v>0.47</v>
      </c>
      <c r="S272">
        <v>0.35820000000000002</v>
      </c>
      <c r="T272">
        <v>0</v>
      </c>
      <c r="U272">
        <v>139</v>
      </c>
      <c r="V272">
        <v>139</v>
      </c>
    </row>
    <row r="273" spans="1:22" x14ac:dyDescent="0.3">
      <c r="A273">
        <v>272</v>
      </c>
      <c r="B273" s="2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>
        <v>0.1515</v>
      </c>
      <c r="R273">
        <v>0.47</v>
      </c>
      <c r="S273">
        <v>0.52239999999999998</v>
      </c>
      <c r="T273">
        <v>2</v>
      </c>
      <c r="U273">
        <v>135</v>
      </c>
      <c r="V273">
        <v>137</v>
      </c>
    </row>
    <row r="274" spans="1:22" x14ac:dyDescent="0.3">
      <c r="A274">
        <v>273</v>
      </c>
      <c r="B274" s="2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>
        <v>0.1515</v>
      </c>
      <c r="R274">
        <v>0.47</v>
      </c>
      <c r="S274">
        <v>0.41789999999999999</v>
      </c>
      <c r="T274">
        <v>1</v>
      </c>
      <c r="U274">
        <v>82</v>
      </c>
      <c r="V274">
        <v>83</v>
      </c>
    </row>
    <row r="275" spans="1:22" x14ac:dyDescent="0.3">
      <c r="A275">
        <v>274</v>
      </c>
      <c r="B275" s="2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>
        <v>0.13639999999999999</v>
      </c>
      <c r="R275">
        <v>0.5</v>
      </c>
      <c r="S275">
        <v>0.32840000000000003</v>
      </c>
      <c r="T275">
        <v>2</v>
      </c>
      <c r="U275">
        <v>54</v>
      </c>
      <c r="V275">
        <v>56</v>
      </c>
    </row>
    <row r="276" spans="1:22" x14ac:dyDescent="0.3">
      <c r="A276">
        <v>275</v>
      </c>
      <c r="B276" s="2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>
        <v>0.13639999999999999</v>
      </c>
      <c r="R276">
        <v>0.55000000000000004</v>
      </c>
      <c r="S276">
        <v>0.32840000000000003</v>
      </c>
      <c r="T276">
        <v>0</v>
      </c>
      <c r="U276">
        <v>57</v>
      </c>
      <c r="V276">
        <v>57</v>
      </c>
    </row>
    <row r="277" spans="1:22" x14ac:dyDescent="0.3">
      <c r="A277">
        <v>276</v>
      </c>
      <c r="B277" s="2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>
        <v>0.1212</v>
      </c>
      <c r="R277">
        <v>0.55000000000000004</v>
      </c>
      <c r="S277">
        <v>0.44779999999999998</v>
      </c>
      <c r="T277">
        <v>1</v>
      </c>
      <c r="U277">
        <v>32</v>
      </c>
      <c r="V277">
        <v>33</v>
      </c>
    </row>
    <row r="278" spans="1:22" x14ac:dyDescent="0.3">
      <c r="A278">
        <v>277</v>
      </c>
      <c r="B278" s="2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>
        <v>0.1061</v>
      </c>
      <c r="R278">
        <v>0.59</v>
      </c>
      <c r="S278">
        <v>0.41789999999999999</v>
      </c>
      <c r="T278">
        <v>1</v>
      </c>
      <c r="U278">
        <v>19</v>
      </c>
      <c r="V278">
        <v>20</v>
      </c>
    </row>
    <row r="279" spans="1:22" x14ac:dyDescent="0.3">
      <c r="A279">
        <v>278</v>
      </c>
      <c r="B279" s="2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>
        <v>0.1212</v>
      </c>
      <c r="R279">
        <v>0.59</v>
      </c>
      <c r="S279">
        <v>0.28360000000000002</v>
      </c>
      <c r="T279">
        <v>1</v>
      </c>
      <c r="U279">
        <v>6</v>
      </c>
      <c r="V279">
        <v>7</v>
      </c>
    </row>
    <row r="280" spans="1:22" x14ac:dyDescent="0.3">
      <c r="A280">
        <v>279</v>
      </c>
      <c r="B280" s="2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>
        <v>0.1212</v>
      </c>
      <c r="R280">
        <v>0.5</v>
      </c>
      <c r="S280">
        <v>0.28360000000000002</v>
      </c>
      <c r="T280">
        <v>0</v>
      </c>
      <c r="U280">
        <v>2</v>
      </c>
      <c r="V280">
        <v>2</v>
      </c>
    </row>
    <row r="281" spans="1:22" x14ac:dyDescent="0.3">
      <c r="A281">
        <v>280</v>
      </c>
      <c r="B281" s="2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>
        <v>0.1212</v>
      </c>
      <c r="R281">
        <v>0.5</v>
      </c>
      <c r="S281">
        <v>0.35820000000000002</v>
      </c>
      <c r="T281">
        <v>0</v>
      </c>
      <c r="U281">
        <v>2</v>
      </c>
      <c r="V281">
        <v>2</v>
      </c>
    </row>
    <row r="282" spans="1:22" x14ac:dyDescent="0.3">
      <c r="A282">
        <v>281</v>
      </c>
      <c r="B282" s="2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>
        <v>0.1212</v>
      </c>
      <c r="R282">
        <v>0.5</v>
      </c>
      <c r="S282">
        <v>0.32840000000000003</v>
      </c>
      <c r="T282">
        <v>0</v>
      </c>
      <c r="U282">
        <v>3</v>
      </c>
      <c r="V282">
        <v>3</v>
      </c>
    </row>
    <row r="283" spans="1:22" x14ac:dyDescent="0.3">
      <c r="A283">
        <v>282</v>
      </c>
      <c r="B283" s="2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>
        <v>0.1212</v>
      </c>
      <c r="R283">
        <v>0.5</v>
      </c>
      <c r="S283">
        <v>0.25369999999999998</v>
      </c>
      <c r="T283">
        <v>0</v>
      </c>
      <c r="U283">
        <v>4</v>
      </c>
      <c r="V283">
        <v>4</v>
      </c>
    </row>
    <row r="284" spans="1:22" x14ac:dyDescent="0.3">
      <c r="A284">
        <v>283</v>
      </c>
      <c r="B284" s="2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>
        <v>0.1212</v>
      </c>
      <c r="R284">
        <v>0.5</v>
      </c>
      <c r="S284">
        <v>0.29849999999999999</v>
      </c>
      <c r="T284">
        <v>0</v>
      </c>
      <c r="U284">
        <v>3</v>
      </c>
      <c r="V284">
        <v>3</v>
      </c>
    </row>
    <row r="285" spans="1:22" x14ac:dyDescent="0.3">
      <c r="A285">
        <v>284</v>
      </c>
      <c r="B285" s="2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>
        <v>0.1515</v>
      </c>
      <c r="R285">
        <v>0.54</v>
      </c>
      <c r="S285">
        <v>0.1343</v>
      </c>
      <c r="T285">
        <v>0</v>
      </c>
      <c r="U285">
        <v>28</v>
      </c>
      <c r="V285">
        <v>28</v>
      </c>
    </row>
    <row r="286" spans="1:22" x14ac:dyDescent="0.3">
      <c r="A286">
        <v>285</v>
      </c>
      <c r="B286" s="2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  <c r="Q286">
        <v>0.1515</v>
      </c>
      <c r="R286">
        <v>0.54</v>
      </c>
      <c r="S286">
        <v>0.1343</v>
      </c>
      <c r="T286">
        <v>0</v>
      </c>
      <c r="U286">
        <v>72</v>
      </c>
      <c r="V286">
        <v>72</v>
      </c>
    </row>
    <row r="287" spans="1:22" x14ac:dyDescent="0.3">
      <c r="A287">
        <v>286</v>
      </c>
      <c r="B287" s="2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>
        <v>0.13639999999999999</v>
      </c>
      <c r="R287">
        <v>0.5</v>
      </c>
      <c r="S287">
        <v>0.19400000000000001</v>
      </c>
      <c r="T287">
        <v>5</v>
      </c>
      <c r="U287">
        <v>197</v>
      </c>
      <c r="V287">
        <v>202</v>
      </c>
    </row>
    <row r="288" spans="1:22" x14ac:dyDescent="0.3">
      <c r="A288">
        <v>287</v>
      </c>
      <c r="B288" s="2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>
        <v>0.1212</v>
      </c>
      <c r="R288">
        <v>0.5</v>
      </c>
      <c r="S288">
        <v>0.32840000000000003</v>
      </c>
      <c r="T288">
        <v>2</v>
      </c>
      <c r="U288">
        <v>137</v>
      </c>
      <c r="V288">
        <v>139</v>
      </c>
    </row>
    <row r="289" spans="1:22" x14ac:dyDescent="0.3">
      <c r="A289">
        <v>288</v>
      </c>
      <c r="B289" s="2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>
        <v>0.13639999999999999</v>
      </c>
      <c r="R289">
        <v>0.5</v>
      </c>
      <c r="S289">
        <v>0.35820000000000002</v>
      </c>
      <c r="T289">
        <v>2</v>
      </c>
      <c r="U289">
        <v>36</v>
      </c>
      <c r="V289">
        <v>38</v>
      </c>
    </row>
    <row r="290" spans="1:22" x14ac:dyDescent="0.3">
      <c r="A290">
        <v>289</v>
      </c>
      <c r="B290" s="2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>
        <v>0.16669999999999999</v>
      </c>
      <c r="R290">
        <v>0.44</v>
      </c>
      <c r="S290">
        <v>0.44779999999999998</v>
      </c>
      <c r="T290">
        <v>4</v>
      </c>
      <c r="U290">
        <v>33</v>
      </c>
      <c r="V290">
        <v>37</v>
      </c>
    </row>
    <row r="291" spans="1:22" x14ac:dyDescent="0.3">
      <c r="A291">
        <v>290</v>
      </c>
      <c r="B291" s="2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>
        <v>0.16669999999999999</v>
      </c>
      <c r="R291">
        <v>0.44</v>
      </c>
      <c r="S291">
        <v>0.41789999999999999</v>
      </c>
      <c r="T291">
        <v>3</v>
      </c>
      <c r="U291">
        <v>49</v>
      </c>
      <c r="V291">
        <v>52</v>
      </c>
    </row>
    <row r="292" spans="1:22" x14ac:dyDescent="0.3">
      <c r="A292">
        <v>291</v>
      </c>
      <c r="B292" s="2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>
        <v>0.19700000000000001</v>
      </c>
      <c r="R292">
        <v>0.41</v>
      </c>
      <c r="S292">
        <v>0.44779999999999998</v>
      </c>
      <c r="T292">
        <v>2</v>
      </c>
      <c r="U292">
        <v>81</v>
      </c>
      <c r="V292">
        <v>83</v>
      </c>
    </row>
    <row r="293" spans="1:22" x14ac:dyDescent="0.3">
      <c r="A293">
        <v>292</v>
      </c>
      <c r="B293" s="2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>
        <v>0.19700000000000001</v>
      </c>
      <c r="R293">
        <v>0.41</v>
      </c>
      <c r="S293">
        <v>0.3881</v>
      </c>
      <c r="T293">
        <v>3</v>
      </c>
      <c r="U293">
        <v>39</v>
      </c>
      <c r="V293">
        <v>42</v>
      </c>
    </row>
    <row r="294" spans="1:22" x14ac:dyDescent="0.3">
      <c r="A294">
        <v>293</v>
      </c>
      <c r="B294" s="2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>
        <v>0.21210000000000001</v>
      </c>
      <c r="R294">
        <v>0.38</v>
      </c>
      <c r="S294">
        <v>0.29849999999999999</v>
      </c>
      <c r="T294">
        <v>5</v>
      </c>
      <c r="U294">
        <v>55</v>
      </c>
      <c r="V294">
        <v>60</v>
      </c>
    </row>
    <row r="295" spans="1:22" x14ac:dyDescent="0.3">
      <c r="A295">
        <v>294</v>
      </c>
      <c r="B295" s="2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>
        <v>0.21210000000000001</v>
      </c>
      <c r="R295">
        <v>0.38</v>
      </c>
      <c r="S295">
        <v>0.35820000000000002</v>
      </c>
      <c r="T295">
        <v>2</v>
      </c>
      <c r="U295">
        <v>76</v>
      </c>
      <c r="V295">
        <v>78</v>
      </c>
    </row>
    <row r="296" spans="1:22" x14ac:dyDescent="0.3">
      <c r="A296">
        <v>295</v>
      </c>
      <c r="B296" s="2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>
        <v>0.18179999999999999</v>
      </c>
      <c r="R296">
        <v>0.4</v>
      </c>
      <c r="S296">
        <v>0.28360000000000002</v>
      </c>
      <c r="T296">
        <v>4</v>
      </c>
      <c r="U296">
        <v>158</v>
      </c>
      <c r="V296">
        <v>162</v>
      </c>
    </row>
    <row r="297" spans="1:22" x14ac:dyDescent="0.3">
      <c r="A297">
        <v>296</v>
      </c>
      <c r="B297" s="2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>
        <v>0.18179999999999999</v>
      </c>
      <c r="R297">
        <v>0.4</v>
      </c>
      <c r="S297">
        <v>0.32840000000000003</v>
      </c>
      <c r="T297">
        <v>3</v>
      </c>
      <c r="U297">
        <v>141</v>
      </c>
      <c r="V297">
        <v>144</v>
      </c>
    </row>
    <row r="298" spans="1:22" x14ac:dyDescent="0.3">
      <c r="A298">
        <v>297</v>
      </c>
      <c r="B298" s="2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>
        <v>0.1515</v>
      </c>
      <c r="R298">
        <v>0.47</v>
      </c>
      <c r="S298">
        <v>0.25369999999999998</v>
      </c>
      <c r="T298">
        <v>1</v>
      </c>
      <c r="U298">
        <v>98</v>
      </c>
      <c r="V298">
        <v>99</v>
      </c>
    </row>
    <row r="299" spans="1:22" x14ac:dyDescent="0.3">
      <c r="A299">
        <v>298</v>
      </c>
      <c r="B299" s="2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>
        <v>0.1515</v>
      </c>
      <c r="R299">
        <v>0.47</v>
      </c>
      <c r="S299">
        <v>0.22389999999999999</v>
      </c>
      <c r="T299">
        <v>0</v>
      </c>
      <c r="U299">
        <v>64</v>
      </c>
      <c r="V299">
        <v>64</v>
      </c>
    </row>
    <row r="300" spans="1:22" x14ac:dyDescent="0.3">
      <c r="A300">
        <v>299</v>
      </c>
      <c r="B300" s="2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>
        <v>0.1212</v>
      </c>
      <c r="R300">
        <v>0.46</v>
      </c>
      <c r="S300">
        <v>0.29849999999999999</v>
      </c>
      <c r="T300">
        <v>0</v>
      </c>
      <c r="U300">
        <v>40</v>
      </c>
      <c r="V300">
        <v>40</v>
      </c>
    </row>
    <row r="301" spans="1:22" x14ac:dyDescent="0.3">
      <c r="A301">
        <v>300</v>
      </c>
      <c r="B301" s="2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>
        <v>0.1212</v>
      </c>
      <c r="R301">
        <v>0.46</v>
      </c>
      <c r="S301">
        <v>0.32840000000000003</v>
      </c>
      <c r="T301">
        <v>0</v>
      </c>
      <c r="U301">
        <v>30</v>
      </c>
      <c r="V301">
        <v>30</v>
      </c>
    </row>
    <row r="302" spans="1:22" x14ac:dyDescent="0.3">
      <c r="A302">
        <v>301</v>
      </c>
      <c r="B302" s="2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>
        <v>0.13639999999999999</v>
      </c>
      <c r="R302">
        <v>0.5</v>
      </c>
      <c r="S302">
        <v>0.19400000000000001</v>
      </c>
      <c r="T302">
        <v>1</v>
      </c>
      <c r="U302">
        <v>14</v>
      </c>
      <c r="V302">
        <v>15</v>
      </c>
    </row>
    <row r="303" spans="1:22" x14ac:dyDescent="0.3">
      <c r="A303">
        <v>302</v>
      </c>
      <c r="B303" s="2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>
        <v>0.13639999999999999</v>
      </c>
      <c r="R303">
        <v>0.5</v>
      </c>
      <c r="S303">
        <v>0.19400000000000001</v>
      </c>
      <c r="T303">
        <v>0</v>
      </c>
      <c r="U303">
        <v>14</v>
      </c>
      <c r="V303">
        <v>14</v>
      </c>
    </row>
    <row r="304" spans="1:22" x14ac:dyDescent="0.3">
      <c r="A304">
        <v>303</v>
      </c>
      <c r="B304" s="2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>
        <v>0.1212</v>
      </c>
      <c r="R304">
        <v>0.54</v>
      </c>
      <c r="S304">
        <v>0.16420000000000001</v>
      </c>
      <c r="T304">
        <v>0</v>
      </c>
      <c r="U304">
        <v>5</v>
      </c>
      <c r="V304">
        <v>5</v>
      </c>
    </row>
    <row r="305" spans="1:22" x14ac:dyDescent="0.3">
      <c r="A305">
        <v>304</v>
      </c>
      <c r="B305" s="2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  <c r="Q305">
        <v>0.1212</v>
      </c>
      <c r="R305">
        <v>0.54</v>
      </c>
      <c r="S305">
        <v>0.1343</v>
      </c>
      <c r="T305">
        <v>0</v>
      </c>
      <c r="U305">
        <v>1</v>
      </c>
      <c r="V305">
        <v>1</v>
      </c>
    </row>
    <row r="306" spans="1:22" x14ac:dyDescent="0.3">
      <c r="A306">
        <v>305</v>
      </c>
      <c r="B306" s="2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>
        <v>0.13639999999999999</v>
      </c>
      <c r="R306">
        <v>0.54</v>
      </c>
      <c r="S306">
        <v>0.1045</v>
      </c>
      <c r="T306">
        <v>0</v>
      </c>
      <c r="U306">
        <v>1</v>
      </c>
      <c r="V306">
        <v>1</v>
      </c>
    </row>
    <row r="307" spans="1:22" x14ac:dyDescent="0.3">
      <c r="A307">
        <v>306</v>
      </c>
      <c r="B307" s="2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>
        <v>0.13639999999999999</v>
      </c>
      <c r="R307">
        <v>0.54</v>
      </c>
      <c r="S307">
        <v>8.9599999999999999E-2</v>
      </c>
      <c r="T307">
        <v>0</v>
      </c>
      <c r="U307">
        <v>8</v>
      </c>
      <c r="V307">
        <v>8</v>
      </c>
    </row>
    <row r="308" spans="1:22" x14ac:dyDescent="0.3">
      <c r="A308">
        <v>307</v>
      </c>
      <c r="B308" s="2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  <c r="Q308">
        <v>0.18179999999999999</v>
      </c>
      <c r="R308">
        <v>0.54</v>
      </c>
      <c r="S308">
        <v>0</v>
      </c>
      <c r="T308">
        <v>0</v>
      </c>
      <c r="U308">
        <v>17</v>
      </c>
      <c r="V308">
        <v>17</v>
      </c>
    </row>
    <row r="309" spans="1:22" x14ac:dyDescent="0.3">
      <c r="A309">
        <v>308</v>
      </c>
      <c r="B309" s="2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>
        <v>0.1212</v>
      </c>
      <c r="R309">
        <v>0.74</v>
      </c>
      <c r="S309">
        <v>0.16420000000000001</v>
      </c>
      <c r="T309">
        <v>0</v>
      </c>
      <c r="U309">
        <v>70</v>
      </c>
      <c r="V309">
        <v>70</v>
      </c>
    </row>
    <row r="310" spans="1:22" x14ac:dyDescent="0.3">
      <c r="A310">
        <v>309</v>
      </c>
      <c r="B310" s="2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  <c r="Q310">
        <v>0.16669999999999999</v>
      </c>
      <c r="R310">
        <v>0.68</v>
      </c>
      <c r="S310">
        <v>0</v>
      </c>
      <c r="T310">
        <v>2</v>
      </c>
      <c r="U310">
        <v>156</v>
      </c>
      <c r="V310">
        <v>158</v>
      </c>
    </row>
    <row r="311" spans="1:22" x14ac:dyDescent="0.3">
      <c r="A311">
        <v>310</v>
      </c>
      <c r="B311" s="2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>
        <v>0.1515</v>
      </c>
      <c r="R311">
        <v>0.69</v>
      </c>
      <c r="S311">
        <v>0.1343</v>
      </c>
      <c r="T311">
        <v>0</v>
      </c>
      <c r="U311">
        <v>117</v>
      </c>
      <c r="V311">
        <v>117</v>
      </c>
    </row>
    <row r="312" spans="1:22" x14ac:dyDescent="0.3">
      <c r="A312">
        <v>311</v>
      </c>
      <c r="B312" s="2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>
        <v>0.18179999999999999</v>
      </c>
      <c r="R312">
        <v>0.55000000000000004</v>
      </c>
      <c r="S312">
        <v>0.19400000000000001</v>
      </c>
      <c r="T312">
        <v>4</v>
      </c>
      <c r="U312">
        <v>40</v>
      </c>
      <c r="V312">
        <v>44</v>
      </c>
    </row>
    <row r="313" spans="1:22" x14ac:dyDescent="0.3">
      <c r="A313">
        <v>312</v>
      </c>
      <c r="B313" s="2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>
        <v>0.16669999999999999</v>
      </c>
      <c r="R313">
        <v>0.51</v>
      </c>
      <c r="S313">
        <v>0.28360000000000002</v>
      </c>
      <c r="T313">
        <v>6</v>
      </c>
      <c r="U313">
        <v>47</v>
      </c>
      <c r="V313">
        <v>53</v>
      </c>
    </row>
    <row r="314" spans="1:22" x14ac:dyDescent="0.3">
      <c r="A314">
        <v>313</v>
      </c>
      <c r="B314" s="2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>
        <v>0.19700000000000001</v>
      </c>
      <c r="R314">
        <v>0.44</v>
      </c>
      <c r="S314">
        <v>0.25369999999999998</v>
      </c>
      <c r="T314">
        <v>2</v>
      </c>
      <c r="U314">
        <v>59</v>
      </c>
      <c r="V314">
        <v>61</v>
      </c>
    </row>
    <row r="315" spans="1:22" x14ac:dyDescent="0.3">
      <c r="A315">
        <v>314</v>
      </c>
      <c r="B315" s="2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>
        <v>0.19700000000000001</v>
      </c>
      <c r="R315">
        <v>0.37</v>
      </c>
      <c r="S315">
        <v>0.3881</v>
      </c>
      <c r="T315">
        <v>4</v>
      </c>
      <c r="U315">
        <v>73</v>
      </c>
      <c r="V315">
        <v>77</v>
      </c>
    </row>
    <row r="316" spans="1:22" x14ac:dyDescent="0.3">
      <c r="A316">
        <v>315</v>
      </c>
      <c r="B316" s="2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>
        <v>0.21210000000000001</v>
      </c>
      <c r="R316">
        <v>0.41</v>
      </c>
      <c r="S316">
        <v>0.28360000000000002</v>
      </c>
      <c r="T316">
        <v>5</v>
      </c>
      <c r="U316">
        <v>59</v>
      </c>
      <c r="V316">
        <v>64</v>
      </c>
    </row>
    <row r="317" spans="1:22" x14ac:dyDescent="0.3">
      <c r="A317">
        <v>316</v>
      </c>
      <c r="B317" s="2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>
        <v>0.2424</v>
      </c>
      <c r="R317">
        <v>0.38</v>
      </c>
      <c r="S317">
        <v>0.16420000000000001</v>
      </c>
      <c r="T317">
        <v>9</v>
      </c>
      <c r="U317">
        <v>59</v>
      </c>
      <c r="V317">
        <v>68</v>
      </c>
    </row>
    <row r="318" spans="1:22" x14ac:dyDescent="0.3">
      <c r="A318">
        <v>317</v>
      </c>
      <c r="B318" s="2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  <c r="Q318">
        <v>0.2424</v>
      </c>
      <c r="R318">
        <v>0.41</v>
      </c>
      <c r="S318">
        <v>0.1045</v>
      </c>
      <c r="T318">
        <v>3</v>
      </c>
      <c r="U318">
        <v>87</v>
      </c>
      <c r="V318">
        <v>90</v>
      </c>
    </row>
    <row r="319" spans="1:22" x14ac:dyDescent="0.3">
      <c r="A319">
        <v>318</v>
      </c>
      <c r="B319" s="2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>
        <v>0.2273</v>
      </c>
      <c r="R319">
        <v>0.41</v>
      </c>
      <c r="S319">
        <v>0.16420000000000001</v>
      </c>
      <c r="T319">
        <v>4</v>
      </c>
      <c r="U319">
        <v>155</v>
      </c>
      <c r="V319">
        <v>159</v>
      </c>
    </row>
    <row r="320" spans="1:22" x14ac:dyDescent="0.3">
      <c r="A320">
        <v>319</v>
      </c>
      <c r="B320" s="2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  <c r="Q320">
        <v>0.2576</v>
      </c>
      <c r="R320">
        <v>0.47</v>
      </c>
      <c r="S320">
        <v>0</v>
      </c>
      <c r="T320">
        <v>5</v>
      </c>
      <c r="U320">
        <v>134</v>
      </c>
      <c r="V320">
        <v>139</v>
      </c>
    </row>
    <row r="321" spans="1:22" x14ac:dyDescent="0.3">
      <c r="A321">
        <v>320</v>
      </c>
      <c r="B321" s="2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>
        <v>0.19700000000000001</v>
      </c>
      <c r="R321">
        <v>0.59</v>
      </c>
      <c r="S321">
        <v>8.9599999999999999E-2</v>
      </c>
      <c r="T321">
        <v>3</v>
      </c>
      <c r="U321">
        <v>89</v>
      </c>
      <c r="V321">
        <v>92</v>
      </c>
    </row>
    <row r="322" spans="1:22" x14ac:dyDescent="0.3">
      <c r="A322">
        <v>321</v>
      </c>
      <c r="B322" s="2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  <c r="Q322">
        <v>0.2424</v>
      </c>
      <c r="R322">
        <v>0.59</v>
      </c>
      <c r="S322">
        <v>0</v>
      </c>
      <c r="T322">
        <v>0</v>
      </c>
      <c r="U322">
        <v>68</v>
      </c>
      <c r="V322">
        <v>68</v>
      </c>
    </row>
    <row r="323" spans="1:22" x14ac:dyDescent="0.3">
      <c r="A323">
        <v>322</v>
      </c>
      <c r="B323" s="2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>
        <v>0.2273</v>
      </c>
      <c r="R323">
        <v>0.69</v>
      </c>
      <c r="S323">
        <v>0</v>
      </c>
      <c r="T323">
        <v>4</v>
      </c>
      <c r="U323">
        <v>48</v>
      </c>
      <c r="V323">
        <v>52</v>
      </c>
    </row>
    <row r="324" spans="1:22" x14ac:dyDescent="0.3">
      <c r="A324">
        <v>323</v>
      </c>
      <c r="B324" s="2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  <c r="Q324">
        <v>0.2273</v>
      </c>
      <c r="R324">
        <v>0.69</v>
      </c>
      <c r="S324">
        <v>0</v>
      </c>
      <c r="T324">
        <v>2</v>
      </c>
      <c r="U324">
        <v>34</v>
      </c>
      <c r="V324">
        <v>36</v>
      </c>
    </row>
    <row r="325" spans="1:22" x14ac:dyDescent="0.3">
      <c r="A325">
        <v>324</v>
      </c>
      <c r="B325" s="2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>
        <v>0.2424</v>
      </c>
      <c r="R325">
        <v>0.55000000000000004</v>
      </c>
      <c r="S325">
        <v>0</v>
      </c>
      <c r="T325">
        <v>1</v>
      </c>
      <c r="U325">
        <v>26</v>
      </c>
      <c r="V325">
        <v>27</v>
      </c>
    </row>
    <row r="326" spans="1:22" x14ac:dyDescent="0.3">
      <c r="A326">
        <v>325</v>
      </c>
      <c r="B326" s="2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>
        <v>0.2424</v>
      </c>
      <c r="R326">
        <v>0.55000000000000004</v>
      </c>
      <c r="S326">
        <v>0</v>
      </c>
      <c r="T326">
        <v>3</v>
      </c>
      <c r="U326">
        <v>25</v>
      </c>
      <c r="V326">
        <v>28</v>
      </c>
    </row>
    <row r="327" spans="1:22" x14ac:dyDescent="0.3">
      <c r="A327">
        <v>326</v>
      </c>
      <c r="B327" s="2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>
        <v>0.19700000000000001</v>
      </c>
      <c r="R327">
        <v>0.59</v>
      </c>
      <c r="S327">
        <v>8.9599999999999999E-2</v>
      </c>
      <c r="T327">
        <v>2</v>
      </c>
      <c r="U327">
        <v>18</v>
      </c>
      <c r="V327">
        <v>20</v>
      </c>
    </row>
    <row r="328" spans="1:22" x14ac:dyDescent="0.3">
      <c r="A328">
        <v>327</v>
      </c>
      <c r="B328" s="2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>
        <v>0.19700000000000001</v>
      </c>
      <c r="R328">
        <v>0.59</v>
      </c>
      <c r="S328">
        <v>8.9599999999999999E-2</v>
      </c>
      <c r="T328">
        <v>0</v>
      </c>
      <c r="U328">
        <v>12</v>
      </c>
      <c r="V328">
        <v>12</v>
      </c>
    </row>
    <row r="329" spans="1:22" x14ac:dyDescent="0.3">
      <c r="A329">
        <v>328</v>
      </c>
      <c r="B329" s="2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>
        <v>0.2273</v>
      </c>
      <c r="R329">
        <v>0.59</v>
      </c>
      <c r="S329">
        <v>0</v>
      </c>
      <c r="T329">
        <v>1</v>
      </c>
      <c r="U329">
        <v>7</v>
      </c>
      <c r="V329">
        <v>8</v>
      </c>
    </row>
    <row r="330" spans="1:22" x14ac:dyDescent="0.3">
      <c r="A330">
        <v>329</v>
      </c>
      <c r="B330" s="2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>
        <v>0.2273</v>
      </c>
      <c r="R330">
        <v>0.59</v>
      </c>
      <c r="S330">
        <v>0</v>
      </c>
      <c r="T330">
        <v>0</v>
      </c>
      <c r="U330">
        <v>5</v>
      </c>
      <c r="V330">
        <v>5</v>
      </c>
    </row>
    <row r="331" spans="1:22" x14ac:dyDescent="0.3">
      <c r="A331">
        <v>330</v>
      </c>
      <c r="B331" s="2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  <c r="Q331">
        <v>0.2273</v>
      </c>
      <c r="R331">
        <v>0.59</v>
      </c>
      <c r="S331">
        <v>0</v>
      </c>
      <c r="T331">
        <v>0</v>
      </c>
      <c r="U331">
        <v>1</v>
      </c>
      <c r="V331">
        <v>1</v>
      </c>
    </row>
    <row r="332" spans="1:22" x14ac:dyDescent="0.3">
      <c r="A332">
        <v>331</v>
      </c>
      <c r="B332" s="2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  <c r="Q332">
        <v>0.16669999999999999</v>
      </c>
      <c r="R332">
        <v>0.63</v>
      </c>
      <c r="S332">
        <v>0.1045</v>
      </c>
      <c r="T332">
        <v>1</v>
      </c>
      <c r="U332">
        <v>2</v>
      </c>
      <c r="V332">
        <v>3</v>
      </c>
    </row>
    <row r="333" spans="1:22" x14ac:dyDescent="0.3">
      <c r="A333">
        <v>332</v>
      </c>
      <c r="B333" s="2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  <c r="Q333">
        <v>0.21210000000000001</v>
      </c>
      <c r="R333">
        <v>0.63</v>
      </c>
      <c r="S333">
        <v>0</v>
      </c>
      <c r="T333">
        <v>1</v>
      </c>
      <c r="U333">
        <v>9</v>
      </c>
      <c r="V333">
        <v>10</v>
      </c>
    </row>
    <row r="334" spans="1:22" x14ac:dyDescent="0.3">
      <c r="A334">
        <v>333</v>
      </c>
      <c r="B334" s="2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  <c r="Q334">
        <v>0.1515</v>
      </c>
      <c r="R334">
        <v>0.63</v>
      </c>
      <c r="S334">
        <v>0.1343</v>
      </c>
      <c r="T334">
        <v>1</v>
      </c>
      <c r="U334">
        <v>22</v>
      </c>
      <c r="V334">
        <v>23</v>
      </c>
    </row>
    <row r="335" spans="1:22" x14ac:dyDescent="0.3">
      <c r="A335">
        <v>334</v>
      </c>
      <c r="B335" s="2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  <c r="Q335">
        <v>0.18179999999999999</v>
      </c>
      <c r="R335">
        <v>0.64</v>
      </c>
      <c r="S335">
        <v>0.1343</v>
      </c>
      <c r="T335">
        <v>2</v>
      </c>
      <c r="U335">
        <v>31</v>
      </c>
      <c r="V335">
        <v>33</v>
      </c>
    </row>
    <row r="336" spans="1:22" x14ac:dyDescent="0.3">
      <c r="A336">
        <v>335</v>
      </c>
      <c r="B336" s="2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>
        <v>0.19700000000000001</v>
      </c>
      <c r="R336">
        <v>0.59</v>
      </c>
      <c r="S336">
        <v>0.16420000000000001</v>
      </c>
      <c r="T336">
        <v>2</v>
      </c>
      <c r="U336">
        <v>57</v>
      </c>
      <c r="V336">
        <v>59</v>
      </c>
    </row>
    <row r="337" spans="1:22" x14ac:dyDescent="0.3">
      <c r="A337">
        <v>336</v>
      </c>
      <c r="B337" s="2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>
        <v>0.19700000000000001</v>
      </c>
      <c r="R337">
        <v>0.55000000000000004</v>
      </c>
      <c r="S337">
        <v>0.22389999999999999</v>
      </c>
      <c r="T337">
        <v>18</v>
      </c>
      <c r="U337">
        <v>54</v>
      </c>
      <c r="V337">
        <v>72</v>
      </c>
    </row>
    <row r="338" spans="1:22" x14ac:dyDescent="0.3">
      <c r="A338">
        <v>337</v>
      </c>
      <c r="B338" s="2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>
        <v>0.2273</v>
      </c>
      <c r="R338">
        <v>0.48</v>
      </c>
      <c r="S338">
        <v>0.22389999999999999</v>
      </c>
      <c r="T338">
        <v>15</v>
      </c>
      <c r="U338">
        <v>74</v>
      </c>
      <c r="V338">
        <v>89</v>
      </c>
    </row>
    <row r="339" spans="1:22" x14ac:dyDescent="0.3">
      <c r="A339">
        <v>338</v>
      </c>
      <c r="B339" s="2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>
        <v>0.2576</v>
      </c>
      <c r="R339">
        <v>0.38</v>
      </c>
      <c r="S339">
        <v>0.29849999999999999</v>
      </c>
      <c r="T339">
        <v>21</v>
      </c>
      <c r="U339">
        <v>80</v>
      </c>
      <c r="V339">
        <v>101</v>
      </c>
    </row>
    <row r="340" spans="1:22" x14ac:dyDescent="0.3">
      <c r="A340">
        <v>339</v>
      </c>
      <c r="B340" s="2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>
        <v>0.28789999999999999</v>
      </c>
      <c r="R340">
        <v>0.39</v>
      </c>
      <c r="S340">
        <v>0.28360000000000002</v>
      </c>
      <c r="T340">
        <v>26</v>
      </c>
      <c r="U340">
        <v>92</v>
      </c>
      <c r="V340">
        <v>118</v>
      </c>
    </row>
    <row r="341" spans="1:22" x14ac:dyDescent="0.3">
      <c r="A341">
        <v>340</v>
      </c>
      <c r="B341" s="2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>
        <v>0.31819999999999998</v>
      </c>
      <c r="R341">
        <v>0.36</v>
      </c>
      <c r="S341">
        <v>0.19400000000000001</v>
      </c>
      <c r="T341">
        <v>21</v>
      </c>
      <c r="U341">
        <v>108</v>
      </c>
      <c r="V341">
        <v>129</v>
      </c>
    </row>
    <row r="342" spans="1:22" x14ac:dyDescent="0.3">
      <c r="A342">
        <v>341</v>
      </c>
      <c r="B342" s="2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>
        <v>0.33329999999999999</v>
      </c>
      <c r="R342">
        <v>0.34</v>
      </c>
      <c r="S342">
        <v>0.19400000000000001</v>
      </c>
      <c r="T342">
        <v>33</v>
      </c>
      <c r="U342">
        <v>95</v>
      </c>
      <c r="V342">
        <v>128</v>
      </c>
    </row>
    <row r="343" spans="1:22" x14ac:dyDescent="0.3">
      <c r="A343">
        <v>342</v>
      </c>
      <c r="B343" s="2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>
        <v>0.30299999999999999</v>
      </c>
      <c r="R343">
        <v>0.36</v>
      </c>
      <c r="S343">
        <v>0.28360000000000002</v>
      </c>
      <c r="T343">
        <v>29</v>
      </c>
      <c r="U343">
        <v>54</v>
      </c>
      <c r="V343">
        <v>83</v>
      </c>
    </row>
    <row r="344" spans="1:22" x14ac:dyDescent="0.3">
      <c r="A344">
        <v>343</v>
      </c>
      <c r="B344" s="2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>
        <v>0.28789999999999999</v>
      </c>
      <c r="R344">
        <v>0.45</v>
      </c>
      <c r="S344">
        <v>0.25369999999999998</v>
      </c>
      <c r="T344">
        <v>15</v>
      </c>
      <c r="U344">
        <v>69</v>
      </c>
      <c r="V344">
        <v>84</v>
      </c>
    </row>
    <row r="345" spans="1:22" x14ac:dyDescent="0.3">
      <c r="A345">
        <v>344</v>
      </c>
      <c r="B345" s="2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>
        <v>0.30299999999999999</v>
      </c>
      <c r="R345">
        <v>0.39</v>
      </c>
      <c r="S345">
        <v>0.25369999999999998</v>
      </c>
      <c r="T345">
        <v>14</v>
      </c>
      <c r="U345">
        <v>60</v>
      </c>
      <c r="V345">
        <v>74</v>
      </c>
    </row>
    <row r="346" spans="1:22" x14ac:dyDescent="0.3">
      <c r="A346">
        <v>345</v>
      </c>
      <c r="B346" s="2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>
        <v>0.30299999999999999</v>
      </c>
      <c r="R346">
        <v>0.39</v>
      </c>
      <c r="S346">
        <v>0.25369999999999998</v>
      </c>
      <c r="T346">
        <v>6</v>
      </c>
      <c r="U346">
        <v>35</v>
      </c>
      <c r="V346">
        <v>41</v>
      </c>
    </row>
    <row r="347" spans="1:22" x14ac:dyDescent="0.3">
      <c r="A347">
        <v>346</v>
      </c>
      <c r="B347" s="2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>
        <v>0.30299999999999999</v>
      </c>
      <c r="R347">
        <v>0.39</v>
      </c>
      <c r="S347">
        <v>0.22389999999999999</v>
      </c>
      <c r="T347">
        <v>6</v>
      </c>
      <c r="U347">
        <v>51</v>
      </c>
      <c r="V347">
        <v>57</v>
      </c>
    </row>
    <row r="348" spans="1:22" x14ac:dyDescent="0.3">
      <c r="A348">
        <v>347</v>
      </c>
      <c r="B348" s="2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  <c r="Q348">
        <v>0.31819999999999998</v>
      </c>
      <c r="R348">
        <v>0.42</v>
      </c>
      <c r="S348">
        <v>0.1045</v>
      </c>
      <c r="T348">
        <v>0</v>
      </c>
      <c r="U348">
        <v>26</v>
      </c>
      <c r="V348">
        <v>26</v>
      </c>
    </row>
    <row r="349" spans="1:22" x14ac:dyDescent="0.3">
      <c r="A349">
        <v>348</v>
      </c>
      <c r="B349" s="2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>
        <v>0.28789999999999999</v>
      </c>
      <c r="R349">
        <v>0.45</v>
      </c>
      <c r="S349">
        <v>0.28360000000000002</v>
      </c>
      <c r="T349">
        <v>5</v>
      </c>
      <c r="U349">
        <v>39</v>
      </c>
      <c r="V349">
        <v>44</v>
      </c>
    </row>
    <row r="350" spans="1:22" x14ac:dyDescent="0.3">
      <c r="A350">
        <v>349</v>
      </c>
      <c r="B350" s="2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>
        <v>0.30299999999999999</v>
      </c>
      <c r="R350">
        <v>0.56000000000000005</v>
      </c>
      <c r="S350">
        <v>0</v>
      </c>
      <c r="T350">
        <v>6</v>
      </c>
      <c r="U350">
        <v>33</v>
      </c>
      <c r="V350">
        <v>39</v>
      </c>
    </row>
    <row r="351" spans="1:22" x14ac:dyDescent="0.3">
      <c r="A351">
        <v>350</v>
      </c>
      <c r="B351" s="2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>
        <v>0.2727</v>
      </c>
      <c r="R351">
        <v>0.56000000000000005</v>
      </c>
      <c r="S351">
        <v>0.1343</v>
      </c>
      <c r="T351">
        <v>4</v>
      </c>
      <c r="U351">
        <v>19</v>
      </c>
      <c r="V351">
        <v>23</v>
      </c>
    </row>
    <row r="352" spans="1:22" x14ac:dyDescent="0.3">
      <c r="A352">
        <v>351</v>
      </c>
      <c r="B352" s="2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>
        <v>0.28789999999999999</v>
      </c>
      <c r="R352">
        <v>0.56000000000000005</v>
      </c>
      <c r="S352">
        <v>8.9599999999999999E-2</v>
      </c>
      <c r="T352">
        <v>3</v>
      </c>
      <c r="U352">
        <v>13</v>
      </c>
      <c r="V352">
        <v>16</v>
      </c>
    </row>
    <row r="353" spans="1:22" x14ac:dyDescent="0.3">
      <c r="A353">
        <v>352</v>
      </c>
      <c r="B353" s="2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  <c r="Q353">
        <v>0.2727</v>
      </c>
      <c r="R353">
        <v>0.69</v>
      </c>
      <c r="S353">
        <v>0</v>
      </c>
      <c r="T353">
        <v>9</v>
      </c>
      <c r="U353">
        <v>6</v>
      </c>
      <c r="V353">
        <v>15</v>
      </c>
    </row>
    <row r="354" spans="1:22" x14ac:dyDescent="0.3">
      <c r="A354">
        <v>353</v>
      </c>
      <c r="B354" s="2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>
        <v>0.2576</v>
      </c>
      <c r="R354">
        <v>0.56000000000000005</v>
      </c>
      <c r="S354">
        <v>0.16420000000000001</v>
      </c>
      <c r="T354">
        <v>0</v>
      </c>
      <c r="U354">
        <v>1</v>
      </c>
      <c r="V354">
        <v>1</v>
      </c>
    </row>
    <row r="355" spans="1:22" x14ac:dyDescent="0.3">
      <c r="A355">
        <v>354</v>
      </c>
      <c r="B355" s="2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>
        <v>0.2576</v>
      </c>
      <c r="R355">
        <v>0.56000000000000005</v>
      </c>
      <c r="S355">
        <v>0.16420000000000001</v>
      </c>
      <c r="T355">
        <v>1</v>
      </c>
      <c r="U355">
        <v>1</v>
      </c>
      <c r="V355">
        <v>2</v>
      </c>
    </row>
    <row r="356" spans="1:22" x14ac:dyDescent="0.3">
      <c r="A356">
        <v>355</v>
      </c>
      <c r="B356" s="2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>
        <v>0.2576</v>
      </c>
      <c r="R356">
        <v>0.56000000000000005</v>
      </c>
      <c r="S356">
        <v>0.16420000000000001</v>
      </c>
      <c r="T356">
        <v>0</v>
      </c>
      <c r="U356">
        <v>1</v>
      </c>
      <c r="V356">
        <v>1</v>
      </c>
    </row>
    <row r="357" spans="1:22" x14ac:dyDescent="0.3">
      <c r="A357">
        <v>356</v>
      </c>
      <c r="B357" s="2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>
        <v>0.21210000000000001</v>
      </c>
      <c r="R357">
        <v>0.56000000000000005</v>
      </c>
      <c r="S357">
        <v>0.29849999999999999</v>
      </c>
      <c r="T357">
        <v>0</v>
      </c>
      <c r="U357">
        <v>3</v>
      </c>
      <c r="V357">
        <v>3</v>
      </c>
    </row>
    <row r="358" spans="1:22" x14ac:dyDescent="0.3">
      <c r="A358">
        <v>357</v>
      </c>
      <c r="B358" s="2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>
        <v>0.21210000000000001</v>
      </c>
      <c r="R358">
        <v>0.55000000000000004</v>
      </c>
      <c r="S358">
        <v>0.28360000000000002</v>
      </c>
      <c r="T358">
        <v>0</v>
      </c>
      <c r="U358">
        <v>18</v>
      </c>
      <c r="V358">
        <v>18</v>
      </c>
    </row>
    <row r="359" spans="1:22" x14ac:dyDescent="0.3">
      <c r="A359">
        <v>358</v>
      </c>
      <c r="B359" s="2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>
        <v>0.21210000000000001</v>
      </c>
      <c r="R359">
        <v>0.51</v>
      </c>
      <c r="S359">
        <v>0.25369999999999998</v>
      </c>
      <c r="T359">
        <v>3</v>
      </c>
      <c r="U359">
        <v>29</v>
      </c>
      <c r="V359">
        <v>32</v>
      </c>
    </row>
    <row r="360" spans="1:22" x14ac:dyDescent="0.3">
      <c r="A360">
        <v>359</v>
      </c>
      <c r="B360" s="2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>
        <v>0.21210000000000001</v>
      </c>
      <c r="R360">
        <v>0.51</v>
      </c>
      <c r="S360">
        <v>0.28360000000000002</v>
      </c>
      <c r="T360">
        <v>8</v>
      </c>
      <c r="U360">
        <v>71</v>
      </c>
      <c r="V360">
        <v>79</v>
      </c>
    </row>
    <row r="361" spans="1:22" x14ac:dyDescent="0.3">
      <c r="A361">
        <v>360</v>
      </c>
      <c r="B361" s="2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>
        <v>0.2273</v>
      </c>
      <c r="R361">
        <v>0.44</v>
      </c>
      <c r="S361">
        <v>0.25369999999999998</v>
      </c>
      <c r="T361">
        <v>23</v>
      </c>
      <c r="U361">
        <v>70</v>
      </c>
      <c r="V361">
        <v>93</v>
      </c>
    </row>
    <row r="362" spans="1:22" x14ac:dyDescent="0.3">
      <c r="A362">
        <v>361</v>
      </c>
      <c r="B362" s="2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>
        <v>0.21210000000000001</v>
      </c>
      <c r="R362">
        <v>0.41</v>
      </c>
      <c r="S362">
        <v>0.28360000000000002</v>
      </c>
      <c r="T362">
        <v>29</v>
      </c>
      <c r="U362">
        <v>75</v>
      </c>
      <c r="V362">
        <v>104</v>
      </c>
    </row>
    <row r="363" spans="1:22" x14ac:dyDescent="0.3">
      <c r="A363">
        <v>362</v>
      </c>
      <c r="B363" s="2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>
        <v>0.2273</v>
      </c>
      <c r="R363">
        <v>0.35</v>
      </c>
      <c r="S363">
        <v>0.29849999999999999</v>
      </c>
      <c r="T363">
        <v>23</v>
      </c>
      <c r="U363">
        <v>95</v>
      </c>
      <c r="V363">
        <v>118</v>
      </c>
    </row>
    <row r="364" spans="1:22" x14ac:dyDescent="0.3">
      <c r="A364">
        <v>363</v>
      </c>
      <c r="B364" s="2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>
        <v>0.2727</v>
      </c>
      <c r="R364">
        <v>0.36</v>
      </c>
      <c r="S364">
        <v>0.25369999999999998</v>
      </c>
      <c r="T364">
        <v>22</v>
      </c>
      <c r="U364">
        <v>69</v>
      </c>
      <c r="V364">
        <v>91</v>
      </c>
    </row>
    <row r="365" spans="1:22" x14ac:dyDescent="0.3">
      <c r="A365">
        <v>364</v>
      </c>
      <c r="B365" s="2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>
        <v>0.2424</v>
      </c>
      <c r="R365">
        <v>0.38</v>
      </c>
      <c r="S365">
        <v>0.25369999999999998</v>
      </c>
      <c r="T365">
        <v>35</v>
      </c>
      <c r="U365">
        <v>78</v>
      </c>
      <c r="V365">
        <v>113</v>
      </c>
    </row>
    <row r="366" spans="1:22" x14ac:dyDescent="0.3">
      <c r="A366">
        <v>365</v>
      </c>
      <c r="B366" s="2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>
        <v>0.2273</v>
      </c>
      <c r="R366">
        <v>0.38</v>
      </c>
      <c r="S366">
        <v>0.22389999999999999</v>
      </c>
      <c r="T366">
        <v>22</v>
      </c>
      <c r="U366">
        <v>77</v>
      </c>
      <c r="V366">
        <v>99</v>
      </c>
    </row>
    <row r="367" spans="1:22" x14ac:dyDescent="0.3">
      <c r="A367">
        <v>366</v>
      </c>
      <c r="B367" s="2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>
        <v>0.21210000000000001</v>
      </c>
      <c r="R367">
        <v>0.37</v>
      </c>
      <c r="S367">
        <v>0.25369999999999998</v>
      </c>
      <c r="T367">
        <v>23</v>
      </c>
      <c r="U367">
        <v>82</v>
      </c>
      <c r="V367">
        <v>105</v>
      </c>
    </row>
    <row r="368" spans="1:22" x14ac:dyDescent="0.3">
      <c r="A368">
        <v>367</v>
      </c>
      <c r="B368" s="2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>
        <v>0.21210000000000001</v>
      </c>
      <c r="R368">
        <v>0.4</v>
      </c>
      <c r="S368">
        <v>0.16420000000000001</v>
      </c>
      <c r="T368">
        <v>11</v>
      </c>
      <c r="U368">
        <v>56</v>
      </c>
      <c r="V368">
        <v>67</v>
      </c>
    </row>
    <row r="369" spans="1:22" x14ac:dyDescent="0.3">
      <c r="A369">
        <v>368</v>
      </c>
      <c r="B369" s="2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>
        <v>0.19700000000000001</v>
      </c>
      <c r="R369">
        <v>0.47</v>
      </c>
      <c r="S369">
        <v>0.1343</v>
      </c>
      <c r="T369">
        <v>14</v>
      </c>
      <c r="U369">
        <v>47</v>
      </c>
      <c r="V369">
        <v>61</v>
      </c>
    </row>
    <row r="370" spans="1:22" x14ac:dyDescent="0.3">
      <c r="A370">
        <v>369</v>
      </c>
      <c r="B370" s="2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>
        <v>0.19700000000000001</v>
      </c>
      <c r="R370">
        <v>0.47</v>
      </c>
      <c r="S370">
        <v>0.16420000000000001</v>
      </c>
      <c r="T370">
        <v>7</v>
      </c>
      <c r="U370">
        <v>50</v>
      </c>
      <c r="V370">
        <v>57</v>
      </c>
    </row>
    <row r="371" spans="1:22" x14ac:dyDescent="0.3">
      <c r="A371">
        <v>370</v>
      </c>
      <c r="B371" s="2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>
        <v>0.19700000000000001</v>
      </c>
      <c r="R371">
        <v>0.51</v>
      </c>
      <c r="S371">
        <v>0.16420000000000001</v>
      </c>
      <c r="T371">
        <v>6</v>
      </c>
      <c r="U371">
        <v>22</v>
      </c>
      <c r="V371">
        <v>28</v>
      </c>
    </row>
    <row r="372" spans="1:22" x14ac:dyDescent="0.3">
      <c r="A372">
        <v>371</v>
      </c>
      <c r="B372" s="2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  <c r="Q372">
        <v>0.21210000000000001</v>
      </c>
      <c r="R372">
        <v>0.49</v>
      </c>
      <c r="S372">
        <v>0.1343</v>
      </c>
      <c r="T372">
        <v>2</v>
      </c>
      <c r="U372">
        <v>19</v>
      </c>
      <c r="V372">
        <v>21</v>
      </c>
    </row>
    <row r="373" spans="1:22" x14ac:dyDescent="0.3">
      <c r="A373">
        <v>372</v>
      </c>
      <c r="B373" s="2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  <c r="Q373">
        <v>0.2273</v>
      </c>
      <c r="R373">
        <v>0.4</v>
      </c>
      <c r="S373">
        <v>0.1045</v>
      </c>
      <c r="T373">
        <v>0</v>
      </c>
      <c r="U373">
        <v>18</v>
      </c>
      <c r="V373">
        <v>18</v>
      </c>
    </row>
    <row r="374" spans="1:22" x14ac:dyDescent="0.3">
      <c r="A374">
        <v>373</v>
      </c>
      <c r="B374" s="2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>
        <v>0.19700000000000001</v>
      </c>
      <c r="R374">
        <v>0.47</v>
      </c>
      <c r="S374">
        <v>0.22389999999999999</v>
      </c>
      <c r="T374">
        <v>1</v>
      </c>
      <c r="U374">
        <v>16</v>
      </c>
      <c r="V374">
        <v>17</v>
      </c>
    </row>
    <row r="375" spans="1:22" x14ac:dyDescent="0.3">
      <c r="A375">
        <v>374</v>
      </c>
      <c r="B375" s="2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>
        <v>0.19700000000000001</v>
      </c>
      <c r="R375">
        <v>0.44</v>
      </c>
      <c r="S375">
        <v>0.19400000000000001</v>
      </c>
      <c r="T375">
        <v>1</v>
      </c>
      <c r="U375">
        <v>15</v>
      </c>
      <c r="V375">
        <v>16</v>
      </c>
    </row>
    <row r="376" spans="1:22" x14ac:dyDescent="0.3">
      <c r="A376">
        <v>375</v>
      </c>
      <c r="B376" s="2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>
        <v>0.16669999999999999</v>
      </c>
      <c r="R376">
        <v>0.43</v>
      </c>
      <c r="S376">
        <v>0.25369999999999998</v>
      </c>
      <c r="T376">
        <v>0</v>
      </c>
      <c r="U376">
        <v>8</v>
      </c>
      <c r="V376">
        <v>8</v>
      </c>
    </row>
    <row r="377" spans="1:22" x14ac:dyDescent="0.3">
      <c r="A377">
        <v>376</v>
      </c>
      <c r="B377" s="2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>
        <v>0.18179999999999999</v>
      </c>
      <c r="R377">
        <v>0.43</v>
      </c>
      <c r="S377">
        <v>0.19400000000000001</v>
      </c>
      <c r="T377">
        <v>0</v>
      </c>
      <c r="U377">
        <v>2</v>
      </c>
      <c r="V377">
        <v>2</v>
      </c>
    </row>
    <row r="378" spans="1:22" x14ac:dyDescent="0.3">
      <c r="A378">
        <v>377</v>
      </c>
      <c r="B378" s="2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>
        <v>0.19700000000000001</v>
      </c>
      <c r="R378">
        <v>0.43</v>
      </c>
      <c r="S378">
        <v>0.1343</v>
      </c>
      <c r="T378">
        <v>1</v>
      </c>
      <c r="U378">
        <v>2</v>
      </c>
      <c r="V378">
        <v>3</v>
      </c>
    </row>
    <row r="379" spans="1:22" x14ac:dyDescent="0.3">
      <c r="A379">
        <v>378</v>
      </c>
      <c r="B379" s="2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>
        <v>0.19700000000000001</v>
      </c>
      <c r="R379">
        <v>0.43</v>
      </c>
      <c r="S379">
        <v>0.16420000000000001</v>
      </c>
      <c r="T379">
        <v>0</v>
      </c>
      <c r="U379">
        <v>1</v>
      </c>
      <c r="V379">
        <v>1</v>
      </c>
    </row>
    <row r="380" spans="1:22" x14ac:dyDescent="0.3">
      <c r="A380">
        <v>379</v>
      </c>
      <c r="B380" s="2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>
        <v>0.18179999999999999</v>
      </c>
      <c r="R380">
        <v>0.43</v>
      </c>
      <c r="S380">
        <v>0.19400000000000001</v>
      </c>
      <c r="T380">
        <v>0</v>
      </c>
      <c r="U380">
        <v>5</v>
      </c>
      <c r="V380">
        <v>5</v>
      </c>
    </row>
    <row r="381" spans="1:22" x14ac:dyDescent="0.3">
      <c r="A381">
        <v>380</v>
      </c>
      <c r="B381" s="2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  <c r="Q381">
        <v>0.18179999999999999</v>
      </c>
      <c r="R381">
        <v>0.5</v>
      </c>
      <c r="S381">
        <v>0.1343</v>
      </c>
      <c r="T381">
        <v>4</v>
      </c>
      <c r="U381">
        <v>9</v>
      </c>
      <c r="V381">
        <v>13</v>
      </c>
    </row>
    <row r="382" spans="1:22" x14ac:dyDescent="0.3">
      <c r="A382">
        <v>381</v>
      </c>
      <c r="B382" s="2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>
        <v>0.1515</v>
      </c>
      <c r="R382">
        <v>0.47</v>
      </c>
      <c r="S382">
        <v>0.22389999999999999</v>
      </c>
      <c r="T382">
        <v>3</v>
      </c>
      <c r="U382">
        <v>30</v>
      </c>
      <c r="V382">
        <v>33</v>
      </c>
    </row>
    <row r="383" spans="1:22" x14ac:dyDescent="0.3">
      <c r="A383">
        <v>382</v>
      </c>
      <c r="B383" s="2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>
        <v>0.1515</v>
      </c>
      <c r="R383">
        <v>0.47</v>
      </c>
      <c r="S383">
        <v>0.22389999999999999</v>
      </c>
      <c r="T383">
        <v>8</v>
      </c>
      <c r="U383">
        <v>39</v>
      </c>
      <c r="V383">
        <v>47</v>
      </c>
    </row>
    <row r="384" spans="1:22" x14ac:dyDescent="0.3">
      <c r="A384">
        <v>383</v>
      </c>
      <c r="B384" s="2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>
        <v>0.1515</v>
      </c>
      <c r="R384">
        <v>0.5</v>
      </c>
      <c r="S384">
        <v>0.25369999999999998</v>
      </c>
      <c r="T384">
        <v>7</v>
      </c>
      <c r="U384">
        <v>50</v>
      </c>
      <c r="V384">
        <v>57</v>
      </c>
    </row>
    <row r="385" spans="1:22" x14ac:dyDescent="0.3">
      <c r="A385">
        <v>384</v>
      </c>
      <c r="B385" s="2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>
        <v>0.1515</v>
      </c>
      <c r="R385">
        <v>0.55000000000000004</v>
      </c>
      <c r="S385">
        <v>0.19400000000000001</v>
      </c>
      <c r="T385">
        <v>9</v>
      </c>
      <c r="U385">
        <v>55</v>
      </c>
      <c r="V385">
        <v>64</v>
      </c>
    </row>
    <row r="386" spans="1:22" x14ac:dyDescent="0.3">
      <c r="A386">
        <v>385</v>
      </c>
      <c r="B386" s="2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>
        <v>0.19700000000000001</v>
      </c>
      <c r="R386">
        <v>0.47</v>
      </c>
      <c r="S386">
        <v>0.1343</v>
      </c>
      <c r="T386">
        <v>10</v>
      </c>
      <c r="U386">
        <v>70</v>
      </c>
      <c r="V386">
        <v>80</v>
      </c>
    </row>
    <row r="387" spans="1:22" x14ac:dyDescent="0.3">
      <c r="A387">
        <v>386</v>
      </c>
      <c r="B387" s="2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>
        <v>0.19700000000000001</v>
      </c>
      <c r="R387">
        <v>0.47</v>
      </c>
      <c r="S387">
        <v>0.1343</v>
      </c>
      <c r="T387">
        <v>13</v>
      </c>
      <c r="U387">
        <v>80</v>
      </c>
      <c r="V387">
        <v>93</v>
      </c>
    </row>
    <row r="388" spans="1:22" x14ac:dyDescent="0.3">
      <c r="A388">
        <v>387</v>
      </c>
      <c r="B388" s="2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>
        <v>0.21210000000000001</v>
      </c>
      <c r="R388">
        <v>0.43</v>
      </c>
      <c r="S388">
        <v>0.1045</v>
      </c>
      <c r="T388">
        <v>12</v>
      </c>
      <c r="U388">
        <v>74</v>
      </c>
      <c r="V388">
        <v>86</v>
      </c>
    </row>
    <row r="389" spans="1:22" x14ac:dyDescent="0.3">
      <c r="A389">
        <v>388</v>
      </c>
      <c r="B389" s="2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>
        <v>0.21210000000000001</v>
      </c>
      <c r="R389">
        <v>0.47</v>
      </c>
      <c r="S389">
        <v>0.16420000000000001</v>
      </c>
      <c r="T389">
        <v>21</v>
      </c>
      <c r="U389">
        <v>72</v>
      </c>
      <c r="V389">
        <v>93</v>
      </c>
    </row>
    <row r="390" spans="1:22" x14ac:dyDescent="0.3">
      <c r="A390">
        <v>389</v>
      </c>
      <c r="B390" s="2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>
        <v>0.21210000000000001</v>
      </c>
      <c r="R390">
        <v>0.47</v>
      </c>
      <c r="S390">
        <v>0.16420000000000001</v>
      </c>
      <c r="T390">
        <v>6</v>
      </c>
      <c r="U390">
        <v>76</v>
      </c>
      <c r="V390">
        <v>82</v>
      </c>
    </row>
    <row r="391" spans="1:22" x14ac:dyDescent="0.3">
      <c r="A391">
        <v>390</v>
      </c>
      <c r="B391" s="2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>
        <v>0.19700000000000001</v>
      </c>
      <c r="R391">
        <v>0.51</v>
      </c>
      <c r="S391">
        <v>0.19400000000000001</v>
      </c>
      <c r="T391">
        <v>4</v>
      </c>
      <c r="U391">
        <v>67</v>
      </c>
      <c r="V391">
        <v>71</v>
      </c>
    </row>
    <row r="392" spans="1:22" x14ac:dyDescent="0.3">
      <c r="A392">
        <v>391</v>
      </c>
      <c r="B392" s="2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>
        <v>0.16669999999999999</v>
      </c>
      <c r="R392">
        <v>0.55000000000000004</v>
      </c>
      <c r="S392">
        <v>0.25369999999999998</v>
      </c>
      <c r="T392">
        <v>7</v>
      </c>
      <c r="U392">
        <v>85</v>
      </c>
      <c r="V392">
        <v>92</v>
      </c>
    </row>
    <row r="393" spans="1:22" x14ac:dyDescent="0.3">
      <c r="A393">
        <v>392</v>
      </c>
      <c r="B393" s="2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>
        <v>0.18179999999999999</v>
      </c>
      <c r="R393">
        <v>0.59</v>
      </c>
      <c r="S393">
        <v>0.19400000000000001</v>
      </c>
      <c r="T393">
        <v>2</v>
      </c>
      <c r="U393">
        <v>58</v>
      </c>
      <c r="V393">
        <v>60</v>
      </c>
    </row>
    <row r="394" spans="1:22" x14ac:dyDescent="0.3">
      <c r="A394">
        <v>393</v>
      </c>
      <c r="B394" s="2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>
        <v>0.1515</v>
      </c>
      <c r="R394">
        <v>0.8</v>
      </c>
      <c r="S394">
        <v>0.19400000000000001</v>
      </c>
      <c r="T394">
        <v>4</v>
      </c>
      <c r="U394">
        <v>29</v>
      </c>
      <c r="V394">
        <v>33</v>
      </c>
    </row>
    <row r="395" spans="1:22" x14ac:dyDescent="0.3">
      <c r="A395">
        <v>394</v>
      </c>
      <c r="B395" s="2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>
        <v>0.1515</v>
      </c>
      <c r="R395">
        <v>0.8</v>
      </c>
      <c r="S395">
        <v>0.19400000000000001</v>
      </c>
      <c r="T395">
        <v>3</v>
      </c>
      <c r="U395">
        <v>24</v>
      </c>
      <c r="V395">
        <v>27</v>
      </c>
    </row>
    <row r="396" spans="1:22" x14ac:dyDescent="0.3">
      <c r="A396">
        <v>395</v>
      </c>
      <c r="B396" s="2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>
        <v>0.1212</v>
      </c>
      <c r="R396">
        <v>0.93</v>
      </c>
      <c r="S396">
        <v>0.25369999999999998</v>
      </c>
      <c r="T396">
        <v>0</v>
      </c>
      <c r="U396">
        <v>13</v>
      </c>
      <c r="V396">
        <v>13</v>
      </c>
    </row>
    <row r="397" spans="1:22" x14ac:dyDescent="0.3">
      <c r="A397">
        <v>396</v>
      </c>
      <c r="B397" s="2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>
        <v>0.13639999999999999</v>
      </c>
      <c r="R397">
        <v>0.86</v>
      </c>
      <c r="S397">
        <v>0.28360000000000002</v>
      </c>
      <c r="T397">
        <v>1</v>
      </c>
      <c r="U397">
        <v>3</v>
      </c>
      <c r="V397">
        <v>4</v>
      </c>
    </row>
    <row r="398" spans="1:22" x14ac:dyDescent="0.3">
      <c r="A398">
        <v>397</v>
      </c>
      <c r="B398" s="2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>
        <v>0.18179999999999999</v>
      </c>
      <c r="R398">
        <v>0.86</v>
      </c>
      <c r="S398">
        <v>0.32840000000000003</v>
      </c>
      <c r="T398">
        <v>0</v>
      </c>
      <c r="U398">
        <v>3</v>
      </c>
      <c r="V398">
        <v>3</v>
      </c>
    </row>
    <row r="399" spans="1:22" x14ac:dyDescent="0.3">
      <c r="A399">
        <v>398</v>
      </c>
      <c r="B399" s="2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>
        <v>0.19700000000000001</v>
      </c>
      <c r="R399">
        <v>0.86</v>
      </c>
      <c r="S399">
        <v>0.22389999999999999</v>
      </c>
      <c r="T399">
        <v>0</v>
      </c>
      <c r="U399">
        <v>22</v>
      </c>
      <c r="V399">
        <v>22</v>
      </c>
    </row>
    <row r="400" spans="1:22" x14ac:dyDescent="0.3">
      <c r="A400">
        <v>399</v>
      </c>
      <c r="B400" s="2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>
        <v>0.2273</v>
      </c>
      <c r="R400">
        <v>0.8</v>
      </c>
      <c r="S400">
        <v>0.16420000000000001</v>
      </c>
      <c r="T400">
        <v>2</v>
      </c>
      <c r="U400">
        <v>26</v>
      </c>
      <c r="V400">
        <v>28</v>
      </c>
    </row>
    <row r="401" spans="1:22" x14ac:dyDescent="0.3">
      <c r="A401">
        <v>400</v>
      </c>
      <c r="B401" s="2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>
        <v>0.2273</v>
      </c>
      <c r="R401">
        <v>0.87</v>
      </c>
      <c r="S401">
        <v>0.16420000000000001</v>
      </c>
      <c r="T401">
        <v>3</v>
      </c>
      <c r="U401">
        <v>32</v>
      </c>
      <c r="V401">
        <v>35</v>
      </c>
    </row>
    <row r="402" spans="1:22" x14ac:dyDescent="0.3">
      <c r="A402">
        <v>401</v>
      </c>
      <c r="B402" s="2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>
        <v>0.2273</v>
      </c>
      <c r="R402">
        <v>0.87</v>
      </c>
      <c r="S402">
        <v>0.19400000000000001</v>
      </c>
      <c r="T402">
        <v>0</v>
      </c>
      <c r="U402">
        <v>61</v>
      </c>
      <c r="V402">
        <v>61</v>
      </c>
    </row>
    <row r="403" spans="1:22" x14ac:dyDescent="0.3">
      <c r="A403">
        <v>402</v>
      </c>
      <c r="B403" s="2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>
        <v>0.2273</v>
      </c>
      <c r="R403">
        <v>0.82</v>
      </c>
      <c r="S403">
        <v>0.19400000000000001</v>
      </c>
      <c r="T403">
        <v>1</v>
      </c>
      <c r="U403">
        <v>124</v>
      </c>
      <c r="V403">
        <v>125</v>
      </c>
    </row>
    <row r="404" spans="1:22" x14ac:dyDescent="0.3">
      <c r="A404">
        <v>403</v>
      </c>
      <c r="B404" s="2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>
        <v>0.2273</v>
      </c>
      <c r="R404">
        <v>0.8</v>
      </c>
      <c r="S404">
        <v>0.16420000000000001</v>
      </c>
      <c r="T404">
        <v>1</v>
      </c>
      <c r="U404">
        <v>132</v>
      </c>
      <c r="V404">
        <v>133</v>
      </c>
    </row>
    <row r="405" spans="1:22" x14ac:dyDescent="0.3">
      <c r="A405">
        <v>404</v>
      </c>
      <c r="B405" s="2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  <c r="Q405">
        <v>0.2273</v>
      </c>
      <c r="R405">
        <v>0.8</v>
      </c>
      <c r="S405">
        <v>0.1343</v>
      </c>
      <c r="T405">
        <v>1</v>
      </c>
      <c r="U405">
        <v>98</v>
      </c>
      <c r="V405">
        <v>99</v>
      </c>
    </row>
    <row r="406" spans="1:22" x14ac:dyDescent="0.3">
      <c r="A406">
        <v>405</v>
      </c>
      <c r="B406" s="2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  <c r="Q406">
        <v>0.2727</v>
      </c>
      <c r="R406">
        <v>0.87</v>
      </c>
      <c r="S406">
        <v>0</v>
      </c>
      <c r="T406">
        <v>0</v>
      </c>
      <c r="U406">
        <v>83</v>
      </c>
      <c r="V406">
        <v>83</v>
      </c>
    </row>
    <row r="407" spans="1:22" x14ac:dyDescent="0.3">
      <c r="A407">
        <v>406</v>
      </c>
      <c r="B407" s="2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  <c r="Q407">
        <v>0.2424</v>
      </c>
      <c r="R407">
        <v>0.93</v>
      </c>
      <c r="S407">
        <v>0.1045</v>
      </c>
      <c r="T407">
        <v>0</v>
      </c>
      <c r="U407">
        <v>41</v>
      </c>
      <c r="V407">
        <v>41</v>
      </c>
    </row>
    <row r="408" spans="1:22" x14ac:dyDescent="0.3">
      <c r="A408">
        <v>407</v>
      </c>
      <c r="B408" s="2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>
        <v>0.2576</v>
      </c>
      <c r="R408">
        <v>0.93</v>
      </c>
      <c r="S408">
        <v>8.9599999999999999E-2</v>
      </c>
      <c r="T408">
        <v>0</v>
      </c>
      <c r="U408">
        <v>33</v>
      </c>
      <c r="V408">
        <v>33</v>
      </c>
    </row>
    <row r="409" spans="1:22" x14ac:dyDescent="0.3">
      <c r="A409">
        <v>408</v>
      </c>
      <c r="B409" s="2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>
        <v>0.2727</v>
      </c>
      <c r="R409">
        <v>0.93</v>
      </c>
      <c r="S409">
        <v>0</v>
      </c>
      <c r="T409">
        <v>1</v>
      </c>
      <c r="U409">
        <v>19</v>
      </c>
      <c r="V409">
        <v>20</v>
      </c>
    </row>
    <row r="410" spans="1:22" x14ac:dyDescent="0.3">
      <c r="A410">
        <v>409</v>
      </c>
      <c r="B410" s="2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  <c r="Q410">
        <v>0.2727</v>
      </c>
      <c r="R410">
        <v>0.93</v>
      </c>
      <c r="S410">
        <v>0</v>
      </c>
      <c r="T410">
        <v>0</v>
      </c>
      <c r="U410">
        <v>3</v>
      </c>
      <c r="V410">
        <v>3</v>
      </c>
    </row>
    <row r="411" spans="1:22" x14ac:dyDescent="0.3">
      <c r="A411">
        <v>410</v>
      </c>
      <c r="B411" s="2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>
        <v>0.2273</v>
      </c>
      <c r="R411">
        <v>0.93</v>
      </c>
      <c r="S411">
        <v>0.1343</v>
      </c>
      <c r="T411">
        <v>1</v>
      </c>
      <c r="U411">
        <v>6</v>
      </c>
      <c r="V411">
        <v>7</v>
      </c>
    </row>
    <row r="412" spans="1:22" x14ac:dyDescent="0.3">
      <c r="A412">
        <v>411</v>
      </c>
      <c r="B412" s="2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>
        <v>0.2273</v>
      </c>
      <c r="R412">
        <v>0.93</v>
      </c>
      <c r="S412">
        <v>0.1343</v>
      </c>
      <c r="T412">
        <v>0</v>
      </c>
      <c r="U412">
        <v>3</v>
      </c>
      <c r="V412">
        <v>3</v>
      </c>
    </row>
    <row r="413" spans="1:22" x14ac:dyDescent="0.3">
      <c r="A413">
        <v>412</v>
      </c>
      <c r="B413" s="2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  <c r="Q413">
        <v>0.2273</v>
      </c>
      <c r="R413">
        <v>0.93</v>
      </c>
      <c r="S413">
        <v>0.1343</v>
      </c>
      <c r="T413">
        <v>1</v>
      </c>
      <c r="U413">
        <v>1</v>
      </c>
      <c r="V413">
        <v>2</v>
      </c>
    </row>
    <row r="414" spans="1:22" x14ac:dyDescent="0.3">
      <c r="A414">
        <v>413</v>
      </c>
      <c r="B414" s="2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>
        <v>0.2576</v>
      </c>
      <c r="R414">
        <v>0.93</v>
      </c>
      <c r="S414">
        <v>8.9599999999999999E-2</v>
      </c>
      <c r="T414">
        <v>0</v>
      </c>
      <c r="U414">
        <v>7</v>
      </c>
      <c r="V414">
        <v>7</v>
      </c>
    </row>
    <row r="415" spans="1:22" x14ac:dyDescent="0.3">
      <c r="A415">
        <v>414</v>
      </c>
      <c r="B415" s="2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>
        <v>0.2576</v>
      </c>
      <c r="R415">
        <v>0.93</v>
      </c>
      <c r="S415">
        <v>8.9599999999999999E-2</v>
      </c>
      <c r="T415">
        <v>0</v>
      </c>
      <c r="U415">
        <v>32</v>
      </c>
      <c r="V415">
        <v>32</v>
      </c>
    </row>
    <row r="416" spans="1:22" x14ac:dyDescent="0.3">
      <c r="A416">
        <v>415</v>
      </c>
      <c r="B416" s="2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>
        <v>0.2576</v>
      </c>
      <c r="R416">
        <v>0.92</v>
      </c>
      <c r="S416">
        <v>0.1045</v>
      </c>
      <c r="T416">
        <v>1</v>
      </c>
      <c r="U416">
        <v>89</v>
      </c>
      <c r="V416">
        <v>90</v>
      </c>
    </row>
    <row r="417" spans="1:22" x14ac:dyDescent="0.3">
      <c r="A417">
        <v>416</v>
      </c>
      <c r="B417" s="2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>
        <v>0.2576</v>
      </c>
      <c r="R417">
        <v>0.93</v>
      </c>
      <c r="S417">
        <v>0.1045</v>
      </c>
      <c r="T417">
        <v>1</v>
      </c>
      <c r="U417">
        <v>196</v>
      </c>
      <c r="V417">
        <v>197</v>
      </c>
    </row>
    <row r="418" spans="1:22" x14ac:dyDescent="0.3">
      <c r="A418">
        <v>417</v>
      </c>
      <c r="B418" s="2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>
        <v>0.2576</v>
      </c>
      <c r="R418">
        <v>0.93</v>
      </c>
      <c r="S418">
        <v>0.1045</v>
      </c>
      <c r="T418">
        <v>2</v>
      </c>
      <c r="U418">
        <v>107</v>
      </c>
      <c r="V418">
        <v>109</v>
      </c>
    </row>
    <row r="419" spans="1:22" x14ac:dyDescent="0.3">
      <c r="A419">
        <v>418</v>
      </c>
      <c r="B419" s="2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  <c r="Q419">
        <v>0.2727</v>
      </c>
      <c r="R419">
        <v>0.93</v>
      </c>
      <c r="S419">
        <v>0.1343</v>
      </c>
      <c r="T419">
        <v>1</v>
      </c>
      <c r="U419">
        <v>46</v>
      </c>
      <c r="V419">
        <v>47</v>
      </c>
    </row>
    <row r="420" spans="1:22" x14ac:dyDescent="0.3">
      <c r="A420">
        <v>419</v>
      </c>
      <c r="B420" s="2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>
        <v>0.30299999999999999</v>
      </c>
      <c r="R420">
        <v>0.87</v>
      </c>
      <c r="S420">
        <v>8.9599999999999999E-2</v>
      </c>
      <c r="T420">
        <v>5</v>
      </c>
      <c r="U420">
        <v>47</v>
      </c>
      <c r="V420">
        <v>52</v>
      </c>
    </row>
    <row r="421" spans="1:22" x14ac:dyDescent="0.3">
      <c r="A421">
        <v>420</v>
      </c>
      <c r="B421" s="2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>
        <v>0.31819999999999998</v>
      </c>
      <c r="R421">
        <v>0.81</v>
      </c>
      <c r="S421">
        <v>8.9599999999999999E-2</v>
      </c>
      <c r="T421">
        <v>5</v>
      </c>
      <c r="U421">
        <v>65</v>
      </c>
      <c r="V421">
        <v>70</v>
      </c>
    </row>
    <row r="422" spans="1:22" x14ac:dyDescent="0.3">
      <c r="A422">
        <v>421</v>
      </c>
      <c r="B422" s="2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>
        <v>0.40910000000000002</v>
      </c>
      <c r="R422">
        <v>0.62</v>
      </c>
      <c r="S422">
        <v>0.28360000000000002</v>
      </c>
      <c r="T422">
        <v>11</v>
      </c>
      <c r="U422">
        <v>67</v>
      </c>
      <c r="V422">
        <v>78</v>
      </c>
    </row>
    <row r="423" spans="1:22" x14ac:dyDescent="0.3">
      <c r="A423">
        <v>422</v>
      </c>
      <c r="B423" s="2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>
        <v>0.40910000000000002</v>
      </c>
      <c r="R423">
        <v>0.57999999999999996</v>
      </c>
      <c r="S423">
        <v>0.25369999999999998</v>
      </c>
      <c r="T423">
        <v>7</v>
      </c>
      <c r="U423">
        <v>68</v>
      </c>
      <c r="V423">
        <v>75</v>
      </c>
    </row>
    <row r="424" spans="1:22" x14ac:dyDescent="0.3">
      <c r="A424">
        <v>423</v>
      </c>
      <c r="B424" s="2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>
        <v>0.40910000000000002</v>
      </c>
      <c r="R424">
        <v>0.54</v>
      </c>
      <c r="S424">
        <v>0.28360000000000002</v>
      </c>
      <c r="T424">
        <v>4</v>
      </c>
      <c r="U424">
        <v>78</v>
      </c>
      <c r="V424">
        <v>82</v>
      </c>
    </row>
    <row r="425" spans="1:22" x14ac:dyDescent="0.3">
      <c r="A425">
        <v>424</v>
      </c>
      <c r="B425" s="2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>
        <v>0.39389999999999997</v>
      </c>
      <c r="R425">
        <v>0.57999999999999996</v>
      </c>
      <c r="S425">
        <v>0.3881</v>
      </c>
      <c r="T425">
        <v>10</v>
      </c>
      <c r="U425">
        <v>94</v>
      </c>
      <c r="V425">
        <v>104</v>
      </c>
    </row>
    <row r="426" spans="1:22" x14ac:dyDescent="0.3">
      <c r="A426">
        <v>425</v>
      </c>
      <c r="B426" s="2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>
        <v>0.33329999999999999</v>
      </c>
      <c r="R426">
        <v>0.56999999999999995</v>
      </c>
      <c r="S426">
        <v>0.32840000000000003</v>
      </c>
      <c r="T426">
        <v>7</v>
      </c>
      <c r="U426">
        <v>190</v>
      </c>
      <c r="V426">
        <v>197</v>
      </c>
    </row>
    <row r="427" spans="1:22" x14ac:dyDescent="0.3">
      <c r="A427">
        <v>426</v>
      </c>
      <c r="B427" s="2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>
        <v>0.31819999999999998</v>
      </c>
      <c r="R427">
        <v>0.61</v>
      </c>
      <c r="S427">
        <v>0.28360000000000002</v>
      </c>
      <c r="T427">
        <v>5</v>
      </c>
      <c r="U427">
        <v>156</v>
      </c>
      <c r="V427">
        <v>161</v>
      </c>
    </row>
    <row r="428" spans="1:22" x14ac:dyDescent="0.3">
      <c r="A428">
        <v>427</v>
      </c>
      <c r="B428" s="2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>
        <v>0.28789999999999999</v>
      </c>
      <c r="R428">
        <v>0.56999999999999995</v>
      </c>
      <c r="S428">
        <v>0.41789999999999999</v>
      </c>
      <c r="T428">
        <v>4</v>
      </c>
      <c r="U428">
        <v>108</v>
      </c>
      <c r="V428">
        <v>112</v>
      </c>
    </row>
    <row r="429" spans="1:22" x14ac:dyDescent="0.3">
      <c r="A429">
        <v>428</v>
      </c>
      <c r="B429" s="2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>
        <v>0.30299999999999999</v>
      </c>
      <c r="R429">
        <v>0.49</v>
      </c>
      <c r="S429">
        <v>0.29849999999999999</v>
      </c>
      <c r="T429">
        <v>2</v>
      </c>
      <c r="U429">
        <v>74</v>
      </c>
      <c r="V429">
        <v>76</v>
      </c>
    </row>
    <row r="430" spans="1:22" x14ac:dyDescent="0.3">
      <c r="A430">
        <v>429</v>
      </c>
      <c r="B430" s="2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>
        <v>0.28789999999999999</v>
      </c>
      <c r="R430">
        <v>0.49</v>
      </c>
      <c r="S430">
        <v>0.41789999999999999</v>
      </c>
      <c r="T430">
        <v>4</v>
      </c>
      <c r="U430">
        <v>55</v>
      </c>
      <c r="V430">
        <v>59</v>
      </c>
    </row>
    <row r="431" spans="1:22" x14ac:dyDescent="0.3">
      <c r="A431">
        <v>430</v>
      </c>
      <c r="B431" s="2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>
        <v>0.30299999999999999</v>
      </c>
      <c r="R431">
        <v>0.52</v>
      </c>
      <c r="S431">
        <v>0.16420000000000001</v>
      </c>
      <c r="T431">
        <v>6</v>
      </c>
      <c r="U431">
        <v>53</v>
      </c>
      <c r="V431">
        <v>59</v>
      </c>
    </row>
    <row r="432" spans="1:22" x14ac:dyDescent="0.3">
      <c r="A432">
        <v>431</v>
      </c>
      <c r="B432" s="2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  <c r="Q432">
        <v>0.2727</v>
      </c>
      <c r="R432">
        <v>0.52</v>
      </c>
      <c r="S432">
        <v>0.4627</v>
      </c>
      <c r="T432">
        <v>1</v>
      </c>
      <c r="U432">
        <v>27</v>
      </c>
      <c r="V432">
        <v>28</v>
      </c>
    </row>
    <row r="433" spans="1:22" x14ac:dyDescent="0.3">
      <c r="A433">
        <v>432</v>
      </c>
      <c r="B433" s="2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>
        <v>0.2273</v>
      </c>
      <c r="R433">
        <v>0.56000000000000005</v>
      </c>
      <c r="S433">
        <v>0.3881</v>
      </c>
      <c r="T433">
        <v>5</v>
      </c>
      <c r="U433">
        <v>8</v>
      </c>
      <c r="V433">
        <v>13</v>
      </c>
    </row>
    <row r="434" spans="1:22" x14ac:dyDescent="0.3">
      <c r="A434">
        <v>433</v>
      </c>
      <c r="B434" s="2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>
        <v>0.2727</v>
      </c>
      <c r="R434">
        <v>0.56000000000000005</v>
      </c>
      <c r="S434">
        <v>0</v>
      </c>
      <c r="T434">
        <v>2</v>
      </c>
      <c r="U434">
        <v>3</v>
      </c>
      <c r="V434">
        <v>5</v>
      </c>
    </row>
    <row r="435" spans="1:22" x14ac:dyDescent="0.3">
      <c r="A435">
        <v>434</v>
      </c>
      <c r="B435" s="2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>
        <v>0.2727</v>
      </c>
      <c r="R435">
        <v>0.56000000000000005</v>
      </c>
      <c r="S435">
        <v>0</v>
      </c>
      <c r="T435">
        <v>0</v>
      </c>
      <c r="U435">
        <v>2</v>
      </c>
      <c r="V435">
        <v>2</v>
      </c>
    </row>
    <row r="436" spans="1:22" x14ac:dyDescent="0.3">
      <c r="A436">
        <v>435</v>
      </c>
      <c r="B436" s="2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>
        <v>0.2576</v>
      </c>
      <c r="R436">
        <v>0.56000000000000005</v>
      </c>
      <c r="S436">
        <v>0.16420000000000001</v>
      </c>
      <c r="T436">
        <v>0</v>
      </c>
      <c r="U436">
        <v>1</v>
      </c>
      <c r="V436">
        <v>1</v>
      </c>
    </row>
    <row r="437" spans="1:22" x14ac:dyDescent="0.3">
      <c r="A437">
        <v>436</v>
      </c>
      <c r="B437" s="2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>
        <v>0.2576</v>
      </c>
      <c r="R437">
        <v>0.56000000000000005</v>
      </c>
      <c r="S437">
        <v>0.16420000000000001</v>
      </c>
      <c r="T437">
        <v>0</v>
      </c>
      <c r="U437">
        <v>1</v>
      </c>
      <c r="V437">
        <v>1</v>
      </c>
    </row>
    <row r="438" spans="1:22" x14ac:dyDescent="0.3">
      <c r="A438">
        <v>437</v>
      </c>
      <c r="B438" s="2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>
        <v>0.2273</v>
      </c>
      <c r="R438">
        <v>0.6</v>
      </c>
      <c r="S438">
        <v>0.22389999999999999</v>
      </c>
      <c r="T438">
        <v>0</v>
      </c>
      <c r="U438">
        <v>6</v>
      </c>
      <c r="V438">
        <v>6</v>
      </c>
    </row>
    <row r="439" spans="1:22" x14ac:dyDescent="0.3">
      <c r="A439">
        <v>438</v>
      </c>
      <c r="B439" s="2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>
        <v>0.21210000000000001</v>
      </c>
      <c r="R439">
        <v>0.6</v>
      </c>
      <c r="S439">
        <v>0.22389999999999999</v>
      </c>
      <c r="T439">
        <v>0</v>
      </c>
      <c r="U439">
        <v>35</v>
      </c>
      <c r="V439">
        <v>35</v>
      </c>
    </row>
    <row r="440" spans="1:22" x14ac:dyDescent="0.3">
      <c r="A440">
        <v>439</v>
      </c>
      <c r="B440" s="2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>
        <v>0.21210000000000001</v>
      </c>
      <c r="R440">
        <v>0.55000000000000004</v>
      </c>
      <c r="S440">
        <v>0.22389999999999999</v>
      </c>
      <c r="T440">
        <v>1</v>
      </c>
      <c r="U440">
        <v>100</v>
      </c>
      <c r="V440">
        <v>101</v>
      </c>
    </row>
    <row r="441" spans="1:22" x14ac:dyDescent="0.3">
      <c r="A441">
        <v>440</v>
      </c>
      <c r="B441" s="2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>
        <v>0.21210000000000001</v>
      </c>
      <c r="R441">
        <v>0.55000000000000004</v>
      </c>
      <c r="S441">
        <v>0.28360000000000002</v>
      </c>
      <c r="T441">
        <v>2</v>
      </c>
      <c r="U441">
        <v>247</v>
      </c>
      <c r="V441">
        <v>249</v>
      </c>
    </row>
    <row r="442" spans="1:22" x14ac:dyDescent="0.3">
      <c r="A442">
        <v>441</v>
      </c>
      <c r="B442" s="2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>
        <v>0.2273</v>
      </c>
      <c r="R442">
        <v>0.52</v>
      </c>
      <c r="S442">
        <v>0.22389999999999999</v>
      </c>
      <c r="T442">
        <v>3</v>
      </c>
      <c r="U442">
        <v>140</v>
      </c>
      <c r="V442">
        <v>143</v>
      </c>
    </row>
    <row r="443" spans="1:22" x14ac:dyDescent="0.3">
      <c r="A443">
        <v>442</v>
      </c>
      <c r="B443" s="2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>
        <v>0.2273</v>
      </c>
      <c r="R443">
        <v>0.48</v>
      </c>
      <c r="S443">
        <v>0.29849999999999999</v>
      </c>
      <c r="T443">
        <v>1</v>
      </c>
      <c r="U443">
        <v>56</v>
      </c>
      <c r="V443">
        <v>57</v>
      </c>
    </row>
    <row r="444" spans="1:22" x14ac:dyDescent="0.3">
      <c r="A444">
        <v>443</v>
      </c>
      <c r="B444" s="2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>
        <v>0.2727</v>
      </c>
      <c r="R444">
        <v>0.45</v>
      </c>
      <c r="S444">
        <v>0.16420000000000001</v>
      </c>
      <c r="T444">
        <v>5</v>
      </c>
      <c r="U444">
        <v>63</v>
      </c>
      <c r="V444">
        <v>68</v>
      </c>
    </row>
    <row r="445" spans="1:22" x14ac:dyDescent="0.3">
      <c r="A445">
        <v>444</v>
      </c>
      <c r="B445" s="2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>
        <v>0.33329999999999999</v>
      </c>
      <c r="R445">
        <v>0.42</v>
      </c>
      <c r="S445">
        <v>0</v>
      </c>
      <c r="T445">
        <v>7</v>
      </c>
      <c r="U445">
        <v>77</v>
      </c>
      <c r="V445">
        <v>84</v>
      </c>
    </row>
    <row r="446" spans="1:22" x14ac:dyDescent="0.3">
      <c r="A446">
        <v>445</v>
      </c>
      <c r="B446" s="2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>
        <v>0.28789999999999999</v>
      </c>
      <c r="R446">
        <v>0.45</v>
      </c>
      <c r="S446">
        <v>0.1045</v>
      </c>
      <c r="T446">
        <v>12</v>
      </c>
      <c r="U446">
        <v>86</v>
      </c>
      <c r="V446">
        <v>98</v>
      </c>
    </row>
    <row r="447" spans="1:22" x14ac:dyDescent="0.3">
      <c r="A447">
        <v>446</v>
      </c>
      <c r="B447" s="2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  <c r="Q447">
        <v>0.30299999999999999</v>
      </c>
      <c r="R447">
        <v>0.45</v>
      </c>
      <c r="S447">
        <v>0.1343</v>
      </c>
      <c r="T447">
        <v>6</v>
      </c>
      <c r="U447">
        <v>75</v>
      </c>
      <c r="V447">
        <v>81</v>
      </c>
    </row>
    <row r="448" spans="1:22" x14ac:dyDescent="0.3">
      <c r="A448">
        <v>447</v>
      </c>
      <c r="B448" s="2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>
        <v>0.31819999999999998</v>
      </c>
      <c r="R448">
        <v>0.45</v>
      </c>
      <c r="S448">
        <v>0.19400000000000001</v>
      </c>
      <c r="T448">
        <v>8</v>
      </c>
      <c r="U448">
        <v>62</v>
      </c>
      <c r="V448">
        <v>70</v>
      </c>
    </row>
    <row r="449" spans="1:22" x14ac:dyDescent="0.3">
      <c r="A449">
        <v>448</v>
      </c>
      <c r="B449" s="2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  <c r="Q449">
        <v>0.30299999999999999</v>
      </c>
      <c r="R449">
        <v>0.49</v>
      </c>
      <c r="S449">
        <v>0.1343</v>
      </c>
      <c r="T449">
        <v>8</v>
      </c>
      <c r="U449">
        <v>83</v>
      </c>
      <c r="V449">
        <v>91</v>
      </c>
    </row>
    <row r="450" spans="1:22" x14ac:dyDescent="0.3">
      <c r="A450">
        <v>449</v>
      </c>
      <c r="B450" s="2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>
        <v>0.31819999999999998</v>
      </c>
      <c r="R450">
        <v>0.49</v>
      </c>
      <c r="S450">
        <v>0.1045</v>
      </c>
      <c r="T450">
        <v>8</v>
      </c>
      <c r="U450">
        <v>207</v>
      </c>
      <c r="V450">
        <v>215</v>
      </c>
    </row>
    <row r="451" spans="1:22" x14ac:dyDescent="0.3">
      <c r="A451">
        <v>450</v>
      </c>
      <c r="B451" s="2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>
        <v>0.2576</v>
      </c>
      <c r="R451">
        <v>0.56000000000000005</v>
      </c>
      <c r="S451">
        <v>0.19400000000000001</v>
      </c>
      <c r="T451">
        <v>1</v>
      </c>
      <c r="U451">
        <v>184</v>
      </c>
      <c r="V451">
        <v>185</v>
      </c>
    </row>
    <row r="452" spans="1:22" x14ac:dyDescent="0.3">
      <c r="A452">
        <v>451</v>
      </c>
      <c r="B452" s="2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>
        <v>0.2273</v>
      </c>
      <c r="R452">
        <v>0.56000000000000005</v>
      </c>
      <c r="S452">
        <v>0.32840000000000003</v>
      </c>
      <c r="T452">
        <v>6</v>
      </c>
      <c r="U452">
        <v>146</v>
      </c>
      <c r="V452">
        <v>152</v>
      </c>
    </row>
    <row r="453" spans="1:22" x14ac:dyDescent="0.3">
      <c r="A453">
        <v>452</v>
      </c>
      <c r="B453" s="2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>
        <v>0.2424</v>
      </c>
      <c r="R453">
        <v>0.6</v>
      </c>
      <c r="S453">
        <v>0.28360000000000002</v>
      </c>
      <c r="T453">
        <v>2</v>
      </c>
      <c r="U453">
        <v>124</v>
      </c>
      <c r="V453">
        <v>126</v>
      </c>
    </row>
    <row r="454" spans="1:22" x14ac:dyDescent="0.3">
      <c r="A454">
        <v>453</v>
      </c>
      <c r="B454" s="2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>
        <v>0.2273</v>
      </c>
      <c r="R454">
        <v>0.6</v>
      </c>
      <c r="S454">
        <v>0.25369999999999998</v>
      </c>
      <c r="T454">
        <v>3</v>
      </c>
      <c r="U454">
        <v>54</v>
      </c>
      <c r="V454">
        <v>57</v>
      </c>
    </row>
    <row r="455" spans="1:22" x14ac:dyDescent="0.3">
      <c r="A455">
        <v>454</v>
      </c>
      <c r="B455" s="2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>
        <v>0.21210000000000001</v>
      </c>
      <c r="R455">
        <v>0.65</v>
      </c>
      <c r="S455">
        <v>0.28360000000000002</v>
      </c>
      <c r="T455">
        <v>0</v>
      </c>
      <c r="U455">
        <v>56</v>
      </c>
      <c r="V455">
        <v>56</v>
      </c>
    </row>
    <row r="456" spans="1:22" x14ac:dyDescent="0.3">
      <c r="A456">
        <v>455</v>
      </c>
      <c r="B456" s="2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>
        <v>0.21210000000000001</v>
      </c>
      <c r="R456">
        <v>0.65</v>
      </c>
      <c r="S456">
        <v>0.32840000000000003</v>
      </c>
      <c r="T456">
        <v>3</v>
      </c>
      <c r="U456">
        <v>28</v>
      </c>
      <c r="V456">
        <v>31</v>
      </c>
    </row>
    <row r="457" spans="1:22" x14ac:dyDescent="0.3">
      <c r="A457">
        <v>456</v>
      </c>
      <c r="B457" s="2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>
        <v>0.2273</v>
      </c>
      <c r="R457">
        <v>0.7</v>
      </c>
      <c r="S457">
        <v>0.25369999999999998</v>
      </c>
      <c r="T457">
        <v>1</v>
      </c>
      <c r="U457">
        <v>20</v>
      </c>
      <c r="V457">
        <v>21</v>
      </c>
    </row>
    <row r="458" spans="1:22" x14ac:dyDescent="0.3">
      <c r="A458">
        <v>457</v>
      </c>
      <c r="B458" s="2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>
        <v>0.2273</v>
      </c>
      <c r="R458">
        <v>0.7</v>
      </c>
      <c r="S458">
        <v>0.25369999999999998</v>
      </c>
      <c r="T458">
        <v>0</v>
      </c>
      <c r="U458">
        <v>6</v>
      </c>
      <c r="V458">
        <v>6</v>
      </c>
    </row>
    <row r="459" spans="1:22" x14ac:dyDescent="0.3">
      <c r="A459">
        <v>458</v>
      </c>
      <c r="B459" s="2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>
        <v>0.2424</v>
      </c>
      <c r="R459">
        <v>0.75</v>
      </c>
      <c r="S459">
        <v>0.16420000000000001</v>
      </c>
      <c r="T459">
        <v>0</v>
      </c>
      <c r="U459">
        <v>2</v>
      </c>
      <c r="V459">
        <v>2</v>
      </c>
    </row>
    <row r="460" spans="1:22" x14ac:dyDescent="0.3">
      <c r="A460">
        <v>459</v>
      </c>
      <c r="B460" s="2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>
        <v>0.21210000000000001</v>
      </c>
      <c r="R460">
        <v>0.8</v>
      </c>
      <c r="S460">
        <v>0.29849999999999999</v>
      </c>
      <c r="T460">
        <v>0</v>
      </c>
      <c r="U460">
        <v>1</v>
      </c>
      <c r="V460">
        <v>1</v>
      </c>
    </row>
    <row r="461" spans="1:22" x14ac:dyDescent="0.3">
      <c r="A461">
        <v>460</v>
      </c>
      <c r="B461" s="2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>
        <v>0.2576</v>
      </c>
      <c r="R461">
        <v>0.87</v>
      </c>
      <c r="S461">
        <v>8.9599999999999999E-2</v>
      </c>
      <c r="T461">
        <v>0</v>
      </c>
      <c r="U461">
        <v>1</v>
      </c>
      <c r="V461">
        <v>1</v>
      </c>
    </row>
    <row r="462" spans="1:22" x14ac:dyDescent="0.3">
      <c r="A462">
        <v>461</v>
      </c>
      <c r="B462" s="2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>
        <v>0.19700000000000001</v>
      </c>
      <c r="R462">
        <v>0.6</v>
      </c>
      <c r="S462">
        <v>0.41789999999999999</v>
      </c>
      <c r="T462">
        <v>1</v>
      </c>
      <c r="U462">
        <v>4</v>
      </c>
      <c r="V462">
        <v>5</v>
      </c>
    </row>
    <row r="463" spans="1:22" x14ac:dyDescent="0.3">
      <c r="A463">
        <v>462</v>
      </c>
      <c r="B463" s="2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>
        <v>0.21210000000000001</v>
      </c>
      <c r="R463">
        <v>0.55000000000000004</v>
      </c>
      <c r="S463">
        <v>0.25369999999999998</v>
      </c>
      <c r="T463">
        <v>0</v>
      </c>
      <c r="U463">
        <v>27</v>
      </c>
      <c r="V463">
        <v>27</v>
      </c>
    </row>
    <row r="464" spans="1:22" x14ac:dyDescent="0.3">
      <c r="A464">
        <v>463</v>
      </c>
      <c r="B464" s="2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>
        <v>0.18179999999999999</v>
      </c>
      <c r="R464">
        <v>0.51</v>
      </c>
      <c r="S464">
        <v>0.28360000000000002</v>
      </c>
      <c r="T464">
        <v>2</v>
      </c>
      <c r="U464">
        <v>66</v>
      </c>
      <c r="V464">
        <v>68</v>
      </c>
    </row>
    <row r="465" spans="1:22" x14ac:dyDescent="0.3">
      <c r="A465">
        <v>464</v>
      </c>
      <c r="B465" s="2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>
        <v>0.18179999999999999</v>
      </c>
      <c r="R465">
        <v>0.47</v>
      </c>
      <c r="S465">
        <v>0.32840000000000003</v>
      </c>
      <c r="T465">
        <v>7</v>
      </c>
      <c r="U465">
        <v>210</v>
      </c>
      <c r="V465">
        <v>217</v>
      </c>
    </row>
    <row r="466" spans="1:22" x14ac:dyDescent="0.3">
      <c r="A466">
        <v>465</v>
      </c>
      <c r="B466" s="2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>
        <v>0.18179999999999999</v>
      </c>
      <c r="R466">
        <v>0.51</v>
      </c>
      <c r="S466">
        <v>0.35820000000000002</v>
      </c>
      <c r="T466">
        <v>7</v>
      </c>
      <c r="U466">
        <v>159</v>
      </c>
      <c r="V466">
        <v>166</v>
      </c>
    </row>
    <row r="467" spans="1:22" x14ac:dyDescent="0.3">
      <c r="A467">
        <v>466</v>
      </c>
      <c r="B467" s="2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>
        <v>0.16669999999999999</v>
      </c>
      <c r="R467">
        <v>0.47</v>
      </c>
      <c r="S467">
        <v>0.4627</v>
      </c>
      <c r="T467">
        <v>6</v>
      </c>
      <c r="U467">
        <v>57</v>
      </c>
      <c r="V467">
        <v>63</v>
      </c>
    </row>
    <row r="468" spans="1:22" x14ac:dyDescent="0.3">
      <c r="A468">
        <v>467</v>
      </c>
      <c r="B468" s="2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>
        <v>0.18179999999999999</v>
      </c>
      <c r="R468">
        <v>0.41</v>
      </c>
      <c r="S468">
        <v>0.4627</v>
      </c>
      <c r="T468">
        <v>6</v>
      </c>
      <c r="U468">
        <v>53</v>
      </c>
      <c r="V468">
        <v>59</v>
      </c>
    </row>
    <row r="469" spans="1:22" x14ac:dyDescent="0.3">
      <c r="A469">
        <v>468</v>
      </c>
      <c r="B469" s="2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>
        <v>0.18179999999999999</v>
      </c>
      <c r="R469">
        <v>0.27</v>
      </c>
      <c r="S469">
        <v>0.58209999999999995</v>
      </c>
      <c r="T469">
        <v>11</v>
      </c>
      <c r="U469">
        <v>67</v>
      </c>
      <c r="V469">
        <v>78</v>
      </c>
    </row>
    <row r="470" spans="1:22" x14ac:dyDescent="0.3">
      <c r="A470">
        <v>469</v>
      </c>
      <c r="B470" s="2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>
        <v>0.1515</v>
      </c>
      <c r="R470">
        <v>0.21</v>
      </c>
      <c r="S470">
        <v>0.58209999999999995</v>
      </c>
      <c r="T470">
        <v>8</v>
      </c>
      <c r="U470">
        <v>65</v>
      </c>
      <c r="V470">
        <v>73</v>
      </c>
    </row>
    <row r="471" spans="1:22" x14ac:dyDescent="0.3">
      <c r="A471">
        <v>470</v>
      </c>
      <c r="B471" s="2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>
        <v>0.1515</v>
      </c>
      <c r="R471">
        <v>0.25</v>
      </c>
      <c r="S471">
        <v>0.52239999999999998</v>
      </c>
      <c r="T471">
        <v>6</v>
      </c>
      <c r="U471">
        <v>56</v>
      </c>
      <c r="V471">
        <v>62</v>
      </c>
    </row>
    <row r="472" spans="1:22" x14ac:dyDescent="0.3">
      <c r="A472">
        <v>471</v>
      </c>
      <c r="B472" s="2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>
        <v>0.1212</v>
      </c>
      <c r="R472">
        <v>0.26</v>
      </c>
      <c r="S472">
        <v>0.44779999999999998</v>
      </c>
      <c r="T472">
        <v>4</v>
      </c>
      <c r="U472">
        <v>61</v>
      </c>
      <c r="V472">
        <v>65</v>
      </c>
    </row>
    <row r="473" spans="1:22" x14ac:dyDescent="0.3">
      <c r="A473">
        <v>472</v>
      </c>
      <c r="B473" s="2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>
        <v>0.13639999999999999</v>
      </c>
      <c r="R473">
        <v>0.26</v>
      </c>
      <c r="S473">
        <v>0.35820000000000002</v>
      </c>
      <c r="T473">
        <v>0</v>
      </c>
      <c r="U473">
        <v>97</v>
      </c>
      <c r="V473">
        <v>97</v>
      </c>
    </row>
    <row r="474" spans="1:22" x14ac:dyDescent="0.3">
      <c r="A474">
        <v>473</v>
      </c>
      <c r="B474" s="2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>
        <v>0.1212</v>
      </c>
      <c r="R474">
        <v>0.28000000000000003</v>
      </c>
      <c r="S474">
        <v>0.35820000000000002</v>
      </c>
      <c r="T474">
        <v>10</v>
      </c>
      <c r="U474">
        <v>151</v>
      </c>
      <c r="V474">
        <v>161</v>
      </c>
    </row>
    <row r="475" spans="1:22" x14ac:dyDescent="0.3">
      <c r="A475">
        <v>474</v>
      </c>
      <c r="B475" s="2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>
        <v>0.1212</v>
      </c>
      <c r="R475">
        <v>0.3</v>
      </c>
      <c r="S475">
        <v>0.25369999999999998</v>
      </c>
      <c r="T475">
        <v>1</v>
      </c>
      <c r="U475">
        <v>119</v>
      </c>
      <c r="V475">
        <v>120</v>
      </c>
    </row>
    <row r="476" spans="1:22" x14ac:dyDescent="0.3">
      <c r="A476">
        <v>475</v>
      </c>
      <c r="B476" s="2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>
        <v>0.1061</v>
      </c>
      <c r="R476">
        <v>0.3</v>
      </c>
      <c r="S476">
        <v>0.32840000000000003</v>
      </c>
      <c r="T476">
        <v>3</v>
      </c>
      <c r="U476">
        <v>93</v>
      </c>
      <c r="V476">
        <v>96</v>
      </c>
    </row>
    <row r="477" spans="1:22" x14ac:dyDescent="0.3">
      <c r="A477">
        <v>476</v>
      </c>
      <c r="B477" s="2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>
        <v>7.5800000000000006E-2</v>
      </c>
      <c r="R477">
        <v>0.33</v>
      </c>
      <c r="S477">
        <v>0.41789999999999999</v>
      </c>
      <c r="T477">
        <v>1</v>
      </c>
      <c r="U477">
        <v>52</v>
      </c>
      <c r="V477">
        <v>53</v>
      </c>
    </row>
    <row r="478" spans="1:22" x14ac:dyDescent="0.3">
      <c r="A478">
        <v>477</v>
      </c>
      <c r="B478" s="2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>
        <v>7.5800000000000006E-2</v>
      </c>
      <c r="R478">
        <v>0.38</v>
      </c>
      <c r="S478">
        <v>0.28360000000000002</v>
      </c>
      <c r="T478">
        <v>0</v>
      </c>
      <c r="U478">
        <v>41</v>
      </c>
      <c r="V478">
        <v>41</v>
      </c>
    </row>
    <row r="479" spans="1:22" x14ac:dyDescent="0.3">
      <c r="A479">
        <v>478</v>
      </c>
      <c r="B479" s="2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>
        <v>3.0300000000000001E-2</v>
      </c>
      <c r="R479">
        <v>0.41</v>
      </c>
      <c r="S479">
        <v>0.3881</v>
      </c>
      <c r="T479">
        <v>1</v>
      </c>
      <c r="U479">
        <v>33</v>
      </c>
      <c r="V479">
        <v>34</v>
      </c>
    </row>
    <row r="480" spans="1:22" x14ac:dyDescent="0.3">
      <c r="A480">
        <v>479</v>
      </c>
      <c r="B480" s="2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>
        <v>4.5499999999999999E-2</v>
      </c>
      <c r="R480">
        <v>0.38</v>
      </c>
      <c r="S480">
        <v>0.32840000000000003</v>
      </c>
      <c r="T480">
        <v>0</v>
      </c>
      <c r="U480">
        <v>27</v>
      </c>
      <c r="V480">
        <v>27</v>
      </c>
    </row>
    <row r="481" spans="1:22" x14ac:dyDescent="0.3">
      <c r="A481">
        <v>480</v>
      </c>
      <c r="B481" s="2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>
        <v>3.0300000000000001E-2</v>
      </c>
      <c r="R481">
        <v>0.45</v>
      </c>
      <c r="S481">
        <v>0.25369999999999998</v>
      </c>
      <c r="T481">
        <v>0</v>
      </c>
      <c r="U481">
        <v>13</v>
      </c>
      <c r="V481">
        <v>13</v>
      </c>
    </row>
    <row r="482" spans="1:22" x14ac:dyDescent="0.3">
      <c r="A482">
        <v>481</v>
      </c>
      <c r="B482" s="2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  <c r="Q482">
        <v>0</v>
      </c>
      <c r="R482">
        <v>0.41</v>
      </c>
      <c r="S482">
        <v>0.3881</v>
      </c>
      <c r="T482">
        <v>3</v>
      </c>
      <c r="U482">
        <v>9</v>
      </c>
      <c r="V482">
        <v>12</v>
      </c>
    </row>
    <row r="483" spans="1:22" x14ac:dyDescent="0.3">
      <c r="A483">
        <v>482</v>
      </c>
      <c r="B483" s="2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>
        <v>3.0300000000000001E-2</v>
      </c>
      <c r="R483">
        <v>0.41</v>
      </c>
      <c r="S483">
        <v>0.25369999999999998</v>
      </c>
      <c r="T483">
        <v>0</v>
      </c>
      <c r="U483">
        <v>11</v>
      </c>
      <c r="V483">
        <v>11</v>
      </c>
    </row>
    <row r="484" spans="1:22" x14ac:dyDescent="0.3">
      <c r="A484">
        <v>483</v>
      </c>
      <c r="B484" s="2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>
        <v>3.0300000000000001E-2</v>
      </c>
      <c r="R484">
        <v>0.41</v>
      </c>
      <c r="S484">
        <v>0.28360000000000002</v>
      </c>
      <c r="T484">
        <v>1</v>
      </c>
      <c r="U484">
        <v>6</v>
      </c>
      <c r="V484">
        <v>7</v>
      </c>
    </row>
    <row r="485" spans="1:22" x14ac:dyDescent="0.3">
      <c r="A485">
        <v>484</v>
      </c>
      <c r="B485" s="2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>
        <v>1.52E-2</v>
      </c>
      <c r="R485">
        <v>0.48</v>
      </c>
      <c r="S485">
        <v>0.29849999999999999</v>
      </c>
      <c r="T485">
        <v>0</v>
      </c>
      <c r="U485">
        <v>3</v>
      </c>
      <c r="V485">
        <v>3</v>
      </c>
    </row>
    <row r="486" spans="1:22" x14ac:dyDescent="0.3">
      <c r="A486">
        <v>485</v>
      </c>
      <c r="B486" s="2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>
        <v>3.0300000000000001E-2</v>
      </c>
      <c r="R486">
        <v>0.44</v>
      </c>
      <c r="S486">
        <v>0.22389999999999999</v>
      </c>
      <c r="T486">
        <v>0</v>
      </c>
      <c r="U486">
        <v>2</v>
      </c>
      <c r="V486">
        <v>2</v>
      </c>
    </row>
    <row r="487" spans="1:22" x14ac:dyDescent="0.3">
      <c r="A487">
        <v>486</v>
      </c>
      <c r="B487" s="2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>
        <v>1.52E-2</v>
      </c>
      <c r="R487">
        <v>0.44</v>
      </c>
      <c r="S487">
        <v>0.28360000000000002</v>
      </c>
      <c r="T487">
        <v>0</v>
      </c>
      <c r="U487">
        <v>8</v>
      </c>
      <c r="V487">
        <v>8</v>
      </c>
    </row>
    <row r="488" spans="1:22" x14ac:dyDescent="0.3">
      <c r="A488">
        <v>487</v>
      </c>
      <c r="B488" s="2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>
        <v>0</v>
      </c>
      <c r="R488">
        <v>0.44</v>
      </c>
      <c r="S488">
        <v>0.32840000000000003</v>
      </c>
      <c r="T488">
        <v>1</v>
      </c>
      <c r="U488">
        <v>26</v>
      </c>
      <c r="V488">
        <v>27</v>
      </c>
    </row>
    <row r="489" spans="1:22" x14ac:dyDescent="0.3">
      <c r="A489">
        <v>488</v>
      </c>
      <c r="B489" s="2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>
        <v>3.0300000000000001E-2</v>
      </c>
      <c r="R489">
        <v>0.41</v>
      </c>
      <c r="S489">
        <v>0.25369999999999998</v>
      </c>
      <c r="T489">
        <v>3</v>
      </c>
      <c r="U489">
        <v>37</v>
      </c>
      <c r="V489">
        <v>40</v>
      </c>
    </row>
    <row r="490" spans="1:22" x14ac:dyDescent="0.3">
      <c r="A490">
        <v>489</v>
      </c>
      <c r="B490" s="2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>
        <v>6.0600000000000001E-2</v>
      </c>
      <c r="R490">
        <v>0.41</v>
      </c>
      <c r="S490">
        <v>0.16420000000000001</v>
      </c>
      <c r="T490">
        <v>3</v>
      </c>
      <c r="U490">
        <v>50</v>
      </c>
      <c r="V490">
        <v>53</v>
      </c>
    </row>
    <row r="491" spans="1:22" x14ac:dyDescent="0.3">
      <c r="A491">
        <v>490</v>
      </c>
      <c r="B491" s="2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  <c r="Q491">
        <v>7.5800000000000006E-2</v>
      </c>
      <c r="R491">
        <v>0.38</v>
      </c>
      <c r="S491">
        <v>0.1343</v>
      </c>
      <c r="T491">
        <v>4</v>
      </c>
      <c r="U491">
        <v>59</v>
      </c>
      <c r="V491">
        <v>63</v>
      </c>
    </row>
    <row r="492" spans="1:22" x14ac:dyDescent="0.3">
      <c r="A492">
        <v>491</v>
      </c>
      <c r="B492" s="2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  <c r="Q492">
        <v>0.1061</v>
      </c>
      <c r="R492">
        <v>0.38</v>
      </c>
      <c r="S492">
        <v>0.1045</v>
      </c>
      <c r="T492">
        <v>10</v>
      </c>
      <c r="U492">
        <v>60</v>
      </c>
      <c r="V492">
        <v>70</v>
      </c>
    </row>
    <row r="493" spans="1:22" x14ac:dyDescent="0.3">
      <c r="A493">
        <v>492</v>
      </c>
      <c r="B493" s="2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>
        <v>0.16669999999999999</v>
      </c>
      <c r="R493">
        <v>0.35</v>
      </c>
      <c r="S493">
        <v>0</v>
      </c>
      <c r="T493">
        <v>12</v>
      </c>
      <c r="U493">
        <v>72</v>
      </c>
      <c r="V493">
        <v>84</v>
      </c>
    </row>
    <row r="494" spans="1:22" x14ac:dyDescent="0.3">
      <c r="A494">
        <v>493</v>
      </c>
      <c r="B494" s="2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  <c r="Q494">
        <v>0.13639999999999999</v>
      </c>
      <c r="R494">
        <v>0.33</v>
      </c>
      <c r="S494">
        <v>0.1045</v>
      </c>
      <c r="T494">
        <v>11</v>
      </c>
      <c r="U494">
        <v>64</v>
      </c>
      <c r="V494">
        <v>75</v>
      </c>
    </row>
    <row r="495" spans="1:22" x14ac:dyDescent="0.3">
      <c r="A495">
        <v>494</v>
      </c>
      <c r="B495" s="2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>
        <v>0.1515</v>
      </c>
      <c r="R495">
        <v>0.28000000000000003</v>
      </c>
      <c r="S495">
        <v>0</v>
      </c>
      <c r="T495">
        <v>10</v>
      </c>
      <c r="U495">
        <v>93</v>
      </c>
      <c r="V495">
        <v>103</v>
      </c>
    </row>
    <row r="496" spans="1:22" x14ac:dyDescent="0.3">
      <c r="A496">
        <v>495</v>
      </c>
      <c r="B496" s="2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>
        <v>0.13639999999999999</v>
      </c>
      <c r="R496">
        <v>0.28000000000000003</v>
      </c>
      <c r="S496">
        <v>0.19400000000000001</v>
      </c>
      <c r="T496">
        <v>11</v>
      </c>
      <c r="U496">
        <v>72</v>
      </c>
      <c r="V496">
        <v>83</v>
      </c>
    </row>
    <row r="497" spans="1:22" x14ac:dyDescent="0.3">
      <c r="A497">
        <v>496</v>
      </c>
      <c r="B497" s="2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>
        <v>0.19700000000000001</v>
      </c>
      <c r="R497">
        <v>0.28000000000000003</v>
      </c>
      <c r="S497">
        <v>0</v>
      </c>
      <c r="T497">
        <v>8</v>
      </c>
      <c r="U497">
        <v>59</v>
      </c>
      <c r="V497">
        <v>67</v>
      </c>
    </row>
    <row r="498" spans="1:22" x14ac:dyDescent="0.3">
      <c r="A498">
        <v>497</v>
      </c>
      <c r="B498" s="2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>
        <v>9.0899999999999995E-2</v>
      </c>
      <c r="R498">
        <v>0.35</v>
      </c>
      <c r="S498">
        <v>0.19400000000000001</v>
      </c>
      <c r="T498">
        <v>0</v>
      </c>
      <c r="U498">
        <v>54</v>
      </c>
      <c r="V498">
        <v>54</v>
      </c>
    </row>
    <row r="499" spans="1:22" x14ac:dyDescent="0.3">
      <c r="A499">
        <v>498</v>
      </c>
      <c r="B499" s="2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  <c r="Q499">
        <v>0.1061</v>
      </c>
      <c r="R499">
        <v>0.35</v>
      </c>
      <c r="S499">
        <v>0.1343</v>
      </c>
      <c r="T499">
        <v>6</v>
      </c>
      <c r="U499">
        <v>53</v>
      </c>
      <c r="V499">
        <v>59</v>
      </c>
    </row>
    <row r="500" spans="1:22" x14ac:dyDescent="0.3">
      <c r="A500">
        <v>499</v>
      </c>
      <c r="B500" s="2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>
        <v>7.5800000000000006E-2</v>
      </c>
      <c r="R500">
        <v>0.45</v>
      </c>
      <c r="S500">
        <v>0.16420000000000001</v>
      </c>
      <c r="T500">
        <v>1</v>
      </c>
      <c r="U500">
        <v>44</v>
      </c>
      <c r="V500">
        <v>45</v>
      </c>
    </row>
    <row r="501" spans="1:22" x14ac:dyDescent="0.3">
      <c r="A501">
        <v>500</v>
      </c>
      <c r="B501" s="2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>
        <v>0.1061</v>
      </c>
      <c r="R501">
        <v>0.41</v>
      </c>
      <c r="S501">
        <v>8.9599999999999999E-2</v>
      </c>
      <c r="T501">
        <v>0</v>
      </c>
      <c r="U501">
        <v>39</v>
      </c>
      <c r="V501">
        <v>39</v>
      </c>
    </row>
    <row r="502" spans="1:22" x14ac:dyDescent="0.3">
      <c r="A502">
        <v>501</v>
      </c>
      <c r="B502" s="2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  <c r="Q502">
        <v>0.1515</v>
      </c>
      <c r="R502">
        <v>0.49</v>
      </c>
      <c r="S502">
        <v>0</v>
      </c>
      <c r="T502">
        <v>7</v>
      </c>
      <c r="U502">
        <v>23</v>
      </c>
      <c r="V502">
        <v>30</v>
      </c>
    </row>
    <row r="503" spans="1:22" x14ac:dyDescent="0.3">
      <c r="A503">
        <v>502</v>
      </c>
      <c r="B503" s="2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>
        <v>7.5800000000000006E-2</v>
      </c>
      <c r="R503">
        <v>0.56999999999999995</v>
      </c>
      <c r="S503">
        <v>0.1045</v>
      </c>
      <c r="T503">
        <v>2</v>
      </c>
      <c r="U503">
        <v>31</v>
      </c>
      <c r="V503">
        <v>33</v>
      </c>
    </row>
    <row r="504" spans="1:22" x14ac:dyDescent="0.3">
      <c r="A504">
        <v>503</v>
      </c>
      <c r="B504" s="2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>
        <v>7.5800000000000006E-2</v>
      </c>
      <c r="R504">
        <v>0.56999999999999995</v>
      </c>
      <c r="S504">
        <v>0.1045</v>
      </c>
      <c r="T504">
        <v>2</v>
      </c>
      <c r="U504">
        <v>20</v>
      </c>
      <c r="V504">
        <v>22</v>
      </c>
    </row>
    <row r="505" spans="1:22" x14ac:dyDescent="0.3">
      <c r="A505">
        <v>504</v>
      </c>
      <c r="B505" s="2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>
        <v>7.5800000000000006E-2</v>
      </c>
      <c r="R505">
        <v>0.56999999999999995</v>
      </c>
      <c r="S505">
        <v>0.1045</v>
      </c>
      <c r="T505">
        <v>1</v>
      </c>
      <c r="U505">
        <v>12</v>
      </c>
      <c r="V505">
        <v>13</v>
      </c>
    </row>
    <row r="506" spans="1:22" x14ac:dyDescent="0.3">
      <c r="A506">
        <v>505</v>
      </c>
      <c r="B506" s="2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>
        <v>6.0600000000000001E-2</v>
      </c>
      <c r="R506">
        <v>0.62</v>
      </c>
      <c r="S506">
        <v>0.1343</v>
      </c>
      <c r="T506">
        <v>3</v>
      </c>
      <c r="U506">
        <v>15</v>
      </c>
      <c r="V506">
        <v>18</v>
      </c>
    </row>
    <row r="507" spans="1:22" x14ac:dyDescent="0.3">
      <c r="A507">
        <v>506</v>
      </c>
      <c r="B507" s="2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  <c r="Q507">
        <v>6.0600000000000001E-2</v>
      </c>
      <c r="R507">
        <v>0.62</v>
      </c>
      <c r="S507">
        <v>0.1343</v>
      </c>
      <c r="T507">
        <v>1</v>
      </c>
      <c r="U507">
        <v>4</v>
      </c>
      <c r="V507">
        <v>5</v>
      </c>
    </row>
    <row r="508" spans="1:22" x14ac:dyDescent="0.3">
      <c r="A508">
        <v>507</v>
      </c>
      <c r="B508" s="2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>
        <v>7.5800000000000006E-2</v>
      </c>
      <c r="R508">
        <v>0.56999999999999995</v>
      </c>
      <c r="S508">
        <v>0.1045</v>
      </c>
      <c r="T508">
        <v>0</v>
      </c>
      <c r="U508">
        <v>3</v>
      </c>
      <c r="V508">
        <v>3</v>
      </c>
    </row>
    <row r="509" spans="1:22" x14ac:dyDescent="0.3">
      <c r="A509">
        <v>508</v>
      </c>
      <c r="B509" s="2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>
        <v>7.5800000000000006E-2</v>
      </c>
      <c r="R509">
        <v>0.56999999999999995</v>
      </c>
      <c r="S509">
        <v>0.1045</v>
      </c>
      <c r="T509">
        <v>0</v>
      </c>
      <c r="U509">
        <v>1</v>
      </c>
      <c r="V509">
        <v>1</v>
      </c>
    </row>
    <row r="510" spans="1:22" x14ac:dyDescent="0.3">
      <c r="A510">
        <v>509</v>
      </c>
      <c r="B510" s="2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>
        <v>0.1061</v>
      </c>
      <c r="R510">
        <v>0.57999999999999996</v>
      </c>
      <c r="S510">
        <v>0.16420000000000001</v>
      </c>
      <c r="T510">
        <v>1</v>
      </c>
      <c r="U510">
        <v>1</v>
      </c>
      <c r="V510">
        <v>2</v>
      </c>
    </row>
    <row r="511" spans="1:22" x14ac:dyDescent="0.3">
      <c r="A511">
        <v>510</v>
      </c>
      <c r="B511" s="2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>
        <v>7.5800000000000006E-2</v>
      </c>
      <c r="R511">
        <v>0.62</v>
      </c>
      <c r="S511">
        <v>0.16420000000000001</v>
      </c>
      <c r="T511">
        <v>2</v>
      </c>
      <c r="U511">
        <v>17</v>
      </c>
      <c r="V511">
        <v>19</v>
      </c>
    </row>
    <row r="512" spans="1:22" x14ac:dyDescent="0.3">
      <c r="A512">
        <v>511</v>
      </c>
      <c r="B512" s="2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>
        <v>7.5800000000000006E-2</v>
      </c>
      <c r="R512">
        <v>0.54</v>
      </c>
      <c r="S512">
        <v>0.35820000000000002</v>
      </c>
      <c r="T512">
        <v>3</v>
      </c>
      <c r="U512">
        <v>25</v>
      </c>
      <c r="V512">
        <v>28</v>
      </c>
    </row>
    <row r="513" spans="1:22" x14ac:dyDescent="0.3">
      <c r="A513">
        <v>512</v>
      </c>
      <c r="B513" s="2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  <c r="Q513">
        <v>0.1061</v>
      </c>
      <c r="R513">
        <v>0.46</v>
      </c>
      <c r="S513">
        <v>0.3881</v>
      </c>
      <c r="T513">
        <v>7</v>
      </c>
      <c r="U513">
        <v>51</v>
      </c>
      <c r="V513">
        <v>58</v>
      </c>
    </row>
    <row r="514" spans="1:22" x14ac:dyDescent="0.3">
      <c r="A514">
        <v>513</v>
      </c>
      <c r="B514" s="2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>
        <v>0.13639999999999999</v>
      </c>
      <c r="R514">
        <v>0.43</v>
      </c>
      <c r="S514">
        <v>0.22389999999999999</v>
      </c>
      <c r="T514">
        <v>22</v>
      </c>
      <c r="U514">
        <v>77</v>
      </c>
      <c r="V514">
        <v>99</v>
      </c>
    </row>
    <row r="515" spans="1:22" x14ac:dyDescent="0.3">
      <c r="A515">
        <v>514</v>
      </c>
      <c r="B515" s="2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>
        <v>0.1212</v>
      </c>
      <c r="R515">
        <v>0.37</v>
      </c>
      <c r="S515">
        <v>0.4627</v>
      </c>
      <c r="T515">
        <v>24</v>
      </c>
      <c r="U515">
        <v>92</v>
      </c>
      <c r="V515">
        <v>116</v>
      </c>
    </row>
    <row r="516" spans="1:22" x14ac:dyDescent="0.3">
      <c r="A516">
        <v>515</v>
      </c>
      <c r="B516" s="2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  <c r="Q516">
        <v>0.1061</v>
      </c>
      <c r="R516">
        <v>0.33</v>
      </c>
      <c r="S516">
        <v>0.3881</v>
      </c>
      <c r="T516">
        <v>12</v>
      </c>
      <c r="U516">
        <v>75</v>
      </c>
      <c r="V516">
        <v>87</v>
      </c>
    </row>
    <row r="517" spans="1:22" x14ac:dyDescent="0.3">
      <c r="A517">
        <v>516</v>
      </c>
      <c r="B517" s="2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>
        <v>0.13639999999999999</v>
      </c>
      <c r="R517">
        <v>0.28000000000000003</v>
      </c>
      <c r="S517">
        <v>0.35820000000000002</v>
      </c>
      <c r="T517">
        <v>17</v>
      </c>
      <c r="U517">
        <v>93</v>
      </c>
      <c r="V517">
        <v>110</v>
      </c>
    </row>
    <row r="518" spans="1:22" x14ac:dyDescent="0.3">
      <c r="A518">
        <v>517</v>
      </c>
      <c r="B518" s="2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>
        <v>0.13639999999999999</v>
      </c>
      <c r="R518">
        <v>0.28000000000000003</v>
      </c>
      <c r="S518">
        <v>0.35820000000000002</v>
      </c>
      <c r="T518">
        <v>13</v>
      </c>
      <c r="U518">
        <v>64</v>
      </c>
      <c r="V518">
        <v>77</v>
      </c>
    </row>
    <row r="519" spans="1:22" x14ac:dyDescent="0.3">
      <c r="A519">
        <v>518</v>
      </c>
      <c r="B519" s="2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>
        <v>0.13639999999999999</v>
      </c>
      <c r="R519">
        <v>0.26</v>
      </c>
      <c r="S519">
        <v>0.32840000000000003</v>
      </c>
      <c r="T519">
        <v>9</v>
      </c>
      <c r="U519">
        <v>56</v>
      </c>
      <c r="V519">
        <v>65</v>
      </c>
    </row>
    <row r="520" spans="1:22" x14ac:dyDescent="0.3">
      <c r="A520">
        <v>519</v>
      </c>
      <c r="B520" s="2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  <c r="Q520">
        <v>0.1061</v>
      </c>
      <c r="R520">
        <v>0.26</v>
      </c>
      <c r="S520">
        <v>0.3881</v>
      </c>
      <c r="T520">
        <v>5</v>
      </c>
      <c r="U520">
        <v>50</v>
      </c>
      <c r="V520">
        <v>55</v>
      </c>
    </row>
    <row r="521" spans="1:22" x14ac:dyDescent="0.3">
      <c r="A521">
        <v>520</v>
      </c>
      <c r="B521" s="2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>
        <v>0.1212</v>
      </c>
      <c r="R521">
        <v>0.3</v>
      </c>
      <c r="S521">
        <v>0.25369999999999998</v>
      </c>
      <c r="T521">
        <v>5</v>
      </c>
      <c r="U521">
        <v>44</v>
      </c>
      <c r="V521">
        <v>49</v>
      </c>
    </row>
    <row r="522" spans="1:22" x14ac:dyDescent="0.3">
      <c r="A522">
        <v>521</v>
      </c>
      <c r="B522" s="2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>
        <v>0.1212</v>
      </c>
      <c r="R522">
        <v>0.3</v>
      </c>
      <c r="S522">
        <v>0.28360000000000002</v>
      </c>
      <c r="T522">
        <v>5</v>
      </c>
      <c r="U522">
        <v>45</v>
      </c>
      <c r="V522">
        <v>50</v>
      </c>
    </row>
    <row r="523" spans="1:22" x14ac:dyDescent="0.3">
      <c r="A523">
        <v>522</v>
      </c>
      <c r="B523" s="2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>
        <v>0.1061</v>
      </c>
      <c r="R523">
        <v>0.36</v>
      </c>
      <c r="S523">
        <v>0.25369999999999998</v>
      </c>
      <c r="T523">
        <v>4</v>
      </c>
      <c r="U523">
        <v>31</v>
      </c>
      <c r="V523">
        <v>35</v>
      </c>
    </row>
    <row r="524" spans="1:22" x14ac:dyDescent="0.3">
      <c r="A524">
        <v>523</v>
      </c>
      <c r="B524" s="2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>
        <v>0.1061</v>
      </c>
      <c r="R524">
        <v>0.36</v>
      </c>
      <c r="S524">
        <v>0.19400000000000001</v>
      </c>
      <c r="T524">
        <v>5</v>
      </c>
      <c r="U524">
        <v>20</v>
      </c>
      <c r="V524">
        <v>25</v>
      </c>
    </row>
    <row r="525" spans="1:22" x14ac:dyDescent="0.3">
      <c r="A525">
        <v>524</v>
      </c>
      <c r="B525" s="2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>
        <v>9.0899999999999995E-2</v>
      </c>
      <c r="R525">
        <v>0.38</v>
      </c>
      <c r="S525">
        <v>0.19400000000000001</v>
      </c>
      <c r="T525">
        <v>5</v>
      </c>
      <c r="U525">
        <v>23</v>
      </c>
      <c r="V525">
        <v>28</v>
      </c>
    </row>
    <row r="526" spans="1:22" x14ac:dyDescent="0.3">
      <c r="A526">
        <v>525</v>
      </c>
      <c r="B526" s="2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>
        <v>6.0600000000000001E-2</v>
      </c>
      <c r="R526">
        <v>0.41</v>
      </c>
      <c r="S526">
        <v>0.22389999999999999</v>
      </c>
      <c r="T526">
        <v>4</v>
      </c>
      <c r="U526">
        <v>17</v>
      </c>
      <c r="V526">
        <v>21</v>
      </c>
    </row>
    <row r="527" spans="1:22" x14ac:dyDescent="0.3">
      <c r="A527">
        <v>526</v>
      </c>
      <c r="B527" s="2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>
        <v>6.0600000000000001E-2</v>
      </c>
      <c r="R527">
        <v>0.41</v>
      </c>
      <c r="S527">
        <v>0.19400000000000001</v>
      </c>
      <c r="T527">
        <v>0</v>
      </c>
      <c r="U527">
        <v>7</v>
      </c>
      <c r="V527">
        <v>7</v>
      </c>
    </row>
    <row r="528" spans="1:22" x14ac:dyDescent="0.3">
      <c r="A528">
        <v>527</v>
      </c>
      <c r="B528" s="2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>
        <v>4.5499999999999999E-2</v>
      </c>
      <c r="R528">
        <v>0.45</v>
      </c>
      <c r="S528">
        <v>0.19400000000000001</v>
      </c>
      <c r="T528">
        <v>0</v>
      </c>
      <c r="U528">
        <v>1</v>
      </c>
      <c r="V528">
        <v>1</v>
      </c>
    </row>
    <row r="529" spans="1:22" x14ac:dyDescent="0.3">
      <c r="A529">
        <v>528</v>
      </c>
      <c r="B529" s="2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>
        <v>3.0300000000000001E-2</v>
      </c>
      <c r="R529">
        <v>0.45</v>
      </c>
      <c r="S529">
        <v>0.25369999999999998</v>
      </c>
      <c r="T529">
        <v>0</v>
      </c>
      <c r="U529">
        <v>1</v>
      </c>
      <c r="V529">
        <v>1</v>
      </c>
    </row>
    <row r="530" spans="1:22" x14ac:dyDescent="0.3">
      <c r="A530">
        <v>529</v>
      </c>
      <c r="B530" s="2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>
        <v>6.0600000000000001E-2</v>
      </c>
      <c r="R530">
        <v>0.48</v>
      </c>
      <c r="S530">
        <v>0.1343</v>
      </c>
      <c r="T530">
        <v>0</v>
      </c>
      <c r="U530">
        <v>1</v>
      </c>
      <c r="V530">
        <v>1</v>
      </c>
    </row>
    <row r="531" spans="1:22" x14ac:dyDescent="0.3">
      <c r="A531">
        <v>530</v>
      </c>
      <c r="B531" s="2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  <c r="Q531">
        <v>6.0600000000000001E-2</v>
      </c>
      <c r="R531">
        <v>0.48</v>
      </c>
      <c r="S531">
        <v>0.1343</v>
      </c>
      <c r="T531">
        <v>0</v>
      </c>
      <c r="U531">
        <v>5</v>
      </c>
      <c r="V531">
        <v>5</v>
      </c>
    </row>
    <row r="532" spans="1:22" x14ac:dyDescent="0.3">
      <c r="A532">
        <v>531</v>
      </c>
      <c r="B532" s="2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>
        <v>7.5800000000000006E-2</v>
      </c>
      <c r="R532">
        <v>0.48</v>
      </c>
      <c r="S532">
        <v>8.9599999999999999E-2</v>
      </c>
      <c r="T532">
        <v>0</v>
      </c>
      <c r="U532">
        <v>15</v>
      </c>
      <c r="V532">
        <v>15</v>
      </c>
    </row>
    <row r="533" spans="1:22" x14ac:dyDescent="0.3">
      <c r="A533">
        <v>532</v>
      </c>
      <c r="B533" s="2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  <c r="Q533">
        <v>0.1212</v>
      </c>
      <c r="R533">
        <v>0.48</v>
      </c>
      <c r="S533">
        <v>0</v>
      </c>
      <c r="T533">
        <v>5</v>
      </c>
      <c r="U533">
        <v>79</v>
      </c>
      <c r="V533">
        <v>84</v>
      </c>
    </row>
    <row r="534" spans="1:22" x14ac:dyDescent="0.3">
      <c r="A534">
        <v>533</v>
      </c>
      <c r="B534" s="2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  <c r="Q534">
        <v>0.13639999999999999</v>
      </c>
      <c r="R534">
        <v>0.49</v>
      </c>
      <c r="S534">
        <v>0</v>
      </c>
      <c r="T534">
        <v>6</v>
      </c>
      <c r="U534">
        <v>171</v>
      </c>
      <c r="V534">
        <v>177</v>
      </c>
    </row>
    <row r="535" spans="1:22" x14ac:dyDescent="0.3">
      <c r="A535">
        <v>534</v>
      </c>
      <c r="B535" s="2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  <c r="Q535">
        <v>0.1515</v>
      </c>
      <c r="R535">
        <v>0.41</v>
      </c>
      <c r="S535">
        <v>0</v>
      </c>
      <c r="T535">
        <v>4</v>
      </c>
      <c r="U535">
        <v>98</v>
      </c>
      <c r="V535">
        <v>102</v>
      </c>
    </row>
    <row r="536" spans="1:22" x14ac:dyDescent="0.3">
      <c r="A536">
        <v>535</v>
      </c>
      <c r="B536" s="2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  <c r="Q536">
        <v>0.13639999999999999</v>
      </c>
      <c r="R536">
        <v>0.42</v>
      </c>
      <c r="S536">
        <v>0</v>
      </c>
      <c r="T536">
        <v>6</v>
      </c>
      <c r="U536">
        <v>34</v>
      </c>
      <c r="V536">
        <v>40</v>
      </c>
    </row>
    <row r="537" spans="1:22" x14ac:dyDescent="0.3">
      <c r="A537">
        <v>536</v>
      </c>
      <c r="B537" s="2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  <c r="Q537">
        <v>0.1212</v>
      </c>
      <c r="R537">
        <v>0.46</v>
      </c>
      <c r="S537">
        <v>0.1343</v>
      </c>
      <c r="T537">
        <v>3</v>
      </c>
      <c r="U537">
        <v>43</v>
      </c>
      <c r="V537">
        <v>46</v>
      </c>
    </row>
    <row r="538" spans="1:22" x14ac:dyDescent="0.3">
      <c r="A538">
        <v>537</v>
      </c>
      <c r="B538" s="2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>
        <v>0.13639999999999999</v>
      </c>
      <c r="R538">
        <v>0.42</v>
      </c>
      <c r="S538">
        <v>0.19400000000000001</v>
      </c>
      <c r="T538">
        <v>11</v>
      </c>
      <c r="U538">
        <v>52</v>
      </c>
      <c r="V538">
        <v>63</v>
      </c>
    </row>
    <row r="539" spans="1:22" x14ac:dyDescent="0.3">
      <c r="A539">
        <v>538</v>
      </c>
      <c r="B539" s="2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>
        <v>0.13639999999999999</v>
      </c>
      <c r="R539">
        <v>0.43</v>
      </c>
      <c r="S539">
        <v>0.22389999999999999</v>
      </c>
      <c r="T539">
        <v>6</v>
      </c>
      <c r="U539">
        <v>54</v>
      </c>
      <c r="V539">
        <v>60</v>
      </c>
    </row>
    <row r="540" spans="1:22" x14ac:dyDescent="0.3">
      <c r="A540">
        <v>539</v>
      </c>
      <c r="B540" s="2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>
        <v>0.13639999999999999</v>
      </c>
      <c r="R540">
        <v>0.46</v>
      </c>
      <c r="S540">
        <v>0.22389999999999999</v>
      </c>
      <c r="T540">
        <v>2</v>
      </c>
      <c r="U540">
        <v>43</v>
      </c>
      <c r="V540">
        <v>45</v>
      </c>
    </row>
    <row r="541" spans="1:22" x14ac:dyDescent="0.3">
      <c r="A541">
        <v>540</v>
      </c>
      <c r="B541" s="2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>
        <v>0.16669999999999999</v>
      </c>
      <c r="R541">
        <v>0.4</v>
      </c>
      <c r="S541">
        <v>0.16420000000000001</v>
      </c>
      <c r="T541">
        <v>7</v>
      </c>
      <c r="U541">
        <v>50</v>
      </c>
      <c r="V541">
        <v>57</v>
      </c>
    </row>
    <row r="542" spans="1:22" x14ac:dyDescent="0.3">
      <c r="A542">
        <v>541</v>
      </c>
      <c r="B542" s="2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>
        <v>0.1515</v>
      </c>
      <c r="R542">
        <v>0.47</v>
      </c>
      <c r="S542">
        <v>0.25369999999999998</v>
      </c>
      <c r="T542">
        <v>4</v>
      </c>
      <c r="U542">
        <v>66</v>
      </c>
      <c r="V542">
        <v>70</v>
      </c>
    </row>
    <row r="543" spans="1:22" x14ac:dyDescent="0.3">
      <c r="A543">
        <v>542</v>
      </c>
      <c r="B543" s="2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>
        <v>0.1212</v>
      </c>
      <c r="R543">
        <v>0.5</v>
      </c>
      <c r="S543">
        <v>0.25369999999999998</v>
      </c>
      <c r="T543">
        <v>6</v>
      </c>
      <c r="U543">
        <v>178</v>
      </c>
      <c r="V543">
        <v>184</v>
      </c>
    </row>
    <row r="544" spans="1:22" x14ac:dyDescent="0.3">
      <c r="A544">
        <v>543</v>
      </c>
      <c r="B544" s="2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>
        <v>0.13639999999999999</v>
      </c>
      <c r="R544">
        <v>0.59</v>
      </c>
      <c r="S544">
        <v>0.19400000000000001</v>
      </c>
      <c r="T544">
        <v>8</v>
      </c>
      <c r="U544">
        <v>145</v>
      </c>
      <c r="V544">
        <v>153</v>
      </c>
    </row>
    <row r="545" spans="1:22" x14ac:dyDescent="0.3">
      <c r="A545">
        <v>544</v>
      </c>
      <c r="B545" s="2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>
        <v>0.1515</v>
      </c>
      <c r="R545">
        <v>0.54</v>
      </c>
      <c r="S545">
        <v>0.16420000000000001</v>
      </c>
      <c r="T545">
        <v>5</v>
      </c>
      <c r="U545">
        <v>101</v>
      </c>
      <c r="V545">
        <v>106</v>
      </c>
    </row>
    <row r="546" spans="1:22" x14ac:dyDescent="0.3">
      <c r="A546">
        <v>545</v>
      </c>
      <c r="B546" s="2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>
        <v>0.13639999999999999</v>
      </c>
      <c r="R546">
        <v>0.59</v>
      </c>
      <c r="S546">
        <v>0.19400000000000001</v>
      </c>
      <c r="T546">
        <v>1</v>
      </c>
      <c r="U546">
        <v>80</v>
      </c>
      <c r="V546">
        <v>81</v>
      </c>
    </row>
    <row r="547" spans="1:22" x14ac:dyDescent="0.3">
      <c r="A547">
        <v>546</v>
      </c>
      <c r="B547" s="2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>
        <v>0.1515</v>
      </c>
      <c r="R547">
        <v>0.63</v>
      </c>
      <c r="S547">
        <v>0.16420000000000001</v>
      </c>
      <c r="T547">
        <v>6</v>
      </c>
      <c r="U547">
        <v>53</v>
      </c>
      <c r="V547">
        <v>59</v>
      </c>
    </row>
    <row r="548" spans="1:22" x14ac:dyDescent="0.3">
      <c r="A548">
        <v>547</v>
      </c>
      <c r="B548" s="2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>
        <v>0.13639999999999999</v>
      </c>
      <c r="R548">
        <v>0.63</v>
      </c>
      <c r="S548">
        <v>0.22389999999999999</v>
      </c>
      <c r="T548">
        <v>3</v>
      </c>
      <c r="U548">
        <v>32</v>
      </c>
      <c r="V548">
        <v>35</v>
      </c>
    </row>
    <row r="549" spans="1:22" x14ac:dyDescent="0.3">
      <c r="A549">
        <v>548</v>
      </c>
      <c r="B549" s="2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>
        <v>0.1515</v>
      </c>
      <c r="R549">
        <v>0.64</v>
      </c>
      <c r="S549">
        <v>0.25369999999999998</v>
      </c>
      <c r="T549">
        <v>3</v>
      </c>
      <c r="U549">
        <v>21</v>
      </c>
      <c r="V549">
        <v>24</v>
      </c>
    </row>
    <row r="550" spans="1:22" x14ac:dyDescent="0.3">
      <c r="A550">
        <v>549</v>
      </c>
      <c r="B550" s="2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>
        <v>0.13639999999999999</v>
      </c>
      <c r="R550">
        <v>0.69</v>
      </c>
      <c r="S550">
        <v>0.28360000000000002</v>
      </c>
      <c r="T550">
        <v>3</v>
      </c>
      <c r="U550">
        <v>6</v>
      </c>
      <c r="V550">
        <v>9</v>
      </c>
    </row>
    <row r="551" spans="1:22" x14ac:dyDescent="0.3">
      <c r="A551">
        <v>550</v>
      </c>
      <c r="B551" s="2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>
        <v>0.16669999999999999</v>
      </c>
      <c r="R551">
        <v>0.69</v>
      </c>
      <c r="S551">
        <v>0.16420000000000001</v>
      </c>
      <c r="T551">
        <v>0</v>
      </c>
      <c r="U551">
        <v>5</v>
      </c>
      <c r="V551">
        <v>5</v>
      </c>
    </row>
    <row r="552" spans="1:22" x14ac:dyDescent="0.3">
      <c r="A552">
        <v>551</v>
      </c>
      <c r="B552" s="2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>
        <v>0.1515</v>
      </c>
      <c r="R552">
        <v>0.69</v>
      </c>
      <c r="S552">
        <v>0.22389999999999999</v>
      </c>
      <c r="T552">
        <v>0</v>
      </c>
      <c r="U552">
        <v>2</v>
      </c>
      <c r="V552">
        <v>2</v>
      </c>
    </row>
    <row r="553" spans="1:22" x14ac:dyDescent="0.3">
      <c r="A553">
        <v>552</v>
      </c>
      <c r="B553" s="2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>
        <v>0.16669999999999999</v>
      </c>
      <c r="R553">
        <v>0.74</v>
      </c>
      <c r="S553">
        <v>0.1045</v>
      </c>
      <c r="T553">
        <v>0</v>
      </c>
      <c r="U553">
        <v>1</v>
      </c>
      <c r="V553">
        <v>1</v>
      </c>
    </row>
    <row r="554" spans="1:22" x14ac:dyDescent="0.3">
      <c r="A554">
        <v>553</v>
      </c>
      <c r="B554" s="2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>
        <v>0.13639999999999999</v>
      </c>
      <c r="R554">
        <v>0.74</v>
      </c>
      <c r="S554">
        <v>0.22389999999999999</v>
      </c>
      <c r="T554">
        <v>0</v>
      </c>
      <c r="U554">
        <v>9</v>
      </c>
      <c r="V554">
        <v>9</v>
      </c>
    </row>
    <row r="555" spans="1:22" x14ac:dyDescent="0.3">
      <c r="A555">
        <v>554</v>
      </c>
      <c r="B555" s="2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  <c r="Q555">
        <v>0.18179999999999999</v>
      </c>
      <c r="R555">
        <v>0.74</v>
      </c>
      <c r="S555">
        <v>0.1045</v>
      </c>
      <c r="T555">
        <v>1</v>
      </c>
      <c r="U555">
        <v>35</v>
      </c>
      <c r="V555">
        <v>36</v>
      </c>
    </row>
    <row r="556" spans="1:22" x14ac:dyDescent="0.3">
      <c r="A556">
        <v>555</v>
      </c>
      <c r="B556" s="2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>
        <v>0.1515</v>
      </c>
      <c r="R556">
        <v>0.74</v>
      </c>
      <c r="S556">
        <v>0.22389999999999999</v>
      </c>
      <c r="T556">
        <v>5</v>
      </c>
      <c r="U556">
        <v>103</v>
      </c>
      <c r="V556">
        <v>108</v>
      </c>
    </row>
    <row r="557" spans="1:22" x14ac:dyDescent="0.3">
      <c r="A557">
        <v>556</v>
      </c>
      <c r="B557" s="2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>
        <v>0.18179999999999999</v>
      </c>
      <c r="R557">
        <v>0.74</v>
      </c>
      <c r="S557">
        <v>0.1343</v>
      </c>
      <c r="T557">
        <v>5</v>
      </c>
      <c r="U557">
        <v>233</v>
      </c>
      <c r="V557">
        <v>238</v>
      </c>
    </row>
    <row r="558" spans="1:22" x14ac:dyDescent="0.3">
      <c r="A558">
        <v>557</v>
      </c>
      <c r="B558" s="2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>
        <v>0.2273</v>
      </c>
      <c r="R558">
        <v>0.64</v>
      </c>
      <c r="S558">
        <v>8.9599999999999999E-2</v>
      </c>
      <c r="T558">
        <v>10</v>
      </c>
      <c r="U558">
        <v>134</v>
      </c>
      <c r="V558">
        <v>144</v>
      </c>
    </row>
    <row r="559" spans="1:22" x14ac:dyDescent="0.3">
      <c r="A559">
        <v>558</v>
      </c>
      <c r="B559" s="2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>
        <v>0.2424</v>
      </c>
      <c r="R559">
        <v>0.6</v>
      </c>
      <c r="S559">
        <v>0.1045</v>
      </c>
      <c r="T559">
        <v>6</v>
      </c>
      <c r="U559">
        <v>49</v>
      </c>
      <c r="V559">
        <v>55</v>
      </c>
    </row>
    <row r="560" spans="1:22" x14ac:dyDescent="0.3">
      <c r="A560">
        <v>559</v>
      </c>
      <c r="B560" s="2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  <c r="Q560">
        <v>0.2424</v>
      </c>
      <c r="R560">
        <v>0.6</v>
      </c>
      <c r="S560">
        <v>0.1343</v>
      </c>
      <c r="T560">
        <v>6</v>
      </c>
      <c r="U560">
        <v>55</v>
      </c>
      <c r="V560">
        <v>61</v>
      </c>
    </row>
    <row r="561" spans="1:22" x14ac:dyDescent="0.3">
      <c r="A561">
        <v>560</v>
      </c>
      <c r="B561" s="2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>
        <v>0.28789999999999999</v>
      </c>
      <c r="R561">
        <v>0.56000000000000005</v>
      </c>
      <c r="S561">
        <v>8.9599999999999999E-2</v>
      </c>
      <c r="T561">
        <v>21</v>
      </c>
      <c r="U561">
        <v>85</v>
      </c>
      <c r="V561">
        <v>106</v>
      </c>
    </row>
    <row r="562" spans="1:22" x14ac:dyDescent="0.3">
      <c r="A562">
        <v>561</v>
      </c>
      <c r="B562" s="2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>
        <v>0.2727</v>
      </c>
      <c r="R562">
        <v>0.56000000000000005</v>
      </c>
      <c r="S562">
        <v>0.1343</v>
      </c>
      <c r="T562">
        <v>21</v>
      </c>
      <c r="U562">
        <v>72</v>
      </c>
      <c r="V562">
        <v>93</v>
      </c>
    </row>
    <row r="563" spans="1:22" x14ac:dyDescent="0.3">
      <c r="A563">
        <v>562</v>
      </c>
      <c r="B563" s="2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  <c r="Q563">
        <v>0.33329999999999999</v>
      </c>
      <c r="R563">
        <v>0.45</v>
      </c>
      <c r="S563">
        <v>0</v>
      </c>
      <c r="T563">
        <v>11</v>
      </c>
      <c r="U563">
        <v>57</v>
      </c>
      <c r="V563">
        <v>68</v>
      </c>
    </row>
    <row r="564" spans="1:22" x14ac:dyDescent="0.3">
      <c r="A564">
        <v>563</v>
      </c>
      <c r="B564" s="2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>
        <v>0.34849999999999998</v>
      </c>
      <c r="R564">
        <v>0.42</v>
      </c>
      <c r="S564">
        <v>0</v>
      </c>
      <c r="T564">
        <v>21</v>
      </c>
      <c r="U564">
        <v>63</v>
      </c>
      <c r="V564">
        <v>84</v>
      </c>
    </row>
    <row r="565" spans="1:22" x14ac:dyDescent="0.3">
      <c r="A565">
        <v>564</v>
      </c>
      <c r="B565" s="2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  <c r="Q565">
        <v>0.34849999999999998</v>
      </c>
      <c r="R565">
        <v>0.42</v>
      </c>
      <c r="S565">
        <v>0</v>
      </c>
      <c r="T565">
        <v>14</v>
      </c>
      <c r="U565">
        <v>102</v>
      </c>
      <c r="V565">
        <v>116</v>
      </c>
    </row>
    <row r="566" spans="1:22" x14ac:dyDescent="0.3">
      <c r="A566">
        <v>565</v>
      </c>
      <c r="B566" s="2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  <c r="Q566">
        <v>0.33329999999999999</v>
      </c>
      <c r="R566">
        <v>0.45</v>
      </c>
      <c r="S566">
        <v>0</v>
      </c>
      <c r="T566">
        <v>14</v>
      </c>
      <c r="U566">
        <v>208</v>
      </c>
      <c r="V566">
        <v>222</v>
      </c>
    </row>
    <row r="567" spans="1:22" x14ac:dyDescent="0.3">
      <c r="A567">
        <v>566</v>
      </c>
      <c r="B567" s="2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>
        <v>0.31819999999999998</v>
      </c>
      <c r="R567">
        <v>0.49</v>
      </c>
      <c r="S567">
        <v>8.9599999999999999E-2</v>
      </c>
      <c r="T567">
        <v>7</v>
      </c>
      <c r="U567">
        <v>218</v>
      </c>
      <c r="V567">
        <v>225</v>
      </c>
    </row>
    <row r="568" spans="1:22" x14ac:dyDescent="0.3">
      <c r="A568">
        <v>567</v>
      </c>
      <c r="B568" s="2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>
        <v>0.2576</v>
      </c>
      <c r="R568">
        <v>0.65</v>
      </c>
      <c r="S568">
        <v>0.16420000000000001</v>
      </c>
      <c r="T568">
        <v>13</v>
      </c>
      <c r="U568">
        <v>133</v>
      </c>
      <c r="V568">
        <v>146</v>
      </c>
    </row>
    <row r="569" spans="1:22" x14ac:dyDescent="0.3">
      <c r="A569">
        <v>568</v>
      </c>
      <c r="B569" s="2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>
        <v>0.2273</v>
      </c>
      <c r="R569">
        <v>0.65</v>
      </c>
      <c r="S569">
        <v>0.19400000000000001</v>
      </c>
      <c r="T569">
        <v>16</v>
      </c>
      <c r="U569">
        <v>103</v>
      </c>
      <c r="V569">
        <v>119</v>
      </c>
    </row>
    <row r="570" spans="1:22" x14ac:dyDescent="0.3">
      <c r="A570">
        <v>569</v>
      </c>
      <c r="B570" s="2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>
        <v>0.2273</v>
      </c>
      <c r="R570">
        <v>0.65</v>
      </c>
      <c r="S570">
        <v>0.19400000000000001</v>
      </c>
      <c r="T570">
        <v>5</v>
      </c>
      <c r="U570">
        <v>40</v>
      </c>
      <c r="V570">
        <v>45</v>
      </c>
    </row>
    <row r="571" spans="1:22" x14ac:dyDescent="0.3">
      <c r="A571">
        <v>570</v>
      </c>
      <c r="B571" s="2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>
        <v>0.2273</v>
      </c>
      <c r="R571">
        <v>0.64</v>
      </c>
      <c r="S571">
        <v>0.16420000000000001</v>
      </c>
      <c r="T571">
        <v>4</v>
      </c>
      <c r="U571">
        <v>49</v>
      </c>
      <c r="V571">
        <v>53</v>
      </c>
    </row>
    <row r="572" spans="1:22" x14ac:dyDescent="0.3">
      <c r="A572">
        <v>571</v>
      </c>
      <c r="B572" s="2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>
        <v>0.2273</v>
      </c>
      <c r="R572">
        <v>0.64</v>
      </c>
      <c r="S572">
        <v>0.16420000000000001</v>
      </c>
      <c r="T572">
        <v>3</v>
      </c>
      <c r="U572">
        <v>37</v>
      </c>
      <c r="V572">
        <v>40</v>
      </c>
    </row>
    <row r="573" spans="1:22" x14ac:dyDescent="0.3">
      <c r="A573">
        <v>572</v>
      </c>
      <c r="B573" s="2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  <c r="Q573">
        <v>0.2273</v>
      </c>
      <c r="R573">
        <v>0.69</v>
      </c>
      <c r="S573">
        <v>0.1343</v>
      </c>
      <c r="T573">
        <v>3</v>
      </c>
      <c r="U573">
        <v>14</v>
      </c>
      <c r="V573">
        <v>17</v>
      </c>
    </row>
    <row r="574" spans="1:22" x14ac:dyDescent="0.3">
      <c r="A574">
        <v>573</v>
      </c>
      <c r="B574" s="2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  <c r="Q574">
        <v>0.2424</v>
      </c>
      <c r="R574">
        <v>0.65</v>
      </c>
      <c r="S574">
        <v>0.1343</v>
      </c>
      <c r="T574">
        <v>0</v>
      </c>
      <c r="U574">
        <v>5</v>
      </c>
      <c r="V574">
        <v>5</v>
      </c>
    </row>
    <row r="575" spans="1:22" x14ac:dyDescent="0.3">
      <c r="A575">
        <v>574</v>
      </c>
      <c r="B575" s="2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>
        <v>0.2273</v>
      </c>
      <c r="R575">
        <v>0.69</v>
      </c>
      <c r="S575">
        <v>0.19400000000000001</v>
      </c>
      <c r="T575">
        <v>3</v>
      </c>
      <c r="U575">
        <v>7</v>
      </c>
      <c r="V575">
        <v>10</v>
      </c>
    </row>
    <row r="576" spans="1:22" x14ac:dyDescent="0.3">
      <c r="A576">
        <v>575</v>
      </c>
      <c r="B576" s="2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>
        <v>0.18179999999999999</v>
      </c>
      <c r="R576">
        <v>0.86</v>
      </c>
      <c r="S576">
        <v>0.28360000000000002</v>
      </c>
      <c r="T576">
        <v>0</v>
      </c>
      <c r="U576">
        <v>1</v>
      </c>
      <c r="V576">
        <v>1</v>
      </c>
    </row>
    <row r="577" spans="1:22" x14ac:dyDescent="0.3">
      <c r="A577">
        <v>576</v>
      </c>
      <c r="B577" s="2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>
        <v>0.18179999999999999</v>
      </c>
      <c r="R577">
        <v>0.86</v>
      </c>
      <c r="S577">
        <v>0.28360000000000002</v>
      </c>
      <c r="T577">
        <v>0</v>
      </c>
      <c r="U577">
        <v>8</v>
      </c>
      <c r="V577">
        <v>8</v>
      </c>
    </row>
    <row r="578" spans="1:22" x14ac:dyDescent="0.3">
      <c r="A578">
        <v>577</v>
      </c>
      <c r="B578" s="2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>
        <v>0.21210000000000001</v>
      </c>
      <c r="R578">
        <v>0.87</v>
      </c>
      <c r="S578">
        <v>0.29849999999999999</v>
      </c>
      <c r="T578">
        <v>1</v>
      </c>
      <c r="U578">
        <v>29</v>
      </c>
      <c r="V578">
        <v>30</v>
      </c>
    </row>
    <row r="579" spans="1:22" x14ac:dyDescent="0.3">
      <c r="A579">
        <v>578</v>
      </c>
      <c r="B579" s="2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>
        <v>0.21210000000000001</v>
      </c>
      <c r="R579">
        <v>0.87</v>
      </c>
      <c r="S579">
        <v>0.29849999999999999</v>
      </c>
      <c r="T579">
        <v>3</v>
      </c>
      <c r="U579">
        <v>69</v>
      </c>
      <c r="V579">
        <v>72</v>
      </c>
    </row>
    <row r="580" spans="1:22" x14ac:dyDescent="0.3">
      <c r="A580">
        <v>579</v>
      </c>
      <c r="B580" s="2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>
        <v>0.21210000000000001</v>
      </c>
      <c r="R580">
        <v>0.87</v>
      </c>
      <c r="S580">
        <v>0.29849999999999999</v>
      </c>
      <c r="T580">
        <v>3</v>
      </c>
      <c r="U580">
        <v>55</v>
      </c>
      <c r="V580">
        <v>58</v>
      </c>
    </row>
    <row r="581" spans="1:22" x14ac:dyDescent="0.3">
      <c r="A581">
        <v>580</v>
      </c>
      <c r="B581" s="2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>
        <v>0.21210000000000001</v>
      </c>
      <c r="R581">
        <v>0.93</v>
      </c>
      <c r="S581">
        <v>0.28360000000000002</v>
      </c>
      <c r="T581">
        <v>2</v>
      </c>
      <c r="U581">
        <v>26</v>
      </c>
      <c r="V581">
        <v>28</v>
      </c>
    </row>
    <row r="582" spans="1:22" x14ac:dyDescent="0.3">
      <c r="A582">
        <v>581</v>
      </c>
      <c r="B582" s="2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>
        <v>0.19700000000000001</v>
      </c>
      <c r="R582">
        <v>0.93</v>
      </c>
      <c r="S582">
        <v>0.32840000000000003</v>
      </c>
      <c r="T582">
        <v>6</v>
      </c>
      <c r="U582">
        <v>35</v>
      </c>
      <c r="V582">
        <v>41</v>
      </c>
    </row>
    <row r="583" spans="1:22" x14ac:dyDescent="0.3">
      <c r="A583">
        <v>582</v>
      </c>
      <c r="B583" s="2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>
        <v>0.19700000000000001</v>
      </c>
      <c r="R583">
        <v>0.93</v>
      </c>
      <c r="S583">
        <v>0.32840000000000003</v>
      </c>
      <c r="T583">
        <v>7</v>
      </c>
      <c r="U583">
        <v>41</v>
      </c>
      <c r="V583">
        <v>48</v>
      </c>
    </row>
    <row r="584" spans="1:22" x14ac:dyDescent="0.3">
      <c r="A584">
        <v>583</v>
      </c>
      <c r="B584" s="2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>
        <v>0.19700000000000001</v>
      </c>
      <c r="R584">
        <v>0.93</v>
      </c>
      <c r="S584">
        <v>0.32840000000000003</v>
      </c>
      <c r="T584">
        <v>4</v>
      </c>
      <c r="U584">
        <v>43</v>
      </c>
      <c r="V584">
        <v>47</v>
      </c>
    </row>
    <row r="585" spans="1:22" x14ac:dyDescent="0.3">
      <c r="A585">
        <v>584</v>
      </c>
      <c r="B585" s="2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>
        <v>0.19700000000000001</v>
      </c>
      <c r="R585">
        <v>0.93</v>
      </c>
      <c r="S585">
        <v>0.35820000000000002</v>
      </c>
      <c r="T585">
        <v>0</v>
      </c>
      <c r="U585">
        <v>36</v>
      </c>
      <c r="V585">
        <v>36</v>
      </c>
    </row>
    <row r="586" spans="1:22" x14ac:dyDescent="0.3">
      <c r="A586">
        <v>585</v>
      </c>
      <c r="B586" s="2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  <c r="Q586">
        <v>0.18179999999999999</v>
      </c>
      <c r="R586">
        <v>0.93</v>
      </c>
      <c r="S586">
        <v>0.4627</v>
      </c>
      <c r="T586">
        <v>1</v>
      </c>
      <c r="U586">
        <v>42</v>
      </c>
      <c r="V586">
        <v>43</v>
      </c>
    </row>
    <row r="587" spans="1:22" x14ac:dyDescent="0.3">
      <c r="A587">
        <v>586</v>
      </c>
      <c r="B587" s="2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>
        <v>0.19700000000000001</v>
      </c>
      <c r="R587">
        <v>0.93</v>
      </c>
      <c r="S587">
        <v>0.32840000000000003</v>
      </c>
      <c r="T587">
        <v>1</v>
      </c>
      <c r="U587">
        <v>35</v>
      </c>
      <c r="V587">
        <v>36</v>
      </c>
    </row>
    <row r="588" spans="1:22" x14ac:dyDescent="0.3">
      <c r="A588">
        <v>587</v>
      </c>
      <c r="B588" s="2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>
        <v>0.18179999999999999</v>
      </c>
      <c r="R588">
        <v>0.93</v>
      </c>
      <c r="S588">
        <v>0.35820000000000002</v>
      </c>
      <c r="T588">
        <v>0</v>
      </c>
      <c r="U588">
        <v>26</v>
      </c>
      <c r="V588">
        <v>26</v>
      </c>
    </row>
    <row r="589" spans="1:22" x14ac:dyDescent="0.3">
      <c r="A589">
        <v>588</v>
      </c>
      <c r="B589" s="2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  <c r="Q589">
        <v>0.2273</v>
      </c>
      <c r="R589">
        <v>0.55000000000000004</v>
      </c>
      <c r="S589">
        <v>0.19400000000000001</v>
      </c>
      <c r="T589">
        <v>1</v>
      </c>
      <c r="U589">
        <v>23</v>
      </c>
      <c r="V589">
        <v>24</v>
      </c>
    </row>
    <row r="590" spans="1:22" x14ac:dyDescent="0.3">
      <c r="A590">
        <v>589</v>
      </c>
      <c r="B590" s="2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  <c r="Q590">
        <v>0.2424</v>
      </c>
      <c r="R590">
        <v>0.55000000000000004</v>
      </c>
      <c r="S590">
        <v>0.1045</v>
      </c>
      <c r="T590">
        <v>2</v>
      </c>
      <c r="U590">
        <v>82</v>
      </c>
      <c r="V590">
        <v>84</v>
      </c>
    </row>
    <row r="591" spans="1:22" x14ac:dyDescent="0.3">
      <c r="A591">
        <v>590</v>
      </c>
      <c r="B591" s="2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  <c r="Q591">
        <v>0.2273</v>
      </c>
      <c r="R591">
        <v>0.69</v>
      </c>
      <c r="S591">
        <v>8.9599999999999999E-2</v>
      </c>
      <c r="T591">
        <v>3</v>
      </c>
      <c r="U591">
        <v>101</v>
      </c>
      <c r="V591">
        <v>104</v>
      </c>
    </row>
    <row r="592" spans="1:22" x14ac:dyDescent="0.3">
      <c r="A592">
        <v>591</v>
      </c>
      <c r="B592" s="2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  <c r="Q592">
        <v>0.2273</v>
      </c>
      <c r="R592">
        <v>0.69</v>
      </c>
      <c r="S592">
        <v>8.9599999999999999E-2</v>
      </c>
      <c r="T592">
        <v>3</v>
      </c>
      <c r="U592">
        <v>76</v>
      </c>
      <c r="V592">
        <v>79</v>
      </c>
    </row>
    <row r="593" spans="1:22" x14ac:dyDescent="0.3">
      <c r="A593">
        <v>592</v>
      </c>
      <c r="B593" s="2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  <c r="Q593">
        <v>0.21210000000000001</v>
      </c>
      <c r="R593">
        <v>0.74</v>
      </c>
      <c r="S593">
        <v>8.9599999999999999E-2</v>
      </c>
      <c r="T593">
        <v>4</v>
      </c>
      <c r="U593">
        <v>55</v>
      </c>
      <c r="V593">
        <v>59</v>
      </c>
    </row>
    <row r="594" spans="1:22" x14ac:dyDescent="0.3">
      <c r="A594">
        <v>593</v>
      </c>
      <c r="B594" s="2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  <c r="Q594">
        <v>0.21210000000000001</v>
      </c>
      <c r="R594">
        <v>0.74</v>
      </c>
      <c r="S594">
        <v>8.9599999999999999E-2</v>
      </c>
      <c r="T594">
        <v>2</v>
      </c>
      <c r="U594">
        <v>36</v>
      </c>
      <c r="V594">
        <v>38</v>
      </c>
    </row>
    <row r="595" spans="1:22" x14ac:dyDescent="0.3">
      <c r="A595">
        <v>594</v>
      </c>
      <c r="B595" s="2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  <c r="Q595">
        <v>0.21210000000000001</v>
      </c>
      <c r="R595">
        <v>0.74</v>
      </c>
      <c r="S595">
        <v>8.9599999999999999E-2</v>
      </c>
      <c r="T595">
        <v>0</v>
      </c>
      <c r="U595">
        <v>27</v>
      </c>
      <c r="V595">
        <v>27</v>
      </c>
    </row>
    <row r="596" spans="1:22" x14ac:dyDescent="0.3">
      <c r="A596">
        <v>595</v>
      </c>
      <c r="B596" s="2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  <c r="Q596">
        <v>0.19700000000000001</v>
      </c>
      <c r="R596">
        <v>0.8</v>
      </c>
      <c r="S596">
        <v>0.16420000000000001</v>
      </c>
      <c r="T596">
        <v>0</v>
      </c>
      <c r="U596">
        <v>16</v>
      </c>
      <c r="V596">
        <v>16</v>
      </c>
    </row>
    <row r="597" spans="1:22" x14ac:dyDescent="0.3">
      <c r="A597">
        <v>596</v>
      </c>
      <c r="B597" s="2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  <c r="Q597">
        <v>0.21210000000000001</v>
      </c>
      <c r="R597">
        <v>0.75</v>
      </c>
      <c r="S597">
        <v>0.1343</v>
      </c>
      <c r="T597">
        <v>0</v>
      </c>
      <c r="U597">
        <v>9</v>
      </c>
      <c r="V597">
        <v>9</v>
      </c>
    </row>
    <row r="598" spans="1:22" x14ac:dyDescent="0.3">
      <c r="A598">
        <v>597</v>
      </c>
      <c r="B598" s="2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  <c r="Q598">
        <v>0.21210000000000001</v>
      </c>
      <c r="R598">
        <v>0.75</v>
      </c>
      <c r="S598">
        <v>0.1343</v>
      </c>
      <c r="T598">
        <v>1</v>
      </c>
      <c r="U598">
        <v>2</v>
      </c>
      <c r="V598">
        <v>3</v>
      </c>
    </row>
    <row r="599" spans="1:22" x14ac:dyDescent="0.3">
      <c r="A599">
        <v>598</v>
      </c>
      <c r="B599" s="2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  <c r="Q599">
        <v>0.21210000000000001</v>
      </c>
      <c r="R599">
        <v>0.75</v>
      </c>
      <c r="S599">
        <v>0.16420000000000001</v>
      </c>
      <c r="T599">
        <v>0</v>
      </c>
      <c r="U599">
        <v>2</v>
      </c>
      <c r="V599">
        <v>2</v>
      </c>
    </row>
    <row r="600" spans="1:22" x14ac:dyDescent="0.3">
      <c r="A600">
        <v>599</v>
      </c>
      <c r="B600" s="2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  <c r="Q600">
        <v>0.2273</v>
      </c>
      <c r="R600">
        <v>0.75</v>
      </c>
      <c r="S600">
        <v>0.1045</v>
      </c>
      <c r="T600">
        <v>1</v>
      </c>
      <c r="U600">
        <v>0</v>
      </c>
      <c r="V600">
        <v>1</v>
      </c>
    </row>
    <row r="601" spans="1:22" x14ac:dyDescent="0.3">
      <c r="A601">
        <v>600</v>
      </c>
      <c r="B601" s="2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  <c r="Q601">
        <v>0.21210000000000001</v>
      </c>
      <c r="R601">
        <v>0.8</v>
      </c>
      <c r="S601">
        <v>0.1045</v>
      </c>
      <c r="T601">
        <v>0</v>
      </c>
      <c r="U601">
        <v>4</v>
      </c>
      <c r="V601">
        <v>4</v>
      </c>
    </row>
    <row r="602" spans="1:22" x14ac:dyDescent="0.3">
      <c r="A602">
        <v>601</v>
      </c>
      <c r="B602" s="2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  <c r="Q602">
        <v>0.19700000000000001</v>
      </c>
      <c r="R602">
        <v>0.8</v>
      </c>
      <c r="S602">
        <v>0.1343</v>
      </c>
      <c r="T602">
        <v>0</v>
      </c>
      <c r="U602">
        <v>16</v>
      </c>
      <c r="V602">
        <v>16</v>
      </c>
    </row>
    <row r="603" spans="1:22" x14ac:dyDescent="0.3">
      <c r="A603">
        <v>602</v>
      </c>
      <c r="B603" s="2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  <c r="Q603">
        <v>0.19700000000000001</v>
      </c>
      <c r="R603">
        <v>0.86</v>
      </c>
      <c r="S603">
        <v>8.9599999999999999E-2</v>
      </c>
      <c r="T603">
        <v>2</v>
      </c>
      <c r="U603">
        <v>58</v>
      </c>
      <c r="V603">
        <v>60</v>
      </c>
    </row>
    <row r="604" spans="1:22" x14ac:dyDescent="0.3">
      <c r="A604">
        <v>603</v>
      </c>
      <c r="B604" s="2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  <c r="Q604">
        <v>0.19700000000000001</v>
      </c>
      <c r="R604">
        <v>0.86</v>
      </c>
      <c r="S604">
        <v>8.9599999999999999E-2</v>
      </c>
      <c r="T604">
        <v>2</v>
      </c>
      <c r="U604">
        <v>155</v>
      </c>
      <c r="V604">
        <v>157</v>
      </c>
    </row>
    <row r="605" spans="1:22" x14ac:dyDescent="0.3">
      <c r="A605">
        <v>604</v>
      </c>
      <c r="B605" s="2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  <c r="Q605">
        <v>0.21210000000000001</v>
      </c>
      <c r="R605">
        <v>0.86</v>
      </c>
      <c r="S605">
        <v>8.9599999999999999E-2</v>
      </c>
      <c r="T605">
        <v>6</v>
      </c>
      <c r="U605">
        <v>95</v>
      </c>
      <c r="V605">
        <v>101</v>
      </c>
    </row>
    <row r="606" spans="1:22" x14ac:dyDescent="0.3">
      <c r="A606">
        <v>605</v>
      </c>
      <c r="B606" s="2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  <c r="Q606">
        <v>0.21210000000000001</v>
      </c>
      <c r="R606">
        <v>0.86</v>
      </c>
      <c r="S606">
        <v>0.1045</v>
      </c>
      <c r="T606">
        <v>0</v>
      </c>
      <c r="U606">
        <v>49</v>
      </c>
      <c r="V606">
        <v>49</v>
      </c>
    </row>
    <row r="607" spans="1:22" x14ac:dyDescent="0.3">
      <c r="A607">
        <v>606</v>
      </c>
      <c r="B607" s="2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  <c r="Q607">
        <v>0.21210000000000001</v>
      </c>
      <c r="R607">
        <v>0.93</v>
      </c>
      <c r="S607">
        <v>0.1045</v>
      </c>
      <c r="T607">
        <v>0</v>
      </c>
      <c r="U607">
        <v>30</v>
      </c>
      <c r="V607">
        <v>30</v>
      </c>
    </row>
    <row r="608" spans="1:22" x14ac:dyDescent="0.3">
      <c r="A608">
        <v>607</v>
      </c>
      <c r="B608" s="2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  <c r="Q608">
        <v>0.21210000000000001</v>
      </c>
      <c r="R608">
        <v>0.93</v>
      </c>
      <c r="S608">
        <v>0.1045</v>
      </c>
      <c r="T608">
        <v>1</v>
      </c>
      <c r="U608">
        <v>28</v>
      </c>
      <c r="V608">
        <v>29</v>
      </c>
    </row>
    <row r="609" spans="1:22" x14ac:dyDescent="0.3">
      <c r="A609">
        <v>608</v>
      </c>
      <c r="B609" s="2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  <c r="Q609">
        <v>0.21210000000000001</v>
      </c>
      <c r="R609">
        <v>0.93</v>
      </c>
      <c r="S609">
        <v>0.1045</v>
      </c>
      <c r="T609">
        <v>0</v>
      </c>
      <c r="U609">
        <v>31</v>
      </c>
      <c r="V609">
        <v>31</v>
      </c>
    </row>
    <row r="610" spans="1:22" x14ac:dyDescent="0.3">
      <c r="A610">
        <v>609</v>
      </c>
      <c r="B610" s="2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  <c r="Q610">
        <v>0.2727</v>
      </c>
      <c r="R610">
        <v>0.8</v>
      </c>
      <c r="S610">
        <v>0</v>
      </c>
      <c r="T610">
        <v>2</v>
      </c>
      <c r="U610">
        <v>36</v>
      </c>
      <c r="V610">
        <v>38</v>
      </c>
    </row>
    <row r="611" spans="1:22" x14ac:dyDescent="0.3">
      <c r="A611">
        <v>610</v>
      </c>
      <c r="B611" s="2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  <c r="Q611">
        <v>0.2576</v>
      </c>
      <c r="R611">
        <v>0.86</v>
      </c>
      <c r="S611">
        <v>0</v>
      </c>
      <c r="T611">
        <v>1</v>
      </c>
      <c r="U611">
        <v>40</v>
      </c>
      <c r="V611">
        <v>41</v>
      </c>
    </row>
    <row r="612" spans="1:22" x14ac:dyDescent="0.3">
      <c r="A612">
        <v>611</v>
      </c>
      <c r="B612" s="2">
        <v>40571</v>
      </c>
      <c r="C612">
        <v>1</v>
      </c>
      <c r="D612">
        <v>0</v>
      </c>
      <c r="E612">
        <v>1</v>
      </c>
      <c r="F612">
        <v>16</v>
      </c>
      <c r="G612" t="b">
        <v>0</v>
      </c>
      <c r="H612">
        <v>5</v>
      </c>
      <c r="I612">
        <v>1</v>
      </c>
      <c r="J612">
        <v>0.22</v>
      </c>
      <c r="K612">
        <v>0.2727</v>
      </c>
      <c r="L612">
        <v>0.8</v>
      </c>
      <c r="M612">
        <v>0</v>
      </c>
      <c r="N612">
        <v>10</v>
      </c>
      <c r="O612">
        <v>70</v>
      </c>
      <c r="P612">
        <v>80</v>
      </c>
    </row>
    <row r="613" spans="1:22" x14ac:dyDescent="0.3">
      <c r="A613">
        <v>612</v>
      </c>
      <c r="B613" s="2">
        <v>40571</v>
      </c>
      <c r="C613">
        <v>1</v>
      </c>
      <c r="D613">
        <v>0</v>
      </c>
      <c r="E613">
        <v>1</v>
      </c>
      <c r="F613">
        <v>17</v>
      </c>
      <c r="G613" t="b">
        <v>0</v>
      </c>
      <c r="H613">
        <v>5</v>
      </c>
      <c r="I613">
        <v>1</v>
      </c>
      <c r="J613">
        <v>0.24</v>
      </c>
      <c r="K613">
        <v>0.2424</v>
      </c>
      <c r="L613">
        <v>0.75</v>
      </c>
      <c r="M613">
        <v>0.1343</v>
      </c>
      <c r="N613">
        <v>2</v>
      </c>
      <c r="O613">
        <v>147</v>
      </c>
      <c r="P613">
        <v>149</v>
      </c>
    </row>
    <row r="614" spans="1:22" x14ac:dyDescent="0.3">
      <c r="A614">
        <v>613</v>
      </c>
      <c r="B614" s="2">
        <v>40571</v>
      </c>
      <c r="C614">
        <v>1</v>
      </c>
      <c r="D614">
        <v>0</v>
      </c>
      <c r="E614">
        <v>1</v>
      </c>
      <c r="F614">
        <v>18</v>
      </c>
      <c r="G614" t="b">
        <v>0</v>
      </c>
      <c r="H614">
        <v>5</v>
      </c>
      <c r="I614">
        <v>1</v>
      </c>
      <c r="J614">
        <v>0.24</v>
      </c>
      <c r="K614">
        <v>0.2273</v>
      </c>
      <c r="L614">
        <v>0.75</v>
      </c>
      <c r="M614">
        <v>0.19400000000000001</v>
      </c>
      <c r="N614">
        <v>2</v>
      </c>
      <c r="O614">
        <v>107</v>
      </c>
      <c r="P614">
        <v>109</v>
      </c>
    </row>
    <row r="615" spans="1:22" x14ac:dyDescent="0.3">
      <c r="A615">
        <v>614</v>
      </c>
      <c r="B615" s="2">
        <v>40571</v>
      </c>
      <c r="C615">
        <v>1</v>
      </c>
      <c r="D615">
        <v>0</v>
      </c>
      <c r="E615">
        <v>1</v>
      </c>
      <c r="F615">
        <v>19</v>
      </c>
      <c r="G615" t="b">
        <v>0</v>
      </c>
      <c r="H615">
        <v>5</v>
      </c>
      <c r="I615">
        <v>2</v>
      </c>
      <c r="J615">
        <v>0.24</v>
      </c>
      <c r="K615">
        <v>0.2424</v>
      </c>
      <c r="L615">
        <v>0.75</v>
      </c>
      <c r="M615">
        <v>0.1343</v>
      </c>
      <c r="N615">
        <v>5</v>
      </c>
      <c r="O615">
        <v>84</v>
      </c>
      <c r="P615">
        <v>89</v>
      </c>
    </row>
    <row r="616" spans="1:22" x14ac:dyDescent="0.3">
      <c r="A616">
        <v>615</v>
      </c>
      <c r="B616" s="2">
        <v>40571</v>
      </c>
      <c r="C616">
        <v>1</v>
      </c>
      <c r="D616">
        <v>0</v>
      </c>
      <c r="E616">
        <v>1</v>
      </c>
      <c r="F616">
        <v>20</v>
      </c>
      <c r="G616" t="b">
        <v>0</v>
      </c>
      <c r="H616">
        <v>5</v>
      </c>
      <c r="I616">
        <v>2</v>
      </c>
      <c r="J616">
        <v>0.24</v>
      </c>
      <c r="K616">
        <v>0.2273</v>
      </c>
      <c r="L616">
        <v>0.7</v>
      </c>
      <c r="M616">
        <v>0.19400000000000001</v>
      </c>
      <c r="N616">
        <v>1</v>
      </c>
      <c r="O616">
        <v>61</v>
      </c>
      <c r="P616">
        <v>62</v>
      </c>
    </row>
    <row r="617" spans="1:22" x14ac:dyDescent="0.3">
      <c r="A617">
        <v>616</v>
      </c>
      <c r="B617" s="2">
        <v>40571</v>
      </c>
      <c r="C617">
        <v>1</v>
      </c>
      <c r="D617">
        <v>0</v>
      </c>
      <c r="E617">
        <v>1</v>
      </c>
      <c r="F617">
        <v>21</v>
      </c>
      <c r="G617" t="b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</row>
    <row r="618" spans="1:22" x14ac:dyDescent="0.3">
      <c r="A618">
        <v>617</v>
      </c>
      <c r="B618" s="2">
        <v>40571</v>
      </c>
      <c r="C618">
        <v>1</v>
      </c>
      <c r="D618">
        <v>0</v>
      </c>
      <c r="E618">
        <v>1</v>
      </c>
      <c r="F618">
        <v>22</v>
      </c>
      <c r="G618" t="b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</row>
    <row r="619" spans="1:22" x14ac:dyDescent="0.3">
      <c r="A619">
        <v>618</v>
      </c>
      <c r="B619" s="2">
        <v>40571</v>
      </c>
      <c r="C619">
        <v>1</v>
      </c>
      <c r="D619">
        <v>0</v>
      </c>
      <c r="E619">
        <v>1</v>
      </c>
      <c r="F619">
        <v>23</v>
      </c>
      <c r="G619" t="b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</row>
    <row r="620" spans="1:22" x14ac:dyDescent="0.3">
      <c r="A620">
        <v>619</v>
      </c>
      <c r="B620" s="2">
        <v>40572</v>
      </c>
      <c r="C620">
        <v>1</v>
      </c>
      <c r="D620">
        <v>0</v>
      </c>
      <c r="E620">
        <v>1</v>
      </c>
      <c r="F620">
        <v>0</v>
      </c>
      <c r="G620" t="b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</row>
    <row r="621" spans="1:22" x14ac:dyDescent="0.3">
      <c r="A621">
        <v>620</v>
      </c>
      <c r="B621" s="2">
        <v>40572</v>
      </c>
      <c r="C621">
        <v>1</v>
      </c>
      <c r="D621">
        <v>0</v>
      </c>
      <c r="E621">
        <v>1</v>
      </c>
      <c r="F621">
        <v>1</v>
      </c>
      <c r="G621" t="b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</row>
    <row r="622" spans="1:22" x14ac:dyDescent="0.3">
      <c r="A622">
        <v>621</v>
      </c>
      <c r="B622" s="2">
        <v>40572</v>
      </c>
      <c r="C622">
        <v>1</v>
      </c>
      <c r="D622">
        <v>0</v>
      </c>
      <c r="E622">
        <v>1</v>
      </c>
      <c r="F622">
        <v>2</v>
      </c>
      <c r="G622" t="b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</row>
    <row r="623" spans="1:22" x14ac:dyDescent="0.3">
      <c r="A623">
        <v>622</v>
      </c>
      <c r="B623" s="2">
        <v>40572</v>
      </c>
      <c r="C623">
        <v>1</v>
      </c>
      <c r="D623">
        <v>0</v>
      </c>
      <c r="E623">
        <v>1</v>
      </c>
      <c r="F623">
        <v>3</v>
      </c>
      <c r="G623" t="b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</row>
    <row r="624" spans="1:22" x14ac:dyDescent="0.3">
      <c r="A624">
        <v>623</v>
      </c>
      <c r="B624" s="2">
        <v>40572</v>
      </c>
      <c r="C624">
        <v>1</v>
      </c>
      <c r="D624">
        <v>0</v>
      </c>
      <c r="E624">
        <v>1</v>
      </c>
      <c r="F624">
        <v>4</v>
      </c>
      <c r="G624" t="b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</row>
    <row r="625" spans="1:16" x14ac:dyDescent="0.3">
      <c r="A625">
        <v>624</v>
      </c>
      <c r="B625" s="2">
        <v>40572</v>
      </c>
      <c r="C625">
        <v>1</v>
      </c>
      <c r="D625">
        <v>0</v>
      </c>
      <c r="E625">
        <v>1</v>
      </c>
      <c r="F625">
        <v>6</v>
      </c>
      <c r="G625" t="b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</row>
    <row r="626" spans="1:16" x14ac:dyDescent="0.3">
      <c r="A626">
        <v>625</v>
      </c>
      <c r="B626" s="2">
        <v>40572</v>
      </c>
      <c r="C626">
        <v>1</v>
      </c>
      <c r="D626">
        <v>0</v>
      </c>
      <c r="E626">
        <v>1</v>
      </c>
      <c r="F626">
        <v>7</v>
      </c>
      <c r="G626" t="b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</row>
    <row r="627" spans="1:16" x14ac:dyDescent="0.3">
      <c r="A627">
        <v>626</v>
      </c>
      <c r="B627" s="2">
        <v>40572</v>
      </c>
      <c r="C627">
        <v>1</v>
      </c>
      <c r="D627">
        <v>0</v>
      </c>
      <c r="E627">
        <v>1</v>
      </c>
      <c r="F627">
        <v>8</v>
      </c>
      <c r="G627" t="b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</row>
    <row r="628" spans="1:16" x14ac:dyDescent="0.3">
      <c r="A628">
        <v>627</v>
      </c>
      <c r="B628" s="2">
        <v>40572</v>
      </c>
      <c r="C628">
        <v>1</v>
      </c>
      <c r="D628">
        <v>0</v>
      </c>
      <c r="E628">
        <v>1</v>
      </c>
      <c r="F628">
        <v>9</v>
      </c>
      <c r="G628" t="b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</row>
    <row r="629" spans="1:16" x14ac:dyDescent="0.3">
      <c r="A629">
        <v>628</v>
      </c>
      <c r="B629" s="2">
        <v>40572</v>
      </c>
      <c r="C629">
        <v>1</v>
      </c>
      <c r="D629">
        <v>0</v>
      </c>
      <c r="E629">
        <v>1</v>
      </c>
      <c r="F629">
        <v>10</v>
      </c>
      <c r="G629" t="b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</row>
    <row r="630" spans="1:16" x14ac:dyDescent="0.3">
      <c r="A630">
        <v>629</v>
      </c>
      <c r="B630" s="2">
        <v>40572</v>
      </c>
      <c r="C630">
        <v>1</v>
      </c>
      <c r="D630">
        <v>0</v>
      </c>
      <c r="E630">
        <v>1</v>
      </c>
      <c r="F630">
        <v>11</v>
      </c>
      <c r="G630" t="b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</row>
    <row r="631" spans="1:16" x14ac:dyDescent="0.3">
      <c r="A631">
        <v>630</v>
      </c>
      <c r="B631" s="2">
        <v>40572</v>
      </c>
      <c r="C631">
        <v>1</v>
      </c>
      <c r="D631">
        <v>0</v>
      </c>
      <c r="E631">
        <v>1</v>
      </c>
      <c r="F631">
        <v>12</v>
      </c>
      <c r="G631" t="b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</row>
    <row r="632" spans="1:16" x14ac:dyDescent="0.3">
      <c r="A632">
        <v>631</v>
      </c>
      <c r="B632" s="2">
        <v>40572</v>
      </c>
      <c r="C632">
        <v>1</v>
      </c>
      <c r="D632">
        <v>0</v>
      </c>
      <c r="E632">
        <v>1</v>
      </c>
      <c r="F632">
        <v>13</v>
      </c>
      <c r="G632" t="b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</row>
    <row r="633" spans="1:16" x14ac:dyDescent="0.3">
      <c r="A633">
        <v>632</v>
      </c>
      <c r="B633" s="2">
        <v>40572</v>
      </c>
      <c r="C633">
        <v>1</v>
      </c>
      <c r="D633">
        <v>0</v>
      </c>
      <c r="E633">
        <v>1</v>
      </c>
      <c r="F633">
        <v>14</v>
      </c>
      <c r="G633" t="b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</row>
    <row r="634" spans="1:16" x14ac:dyDescent="0.3">
      <c r="A634">
        <v>633</v>
      </c>
      <c r="B634" s="2">
        <v>40572</v>
      </c>
      <c r="C634">
        <v>1</v>
      </c>
      <c r="D634">
        <v>0</v>
      </c>
      <c r="E634">
        <v>1</v>
      </c>
      <c r="F634">
        <v>15</v>
      </c>
      <c r="G634" t="b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</row>
    <row r="635" spans="1:16" x14ac:dyDescent="0.3">
      <c r="A635">
        <v>634</v>
      </c>
      <c r="B635" s="2">
        <v>40572</v>
      </c>
      <c r="C635">
        <v>1</v>
      </c>
      <c r="D635">
        <v>0</v>
      </c>
      <c r="E635">
        <v>1</v>
      </c>
      <c r="F635">
        <v>16</v>
      </c>
      <c r="G635" t="b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</row>
    <row r="636" spans="1:16" x14ac:dyDescent="0.3">
      <c r="A636">
        <v>635</v>
      </c>
      <c r="B636" s="2">
        <v>40572</v>
      </c>
      <c r="C636">
        <v>1</v>
      </c>
      <c r="D636">
        <v>0</v>
      </c>
      <c r="E636">
        <v>1</v>
      </c>
      <c r="F636">
        <v>17</v>
      </c>
      <c r="G636" t="b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</row>
    <row r="637" spans="1:16" x14ac:dyDescent="0.3">
      <c r="A637">
        <v>636</v>
      </c>
      <c r="B637" s="2">
        <v>40572</v>
      </c>
      <c r="C637">
        <v>1</v>
      </c>
      <c r="D637">
        <v>0</v>
      </c>
      <c r="E637">
        <v>1</v>
      </c>
      <c r="F637">
        <v>18</v>
      </c>
      <c r="G637" t="b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</row>
    <row r="638" spans="1:16" x14ac:dyDescent="0.3">
      <c r="A638">
        <v>637</v>
      </c>
      <c r="B638" s="2">
        <v>40572</v>
      </c>
      <c r="C638">
        <v>1</v>
      </c>
      <c r="D638">
        <v>0</v>
      </c>
      <c r="E638">
        <v>1</v>
      </c>
      <c r="F638">
        <v>19</v>
      </c>
      <c r="G638" t="b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</row>
    <row r="639" spans="1:16" x14ac:dyDescent="0.3">
      <c r="A639">
        <v>638</v>
      </c>
      <c r="B639" s="2">
        <v>40572</v>
      </c>
      <c r="C639">
        <v>1</v>
      </c>
      <c r="D639">
        <v>0</v>
      </c>
      <c r="E639">
        <v>1</v>
      </c>
      <c r="F639">
        <v>20</v>
      </c>
      <c r="G639" t="b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</row>
    <row r="640" spans="1:16" x14ac:dyDescent="0.3">
      <c r="A640">
        <v>639</v>
      </c>
      <c r="B640" s="2">
        <v>40572</v>
      </c>
      <c r="C640">
        <v>1</v>
      </c>
      <c r="D640">
        <v>0</v>
      </c>
      <c r="E640">
        <v>1</v>
      </c>
      <c r="F640">
        <v>21</v>
      </c>
      <c r="G640" t="b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</row>
    <row r="641" spans="1:16" x14ac:dyDescent="0.3">
      <c r="A641">
        <v>640</v>
      </c>
      <c r="B641" s="2">
        <v>40572</v>
      </c>
      <c r="C641">
        <v>1</v>
      </c>
      <c r="D641">
        <v>0</v>
      </c>
      <c r="E641">
        <v>1</v>
      </c>
      <c r="F641">
        <v>22</v>
      </c>
      <c r="G641" t="b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</row>
    <row r="642" spans="1:16" x14ac:dyDescent="0.3">
      <c r="A642">
        <v>641</v>
      </c>
      <c r="B642" s="2">
        <v>40572</v>
      </c>
      <c r="C642">
        <v>1</v>
      </c>
      <c r="D642">
        <v>0</v>
      </c>
      <c r="E642">
        <v>1</v>
      </c>
      <c r="F642">
        <v>23</v>
      </c>
      <c r="G642" t="b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</row>
    <row r="643" spans="1:16" x14ac:dyDescent="0.3">
      <c r="A643">
        <v>642</v>
      </c>
      <c r="B643" s="2">
        <v>40573</v>
      </c>
      <c r="C643">
        <v>1</v>
      </c>
      <c r="D643">
        <v>0</v>
      </c>
      <c r="E643">
        <v>1</v>
      </c>
      <c r="F643">
        <v>0</v>
      </c>
      <c r="G643" t="b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</row>
    <row r="644" spans="1:16" x14ac:dyDescent="0.3">
      <c r="A644">
        <v>643</v>
      </c>
      <c r="B644" s="2">
        <v>40573</v>
      </c>
      <c r="C644">
        <v>1</v>
      </c>
      <c r="D644">
        <v>0</v>
      </c>
      <c r="E644">
        <v>1</v>
      </c>
      <c r="F644">
        <v>1</v>
      </c>
      <c r="G644" t="b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</row>
    <row r="645" spans="1:16" x14ac:dyDescent="0.3">
      <c r="A645">
        <v>644</v>
      </c>
      <c r="B645" s="2">
        <v>40573</v>
      </c>
      <c r="C645">
        <v>1</v>
      </c>
      <c r="D645">
        <v>0</v>
      </c>
      <c r="E645">
        <v>1</v>
      </c>
      <c r="F645">
        <v>2</v>
      </c>
      <c r="G645" t="b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</row>
    <row r="646" spans="1:16" x14ac:dyDescent="0.3">
      <c r="A646">
        <v>645</v>
      </c>
      <c r="B646" s="2">
        <v>40573</v>
      </c>
      <c r="C646">
        <v>1</v>
      </c>
      <c r="D646">
        <v>0</v>
      </c>
      <c r="E646">
        <v>1</v>
      </c>
      <c r="F646">
        <v>3</v>
      </c>
      <c r="G646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</row>
    <row r="647" spans="1:16" x14ac:dyDescent="0.3">
      <c r="A647">
        <v>646</v>
      </c>
      <c r="B647" s="2">
        <v>40573</v>
      </c>
      <c r="C647">
        <v>1</v>
      </c>
      <c r="D647">
        <v>0</v>
      </c>
      <c r="E647">
        <v>1</v>
      </c>
      <c r="F647">
        <v>4</v>
      </c>
      <c r="G647" t="b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</row>
    <row r="648" spans="1:16" x14ac:dyDescent="0.3">
      <c r="A648">
        <v>647</v>
      </c>
      <c r="B648" s="2">
        <v>40573</v>
      </c>
      <c r="C648">
        <v>1</v>
      </c>
      <c r="D648">
        <v>0</v>
      </c>
      <c r="E648">
        <v>1</v>
      </c>
      <c r="F648">
        <v>5</v>
      </c>
      <c r="G648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</row>
    <row r="649" spans="1:16" x14ac:dyDescent="0.3">
      <c r="A649">
        <v>648</v>
      </c>
      <c r="B649" s="2">
        <v>40573</v>
      </c>
      <c r="C649">
        <v>1</v>
      </c>
      <c r="D649">
        <v>0</v>
      </c>
      <c r="E649">
        <v>1</v>
      </c>
      <c r="F649">
        <v>7</v>
      </c>
      <c r="G649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</row>
    <row r="650" spans="1:16" x14ac:dyDescent="0.3">
      <c r="A650">
        <v>649</v>
      </c>
      <c r="B650" s="2">
        <v>40573</v>
      </c>
      <c r="C650">
        <v>1</v>
      </c>
      <c r="D650">
        <v>0</v>
      </c>
      <c r="E650">
        <v>1</v>
      </c>
      <c r="F650">
        <v>8</v>
      </c>
      <c r="G650" t="b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</row>
    <row r="651" spans="1:16" x14ac:dyDescent="0.3">
      <c r="A651">
        <v>650</v>
      </c>
      <c r="B651" s="2">
        <v>40573</v>
      </c>
      <c r="C651">
        <v>1</v>
      </c>
      <c r="D651">
        <v>0</v>
      </c>
      <c r="E651">
        <v>1</v>
      </c>
      <c r="F651">
        <v>9</v>
      </c>
      <c r="G651" t="b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</row>
    <row r="652" spans="1:16" x14ac:dyDescent="0.3">
      <c r="A652">
        <v>651</v>
      </c>
      <c r="B652" s="2">
        <v>40573</v>
      </c>
      <c r="C652">
        <v>1</v>
      </c>
      <c r="D652">
        <v>0</v>
      </c>
      <c r="E652">
        <v>1</v>
      </c>
      <c r="F652">
        <v>10</v>
      </c>
      <c r="G652" t="b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</row>
    <row r="653" spans="1:16" x14ac:dyDescent="0.3">
      <c r="A653">
        <v>652</v>
      </c>
      <c r="B653" s="2">
        <v>40573</v>
      </c>
      <c r="C653">
        <v>1</v>
      </c>
      <c r="D653">
        <v>0</v>
      </c>
      <c r="E653">
        <v>1</v>
      </c>
      <c r="F653">
        <v>11</v>
      </c>
      <c r="G653" t="b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</row>
    <row r="654" spans="1:16" x14ac:dyDescent="0.3">
      <c r="A654">
        <v>653</v>
      </c>
      <c r="B654" s="2">
        <v>40573</v>
      </c>
      <c r="C654">
        <v>1</v>
      </c>
      <c r="D654">
        <v>0</v>
      </c>
      <c r="E654">
        <v>1</v>
      </c>
      <c r="F654">
        <v>12</v>
      </c>
      <c r="G654" t="b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</row>
    <row r="655" spans="1:16" x14ac:dyDescent="0.3">
      <c r="A655">
        <v>654</v>
      </c>
      <c r="B655" s="2">
        <v>40573</v>
      </c>
      <c r="C655">
        <v>1</v>
      </c>
      <c r="D655">
        <v>0</v>
      </c>
      <c r="E655">
        <v>1</v>
      </c>
      <c r="F655">
        <v>13</v>
      </c>
      <c r="G655" t="b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</row>
    <row r="656" spans="1:16" x14ac:dyDescent="0.3">
      <c r="A656">
        <v>655</v>
      </c>
      <c r="B656" s="2">
        <v>40573</v>
      </c>
      <c r="C656">
        <v>1</v>
      </c>
      <c r="D656">
        <v>0</v>
      </c>
      <c r="E656">
        <v>1</v>
      </c>
      <c r="F656">
        <v>14</v>
      </c>
      <c r="G656" t="b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</row>
    <row r="657" spans="1:16" x14ac:dyDescent="0.3">
      <c r="A657">
        <v>656</v>
      </c>
      <c r="B657" s="2">
        <v>40573</v>
      </c>
      <c r="C657">
        <v>1</v>
      </c>
      <c r="D657">
        <v>0</v>
      </c>
      <c r="E657">
        <v>1</v>
      </c>
      <c r="F657">
        <v>15</v>
      </c>
      <c r="G657" t="b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</row>
    <row r="658" spans="1:16" x14ac:dyDescent="0.3">
      <c r="A658">
        <v>657</v>
      </c>
      <c r="B658" s="2">
        <v>40573</v>
      </c>
      <c r="C658">
        <v>1</v>
      </c>
      <c r="D658">
        <v>0</v>
      </c>
      <c r="E658">
        <v>1</v>
      </c>
      <c r="F658">
        <v>16</v>
      </c>
      <c r="G658" t="b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</row>
    <row r="659" spans="1:16" x14ac:dyDescent="0.3">
      <c r="A659">
        <v>658</v>
      </c>
      <c r="B659" s="2">
        <v>40573</v>
      </c>
      <c r="C659">
        <v>1</v>
      </c>
      <c r="D659">
        <v>0</v>
      </c>
      <c r="E659">
        <v>1</v>
      </c>
      <c r="F659">
        <v>17</v>
      </c>
      <c r="G659" t="b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</row>
    <row r="660" spans="1:16" x14ac:dyDescent="0.3">
      <c r="A660">
        <v>659</v>
      </c>
      <c r="B660" s="2">
        <v>40573</v>
      </c>
      <c r="C660">
        <v>1</v>
      </c>
      <c r="D660">
        <v>0</v>
      </c>
      <c r="E660">
        <v>1</v>
      </c>
      <c r="F660">
        <v>18</v>
      </c>
      <c r="G660" t="b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</row>
    <row r="661" spans="1:16" x14ac:dyDescent="0.3">
      <c r="A661">
        <v>660</v>
      </c>
      <c r="B661" s="2">
        <v>40573</v>
      </c>
      <c r="C661">
        <v>1</v>
      </c>
      <c r="D661">
        <v>0</v>
      </c>
      <c r="E661">
        <v>1</v>
      </c>
      <c r="F661">
        <v>19</v>
      </c>
      <c r="G661" t="b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</row>
    <row r="662" spans="1:16" x14ac:dyDescent="0.3">
      <c r="A662">
        <v>661</v>
      </c>
      <c r="B662" s="2">
        <v>40573</v>
      </c>
      <c r="C662">
        <v>1</v>
      </c>
      <c r="D662">
        <v>0</v>
      </c>
      <c r="E662">
        <v>1</v>
      </c>
      <c r="F662">
        <v>20</v>
      </c>
      <c r="G662" t="b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</row>
    <row r="663" spans="1:16" x14ac:dyDescent="0.3">
      <c r="A663">
        <v>662</v>
      </c>
      <c r="B663" s="2">
        <v>40573</v>
      </c>
      <c r="C663">
        <v>1</v>
      </c>
      <c r="D663">
        <v>0</v>
      </c>
      <c r="E663">
        <v>1</v>
      </c>
      <c r="F663">
        <v>21</v>
      </c>
      <c r="G663" t="b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</row>
    <row r="664" spans="1:16" x14ac:dyDescent="0.3">
      <c r="A664">
        <v>663</v>
      </c>
      <c r="B664" s="2">
        <v>40573</v>
      </c>
      <c r="C664">
        <v>1</v>
      </c>
      <c r="D664">
        <v>0</v>
      </c>
      <c r="E664">
        <v>1</v>
      </c>
      <c r="F664">
        <v>22</v>
      </c>
      <c r="G664" t="b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</row>
    <row r="665" spans="1:16" x14ac:dyDescent="0.3">
      <c r="A665">
        <v>664</v>
      </c>
      <c r="B665" s="2">
        <v>40573</v>
      </c>
      <c r="C665">
        <v>1</v>
      </c>
      <c r="D665">
        <v>0</v>
      </c>
      <c r="E665">
        <v>1</v>
      </c>
      <c r="F665">
        <v>23</v>
      </c>
      <c r="G665" t="b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</row>
    <row r="666" spans="1:16" x14ac:dyDescent="0.3">
      <c r="A666">
        <v>665</v>
      </c>
      <c r="B666" s="2">
        <v>40574</v>
      </c>
      <c r="C666">
        <v>1</v>
      </c>
      <c r="D666">
        <v>0</v>
      </c>
      <c r="E666">
        <v>1</v>
      </c>
      <c r="F666">
        <v>0</v>
      </c>
      <c r="G666" t="b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</row>
    <row r="667" spans="1:16" x14ac:dyDescent="0.3">
      <c r="A667">
        <v>666</v>
      </c>
      <c r="B667" s="2">
        <v>40574</v>
      </c>
      <c r="C667">
        <v>1</v>
      </c>
      <c r="D667">
        <v>0</v>
      </c>
      <c r="E667">
        <v>1</v>
      </c>
      <c r="F667">
        <v>1</v>
      </c>
      <c r="G667" t="b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</row>
    <row r="668" spans="1:16" x14ac:dyDescent="0.3">
      <c r="A668">
        <v>667</v>
      </c>
      <c r="B668" s="2">
        <v>40574</v>
      </c>
      <c r="C668">
        <v>1</v>
      </c>
      <c r="D668">
        <v>0</v>
      </c>
      <c r="E668">
        <v>1</v>
      </c>
      <c r="F668">
        <v>2</v>
      </c>
      <c r="G668" t="b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</row>
    <row r="669" spans="1:16" x14ac:dyDescent="0.3">
      <c r="A669">
        <v>668</v>
      </c>
      <c r="B669" s="2">
        <v>40574</v>
      </c>
      <c r="C669">
        <v>1</v>
      </c>
      <c r="D669">
        <v>0</v>
      </c>
      <c r="E669">
        <v>1</v>
      </c>
      <c r="F669">
        <v>3</v>
      </c>
      <c r="G669" t="b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</row>
    <row r="670" spans="1:16" x14ac:dyDescent="0.3">
      <c r="A670">
        <v>669</v>
      </c>
      <c r="B670" s="2">
        <v>40574</v>
      </c>
      <c r="C670">
        <v>1</v>
      </c>
      <c r="D670">
        <v>0</v>
      </c>
      <c r="E670">
        <v>1</v>
      </c>
      <c r="F670">
        <v>4</v>
      </c>
      <c r="G670" t="b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</row>
    <row r="671" spans="1:16" x14ac:dyDescent="0.3">
      <c r="A671">
        <v>670</v>
      </c>
      <c r="B671" s="2">
        <v>40574</v>
      </c>
      <c r="C671">
        <v>1</v>
      </c>
      <c r="D671">
        <v>0</v>
      </c>
      <c r="E671">
        <v>1</v>
      </c>
      <c r="F671">
        <v>5</v>
      </c>
      <c r="G671" t="b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</row>
    <row r="672" spans="1:16" x14ac:dyDescent="0.3">
      <c r="A672">
        <v>671</v>
      </c>
      <c r="B672" s="2">
        <v>40574</v>
      </c>
      <c r="C672">
        <v>1</v>
      </c>
      <c r="D672">
        <v>0</v>
      </c>
      <c r="E672">
        <v>1</v>
      </c>
      <c r="F672">
        <v>6</v>
      </c>
      <c r="G672" t="b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</row>
    <row r="673" spans="1:16" x14ac:dyDescent="0.3">
      <c r="A673">
        <v>672</v>
      </c>
      <c r="B673" s="2">
        <v>40574</v>
      </c>
      <c r="C673">
        <v>1</v>
      </c>
      <c r="D673">
        <v>0</v>
      </c>
      <c r="E673">
        <v>1</v>
      </c>
      <c r="F673">
        <v>7</v>
      </c>
      <c r="G673" t="b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</row>
    <row r="674" spans="1:16" x14ac:dyDescent="0.3">
      <c r="A674">
        <v>673</v>
      </c>
      <c r="B674" s="2">
        <v>40574</v>
      </c>
      <c r="C674">
        <v>1</v>
      </c>
      <c r="D674">
        <v>0</v>
      </c>
      <c r="E674">
        <v>1</v>
      </c>
      <c r="F674">
        <v>8</v>
      </c>
      <c r="G674" t="b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</row>
    <row r="675" spans="1:16" x14ac:dyDescent="0.3">
      <c r="A675">
        <v>674</v>
      </c>
      <c r="B675" s="2">
        <v>40574</v>
      </c>
      <c r="C675">
        <v>1</v>
      </c>
      <c r="D675">
        <v>0</v>
      </c>
      <c r="E675">
        <v>1</v>
      </c>
      <c r="F675">
        <v>9</v>
      </c>
      <c r="G675" t="b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</row>
    <row r="676" spans="1:16" x14ac:dyDescent="0.3">
      <c r="A676">
        <v>675</v>
      </c>
      <c r="B676" s="2">
        <v>40574</v>
      </c>
      <c r="C676">
        <v>1</v>
      </c>
      <c r="D676">
        <v>0</v>
      </c>
      <c r="E676">
        <v>1</v>
      </c>
      <c r="F676">
        <v>10</v>
      </c>
      <c r="G676" t="b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</row>
    <row r="677" spans="1:16" x14ac:dyDescent="0.3">
      <c r="A677">
        <v>676</v>
      </c>
      <c r="B677" s="2">
        <v>40574</v>
      </c>
      <c r="C677">
        <v>1</v>
      </c>
      <c r="D677">
        <v>0</v>
      </c>
      <c r="E677">
        <v>1</v>
      </c>
      <c r="F677">
        <v>11</v>
      </c>
      <c r="G677" t="b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</row>
    <row r="678" spans="1:16" x14ac:dyDescent="0.3">
      <c r="A678">
        <v>677</v>
      </c>
      <c r="B678" s="2">
        <v>40574</v>
      </c>
      <c r="C678">
        <v>1</v>
      </c>
      <c r="D678">
        <v>0</v>
      </c>
      <c r="E678">
        <v>1</v>
      </c>
      <c r="F678">
        <v>12</v>
      </c>
      <c r="G678" t="b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</row>
    <row r="679" spans="1:16" x14ac:dyDescent="0.3">
      <c r="A679">
        <v>678</v>
      </c>
      <c r="B679" s="2">
        <v>40574</v>
      </c>
      <c r="C679">
        <v>1</v>
      </c>
      <c r="D679">
        <v>0</v>
      </c>
      <c r="E679">
        <v>1</v>
      </c>
      <c r="F679">
        <v>13</v>
      </c>
      <c r="G679" t="b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</row>
    <row r="680" spans="1:16" x14ac:dyDescent="0.3">
      <c r="A680">
        <v>679</v>
      </c>
      <c r="B680" s="2">
        <v>40574</v>
      </c>
      <c r="C680">
        <v>1</v>
      </c>
      <c r="D680">
        <v>0</v>
      </c>
      <c r="E680">
        <v>1</v>
      </c>
      <c r="F680">
        <v>14</v>
      </c>
      <c r="G680" t="b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</row>
    <row r="681" spans="1:16" x14ac:dyDescent="0.3">
      <c r="A681">
        <v>680</v>
      </c>
      <c r="B681" s="2">
        <v>40574</v>
      </c>
      <c r="C681">
        <v>1</v>
      </c>
      <c r="D681">
        <v>0</v>
      </c>
      <c r="E681">
        <v>1</v>
      </c>
      <c r="F681">
        <v>15</v>
      </c>
      <c r="G681" t="b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</row>
    <row r="682" spans="1:16" x14ac:dyDescent="0.3">
      <c r="A682">
        <v>681</v>
      </c>
      <c r="B682" s="2">
        <v>40574</v>
      </c>
      <c r="C682">
        <v>1</v>
      </c>
      <c r="D682">
        <v>0</v>
      </c>
      <c r="E682">
        <v>1</v>
      </c>
      <c r="F682">
        <v>16</v>
      </c>
      <c r="G682" t="b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</row>
    <row r="683" spans="1:16" x14ac:dyDescent="0.3">
      <c r="A683">
        <v>682</v>
      </c>
      <c r="B683" s="2">
        <v>40574</v>
      </c>
      <c r="C683">
        <v>1</v>
      </c>
      <c r="D683">
        <v>0</v>
      </c>
      <c r="E683">
        <v>1</v>
      </c>
      <c r="F683">
        <v>17</v>
      </c>
      <c r="G683" t="b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</row>
    <row r="684" spans="1:16" x14ac:dyDescent="0.3">
      <c r="A684">
        <v>683</v>
      </c>
      <c r="B684" s="2">
        <v>40574</v>
      </c>
      <c r="C684">
        <v>1</v>
      </c>
      <c r="D684">
        <v>0</v>
      </c>
      <c r="E684">
        <v>1</v>
      </c>
      <c r="F684">
        <v>18</v>
      </c>
      <c r="G684" t="b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</row>
    <row r="685" spans="1:16" x14ac:dyDescent="0.3">
      <c r="A685">
        <v>684</v>
      </c>
      <c r="B685" s="2">
        <v>40574</v>
      </c>
      <c r="C685">
        <v>1</v>
      </c>
      <c r="D685">
        <v>0</v>
      </c>
      <c r="E685">
        <v>1</v>
      </c>
      <c r="F685">
        <v>19</v>
      </c>
      <c r="G685" t="b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</row>
    <row r="686" spans="1:16" x14ac:dyDescent="0.3">
      <c r="A686">
        <v>685</v>
      </c>
      <c r="B686" s="2">
        <v>40574</v>
      </c>
      <c r="C686">
        <v>1</v>
      </c>
      <c r="D686">
        <v>0</v>
      </c>
      <c r="E686">
        <v>1</v>
      </c>
      <c r="F686">
        <v>20</v>
      </c>
      <c r="G686" t="b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</row>
    <row r="687" spans="1:16" x14ac:dyDescent="0.3">
      <c r="A687">
        <v>686</v>
      </c>
      <c r="B687" s="2">
        <v>40574</v>
      </c>
      <c r="C687">
        <v>1</v>
      </c>
      <c r="D687">
        <v>0</v>
      </c>
      <c r="E687">
        <v>1</v>
      </c>
      <c r="F687">
        <v>21</v>
      </c>
      <c r="G687" t="b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</row>
    <row r="688" spans="1:16" x14ac:dyDescent="0.3">
      <c r="A688">
        <v>687</v>
      </c>
      <c r="B688" s="2">
        <v>40574</v>
      </c>
      <c r="C688">
        <v>1</v>
      </c>
      <c r="D688">
        <v>0</v>
      </c>
      <c r="E688">
        <v>1</v>
      </c>
      <c r="F688">
        <v>22</v>
      </c>
      <c r="G688" t="b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</row>
    <row r="689" spans="1:16" x14ac:dyDescent="0.3">
      <c r="A689">
        <v>688</v>
      </c>
      <c r="B689" s="2">
        <v>40574</v>
      </c>
      <c r="C689">
        <v>1</v>
      </c>
      <c r="D689">
        <v>0</v>
      </c>
      <c r="E689">
        <v>1</v>
      </c>
      <c r="F689">
        <v>23</v>
      </c>
      <c r="G689" t="b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</row>
    <row r="690" spans="1:16" x14ac:dyDescent="0.3">
      <c r="A690">
        <v>689</v>
      </c>
      <c r="B690" s="2">
        <v>40575</v>
      </c>
      <c r="C690">
        <v>1</v>
      </c>
      <c r="D690">
        <v>0</v>
      </c>
      <c r="E690">
        <v>2</v>
      </c>
      <c r="F690">
        <v>0</v>
      </c>
      <c r="G690" t="b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</row>
    <row r="691" spans="1:16" x14ac:dyDescent="0.3">
      <c r="A691">
        <v>690</v>
      </c>
      <c r="B691" s="2">
        <v>40575</v>
      </c>
      <c r="C691">
        <v>1</v>
      </c>
      <c r="D691">
        <v>0</v>
      </c>
      <c r="E691">
        <v>2</v>
      </c>
      <c r="F691">
        <v>1</v>
      </c>
      <c r="G691" t="b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</row>
    <row r="692" spans="1:16" x14ac:dyDescent="0.3">
      <c r="A692">
        <v>691</v>
      </c>
      <c r="B692" s="2">
        <v>40575</v>
      </c>
      <c r="C692">
        <v>1</v>
      </c>
      <c r="D692">
        <v>0</v>
      </c>
      <c r="E692">
        <v>2</v>
      </c>
      <c r="F692">
        <v>2</v>
      </c>
      <c r="G692" t="b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</row>
    <row r="693" spans="1:16" x14ac:dyDescent="0.3">
      <c r="A693">
        <v>692</v>
      </c>
      <c r="B693" s="2">
        <v>40575</v>
      </c>
      <c r="C693">
        <v>1</v>
      </c>
      <c r="D693">
        <v>0</v>
      </c>
      <c r="E693">
        <v>2</v>
      </c>
      <c r="F693">
        <v>3</v>
      </c>
      <c r="G693" t="b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</row>
    <row r="694" spans="1:16" x14ac:dyDescent="0.3">
      <c r="A694">
        <v>693</v>
      </c>
      <c r="B694" s="2">
        <v>40575</v>
      </c>
      <c r="C694">
        <v>1</v>
      </c>
      <c r="D694">
        <v>0</v>
      </c>
      <c r="E694">
        <v>2</v>
      </c>
      <c r="F694">
        <v>5</v>
      </c>
      <c r="G694" t="b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</row>
    <row r="695" spans="1:16" x14ac:dyDescent="0.3">
      <c r="A695">
        <v>694</v>
      </c>
      <c r="B695" s="2">
        <v>40575</v>
      </c>
      <c r="C695">
        <v>1</v>
      </c>
      <c r="D695">
        <v>0</v>
      </c>
      <c r="E695">
        <v>2</v>
      </c>
      <c r="F695">
        <v>6</v>
      </c>
      <c r="G695" t="b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</row>
    <row r="696" spans="1:16" x14ac:dyDescent="0.3">
      <c r="A696">
        <v>695</v>
      </c>
      <c r="B696" s="2">
        <v>40575</v>
      </c>
      <c r="C696">
        <v>1</v>
      </c>
      <c r="D696">
        <v>0</v>
      </c>
      <c r="E696">
        <v>2</v>
      </c>
      <c r="F696">
        <v>7</v>
      </c>
      <c r="G696" t="b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</row>
    <row r="697" spans="1:16" x14ac:dyDescent="0.3">
      <c r="A697">
        <v>696</v>
      </c>
      <c r="B697" s="2">
        <v>40575</v>
      </c>
      <c r="C697">
        <v>1</v>
      </c>
      <c r="D697">
        <v>0</v>
      </c>
      <c r="E697">
        <v>2</v>
      </c>
      <c r="F697">
        <v>8</v>
      </c>
      <c r="G697" t="b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</row>
    <row r="698" spans="1:16" x14ac:dyDescent="0.3">
      <c r="A698">
        <v>697</v>
      </c>
      <c r="B698" s="2">
        <v>40575</v>
      </c>
      <c r="C698">
        <v>1</v>
      </c>
      <c r="D698">
        <v>0</v>
      </c>
      <c r="E698">
        <v>2</v>
      </c>
      <c r="F698">
        <v>9</v>
      </c>
      <c r="G698" t="b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</row>
    <row r="699" spans="1:16" x14ac:dyDescent="0.3">
      <c r="A699">
        <v>698</v>
      </c>
      <c r="B699" s="2">
        <v>40575</v>
      </c>
      <c r="C699">
        <v>1</v>
      </c>
      <c r="D699">
        <v>0</v>
      </c>
      <c r="E699">
        <v>2</v>
      </c>
      <c r="F699">
        <v>10</v>
      </c>
      <c r="G699" t="b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</row>
    <row r="700" spans="1:16" x14ac:dyDescent="0.3">
      <c r="A700">
        <v>699</v>
      </c>
      <c r="B700" s="2">
        <v>40575</v>
      </c>
      <c r="C700">
        <v>1</v>
      </c>
      <c r="D700">
        <v>0</v>
      </c>
      <c r="E700">
        <v>2</v>
      </c>
      <c r="F700">
        <v>11</v>
      </c>
      <c r="G700" t="b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</row>
    <row r="701" spans="1:16" x14ac:dyDescent="0.3">
      <c r="A701">
        <v>700</v>
      </c>
      <c r="B701" s="2">
        <v>40575</v>
      </c>
      <c r="C701">
        <v>1</v>
      </c>
      <c r="D701">
        <v>0</v>
      </c>
      <c r="E701">
        <v>2</v>
      </c>
      <c r="F701">
        <v>12</v>
      </c>
      <c r="G701" t="b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</row>
    <row r="702" spans="1:16" x14ac:dyDescent="0.3">
      <c r="A702">
        <v>701</v>
      </c>
      <c r="B702" s="2">
        <v>40575</v>
      </c>
      <c r="C702">
        <v>1</v>
      </c>
      <c r="D702">
        <v>0</v>
      </c>
      <c r="E702">
        <v>2</v>
      </c>
      <c r="F702">
        <v>13</v>
      </c>
      <c r="G702" t="b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</row>
    <row r="703" spans="1:16" x14ac:dyDescent="0.3">
      <c r="A703">
        <v>702</v>
      </c>
      <c r="B703" s="2">
        <v>40575</v>
      </c>
      <c r="C703">
        <v>1</v>
      </c>
      <c r="D703">
        <v>0</v>
      </c>
      <c r="E703">
        <v>2</v>
      </c>
      <c r="F703">
        <v>14</v>
      </c>
      <c r="G703" t="b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</row>
    <row r="704" spans="1:16" x14ac:dyDescent="0.3">
      <c r="A704">
        <v>703</v>
      </c>
      <c r="B704" s="2">
        <v>40575</v>
      </c>
      <c r="C704">
        <v>1</v>
      </c>
      <c r="D704">
        <v>0</v>
      </c>
      <c r="E704">
        <v>2</v>
      </c>
      <c r="F704">
        <v>15</v>
      </c>
      <c r="G704" t="b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</row>
    <row r="705" spans="1:16" x14ac:dyDescent="0.3">
      <c r="A705">
        <v>704</v>
      </c>
      <c r="B705" s="2">
        <v>40575</v>
      </c>
      <c r="C705">
        <v>1</v>
      </c>
      <c r="D705">
        <v>0</v>
      </c>
      <c r="E705">
        <v>2</v>
      </c>
      <c r="F705">
        <v>16</v>
      </c>
      <c r="G705" t="b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</row>
    <row r="706" spans="1:16" x14ac:dyDescent="0.3">
      <c r="A706">
        <v>705</v>
      </c>
      <c r="B706" s="2">
        <v>40575</v>
      </c>
      <c r="C706">
        <v>1</v>
      </c>
      <c r="D706">
        <v>0</v>
      </c>
      <c r="E706">
        <v>2</v>
      </c>
      <c r="F706">
        <v>17</v>
      </c>
      <c r="G706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</row>
    <row r="707" spans="1:16" x14ac:dyDescent="0.3">
      <c r="A707">
        <v>706</v>
      </c>
      <c r="B707" s="2">
        <v>40575</v>
      </c>
      <c r="C707">
        <v>1</v>
      </c>
      <c r="D707">
        <v>0</v>
      </c>
      <c r="E707">
        <v>2</v>
      </c>
      <c r="F707">
        <v>18</v>
      </c>
      <c r="G707" t="b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</row>
    <row r="708" spans="1:16" x14ac:dyDescent="0.3">
      <c r="A708">
        <v>707</v>
      </c>
      <c r="B708" s="2">
        <v>40575</v>
      </c>
      <c r="C708">
        <v>1</v>
      </c>
      <c r="D708">
        <v>0</v>
      </c>
      <c r="E708">
        <v>2</v>
      </c>
      <c r="F708">
        <v>19</v>
      </c>
      <c r="G708" t="b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</row>
    <row r="709" spans="1:16" x14ac:dyDescent="0.3">
      <c r="A709">
        <v>708</v>
      </c>
      <c r="B709" s="2">
        <v>40575</v>
      </c>
      <c r="C709">
        <v>1</v>
      </c>
      <c r="D709">
        <v>0</v>
      </c>
      <c r="E709">
        <v>2</v>
      </c>
      <c r="F709">
        <v>20</v>
      </c>
      <c r="G709" t="b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</row>
    <row r="710" spans="1:16" x14ac:dyDescent="0.3">
      <c r="A710">
        <v>709</v>
      </c>
      <c r="B710" s="2">
        <v>40575</v>
      </c>
      <c r="C710">
        <v>1</v>
      </c>
      <c r="D710">
        <v>0</v>
      </c>
      <c r="E710">
        <v>2</v>
      </c>
      <c r="F710">
        <v>21</v>
      </c>
      <c r="G710" t="b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</row>
    <row r="711" spans="1:16" x14ac:dyDescent="0.3">
      <c r="A711">
        <v>710</v>
      </c>
      <c r="B711" s="2">
        <v>40575</v>
      </c>
      <c r="C711">
        <v>1</v>
      </c>
      <c r="D711">
        <v>0</v>
      </c>
      <c r="E711">
        <v>2</v>
      </c>
      <c r="F711">
        <v>22</v>
      </c>
      <c r="G711" t="b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</row>
    <row r="712" spans="1:16" x14ac:dyDescent="0.3">
      <c r="A712">
        <v>711</v>
      </c>
      <c r="B712" s="2">
        <v>40575</v>
      </c>
      <c r="C712">
        <v>1</v>
      </c>
      <c r="D712">
        <v>0</v>
      </c>
      <c r="E712">
        <v>2</v>
      </c>
      <c r="F712">
        <v>23</v>
      </c>
      <c r="G712" t="b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</row>
    <row r="713" spans="1:16" x14ac:dyDescent="0.3">
      <c r="A713">
        <v>712</v>
      </c>
      <c r="B713" s="2">
        <v>40576</v>
      </c>
      <c r="C713">
        <v>1</v>
      </c>
      <c r="D713">
        <v>0</v>
      </c>
      <c r="E713">
        <v>2</v>
      </c>
      <c r="F713">
        <v>0</v>
      </c>
      <c r="G713" t="b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</row>
    <row r="714" spans="1:16" x14ac:dyDescent="0.3">
      <c r="A714">
        <v>713</v>
      </c>
      <c r="B714" s="2">
        <v>40576</v>
      </c>
      <c r="C714">
        <v>1</v>
      </c>
      <c r="D714">
        <v>0</v>
      </c>
      <c r="E714">
        <v>2</v>
      </c>
      <c r="F714">
        <v>1</v>
      </c>
      <c r="G714" t="b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</row>
    <row r="715" spans="1:16" x14ac:dyDescent="0.3">
      <c r="A715">
        <v>714</v>
      </c>
      <c r="B715" s="2">
        <v>40576</v>
      </c>
      <c r="C715">
        <v>1</v>
      </c>
      <c r="D715">
        <v>0</v>
      </c>
      <c r="E715">
        <v>2</v>
      </c>
      <c r="F715">
        <v>2</v>
      </c>
      <c r="G715" t="b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</row>
    <row r="716" spans="1:16" x14ac:dyDescent="0.3">
      <c r="A716">
        <v>715</v>
      </c>
      <c r="B716" s="2">
        <v>40576</v>
      </c>
      <c r="C716">
        <v>1</v>
      </c>
      <c r="D716">
        <v>0</v>
      </c>
      <c r="E716">
        <v>2</v>
      </c>
      <c r="F716">
        <v>3</v>
      </c>
      <c r="G716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</row>
    <row r="717" spans="1:16" x14ac:dyDescent="0.3">
      <c r="A717">
        <v>716</v>
      </c>
      <c r="B717" s="2">
        <v>40576</v>
      </c>
      <c r="C717">
        <v>1</v>
      </c>
      <c r="D717">
        <v>0</v>
      </c>
      <c r="E717">
        <v>2</v>
      </c>
      <c r="F717">
        <v>4</v>
      </c>
      <c r="G717" t="b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</row>
    <row r="718" spans="1:16" x14ac:dyDescent="0.3">
      <c r="A718">
        <v>717</v>
      </c>
      <c r="B718" s="2">
        <v>40576</v>
      </c>
      <c r="C718">
        <v>1</v>
      </c>
      <c r="D718">
        <v>0</v>
      </c>
      <c r="E718">
        <v>2</v>
      </c>
      <c r="F718">
        <v>5</v>
      </c>
      <c r="G718" t="b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</row>
    <row r="719" spans="1:16" x14ac:dyDescent="0.3">
      <c r="A719">
        <v>718</v>
      </c>
      <c r="B719" s="2">
        <v>40576</v>
      </c>
      <c r="C719">
        <v>1</v>
      </c>
      <c r="D719">
        <v>0</v>
      </c>
      <c r="E719">
        <v>2</v>
      </c>
      <c r="F719">
        <v>6</v>
      </c>
      <c r="G719" t="b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</row>
    <row r="720" spans="1:16" x14ac:dyDescent="0.3">
      <c r="A720">
        <v>719</v>
      </c>
      <c r="B720" s="2">
        <v>40576</v>
      </c>
      <c r="C720">
        <v>1</v>
      </c>
      <c r="D720">
        <v>0</v>
      </c>
      <c r="E720">
        <v>2</v>
      </c>
      <c r="F720">
        <v>7</v>
      </c>
      <c r="G720" t="b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</row>
    <row r="721" spans="1:16" x14ac:dyDescent="0.3">
      <c r="A721">
        <v>720</v>
      </c>
      <c r="B721" s="2">
        <v>40576</v>
      </c>
      <c r="C721">
        <v>1</v>
      </c>
      <c r="D721">
        <v>0</v>
      </c>
      <c r="E721">
        <v>2</v>
      </c>
      <c r="F721">
        <v>8</v>
      </c>
      <c r="G721" t="b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</row>
    <row r="722" spans="1:16" x14ac:dyDescent="0.3">
      <c r="A722">
        <v>721</v>
      </c>
      <c r="B722" s="2">
        <v>40576</v>
      </c>
      <c r="C722">
        <v>1</v>
      </c>
      <c r="D722">
        <v>0</v>
      </c>
      <c r="E722">
        <v>2</v>
      </c>
      <c r="F722">
        <v>9</v>
      </c>
      <c r="G722" t="b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</row>
    <row r="723" spans="1:16" x14ac:dyDescent="0.3">
      <c r="A723">
        <v>722</v>
      </c>
      <c r="B723" s="2">
        <v>40576</v>
      </c>
      <c r="C723">
        <v>1</v>
      </c>
      <c r="D723">
        <v>0</v>
      </c>
      <c r="E723">
        <v>2</v>
      </c>
      <c r="F723">
        <v>10</v>
      </c>
      <c r="G723" t="b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</row>
    <row r="724" spans="1:16" x14ac:dyDescent="0.3">
      <c r="A724">
        <v>723</v>
      </c>
      <c r="B724" s="2">
        <v>40576</v>
      </c>
      <c r="C724">
        <v>1</v>
      </c>
      <c r="D724">
        <v>0</v>
      </c>
      <c r="E724">
        <v>2</v>
      </c>
      <c r="F724">
        <v>11</v>
      </c>
      <c r="G724" t="b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</row>
    <row r="725" spans="1:16" x14ac:dyDescent="0.3">
      <c r="A725">
        <v>724</v>
      </c>
      <c r="B725" s="2">
        <v>40576</v>
      </c>
      <c r="C725">
        <v>1</v>
      </c>
      <c r="D725">
        <v>0</v>
      </c>
      <c r="E725">
        <v>2</v>
      </c>
      <c r="F725">
        <v>12</v>
      </c>
      <c r="G725" t="b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</row>
    <row r="726" spans="1:16" x14ac:dyDescent="0.3">
      <c r="A726">
        <v>725</v>
      </c>
      <c r="B726" s="2">
        <v>40576</v>
      </c>
      <c r="C726">
        <v>1</v>
      </c>
      <c r="D726">
        <v>0</v>
      </c>
      <c r="E726">
        <v>2</v>
      </c>
      <c r="F726">
        <v>13</v>
      </c>
      <c r="G726" t="b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</row>
    <row r="727" spans="1:16" x14ac:dyDescent="0.3">
      <c r="A727">
        <v>726</v>
      </c>
      <c r="B727" s="2">
        <v>40576</v>
      </c>
      <c r="C727">
        <v>1</v>
      </c>
      <c r="D727">
        <v>0</v>
      </c>
      <c r="E727">
        <v>2</v>
      </c>
      <c r="F727">
        <v>14</v>
      </c>
      <c r="G727" t="b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</row>
    <row r="728" spans="1:16" x14ac:dyDescent="0.3">
      <c r="A728">
        <v>727</v>
      </c>
      <c r="B728" s="2">
        <v>40576</v>
      </c>
      <c r="C728">
        <v>1</v>
      </c>
      <c r="D728">
        <v>0</v>
      </c>
      <c r="E728">
        <v>2</v>
      </c>
      <c r="F728">
        <v>15</v>
      </c>
      <c r="G728" t="b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</row>
    <row r="729" spans="1:16" x14ac:dyDescent="0.3">
      <c r="A729">
        <v>728</v>
      </c>
      <c r="B729" s="2">
        <v>40576</v>
      </c>
      <c r="C729">
        <v>1</v>
      </c>
      <c r="D729">
        <v>0</v>
      </c>
      <c r="E729">
        <v>2</v>
      </c>
      <c r="F729">
        <v>16</v>
      </c>
      <c r="G729" t="b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</row>
    <row r="730" spans="1:16" x14ac:dyDescent="0.3">
      <c r="A730">
        <v>729</v>
      </c>
      <c r="B730" s="2">
        <v>40576</v>
      </c>
      <c r="C730">
        <v>1</v>
      </c>
      <c r="D730">
        <v>0</v>
      </c>
      <c r="E730">
        <v>2</v>
      </c>
      <c r="F730">
        <v>17</v>
      </c>
      <c r="G730" t="b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</row>
    <row r="731" spans="1:16" x14ac:dyDescent="0.3">
      <c r="A731">
        <v>730</v>
      </c>
      <c r="B731" s="2">
        <v>40576</v>
      </c>
      <c r="C731">
        <v>1</v>
      </c>
      <c r="D731">
        <v>0</v>
      </c>
      <c r="E731">
        <v>2</v>
      </c>
      <c r="F731">
        <v>18</v>
      </c>
      <c r="G731" t="b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</row>
    <row r="732" spans="1:16" x14ac:dyDescent="0.3">
      <c r="A732">
        <v>731</v>
      </c>
      <c r="B732" s="2">
        <v>40576</v>
      </c>
      <c r="C732">
        <v>1</v>
      </c>
      <c r="D732">
        <v>0</v>
      </c>
      <c r="E732">
        <v>2</v>
      </c>
      <c r="F732">
        <v>19</v>
      </c>
      <c r="G732" t="b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</row>
    <row r="733" spans="1:16" x14ac:dyDescent="0.3">
      <c r="A733">
        <v>732</v>
      </c>
      <c r="B733" s="2">
        <v>40576</v>
      </c>
      <c r="C733">
        <v>1</v>
      </c>
      <c r="D733">
        <v>0</v>
      </c>
      <c r="E733">
        <v>2</v>
      </c>
      <c r="F733">
        <v>20</v>
      </c>
      <c r="G733" t="b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</row>
    <row r="734" spans="1:16" x14ac:dyDescent="0.3">
      <c r="A734">
        <v>733</v>
      </c>
      <c r="B734" s="2">
        <v>40576</v>
      </c>
      <c r="C734">
        <v>1</v>
      </c>
      <c r="D734">
        <v>0</v>
      </c>
      <c r="E734">
        <v>2</v>
      </c>
      <c r="F734">
        <v>21</v>
      </c>
      <c r="G734" t="b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</row>
    <row r="735" spans="1:16" x14ac:dyDescent="0.3">
      <c r="A735">
        <v>734</v>
      </c>
      <c r="B735" s="2">
        <v>40576</v>
      </c>
      <c r="C735">
        <v>1</v>
      </c>
      <c r="D735">
        <v>0</v>
      </c>
      <c r="E735">
        <v>2</v>
      </c>
      <c r="F735">
        <v>22</v>
      </c>
      <c r="G735" t="b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</row>
    <row r="736" spans="1:16" x14ac:dyDescent="0.3">
      <c r="A736">
        <v>735</v>
      </c>
      <c r="B736" s="2">
        <v>40576</v>
      </c>
      <c r="C736">
        <v>1</v>
      </c>
      <c r="D736">
        <v>0</v>
      </c>
      <c r="E736">
        <v>2</v>
      </c>
      <c r="F736">
        <v>23</v>
      </c>
      <c r="G736" t="b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</row>
    <row r="737" spans="1:16" x14ac:dyDescent="0.3">
      <c r="A737">
        <v>736</v>
      </c>
      <c r="B737" s="2">
        <v>40577</v>
      </c>
      <c r="C737">
        <v>1</v>
      </c>
      <c r="D737">
        <v>0</v>
      </c>
      <c r="E737">
        <v>2</v>
      </c>
      <c r="F737">
        <v>0</v>
      </c>
      <c r="G737" t="b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</row>
    <row r="738" spans="1:16" x14ac:dyDescent="0.3">
      <c r="A738">
        <v>737</v>
      </c>
      <c r="B738" s="2">
        <v>40577</v>
      </c>
      <c r="C738">
        <v>1</v>
      </c>
      <c r="D738">
        <v>0</v>
      </c>
      <c r="E738">
        <v>2</v>
      </c>
      <c r="F738">
        <v>1</v>
      </c>
      <c r="G738" t="b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</row>
    <row r="739" spans="1:16" x14ac:dyDescent="0.3">
      <c r="A739">
        <v>738</v>
      </c>
      <c r="B739" s="2">
        <v>40577</v>
      </c>
      <c r="C739">
        <v>1</v>
      </c>
      <c r="D739">
        <v>0</v>
      </c>
      <c r="E739">
        <v>2</v>
      </c>
      <c r="F739">
        <v>2</v>
      </c>
      <c r="G739" t="b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</row>
    <row r="740" spans="1:16" x14ac:dyDescent="0.3">
      <c r="A740">
        <v>739</v>
      </c>
      <c r="B740" s="2">
        <v>40577</v>
      </c>
      <c r="C740">
        <v>1</v>
      </c>
      <c r="D740">
        <v>0</v>
      </c>
      <c r="E740">
        <v>2</v>
      </c>
      <c r="F740">
        <v>3</v>
      </c>
      <c r="G740" t="b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</row>
    <row r="741" spans="1:16" x14ac:dyDescent="0.3">
      <c r="A741">
        <v>740</v>
      </c>
      <c r="B741" s="2">
        <v>40577</v>
      </c>
      <c r="C741">
        <v>1</v>
      </c>
      <c r="D741">
        <v>0</v>
      </c>
      <c r="E741">
        <v>2</v>
      </c>
      <c r="F741">
        <v>5</v>
      </c>
      <c r="G741" t="b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</row>
    <row r="742" spans="1:16" x14ac:dyDescent="0.3">
      <c r="A742">
        <v>741</v>
      </c>
      <c r="B742" s="2">
        <v>40577</v>
      </c>
      <c r="C742">
        <v>1</v>
      </c>
      <c r="D742">
        <v>0</v>
      </c>
      <c r="E742">
        <v>2</v>
      </c>
      <c r="F742">
        <v>6</v>
      </c>
      <c r="G742" t="b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</row>
    <row r="743" spans="1:16" x14ac:dyDescent="0.3">
      <c r="A743">
        <v>742</v>
      </c>
      <c r="B743" s="2">
        <v>40577</v>
      </c>
      <c r="C743">
        <v>1</v>
      </c>
      <c r="D743">
        <v>0</v>
      </c>
      <c r="E743">
        <v>2</v>
      </c>
      <c r="F743">
        <v>7</v>
      </c>
      <c r="G743" t="b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</row>
    <row r="744" spans="1:16" x14ac:dyDescent="0.3">
      <c r="A744">
        <v>743</v>
      </c>
      <c r="B744" s="2">
        <v>40577</v>
      </c>
      <c r="C744">
        <v>1</v>
      </c>
      <c r="D744">
        <v>0</v>
      </c>
      <c r="E744">
        <v>2</v>
      </c>
      <c r="F744">
        <v>8</v>
      </c>
      <c r="G744" t="b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</row>
    <row r="745" spans="1:16" x14ac:dyDescent="0.3">
      <c r="A745">
        <v>744</v>
      </c>
      <c r="B745" s="2">
        <v>40577</v>
      </c>
      <c r="C745">
        <v>1</v>
      </c>
      <c r="D745">
        <v>0</v>
      </c>
      <c r="E745">
        <v>2</v>
      </c>
      <c r="F745">
        <v>9</v>
      </c>
      <c r="G745" t="b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</row>
    <row r="746" spans="1:16" x14ac:dyDescent="0.3">
      <c r="A746">
        <v>745</v>
      </c>
      <c r="B746" s="2">
        <v>40577</v>
      </c>
      <c r="C746">
        <v>1</v>
      </c>
      <c r="D746">
        <v>0</v>
      </c>
      <c r="E746">
        <v>2</v>
      </c>
      <c r="F746">
        <v>10</v>
      </c>
      <c r="G746" t="b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</row>
    <row r="747" spans="1:16" x14ac:dyDescent="0.3">
      <c r="A747">
        <v>746</v>
      </c>
      <c r="B747" s="2">
        <v>40577</v>
      </c>
      <c r="C747">
        <v>1</v>
      </c>
      <c r="D747">
        <v>0</v>
      </c>
      <c r="E747">
        <v>2</v>
      </c>
      <c r="F747">
        <v>11</v>
      </c>
      <c r="G747" t="b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</row>
    <row r="748" spans="1:16" x14ac:dyDescent="0.3">
      <c r="A748">
        <v>747</v>
      </c>
      <c r="B748" s="2">
        <v>40577</v>
      </c>
      <c r="C748">
        <v>1</v>
      </c>
      <c r="D748">
        <v>0</v>
      </c>
      <c r="E748">
        <v>2</v>
      </c>
      <c r="F748">
        <v>12</v>
      </c>
      <c r="G748" t="b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</row>
    <row r="749" spans="1:16" x14ac:dyDescent="0.3">
      <c r="A749">
        <v>748</v>
      </c>
      <c r="B749" s="2">
        <v>40577</v>
      </c>
      <c r="C749">
        <v>1</v>
      </c>
      <c r="D749">
        <v>0</v>
      </c>
      <c r="E749">
        <v>2</v>
      </c>
      <c r="F749">
        <v>13</v>
      </c>
      <c r="G749" t="b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</row>
    <row r="750" spans="1:16" x14ac:dyDescent="0.3">
      <c r="A750">
        <v>749</v>
      </c>
      <c r="B750" s="2">
        <v>40577</v>
      </c>
      <c r="C750">
        <v>1</v>
      </c>
      <c r="D750">
        <v>0</v>
      </c>
      <c r="E750">
        <v>2</v>
      </c>
      <c r="F750">
        <v>14</v>
      </c>
      <c r="G750" t="b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</row>
    <row r="751" spans="1:16" x14ac:dyDescent="0.3">
      <c r="A751">
        <v>750</v>
      </c>
      <c r="B751" s="2">
        <v>40577</v>
      </c>
      <c r="C751">
        <v>1</v>
      </c>
      <c r="D751">
        <v>0</v>
      </c>
      <c r="E751">
        <v>2</v>
      </c>
      <c r="F751">
        <v>15</v>
      </c>
      <c r="G751" t="b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</row>
    <row r="752" spans="1:16" x14ac:dyDescent="0.3">
      <c r="A752">
        <v>751</v>
      </c>
      <c r="B752" s="2">
        <v>40577</v>
      </c>
      <c r="C752">
        <v>1</v>
      </c>
      <c r="D752">
        <v>0</v>
      </c>
      <c r="E752">
        <v>2</v>
      </c>
      <c r="F752">
        <v>16</v>
      </c>
      <c r="G752" t="b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</row>
    <row r="753" spans="1:16" x14ac:dyDescent="0.3">
      <c r="A753">
        <v>752</v>
      </c>
      <c r="B753" s="2">
        <v>40577</v>
      </c>
      <c r="C753">
        <v>1</v>
      </c>
      <c r="D753">
        <v>0</v>
      </c>
      <c r="E753">
        <v>2</v>
      </c>
      <c r="F753">
        <v>17</v>
      </c>
      <c r="G753" t="b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</row>
    <row r="754" spans="1:16" x14ac:dyDescent="0.3">
      <c r="A754">
        <v>753</v>
      </c>
      <c r="B754" s="2">
        <v>40577</v>
      </c>
      <c r="C754">
        <v>1</v>
      </c>
      <c r="D754">
        <v>0</v>
      </c>
      <c r="E754">
        <v>2</v>
      </c>
      <c r="F754">
        <v>18</v>
      </c>
      <c r="G754" t="b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</row>
    <row r="755" spans="1:16" x14ac:dyDescent="0.3">
      <c r="A755">
        <v>754</v>
      </c>
      <c r="B755" s="2">
        <v>40577</v>
      </c>
      <c r="C755">
        <v>1</v>
      </c>
      <c r="D755">
        <v>0</v>
      </c>
      <c r="E755">
        <v>2</v>
      </c>
      <c r="F755">
        <v>19</v>
      </c>
      <c r="G755" t="b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</row>
    <row r="756" spans="1:16" x14ac:dyDescent="0.3">
      <c r="A756">
        <v>755</v>
      </c>
      <c r="B756" s="2">
        <v>40577</v>
      </c>
      <c r="C756">
        <v>1</v>
      </c>
      <c r="D756">
        <v>0</v>
      </c>
      <c r="E756">
        <v>2</v>
      </c>
      <c r="F756">
        <v>20</v>
      </c>
      <c r="G756" t="b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</row>
    <row r="757" spans="1:16" x14ac:dyDescent="0.3">
      <c r="A757">
        <v>756</v>
      </c>
      <c r="B757" s="2">
        <v>40577</v>
      </c>
      <c r="C757">
        <v>1</v>
      </c>
      <c r="D757">
        <v>0</v>
      </c>
      <c r="E757">
        <v>2</v>
      </c>
      <c r="F757">
        <v>21</v>
      </c>
      <c r="G757" t="b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</row>
    <row r="758" spans="1:16" x14ac:dyDescent="0.3">
      <c r="A758">
        <v>757</v>
      </c>
      <c r="B758" s="2">
        <v>40577</v>
      </c>
      <c r="C758">
        <v>1</v>
      </c>
      <c r="D758">
        <v>0</v>
      </c>
      <c r="E758">
        <v>2</v>
      </c>
      <c r="F758">
        <v>22</v>
      </c>
      <c r="G758" t="b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</row>
    <row r="759" spans="1:16" x14ac:dyDescent="0.3">
      <c r="A759">
        <v>758</v>
      </c>
      <c r="B759" s="2">
        <v>40577</v>
      </c>
      <c r="C759">
        <v>1</v>
      </c>
      <c r="D759">
        <v>0</v>
      </c>
      <c r="E759">
        <v>2</v>
      </c>
      <c r="F759">
        <v>23</v>
      </c>
      <c r="G759" t="b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</row>
    <row r="760" spans="1:16" x14ac:dyDescent="0.3">
      <c r="A760">
        <v>759</v>
      </c>
      <c r="B760" s="2">
        <v>40578</v>
      </c>
      <c r="C760">
        <v>1</v>
      </c>
      <c r="D760">
        <v>0</v>
      </c>
      <c r="E760">
        <v>2</v>
      </c>
      <c r="F760">
        <v>0</v>
      </c>
      <c r="G760" t="b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</row>
    <row r="761" spans="1:16" x14ac:dyDescent="0.3">
      <c r="A761">
        <v>760</v>
      </c>
      <c r="B761" s="2">
        <v>40578</v>
      </c>
      <c r="C761">
        <v>1</v>
      </c>
      <c r="D761">
        <v>0</v>
      </c>
      <c r="E761">
        <v>2</v>
      </c>
      <c r="F761">
        <v>1</v>
      </c>
      <c r="G761" t="b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</row>
    <row r="762" spans="1:16" x14ac:dyDescent="0.3">
      <c r="A762">
        <v>761</v>
      </c>
      <c r="B762" s="2">
        <v>40578</v>
      </c>
      <c r="C762">
        <v>1</v>
      </c>
      <c r="D762">
        <v>0</v>
      </c>
      <c r="E762">
        <v>2</v>
      </c>
      <c r="F762">
        <v>2</v>
      </c>
      <c r="G762" t="b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</row>
    <row r="763" spans="1:16" x14ac:dyDescent="0.3">
      <c r="A763">
        <v>762</v>
      </c>
      <c r="B763" s="2">
        <v>40578</v>
      </c>
      <c r="C763">
        <v>1</v>
      </c>
      <c r="D763">
        <v>0</v>
      </c>
      <c r="E763">
        <v>2</v>
      </c>
      <c r="F763">
        <v>3</v>
      </c>
      <c r="G763" t="b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</row>
    <row r="764" spans="1:16" x14ac:dyDescent="0.3">
      <c r="A764">
        <v>763</v>
      </c>
      <c r="B764" s="2">
        <v>40578</v>
      </c>
      <c r="C764">
        <v>1</v>
      </c>
      <c r="D764">
        <v>0</v>
      </c>
      <c r="E764">
        <v>2</v>
      </c>
      <c r="F764">
        <v>5</v>
      </c>
      <c r="G764" t="b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</row>
    <row r="765" spans="1:16" x14ac:dyDescent="0.3">
      <c r="A765">
        <v>764</v>
      </c>
      <c r="B765" s="2">
        <v>40578</v>
      </c>
      <c r="C765">
        <v>1</v>
      </c>
      <c r="D765">
        <v>0</v>
      </c>
      <c r="E765">
        <v>2</v>
      </c>
      <c r="F765">
        <v>6</v>
      </c>
      <c r="G765" t="b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</row>
    <row r="766" spans="1:16" x14ac:dyDescent="0.3">
      <c r="A766">
        <v>765</v>
      </c>
      <c r="B766" s="2">
        <v>40578</v>
      </c>
      <c r="C766">
        <v>1</v>
      </c>
      <c r="D766">
        <v>0</v>
      </c>
      <c r="E766">
        <v>2</v>
      </c>
      <c r="F766">
        <v>7</v>
      </c>
      <c r="G766" t="b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</row>
    <row r="767" spans="1:16" x14ac:dyDescent="0.3">
      <c r="A767">
        <v>766</v>
      </c>
      <c r="B767" s="2">
        <v>40578</v>
      </c>
      <c r="C767">
        <v>1</v>
      </c>
      <c r="D767">
        <v>0</v>
      </c>
      <c r="E767">
        <v>2</v>
      </c>
      <c r="F767">
        <v>8</v>
      </c>
      <c r="G767" t="b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</row>
    <row r="768" spans="1:16" x14ac:dyDescent="0.3">
      <c r="A768">
        <v>767</v>
      </c>
      <c r="B768" s="2">
        <v>40578</v>
      </c>
      <c r="C768">
        <v>1</v>
      </c>
      <c r="D768">
        <v>0</v>
      </c>
      <c r="E768">
        <v>2</v>
      </c>
      <c r="F768">
        <v>9</v>
      </c>
      <c r="G768" t="b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</row>
    <row r="769" spans="1:16" x14ac:dyDescent="0.3">
      <c r="A769">
        <v>768</v>
      </c>
      <c r="B769" s="2">
        <v>40578</v>
      </c>
      <c r="C769">
        <v>1</v>
      </c>
      <c r="D769">
        <v>0</v>
      </c>
      <c r="E769">
        <v>2</v>
      </c>
      <c r="F769">
        <v>10</v>
      </c>
      <c r="G769" t="b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</row>
    <row r="770" spans="1:16" x14ac:dyDescent="0.3">
      <c r="A770">
        <v>769</v>
      </c>
      <c r="B770" s="2">
        <v>40578</v>
      </c>
      <c r="C770">
        <v>1</v>
      </c>
      <c r="D770">
        <v>0</v>
      </c>
      <c r="E770">
        <v>2</v>
      </c>
      <c r="F770">
        <v>11</v>
      </c>
      <c r="G770" t="b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</row>
    <row r="771" spans="1:16" x14ac:dyDescent="0.3">
      <c r="A771">
        <v>770</v>
      </c>
      <c r="B771" s="2">
        <v>40578</v>
      </c>
      <c r="C771">
        <v>1</v>
      </c>
      <c r="D771">
        <v>0</v>
      </c>
      <c r="E771">
        <v>2</v>
      </c>
      <c r="F771">
        <v>12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</row>
    <row r="772" spans="1:16" x14ac:dyDescent="0.3">
      <c r="A772">
        <v>771</v>
      </c>
      <c r="B772" s="2">
        <v>40578</v>
      </c>
      <c r="C772">
        <v>1</v>
      </c>
      <c r="D772">
        <v>0</v>
      </c>
      <c r="E772">
        <v>2</v>
      </c>
      <c r="F772">
        <v>13</v>
      </c>
      <c r="G772" t="b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</row>
    <row r="773" spans="1:16" x14ac:dyDescent="0.3">
      <c r="A773">
        <v>772</v>
      </c>
      <c r="B773" s="2">
        <v>40578</v>
      </c>
      <c r="C773">
        <v>1</v>
      </c>
      <c r="D773">
        <v>0</v>
      </c>
      <c r="E773">
        <v>2</v>
      </c>
      <c r="F773">
        <v>14</v>
      </c>
      <c r="G773" t="b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</row>
    <row r="774" spans="1:16" x14ac:dyDescent="0.3">
      <c r="A774">
        <v>773</v>
      </c>
      <c r="B774" s="2">
        <v>40578</v>
      </c>
      <c r="C774">
        <v>1</v>
      </c>
      <c r="D774">
        <v>0</v>
      </c>
      <c r="E774">
        <v>2</v>
      </c>
      <c r="F774">
        <v>15</v>
      </c>
      <c r="G774" t="b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</row>
    <row r="775" spans="1:16" x14ac:dyDescent="0.3">
      <c r="A775">
        <v>774</v>
      </c>
      <c r="B775" s="2">
        <v>40578</v>
      </c>
      <c r="C775">
        <v>1</v>
      </c>
      <c r="D775">
        <v>0</v>
      </c>
      <c r="E775">
        <v>2</v>
      </c>
      <c r="F775">
        <v>16</v>
      </c>
      <c r="G775" t="b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</row>
    <row r="776" spans="1:16" x14ac:dyDescent="0.3">
      <c r="A776">
        <v>775</v>
      </c>
      <c r="B776" s="2">
        <v>40578</v>
      </c>
      <c r="C776">
        <v>1</v>
      </c>
      <c r="D776">
        <v>0</v>
      </c>
      <c r="E776">
        <v>2</v>
      </c>
      <c r="F776">
        <v>17</v>
      </c>
      <c r="G776" t="b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</row>
    <row r="777" spans="1:16" x14ac:dyDescent="0.3">
      <c r="A777">
        <v>776</v>
      </c>
      <c r="B777" s="2">
        <v>40578</v>
      </c>
      <c r="C777">
        <v>1</v>
      </c>
      <c r="D777">
        <v>0</v>
      </c>
      <c r="E777">
        <v>2</v>
      </c>
      <c r="F777">
        <v>18</v>
      </c>
      <c r="G777" t="b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</row>
    <row r="778" spans="1:16" x14ac:dyDescent="0.3">
      <c r="A778">
        <v>777</v>
      </c>
      <c r="B778" s="2">
        <v>40578</v>
      </c>
      <c r="C778">
        <v>1</v>
      </c>
      <c r="D778">
        <v>0</v>
      </c>
      <c r="E778">
        <v>2</v>
      </c>
      <c r="F778">
        <v>19</v>
      </c>
      <c r="G778" t="b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</row>
    <row r="779" spans="1:16" x14ac:dyDescent="0.3">
      <c r="A779">
        <v>778</v>
      </c>
      <c r="B779" s="2">
        <v>40578</v>
      </c>
      <c r="C779">
        <v>1</v>
      </c>
      <c r="D779">
        <v>0</v>
      </c>
      <c r="E779">
        <v>2</v>
      </c>
      <c r="F779">
        <v>20</v>
      </c>
      <c r="G779" t="b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</row>
    <row r="780" spans="1:16" x14ac:dyDescent="0.3">
      <c r="A780">
        <v>779</v>
      </c>
      <c r="B780" s="2">
        <v>40578</v>
      </c>
      <c r="C780">
        <v>1</v>
      </c>
      <c r="D780">
        <v>0</v>
      </c>
      <c r="E780">
        <v>2</v>
      </c>
      <c r="F780">
        <v>21</v>
      </c>
      <c r="G780" t="b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</row>
    <row r="781" spans="1:16" x14ac:dyDescent="0.3">
      <c r="A781">
        <v>780</v>
      </c>
      <c r="B781" s="2">
        <v>40578</v>
      </c>
      <c r="C781">
        <v>1</v>
      </c>
      <c r="D781">
        <v>0</v>
      </c>
      <c r="E781">
        <v>2</v>
      </c>
      <c r="F781">
        <v>22</v>
      </c>
      <c r="G781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</row>
    <row r="782" spans="1:16" x14ac:dyDescent="0.3">
      <c r="A782">
        <v>781</v>
      </c>
      <c r="B782" s="2">
        <v>40578</v>
      </c>
      <c r="C782">
        <v>1</v>
      </c>
      <c r="D782">
        <v>0</v>
      </c>
      <c r="E782">
        <v>2</v>
      </c>
      <c r="F782">
        <v>23</v>
      </c>
      <c r="G78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</row>
    <row r="783" spans="1:16" x14ac:dyDescent="0.3">
      <c r="A783">
        <v>782</v>
      </c>
      <c r="B783" s="2">
        <v>40579</v>
      </c>
      <c r="C783">
        <v>1</v>
      </c>
      <c r="D783">
        <v>0</v>
      </c>
      <c r="E783">
        <v>2</v>
      </c>
      <c r="F783">
        <v>0</v>
      </c>
      <c r="G783" t="b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</row>
    <row r="784" spans="1:16" x14ac:dyDescent="0.3">
      <c r="A784">
        <v>783</v>
      </c>
      <c r="B784" s="2">
        <v>40579</v>
      </c>
      <c r="C784">
        <v>1</v>
      </c>
      <c r="D784">
        <v>0</v>
      </c>
      <c r="E784">
        <v>2</v>
      </c>
      <c r="F784">
        <v>1</v>
      </c>
      <c r="G784" t="b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</row>
    <row r="785" spans="1:16" x14ac:dyDescent="0.3">
      <c r="A785">
        <v>784</v>
      </c>
      <c r="B785" s="2">
        <v>40579</v>
      </c>
      <c r="C785">
        <v>1</v>
      </c>
      <c r="D785">
        <v>0</v>
      </c>
      <c r="E785">
        <v>2</v>
      </c>
      <c r="F785">
        <v>2</v>
      </c>
      <c r="G785" t="b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</row>
    <row r="786" spans="1:16" x14ac:dyDescent="0.3">
      <c r="A786">
        <v>785</v>
      </c>
      <c r="B786" s="2">
        <v>40579</v>
      </c>
      <c r="C786">
        <v>1</v>
      </c>
      <c r="D786">
        <v>0</v>
      </c>
      <c r="E786">
        <v>2</v>
      </c>
      <c r="F786">
        <v>3</v>
      </c>
      <c r="G786" t="b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</row>
    <row r="787" spans="1:16" x14ac:dyDescent="0.3">
      <c r="A787">
        <v>786</v>
      </c>
      <c r="B787" s="2">
        <v>40579</v>
      </c>
      <c r="C787">
        <v>1</v>
      </c>
      <c r="D787">
        <v>0</v>
      </c>
      <c r="E787">
        <v>2</v>
      </c>
      <c r="F787">
        <v>4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</row>
    <row r="788" spans="1:16" x14ac:dyDescent="0.3">
      <c r="A788">
        <v>787</v>
      </c>
      <c r="B788" s="2">
        <v>40579</v>
      </c>
      <c r="C788">
        <v>1</v>
      </c>
      <c r="D788">
        <v>0</v>
      </c>
      <c r="E788">
        <v>2</v>
      </c>
      <c r="F788">
        <v>5</v>
      </c>
      <c r="G788" t="b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</row>
    <row r="789" spans="1:16" x14ac:dyDescent="0.3">
      <c r="A789">
        <v>788</v>
      </c>
      <c r="B789" s="2">
        <v>40579</v>
      </c>
      <c r="C789">
        <v>1</v>
      </c>
      <c r="D789">
        <v>0</v>
      </c>
      <c r="E789">
        <v>2</v>
      </c>
      <c r="F789">
        <v>6</v>
      </c>
      <c r="G789" t="b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</row>
    <row r="790" spans="1:16" x14ac:dyDescent="0.3">
      <c r="A790">
        <v>789</v>
      </c>
      <c r="B790" s="2">
        <v>40579</v>
      </c>
      <c r="C790">
        <v>1</v>
      </c>
      <c r="D790">
        <v>0</v>
      </c>
      <c r="E790">
        <v>2</v>
      </c>
      <c r="F790">
        <v>7</v>
      </c>
      <c r="G790" t="b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</row>
    <row r="791" spans="1:16" x14ac:dyDescent="0.3">
      <c r="A791">
        <v>790</v>
      </c>
      <c r="B791" s="2">
        <v>40579</v>
      </c>
      <c r="C791">
        <v>1</v>
      </c>
      <c r="D791">
        <v>0</v>
      </c>
      <c r="E791">
        <v>2</v>
      </c>
      <c r="F791">
        <v>8</v>
      </c>
      <c r="G791" t="b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</row>
    <row r="792" spans="1:16" x14ac:dyDescent="0.3">
      <c r="A792">
        <v>791</v>
      </c>
      <c r="B792" s="2">
        <v>40579</v>
      </c>
      <c r="C792">
        <v>1</v>
      </c>
      <c r="D792">
        <v>0</v>
      </c>
      <c r="E792">
        <v>2</v>
      </c>
      <c r="F792">
        <v>9</v>
      </c>
      <c r="G792" t="b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</row>
    <row r="793" spans="1:16" x14ac:dyDescent="0.3">
      <c r="A793">
        <v>792</v>
      </c>
      <c r="B793" s="2">
        <v>40579</v>
      </c>
      <c r="C793">
        <v>1</v>
      </c>
      <c r="D793">
        <v>0</v>
      </c>
      <c r="E793">
        <v>2</v>
      </c>
      <c r="F793">
        <v>10</v>
      </c>
      <c r="G793" t="b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</row>
    <row r="794" spans="1:16" x14ac:dyDescent="0.3">
      <c r="A794">
        <v>793</v>
      </c>
      <c r="B794" s="2">
        <v>40579</v>
      </c>
      <c r="C794">
        <v>1</v>
      </c>
      <c r="D794">
        <v>0</v>
      </c>
      <c r="E794">
        <v>2</v>
      </c>
      <c r="F794">
        <v>11</v>
      </c>
      <c r="G794" t="b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</row>
    <row r="795" spans="1:16" x14ac:dyDescent="0.3">
      <c r="A795">
        <v>794</v>
      </c>
      <c r="B795" s="2">
        <v>40579</v>
      </c>
      <c r="C795">
        <v>1</v>
      </c>
      <c r="D795">
        <v>0</v>
      </c>
      <c r="E795">
        <v>2</v>
      </c>
      <c r="F795">
        <v>12</v>
      </c>
      <c r="G795" t="b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</row>
    <row r="796" spans="1:16" x14ac:dyDescent="0.3">
      <c r="A796">
        <v>795</v>
      </c>
      <c r="B796" s="2">
        <v>40579</v>
      </c>
      <c r="C796">
        <v>1</v>
      </c>
      <c r="D796">
        <v>0</v>
      </c>
      <c r="E796">
        <v>2</v>
      </c>
      <c r="F796">
        <v>13</v>
      </c>
      <c r="G796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</row>
    <row r="797" spans="1:16" x14ac:dyDescent="0.3">
      <c r="A797">
        <v>796</v>
      </c>
      <c r="B797" s="2">
        <v>40579</v>
      </c>
      <c r="C797">
        <v>1</v>
      </c>
      <c r="D797">
        <v>0</v>
      </c>
      <c r="E797">
        <v>2</v>
      </c>
      <c r="F797">
        <v>14</v>
      </c>
      <c r="G797" t="b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</row>
    <row r="798" spans="1:16" x14ac:dyDescent="0.3">
      <c r="A798">
        <v>797</v>
      </c>
      <c r="B798" s="2">
        <v>40579</v>
      </c>
      <c r="C798">
        <v>1</v>
      </c>
      <c r="D798">
        <v>0</v>
      </c>
      <c r="E798">
        <v>2</v>
      </c>
      <c r="F798">
        <v>15</v>
      </c>
      <c r="G798" t="b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</row>
    <row r="799" spans="1:16" x14ac:dyDescent="0.3">
      <c r="A799">
        <v>798</v>
      </c>
      <c r="B799" s="2">
        <v>40579</v>
      </c>
      <c r="C799">
        <v>1</v>
      </c>
      <c r="D799">
        <v>0</v>
      </c>
      <c r="E799">
        <v>2</v>
      </c>
      <c r="F799">
        <v>16</v>
      </c>
      <c r="G799" t="b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</row>
    <row r="800" spans="1:16" x14ac:dyDescent="0.3">
      <c r="A800">
        <v>799</v>
      </c>
      <c r="B800" s="2">
        <v>40579</v>
      </c>
      <c r="C800">
        <v>1</v>
      </c>
      <c r="D800">
        <v>0</v>
      </c>
      <c r="E800">
        <v>2</v>
      </c>
      <c r="F800">
        <v>17</v>
      </c>
      <c r="G800" t="b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</row>
    <row r="801" spans="1:16" x14ac:dyDescent="0.3">
      <c r="A801">
        <v>800</v>
      </c>
      <c r="B801" s="2">
        <v>40579</v>
      </c>
      <c r="C801">
        <v>1</v>
      </c>
      <c r="D801">
        <v>0</v>
      </c>
      <c r="E801">
        <v>2</v>
      </c>
      <c r="F801">
        <v>18</v>
      </c>
      <c r="G801" t="b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</row>
    <row r="802" spans="1:16" x14ac:dyDescent="0.3">
      <c r="A802">
        <v>801</v>
      </c>
      <c r="B802" s="2">
        <v>40579</v>
      </c>
      <c r="C802">
        <v>1</v>
      </c>
      <c r="D802">
        <v>0</v>
      </c>
      <c r="E802">
        <v>2</v>
      </c>
      <c r="F802">
        <v>19</v>
      </c>
      <c r="G802" t="b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</row>
    <row r="803" spans="1:16" x14ac:dyDescent="0.3">
      <c r="A803">
        <v>802</v>
      </c>
      <c r="B803" s="2">
        <v>40579</v>
      </c>
      <c r="C803">
        <v>1</v>
      </c>
      <c r="D803">
        <v>0</v>
      </c>
      <c r="E803">
        <v>2</v>
      </c>
      <c r="F803">
        <v>20</v>
      </c>
      <c r="G803" t="b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</row>
    <row r="804" spans="1:16" x14ac:dyDescent="0.3">
      <c r="A804">
        <v>803</v>
      </c>
      <c r="B804" s="2">
        <v>40579</v>
      </c>
      <c r="C804">
        <v>1</v>
      </c>
      <c r="D804">
        <v>0</v>
      </c>
      <c r="E804">
        <v>2</v>
      </c>
      <c r="F804">
        <v>21</v>
      </c>
      <c r="G804" t="b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</row>
    <row r="805" spans="1:16" x14ac:dyDescent="0.3">
      <c r="A805">
        <v>804</v>
      </c>
      <c r="B805" s="2">
        <v>40579</v>
      </c>
      <c r="C805">
        <v>1</v>
      </c>
      <c r="D805">
        <v>0</v>
      </c>
      <c r="E805">
        <v>2</v>
      </c>
      <c r="F805">
        <v>22</v>
      </c>
      <c r="G805" t="b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</row>
    <row r="806" spans="1:16" x14ac:dyDescent="0.3">
      <c r="A806">
        <v>805</v>
      </c>
      <c r="B806" s="2">
        <v>40579</v>
      </c>
      <c r="C806">
        <v>1</v>
      </c>
      <c r="D806">
        <v>0</v>
      </c>
      <c r="E806">
        <v>2</v>
      </c>
      <c r="F806">
        <v>23</v>
      </c>
      <c r="G806" t="b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</row>
    <row r="807" spans="1:16" x14ac:dyDescent="0.3">
      <c r="A807">
        <v>806</v>
      </c>
      <c r="B807" s="2">
        <v>40580</v>
      </c>
      <c r="C807">
        <v>1</v>
      </c>
      <c r="D807">
        <v>0</v>
      </c>
      <c r="E807">
        <v>2</v>
      </c>
      <c r="F807">
        <v>0</v>
      </c>
      <c r="G807" t="b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</row>
    <row r="808" spans="1:16" x14ac:dyDescent="0.3">
      <c r="A808">
        <v>807</v>
      </c>
      <c r="B808" s="2">
        <v>40580</v>
      </c>
      <c r="C808">
        <v>1</v>
      </c>
      <c r="D808">
        <v>0</v>
      </c>
      <c r="E808">
        <v>2</v>
      </c>
      <c r="F808">
        <v>1</v>
      </c>
      <c r="G808" t="b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</row>
    <row r="809" spans="1:16" x14ac:dyDescent="0.3">
      <c r="A809">
        <v>808</v>
      </c>
      <c r="B809" s="2">
        <v>40580</v>
      </c>
      <c r="C809">
        <v>1</v>
      </c>
      <c r="D809">
        <v>0</v>
      </c>
      <c r="E809">
        <v>2</v>
      </c>
      <c r="F809">
        <v>2</v>
      </c>
      <c r="G809" t="b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</row>
    <row r="810" spans="1:16" x14ac:dyDescent="0.3">
      <c r="A810">
        <v>809</v>
      </c>
      <c r="B810" s="2">
        <v>40580</v>
      </c>
      <c r="C810">
        <v>1</v>
      </c>
      <c r="D810">
        <v>0</v>
      </c>
      <c r="E810">
        <v>2</v>
      </c>
      <c r="F810">
        <v>3</v>
      </c>
      <c r="G810" t="b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</row>
    <row r="811" spans="1:16" x14ac:dyDescent="0.3">
      <c r="A811">
        <v>810</v>
      </c>
      <c r="B811" s="2">
        <v>40580</v>
      </c>
      <c r="C811">
        <v>1</v>
      </c>
      <c r="D811">
        <v>0</v>
      </c>
      <c r="E811">
        <v>2</v>
      </c>
      <c r="F811">
        <v>4</v>
      </c>
      <c r="G811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</row>
    <row r="812" spans="1:16" x14ac:dyDescent="0.3">
      <c r="A812">
        <v>811</v>
      </c>
      <c r="B812" s="2">
        <v>40580</v>
      </c>
      <c r="C812">
        <v>1</v>
      </c>
      <c r="D812">
        <v>0</v>
      </c>
      <c r="E812">
        <v>2</v>
      </c>
      <c r="F812">
        <v>5</v>
      </c>
      <c r="G812" t="b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</row>
    <row r="813" spans="1:16" x14ac:dyDescent="0.3">
      <c r="A813">
        <v>812</v>
      </c>
      <c r="B813" s="2">
        <v>40580</v>
      </c>
      <c r="C813">
        <v>1</v>
      </c>
      <c r="D813">
        <v>0</v>
      </c>
      <c r="E813">
        <v>2</v>
      </c>
      <c r="F813">
        <v>6</v>
      </c>
      <c r="G813" t="b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</row>
    <row r="814" spans="1:16" x14ac:dyDescent="0.3">
      <c r="A814">
        <v>813</v>
      </c>
      <c r="B814" s="2">
        <v>40580</v>
      </c>
      <c r="C814">
        <v>1</v>
      </c>
      <c r="D814">
        <v>0</v>
      </c>
      <c r="E814">
        <v>2</v>
      </c>
      <c r="F814">
        <v>7</v>
      </c>
      <c r="G814" t="b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</row>
    <row r="815" spans="1:16" x14ac:dyDescent="0.3">
      <c r="A815">
        <v>814</v>
      </c>
      <c r="B815" s="2">
        <v>40580</v>
      </c>
      <c r="C815">
        <v>1</v>
      </c>
      <c r="D815">
        <v>0</v>
      </c>
      <c r="E815">
        <v>2</v>
      </c>
      <c r="F815">
        <v>8</v>
      </c>
      <c r="G815" t="b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</row>
    <row r="816" spans="1:16" x14ac:dyDescent="0.3">
      <c r="A816">
        <v>815</v>
      </c>
      <c r="B816" s="2">
        <v>40580</v>
      </c>
      <c r="C816">
        <v>1</v>
      </c>
      <c r="D816">
        <v>0</v>
      </c>
      <c r="E816">
        <v>2</v>
      </c>
      <c r="F816">
        <v>9</v>
      </c>
      <c r="G816" t="b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</row>
    <row r="817" spans="1:16" x14ac:dyDescent="0.3">
      <c r="A817">
        <v>816</v>
      </c>
      <c r="B817" s="2">
        <v>40580</v>
      </c>
      <c r="C817">
        <v>1</v>
      </c>
      <c r="D817">
        <v>0</v>
      </c>
      <c r="E817">
        <v>2</v>
      </c>
      <c r="F817">
        <v>10</v>
      </c>
      <c r="G817" t="b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</row>
    <row r="818" spans="1:16" x14ac:dyDescent="0.3">
      <c r="A818">
        <v>817</v>
      </c>
      <c r="B818" s="2">
        <v>40580</v>
      </c>
      <c r="C818">
        <v>1</v>
      </c>
      <c r="D818">
        <v>0</v>
      </c>
      <c r="E818">
        <v>2</v>
      </c>
      <c r="F818">
        <v>11</v>
      </c>
      <c r="G818" t="b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</row>
    <row r="819" spans="1:16" x14ac:dyDescent="0.3">
      <c r="A819">
        <v>818</v>
      </c>
      <c r="B819" s="2">
        <v>40580</v>
      </c>
      <c r="C819">
        <v>1</v>
      </c>
      <c r="D819">
        <v>0</v>
      </c>
      <c r="E819">
        <v>2</v>
      </c>
      <c r="F819">
        <v>12</v>
      </c>
      <c r="G819" t="b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</row>
    <row r="820" spans="1:16" x14ac:dyDescent="0.3">
      <c r="A820">
        <v>819</v>
      </c>
      <c r="B820" s="2">
        <v>40580</v>
      </c>
      <c r="C820">
        <v>1</v>
      </c>
      <c r="D820">
        <v>0</v>
      </c>
      <c r="E820">
        <v>2</v>
      </c>
      <c r="F820">
        <v>13</v>
      </c>
      <c r="G820" t="b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</row>
    <row r="821" spans="1:16" x14ac:dyDescent="0.3">
      <c r="A821">
        <v>820</v>
      </c>
      <c r="B821" s="2">
        <v>40580</v>
      </c>
      <c r="C821">
        <v>1</v>
      </c>
      <c r="D821">
        <v>0</v>
      </c>
      <c r="E821">
        <v>2</v>
      </c>
      <c r="F821">
        <v>14</v>
      </c>
      <c r="G821" t="b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</row>
    <row r="822" spans="1:16" x14ac:dyDescent="0.3">
      <c r="A822">
        <v>821</v>
      </c>
      <c r="B822" s="2">
        <v>40580</v>
      </c>
      <c r="C822">
        <v>1</v>
      </c>
      <c r="D822">
        <v>0</v>
      </c>
      <c r="E822">
        <v>2</v>
      </c>
      <c r="F822">
        <v>15</v>
      </c>
      <c r="G822" t="b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</row>
    <row r="823" spans="1:16" x14ac:dyDescent="0.3">
      <c r="A823">
        <v>822</v>
      </c>
      <c r="B823" s="2">
        <v>40580</v>
      </c>
      <c r="C823">
        <v>1</v>
      </c>
      <c r="D823">
        <v>0</v>
      </c>
      <c r="E823">
        <v>2</v>
      </c>
      <c r="F823">
        <v>16</v>
      </c>
      <c r="G823" t="b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</row>
    <row r="824" spans="1:16" x14ac:dyDescent="0.3">
      <c r="A824">
        <v>823</v>
      </c>
      <c r="B824" s="2">
        <v>40580</v>
      </c>
      <c r="C824">
        <v>1</v>
      </c>
      <c r="D824">
        <v>0</v>
      </c>
      <c r="E824">
        <v>2</v>
      </c>
      <c r="F824">
        <v>17</v>
      </c>
      <c r="G824" t="b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</row>
    <row r="825" spans="1:16" x14ac:dyDescent="0.3">
      <c r="A825">
        <v>824</v>
      </c>
      <c r="B825" s="2">
        <v>40580</v>
      </c>
      <c r="C825">
        <v>1</v>
      </c>
      <c r="D825">
        <v>0</v>
      </c>
      <c r="E825">
        <v>2</v>
      </c>
      <c r="F825">
        <v>18</v>
      </c>
      <c r="G825" t="b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</row>
    <row r="826" spans="1:16" x14ac:dyDescent="0.3">
      <c r="A826">
        <v>825</v>
      </c>
      <c r="B826" s="2">
        <v>40580</v>
      </c>
      <c r="C826">
        <v>1</v>
      </c>
      <c r="D826">
        <v>0</v>
      </c>
      <c r="E826">
        <v>2</v>
      </c>
      <c r="F826">
        <v>19</v>
      </c>
      <c r="G826" t="b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</row>
    <row r="827" spans="1:16" x14ac:dyDescent="0.3">
      <c r="A827">
        <v>826</v>
      </c>
      <c r="B827" s="2">
        <v>40580</v>
      </c>
      <c r="C827">
        <v>1</v>
      </c>
      <c r="D827">
        <v>0</v>
      </c>
      <c r="E827">
        <v>2</v>
      </c>
      <c r="F827">
        <v>20</v>
      </c>
      <c r="G827" t="b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</row>
    <row r="828" spans="1:16" x14ac:dyDescent="0.3">
      <c r="A828">
        <v>827</v>
      </c>
      <c r="B828" s="2">
        <v>40580</v>
      </c>
      <c r="C828">
        <v>1</v>
      </c>
      <c r="D828">
        <v>0</v>
      </c>
      <c r="E828">
        <v>2</v>
      </c>
      <c r="F828">
        <v>21</v>
      </c>
      <c r="G828" t="b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</row>
    <row r="829" spans="1:16" x14ac:dyDescent="0.3">
      <c r="A829">
        <v>828</v>
      </c>
      <c r="B829" s="2">
        <v>40580</v>
      </c>
      <c r="C829">
        <v>1</v>
      </c>
      <c r="D829">
        <v>0</v>
      </c>
      <c r="E829">
        <v>2</v>
      </c>
      <c r="F829">
        <v>22</v>
      </c>
      <c r="G829" t="b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</row>
    <row r="830" spans="1:16" x14ac:dyDescent="0.3">
      <c r="A830">
        <v>829</v>
      </c>
      <c r="B830" s="2">
        <v>40580</v>
      </c>
      <c r="C830">
        <v>1</v>
      </c>
      <c r="D830">
        <v>0</v>
      </c>
      <c r="E830">
        <v>2</v>
      </c>
      <c r="F830">
        <v>23</v>
      </c>
      <c r="G830" t="b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</row>
    <row r="831" spans="1:16" x14ac:dyDescent="0.3">
      <c r="A831">
        <v>830</v>
      </c>
      <c r="B831" s="2">
        <v>40581</v>
      </c>
      <c r="C831">
        <v>1</v>
      </c>
      <c r="D831">
        <v>0</v>
      </c>
      <c r="E831">
        <v>2</v>
      </c>
      <c r="F831">
        <v>0</v>
      </c>
      <c r="G831" t="b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</row>
    <row r="832" spans="1:16" x14ac:dyDescent="0.3">
      <c r="A832">
        <v>831</v>
      </c>
      <c r="B832" s="2">
        <v>40581</v>
      </c>
      <c r="C832">
        <v>1</v>
      </c>
      <c r="D832">
        <v>0</v>
      </c>
      <c r="E832">
        <v>2</v>
      </c>
      <c r="F832">
        <v>1</v>
      </c>
      <c r="G832" t="b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</row>
    <row r="833" spans="1:16" x14ac:dyDescent="0.3">
      <c r="A833">
        <v>832</v>
      </c>
      <c r="B833" s="2">
        <v>40581</v>
      </c>
      <c r="C833">
        <v>1</v>
      </c>
      <c r="D833">
        <v>0</v>
      </c>
      <c r="E833">
        <v>2</v>
      </c>
      <c r="F833">
        <v>2</v>
      </c>
      <c r="G833" t="b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</row>
    <row r="834" spans="1:16" x14ac:dyDescent="0.3">
      <c r="A834">
        <v>833</v>
      </c>
      <c r="B834" s="2">
        <v>40581</v>
      </c>
      <c r="C834">
        <v>1</v>
      </c>
      <c r="D834">
        <v>0</v>
      </c>
      <c r="E834">
        <v>2</v>
      </c>
      <c r="F834">
        <v>3</v>
      </c>
      <c r="G834" t="b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</row>
    <row r="835" spans="1:16" x14ac:dyDescent="0.3">
      <c r="A835">
        <v>834</v>
      </c>
      <c r="B835" s="2">
        <v>40581</v>
      </c>
      <c r="C835">
        <v>1</v>
      </c>
      <c r="D835">
        <v>0</v>
      </c>
      <c r="E835">
        <v>2</v>
      </c>
      <c r="F835">
        <v>4</v>
      </c>
      <c r="G835" t="b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</row>
    <row r="836" spans="1:16" x14ac:dyDescent="0.3">
      <c r="A836">
        <v>835</v>
      </c>
      <c r="B836" s="2">
        <v>40581</v>
      </c>
      <c r="C836">
        <v>1</v>
      </c>
      <c r="D836">
        <v>0</v>
      </c>
      <c r="E836">
        <v>2</v>
      </c>
      <c r="F836">
        <v>5</v>
      </c>
      <c r="G836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</row>
    <row r="837" spans="1:16" x14ac:dyDescent="0.3">
      <c r="A837">
        <v>836</v>
      </c>
      <c r="B837" s="2">
        <v>40581</v>
      </c>
      <c r="C837">
        <v>1</v>
      </c>
      <c r="D837">
        <v>0</v>
      </c>
      <c r="E837">
        <v>2</v>
      </c>
      <c r="F837">
        <v>6</v>
      </c>
      <c r="G837" t="b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</row>
    <row r="838" spans="1:16" x14ac:dyDescent="0.3">
      <c r="A838">
        <v>837</v>
      </c>
      <c r="B838" s="2">
        <v>40581</v>
      </c>
      <c r="C838">
        <v>1</v>
      </c>
      <c r="D838">
        <v>0</v>
      </c>
      <c r="E838">
        <v>2</v>
      </c>
      <c r="F838">
        <v>7</v>
      </c>
      <c r="G838" t="b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</row>
    <row r="839" spans="1:16" x14ac:dyDescent="0.3">
      <c r="A839">
        <v>838</v>
      </c>
      <c r="B839" s="2">
        <v>40581</v>
      </c>
      <c r="C839">
        <v>1</v>
      </c>
      <c r="D839">
        <v>0</v>
      </c>
      <c r="E839">
        <v>2</v>
      </c>
      <c r="F839">
        <v>8</v>
      </c>
      <c r="G839" t="b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</row>
    <row r="840" spans="1:16" x14ac:dyDescent="0.3">
      <c r="A840">
        <v>839</v>
      </c>
      <c r="B840" s="2">
        <v>40581</v>
      </c>
      <c r="C840">
        <v>1</v>
      </c>
      <c r="D840">
        <v>0</v>
      </c>
      <c r="E840">
        <v>2</v>
      </c>
      <c r="F840">
        <v>9</v>
      </c>
      <c r="G840" t="b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</row>
    <row r="841" spans="1:16" x14ac:dyDescent="0.3">
      <c r="A841">
        <v>840</v>
      </c>
      <c r="B841" s="2">
        <v>40581</v>
      </c>
      <c r="C841">
        <v>1</v>
      </c>
      <c r="D841">
        <v>0</v>
      </c>
      <c r="E841">
        <v>2</v>
      </c>
      <c r="F841">
        <v>10</v>
      </c>
      <c r="G841" t="b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</row>
    <row r="842" spans="1:16" x14ac:dyDescent="0.3">
      <c r="A842">
        <v>841</v>
      </c>
      <c r="B842" s="2">
        <v>40581</v>
      </c>
      <c r="C842">
        <v>1</v>
      </c>
      <c r="D842">
        <v>0</v>
      </c>
      <c r="E842">
        <v>2</v>
      </c>
      <c r="F842">
        <v>11</v>
      </c>
      <c r="G842" t="b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</row>
    <row r="843" spans="1:16" x14ac:dyDescent="0.3">
      <c r="A843">
        <v>842</v>
      </c>
      <c r="B843" s="2">
        <v>40581</v>
      </c>
      <c r="C843">
        <v>1</v>
      </c>
      <c r="D843">
        <v>0</v>
      </c>
      <c r="E843">
        <v>2</v>
      </c>
      <c r="F843">
        <v>12</v>
      </c>
      <c r="G843" t="b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</row>
    <row r="844" spans="1:16" x14ac:dyDescent="0.3">
      <c r="A844">
        <v>843</v>
      </c>
      <c r="B844" s="2">
        <v>40581</v>
      </c>
      <c r="C844">
        <v>1</v>
      </c>
      <c r="D844">
        <v>0</v>
      </c>
      <c r="E844">
        <v>2</v>
      </c>
      <c r="F844">
        <v>13</v>
      </c>
      <c r="G844" t="b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</row>
    <row r="845" spans="1:16" x14ac:dyDescent="0.3">
      <c r="A845">
        <v>844</v>
      </c>
      <c r="B845" s="2">
        <v>40581</v>
      </c>
      <c r="C845">
        <v>1</v>
      </c>
      <c r="D845">
        <v>0</v>
      </c>
      <c r="E845">
        <v>2</v>
      </c>
      <c r="F845">
        <v>14</v>
      </c>
      <c r="G845" t="b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</row>
    <row r="846" spans="1:16" x14ac:dyDescent="0.3">
      <c r="A846">
        <v>845</v>
      </c>
      <c r="B846" s="2">
        <v>40581</v>
      </c>
      <c r="C846">
        <v>1</v>
      </c>
      <c r="D846">
        <v>0</v>
      </c>
      <c r="E846">
        <v>2</v>
      </c>
      <c r="F846">
        <v>15</v>
      </c>
      <c r="G846" t="b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</row>
    <row r="847" spans="1:16" x14ac:dyDescent="0.3">
      <c r="A847">
        <v>846</v>
      </c>
      <c r="B847" s="2">
        <v>40581</v>
      </c>
      <c r="C847">
        <v>1</v>
      </c>
      <c r="D847">
        <v>0</v>
      </c>
      <c r="E847">
        <v>2</v>
      </c>
      <c r="F847">
        <v>16</v>
      </c>
      <c r="G847" t="b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</row>
    <row r="848" spans="1:16" x14ac:dyDescent="0.3">
      <c r="A848">
        <v>847</v>
      </c>
      <c r="B848" s="2">
        <v>40581</v>
      </c>
      <c r="C848">
        <v>1</v>
      </c>
      <c r="D848">
        <v>0</v>
      </c>
      <c r="E848">
        <v>2</v>
      </c>
      <c r="F848">
        <v>17</v>
      </c>
      <c r="G848" t="b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</row>
    <row r="849" spans="1:16" x14ac:dyDescent="0.3">
      <c r="A849">
        <v>848</v>
      </c>
      <c r="B849" s="2">
        <v>40581</v>
      </c>
      <c r="C849">
        <v>1</v>
      </c>
      <c r="D849">
        <v>0</v>
      </c>
      <c r="E849">
        <v>2</v>
      </c>
      <c r="F849">
        <v>18</v>
      </c>
      <c r="G849" t="b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</row>
    <row r="850" spans="1:16" x14ac:dyDescent="0.3">
      <c r="A850">
        <v>849</v>
      </c>
      <c r="B850" s="2">
        <v>40581</v>
      </c>
      <c r="C850">
        <v>1</v>
      </c>
      <c r="D850">
        <v>0</v>
      </c>
      <c r="E850">
        <v>2</v>
      </c>
      <c r="F850">
        <v>19</v>
      </c>
      <c r="G850" t="b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</row>
    <row r="851" spans="1:16" x14ac:dyDescent="0.3">
      <c r="A851">
        <v>850</v>
      </c>
      <c r="B851" s="2">
        <v>40581</v>
      </c>
      <c r="C851">
        <v>1</v>
      </c>
      <c r="D851">
        <v>0</v>
      </c>
      <c r="E851">
        <v>2</v>
      </c>
      <c r="F851">
        <v>20</v>
      </c>
      <c r="G851" t="b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</row>
    <row r="852" spans="1:16" x14ac:dyDescent="0.3">
      <c r="A852">
        <v>851</v>
      </c>
      <c r="B852" s="2">
        <v>40581</v>
      </c>
      <c r="C852">
        <v>1</v>
      </c>
      <c r="D852">
        <v>0</v>
      </c>
      <c r="E852">
        <v>2</v>
      </c>
      <c r="F852">
        <v>21</v>
      </c>
      <c r="G852" t="b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</row>
    <row r="853" spans="1:16" x14ac:dyDescent="0.3">
      <c r="A853">
        <v>852</v>
      </c>
      <c r="B853" s="2">
        <v>40581</v>
      </c>
      <c r="C853">
        <v>1</v>
      </c>
      <c r="D853">
        <v>0</v>
      </c>
      <c r="E853">
        <v>2</v>
      </c>
      <c r="F853">
        <v>22</v>
      </c>
      <c r="G853" t="b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</row>
    <row r="854" spans="1:16" x14ac:dyDescent="0.3">
      <c r="A854">
        <v>853</v>
      </c>
      <c r="B854" s="2">
        <v>40581</v>
      </c>
      <c r="C854">
        <v>1</v>
      </c>
      <c r="D854">
        <v>0</v>
      </c>
      <c r="E854">
        <v>2</v>
      </c>
      <c r="F854">
        <v>23</v>
      </c>
      <c r="G854" t="b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</row>
    <row r="855" spans="1:16" x14ac:dyDescent="0.3">
      <c r="A855">
        <v>854</v>
      </c>
      <c r="B855" s="2">
        <v>40582</v>
      </c>
      <c r="C855">
        <v>1</v>
      </c>
      <c r="D855">
        <v>0</v>
      </c>
      <c r="E855">
        <v>2</v>
      </c>
      <c r="F855">
        <v>0</v>
      </c>
      <c r="G855" t="b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</row>
    <row r="856" spans="1:16" x14ac:dyDescent="0.3">
      <c r="A856">
        <v>855</v>
      </c>
      <c r="B856" s="2">
        <v>40582</v>
      </c>
      <c r="C856">
        <v>1</v>
      </c>
      <c r="D856">
        <v>0</v>
      </c>
      <c r="E856">
        <v>2</v>
      </c>
      <c r="F856">
        <v>1</v>
      </c>
      <c r="G856" t="b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</row>
    <row r="857" spans="1:16" x14ac:dyDescent="0.3">
      <c r="A857">
        <v>856</v>
      </c>
      <c r="B857" s="2">
        <v>40582</v>
      </c>
      <c r="C857">
        <v>1</v>
      </c>
      <c r="D857">
        <v>0</v>
      </c>
      <c r="E857">
        <v>2</v>
      </c>
      <c r="F857">
        <v>2</v>
      </c>
      <c r="G857" t="b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</row>
    <row r="858" spans="1:16" x14ac:dyDescent="0.3">
      <c r="A858">
        <v>857</v>
      </c>
      <c r="B858" s="2">
        <v>40582</v>
      </c>
      <c r="C858">
        <v>1</v>
      </c>
      <c r="D858">
        <v>0</v>
      </c>
      <c r="E858">
        <v>2</v>
      </c>
      <c r="F858">
        <v>3</v>
      </c>
      <c r="G858" t="b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</row>
    <row r="859" spans="1:16" x14ac:dyDescent="0.3">
      <c r="A859">
        <v>858</v>
      </c>
      <c r="B859" s="2">
        <v>40582</v>
      </c>
      <c r="C859">
        <v>1</v>
      </c>
      <c r="D859">
        <v>0</v>
      </c>
      <c r="E859">
        <v>2</v>
      </c>
      <c r="F859">
        <v>4</v>
      </c>
      <c r="G859" t="b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</row>
    <row r="860" spans="1:16" x14ac:dyDescent="0.3">
      <c r="A860">
        <v>859</v>
      </c>
      <c r="B860" s="2">
        <v>40582</v>
      </c>
      <c r="C860">
        <v>1</v>
      </c>
      <c r="D860">
        <v>0</v>
      </c>
      <c r="E860">
        <v>2</v>
      </c>
      <c r="F860">
        <v>5</v>
      </c>
      <c r="G860" t="b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</row>
    <row r="861" spans="1:16" x14ac:dyDescent="0.3">
      <c r="A861">
        <v>860</v>
      </c>
      <c r="B861" s="2">
        <v>40582</v>
      </c>
      <c r="C861">
        <v>1</v>
      </c>
      <c r="D861">
        <v>0</v>
      </c>
      <c r="E861">
        <v>2</v>
      </c>
      <c r="F861">
        <v>6</v>
      </c>
      <c r="G861" t="b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</row>
    <row r="862" spans="1:16" x14ac:dyDescent="0.3">
      <c r="A862">
        <v>861</v>
      </c>
      <c r="B862" s="2">
        <v>40582</v>
      </c>
      <c r="C862">
        <v>1</v>
      </c>
      <c r="D862">
        <v>0</v>
      </c>
      <c r="E862">
        <v>2</v>
      </c>
      <c r="F862">
        <v>7</v>
      </c>
      <c r="G862" t="b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</row>
    <row r="863" spans="1:16" x14ac:dyDescent="0.3">
      <c r="A863">
        <v>862</v>
      </c>
      <c r="B863" s="2">
        <v>40582</v>
      </c>
      <c r="C863">
        <v>1</v>
      </c>
      <c r="D863">
        <v>0</v>
      </c>
      <c r="E863">
        <v>2</v>
      </c>
      <c r="F863">
        <v>8</v>
      </c>
      <c r="G863" t="b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</row>
    <row r="864" spans="1:16" x14ac:dyDescent="0.3">
      <c r="A864">
        <v>863</v>
      </c>
      <c r="B864" s="2">
        <v>40582</v>
      </c>
      <c r="C864">
        <v>1</v>
      </c>
      <c r="D864">
        <v>0</v>
      </c>
      <c r="E864">
        <v>2</v>
      </c>
      <c r="F864">
        <v>9</v>
      </c>
      <c r="G864" t="b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</row>
    <row r="865" spans="1:16" x14ac:dyDescent="0.3">
      <c r="A865">
        <v>864</v>
      </c>
      <c r="B865" s="2">
        <v>40582</v>
      </c>
      <c r="C865">
        <v>1</v>
      </c>
      <c r="D865">
        <v>0</v>
      </c>
      <c r="E865">
        <v>2</v>
      </c>
      <c r="F865">
        <v>10</v>
      </c>
      <c r="G865" t="b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</row>
    <row r="866" spans="1:16" x14ac:dyDescent="0.3">
      <c r="A866">
        <v>865</v>
      </c>
      <c r="B866" s="2">
        <v>40582</v>
      </c>
      <c r="C866">
        <v>1</v>
      </c>
      <c r="D866">
        <v>0</v>
      </c>
      <c r="E866">
        <v>2</v>
      </c>
      <c r="F866">
        <v>11</v>
      </c>
      <c r="G866" t="b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</row>
    <row r="867" spans="1:16" x14ac:dyDescent="0.3">
      <c r="A867">
        <v>866</v>
      </c>
      <c r="B867" s="2">
        <v>40582</v>
      </c>
      <c r="C867">
        <v>1</v>
      </c>
      <c r="D867">
        <v>0</v>
      </c>
      <c r="E867">
        <v>2</v>
      </c>
      <c r="F867">
        <v>12</v>
      </c>
      <c r="G867" t="b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</row>
    <row r="868" spans="1:16" x14ac:dyDescent="0.3">
      <c r="A868">
        <v>867</v>
      </c>
      <c r="B868" s="2">
        <v>40582</v>
      </c>
      <c r="C868">
        <v>1</v>
      </c>
      <c r="D868">
        <v>0</v>
      </c>
      <c r="E868">
        <v>2</v>
      </c>
      <c r="F868">
        <v>13</v>
      </c>
      <c r="G868" t="b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</row>
    <row r="869" spans="1:16" x14ac:dyDescent="0.3">
      <c r="A869">
        <v>868</v>
      </c>
      <c r="B869" s="2">
        <v>40582</v>
      </c>
      <c r="C869">
        <v>1</v>
      </c>
      <c r="D869">
        <v>0</v>
      </c>
      <c r="E869">
        <v>2</v>
      </c>
      <c r="F869">
        <v>14</v>
      </c>
      <c r="G869" t="b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</row>
    <row r="870" spans="1:16" x14ac:dyDescent="0.3">
      <c r="A870">
        <v>869</v>
      </c>
      <c r="B870" s="2">
        <v>40582</v>
      </c>
      <c r="C870">
        <v>1</v>
      </c>
      <c r="D870">
        <v>0</v>
      </c>
      <c r="E870">
        <v>2</v>
      </c>
      <c r="F870">
        <v>15</v>
      </c>
      <c r="G870" t="b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</row>
    <row r="871" spans="1:16" x14ac:dyDescent="0.3">
      <c r="A871">
        <v>870</v>
      </c>
      <c r="B871" s="2">
        <v>40582</v>
      </c>
      <c r="C871">
        <v>1</v>
      </c>
      <c r="D871">
        <v>0</v>
      </c>
      <c r="E871">
        <v>2</v>
      </c>
      <c r="F871">
        <v>16</v>
      </c>
      <c r="G871" t="b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</row>
    <row r="872" spans="1:16" x14ac:dyDescent="0.3">
      <c r="A872">
        <v>871</v>
      </c>
      <c r="B872" s="2">
        <v>40582</v>
      </c>
      <c r="C872">
        <v>1</v>
      </c>
      <c r="D872">
        <v>0</v>
      </c>
      <c r="E872">
        <v>2</v>
      </c>
      <c r="F872">
        <v>17</v>
      </c>
      <c r="G872" t="b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</row>
    <row r="873" spans="1:16" x14ac:dyDescent="0.3">
      <c r="A873">
        <v>872</v>
      </c>
      <c r="B873" s="2">
        <v>40582</v>
      </c>
      <c r="C873">
        <v>1</v>
      </c>
      <c r="D873">
        <v>0</v>
      </c>
      <c r="E873">
        <v>2</v>
      </c>
      <c r="F873">
        <v>18</v>
      </c>
      <c r="G873" t="b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</row>
    <row r="874" spans="1:16" x14ac:dyDescent="0.3">
      <c r="A874">
        <v>873</v>
      </c>
      <c r="B874" s="2">
        <v>40582</v>
      </c>
      <c r="C874">
        <v>1</v>
      </c>
      <c r="D874">
        <v>0</v>
      </c>
      <c r="E874">
        <v>2</v>
      </c>
      <c r="F874">
        <v>19</v>
      </c>
      <c r="G874" t="b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</row>
    <row r="875" spans="1:16" x14ac:dyDescent="0.3">
      <c r="A875">
        <v>874</v>
      </c>
      <c r="B875" s="2">
        <v>40582</v>
      </c>
      <c r="C875">
        <v>1</v>
      </c>
      <c r="D875">
        <v>0</v>
      </c>
      <c r="E875">
        <v>2</v>
      </c>
      <c r="F875">
        <v>20</v>
      </c>
      <c r="G875" t="b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</row>
    <row r="876" spans="1:16" x14ac:dyDescent="0.3">
      <c r="A876">
        <v>875</v>
      </c>
      <c r="B876" s="2">
        <v>40582</v>
      </c>
      <c r="C876">
        <v>1</v>
      </c>
      <c r="D876">
        <v>0</v>
      </c>
      <c r="E876">
        <v>2</v>
      </c>
      <c r="F876">
        <v>21</v>
      </c>
      <c r="G876" t="b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</row>
    <row r="877" spans="1:16" x14ac:dyDescent="0.3">
      <c r="A877">
        <v>876</v>
      </c>
      <c r="B877" s="2">
        <v>40582</v>
      </c>
      <c r="C877">
        <v>1</v>
      </c>
      <c r="D877">
        <v>0</v>
      </c>
      <c r="E877">
        <v>2</v>
      </c>
      <c r="F877">
        <v>22</v>
      </c>
      <c r="G877" t="b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</row>
    <row r="878" spans="1:16" x14ac:dyDescent="0.3">
      <c r="A878">
        <v>877</v>
      </c>
      <c r="B878" s="2">
        <v>40582</v>
      </c>
      <c r="C878">
        <v>1</v>
      </c>
      <c r="D878">
        <v>0</v>
      </c>
      <c r="E878">
        <v>2</v>
      </c>
      <c r="F878">
        <v>23</v>
      </c>
      <c r="G878" t="b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</row>
    <row r="879" spans="1:16" x14ac:dyDescent="0.3">
      <c r="A879">
        <v>878</v>
      </c>
      <c r="B879" s="2">
        <v>40583</v>
      </c>
      <c r="C879">
        <v>1</v>
      </c>
      <c r="D879">
        <v>0</v>
      </c>
      <c r="E879">
        <v>2</v>
      </c>
      <c r="F879">
        <v>0</v>
      </c>
      <c r="G879" t="b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</row>
    <row r="880" spans="1:16" x14ac:dyDescent="0.3">
      <c r="A880">
        <v>879</v>
      </c>
      <c r="B880" s="2">
        <v>40583</v>
      </c>
      <c r="C880">
        <v>1</v>
      </c>
      <c r="D880">
        <v>0</v>
      </c>
      <c r="E880">
        <v>2</v>
      </c>
      <c r="F880">
        <v>1</v>
      </c>
      <c r="G880" t="b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</row>
    <row r="881" spans="1:16" x14ac:dyDescent="0.3">
      <c r="A881">
        <v>880</v>
      </c>
      <c r="B881" s="2">
        <v>40583</v>
      </c>
      <c r="C881">
        <v>1</v>
      </c>
      <c r="D881">
        <v>0</v>
      </c>
      <c r="E881">
        <v>2</v>
      </c>
      <c r="F881">
        <v>2</v>
      </c>
      <c r="G881" t="b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</row>
    <row r="882" spans="1:16" x14ac:dyDescent="0.3">
      <c r="A882">
        <v>881</v>
      </c>
      <c r="B882" s="2">
        <v>40583</v>
      </c>
      <c r="C882">
        <v>1</v>
      </c>
      <c r="D882">
        <v>0</v>
      </c>
      <c r="E882">
        <v>2</v>
      </c>
      <c r="F882">
        <v>3</v>
      </c>
      <c r="G882" t="b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</row>
    <row r="883" spans="1:16" x14ac:dyDescent="0.3">
      <c r="A883">
        <v>882</v>
      </c>
      <c r="B883" s="2">
        <v>40583</v>
      </c>
      <c r="C883">
        <v>1</v>
      </c>
      <c r="D883">
        <v>0</v>
      </c>
      <c r="E883">
        <v>2</v>
      </c>
      <c r="F883">
        <v>5</v>
      </c>
      <c r="G883" t="b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</row>
    <row r="884" spans="1:16" x14ac:dyDescent="0.3">
      <c r="A884">
        <v>883</v>
      </c>
      <c r="B884" s="2">
        <v>40583</v>
      </c>
      <c r="C884">
        <v>1</v>
      </c>
      <c r="D884">
        <v>0</v>
      </c>
      <c r="E884">
        <v>2</v>
      </c>
      <c r="F884">
        <v>6</v>
      </c>
      <c r="G884" t="b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</row>
    <row r="885" spans="1:16" x14ac:dyDescent="0.3">
      <c r="A885">
        <v>884</v>
      </c>
      <c r="B885" s="2">
        <v>40583</v>
      </c>
      <c r="C885">
        <v>1</v>
      </c>
      <c r="D885">
        <v>0</v>
      </c>
      <c r="E885">
        <v>2</v>
      </c>
      <c r="F885">
        <v>7</v>
      </c>
      <c r="G885" t="b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</row>
    <row r="886" spans="1:16" x14ac:dyDescent="0.3">
      <c r="A886">
        <v>885</v>
      </c>
      <c r="B886" s="2">
        <v>40583</v>
      </c>
      <c r="C886">
        <v>1</v>
      </c>
      <c r="D886">
        <v>0</v>
      </c>
      <c r="E886">
        <v>2</v>
      </c>
      <c r="F886">
        <v>8</v>
      </c>
      <c r="G886" t="b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</row>
    <row r="887" spans="1:16" x14ac:dyDescent="0.3">
      <c r="A887">
        <v>886</v>
      </c>
      <c r="B887" s="2">
        <v>40583</v>
      </c>
      <c r="C887">
        <v>1</v>
      </c>
      <c r="D887">
        <v>0</v>
      </c>
      <c r="E887">
        <v>2</v>
      </c>
      <c r="F887">
        <v>9</v>
      </c>
      <c r="G887" t="b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</row>
    <row r="888" spans="1:16" x14ac:dyDescent="0.3">
      <c r="A888">
        <v>887</v>
      </c>
      <c r="B888" s="2">
        <v>40583</v>
      </c>
      <c r="C888">
        <v>1</v>
      </c>
      <c r="D888">
        <v>0</v>
      </c>
      <c r="E888">
        <v>2</v>
      </c>
      <c r="F888">
        <v>10</v>
      </c>
      <c r="G888" t="b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</row>
    <row r="889" spans="1:16" x14ac:dyDescent="0.3">
      <c r="A889">
        <v>888</v>
      </c>
      <c r="B889" s="2">
        <v>40583</v>
      </c>
      <c r="C889">
        <v>1</v>
      </c>
      <c r="D889">
        <v>0</v>
      </c>
      <c r="E889">
        <v>2</v>
      </c>
      <c r="F889">
        <v>11</v>
      </c>
      <c r="G889" t="b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</row>
    <row r="890" spans="1:16" x14ac:dyDescent="0.3">
      <c r="A890">
        <v>889</v>
      </c>
      <c r="B890" s="2">
        <v>40583</v>
      </c>
      <c r="C890">
        <v>1</v>
      </c>
      <c r="D890">
        <v>0</v>
      </c>
      <c r="E890">
        <v>2</v>
      </c>
      <c r="F890">
        <v>12</v>
      </c>
      <c r="G890" t="b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</row>
    <row r="891" spans="1:16" x14ac:dyDescent="0.3">
      <c r="A891">
        <v>890</v>
      </c>
      <c r="B891" s="2">
        <v>40583</v>
      </c>
      <c r="C891">
        <v>1</v>
      </c>
      <c r="D891">
        <v>0</v>
      </c>
      <c r="E891">
        <v>2</v>
      </c>
      <c r="F891">
        <v>13</v>
      </c>
      <c r="G891" t="b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</row>
    <row r="892" spans="1:16" x14ac:dyDescent="0.3">
      <c r="A892">
        <v>891</v>
      </c>
      <c r="B892" s="2">
        <v>40583</v>
      </c>
      <c r="C892">
        <v>1</v>
      </c>
      <c r="D892">
        <v>0</v>
      </c>
      <c r="E892">
        <v>2</v>
      </c>
      <c r="F892">
        <v>14</v>
      </c>
      <c r="G892" t="b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</row>
    <row r="893" spans="1:16" x14ac:dyDescent="0.3">
      <c r="A893">
        <v>892</v>
      </c>
      <c r="B893" s="2">
        <v>40583</v>
      </c>
      <c r="C893">
        <v>1</v>
      </c>
      <c r="D893">
        <v>0</v>
      </c>
      <c r="E893">
        <v>2</v>
      </c>
      <c r="F893">
        <v>15</v>
      </c>
      <c r="G893" t="b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</row>
    <row r="894" spans="1:16" x14ac:dyDescent="0.3">
      <c r="A894">
        <v>893</v>
      </c>
      <c r="B894" s="2">
        <v>40583</v>
      </c>
      <c r="C894">
        <v>1</v>
      </c>
      <c r="D894">
        <v>0</v>
      </c>
      <c r="E894">
        <v>2</v>
      </c>
      <c r="F894">
        <v>16</v>
      </c>
      <c r="G894" t="b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</row>
    <row r="895" spans="1:16" x14ac:dyDescent="0.3">
      <c r="A895">
        <v>894</v>
      </c>
      <c r="B895" s="2">
        <v>40583</v>
      </c>
      <c r="C895">
        <v>1</v>
      </c>
      <c r="D895">
        <v>0</v>
      </c>
      <c r="E895">
        <v>2</v>
      </c>
      <c r="F895">
        <v>17</v>
      </c>
      <c r="G895" t="b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</row>
    <row r="896" spans="1:16" x14ac:dyDescent="0.3">
      <c r="A896">
        <v>895</v>
      </c>
      <c r="B896" s="2">
        <v>40583</v>
      </c>
      <c r="C896">
        <v>1</v>
      </c>
      <c r="D896">
        <v>0</v>
      </c>
      <c r="E896">
        <v>2</v>
      </c>
      <c r="F896">
        <v>18</v>
      </c>
      <c r="G896" t="b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</row>
    <row r="897" spans="1:16" x14ac:dyDescent="0.3">
      <c r="A897">
        <v>896</v>
      </c>
      <c r="B897" s="2">
        <v>40583</v>
      </c>
      <c r="C897">
        <v>1</v>
      </c>
      <c r="D897">
        <v>0</v>
      </c>
      <c r="E897">
        <v>2</v>
      </c>
      <c r="F897">
        <v>19</v>
      </c>
      <c r="G897" t="b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</row>
    <row r="898" spans="1:16" x14ac:dyDescent="0.3">
      <c r="A898">
        <v>897</v>
      </c>
      <c r="B898" s="2">
        <v>40583</v>
      </c>
      <c r="C898">
        <v>1</v>
      </c>
      <c r="D898">
        <v>0</v>
      </c>
      <c r="E898">
        <v>2</v>
      </c>
      <c r="F898">
        <v>20</v>
      </c>
      <c r="G898" t="b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</row>
    <row r="899" spans="1:16" x14ac:dyDescent="0.3">
      <c r="A899">
        <v>898</v>
      </c>
      <c r="B899" s="2">
        <v>40583</v>
      </c>
      <c r="C899">
        <v>1</v>
      </c>
      <c r="D899">
        <v>0</v>
      </c>
      <c r="E899">
        <v>2</v>
      </c>
      <c r="F899">
        <v>21</v>
      </c>
      <c r="G899" t="b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</row>
    <row r="900" spans="1:16" x14ac:dyDescent="0.3">
      <c r="A900">
        <v>899</v>
      </c>
      <c r="B900" s="2">
        <v>40583</v>
      </c>
      <c r="C900">
        <v>1</v>
      </c>
      <c r="D900">
        <v>0</v>
      </c>
      <c r="E900">
        <v>2</v>
      </c>
      <c r="F900">
        <v>22</v>
      </c>
      <c r="G900" t="b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</row>
    <row r="901" spans="1:16" x14ac:dyDescent="0.3">
      <c r="A901">
        <v>900</v>
      </c>
      <c r="B901" s="2">
        <v>40583</v>
      </c>
      <c r="C901">
        <v>1</v>
      </c>
      <c r="D901">
        <v>0</v>
      </c>
      <c r="E901">
        <v>2</v>
      </c>
      <c r="F901">
        <v>23</v>
      </c>
      <c r="G901" t="b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</row>
    <row r="902" spans="1:16" x14ac:dyDescent="0.3">
      <c r="A902">
        <v>901</v>
      </c>
      <c r="B902" s="2">
        <v>40584</v>
      </c>
      <c r="C902">
        <v>1</v>
      </c>
      <c r="D902">
        <v>0</v>
      </c>
      <c r="E902">
        <v>2</v>
      </c>
      <c r="F902">
        <v>0</v>
      </c>
      <c r="G902" t="b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</row>
    <row r="903" spans="1:16" x14ac:dyDescent="0.3">
      <c r="A903">
        <v>902</v>
      </c>
      <c r="B903" s="2">
        <v>40584</v>
      </c>
      <c r="C903">
        <v>1</v>
      </c>
      <c r="D903">
        <v>0</v>
      </c>
      <c r="E903">
        <v>2</v>
      </c>
      <c r="F903">
        <v>1</v>
      </c>
      <c r="G903" t="b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</row>
    <row r="904" spans="1:16" x14ac:dyDescent="0.3">
      <c r="A904">
        <v>903</v>
      </c>
      <c r="B904" s="2">
        <v>40584</v>
      </c>
      <c r="C904">
        <v>1</v>
      </c>
      <c r="D904">
        <v>0</v>
      </c>
      <c r="E904">
        <v>2</v>
      </c>
      <c r="F904">
        <v>2</v>
      </c>
      <c r="G904" t="b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</row>
    <row r="905" spans="1:16" x14ac:dyDescent="0.3">
      <c r="A905">
        <v>904</v>
      </c>
      <c r="B905" s="2">
        <v>40584</v>
      </c>
      <c r="C905">
        <v>1</v>
      </c>
      <c r="D905">
        <v>0</v>
      </c>
      <c r="E905">
        <v>2</v>
      </c>
      <c r="F905">
        <v>4</v>
      </c>
      <c r="G905" t="b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</row>
    <row r="906" spans="1:16" x14ac:dyDescent="0.3">
      <c r="A906">
        <v>905</v>
      </c>
      <c r="B906" s="2">
        <v>40584</v>
      </c>
      <c r="C906">
        <v>1</v>
      </c>
      <c r="D906">
        <v>0</v>
      </c>
      <c r="E906">
        <v>2</v>
      </c>
      <c r="F906">
        <v>5</v>
      </c>
      <c r="G906" t="b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</row>
    <row r="907" spans="1:16" x14ac:dyDescent="0.3">
      <c r="A907">
        <v>906</v>
      </c>
      <c r="B907" s="2">
        <v>40584</v>
      </c>
      <c r="C907">
        <v>1</v>
      </c>
      <c r="D907">
        <v>0</v>
      </c>
      <c r="E907">
        <v>2</v>
      </c>
      <c r="F907">
        <v>6</v>
      </c>
      <c r="G907" t="b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</row>
    <row r="908" spans="1:16" x14ac:dyDescent="0.3">
      <c r="A908">
        <v>907</v>
      </c>
      <c r="B908" s="2">
        <v>40584</v>
      </c>
      <c r="C908">
        <v>1</v>
      </c>
      <c r="D908">
        <v>0</v>
      </c>
      <c r="E908">
        <v>2</v>
      </c>
      <c r="F908">
        <v>7</v>
      </c>
      <c r="G908" t="b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</row>
    <row r="909" spans="1:16" x14ac:dyDescent="0.3">
      <c r="A909">
        <v>908</v>
      </c>
      <c r="B909" s="2">
        <v>40584</v>
      </c>
      <c r="C909">
        <v>1</v>
      </c>
      <c r="D909">
        <v>0</v>
      </c>
      <c r="E909">
        <v>2</v>
      </c>
      <c r="F909">
        <v>8</v>
      </c>
      <c r="G909" t="b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</row>
    <row r="910" spans="1:16" x14ac:dyDescent="0.3">
      <c r="A910">
        <v>909</v>
      </c>
      <c r="B910" s="2">
        <v>40584</v>
      </c>
      <c r="C910">
        <v>1</v>
      </c>
      <c r="D910">
        <v>0</v>
      </c>
      <c r="E910">
        <v>2</v>
      </c>
      <c r="F910">
        <v>9</v>
      </c>
      <c r="G910" t="b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</row>
    <row r="911" spans="1:16" x14ac:dyDescent="0.3">
      <c r="A911">
        <v>910</v>
      </c>
      <c r="B911" s="2">
        <v>40584</v>
      </c>
      <c r="C911">
        <v>1</v>
      </c>
      <c r="D911">
        <v>0</v>
      </c>
      <c r="E911">
        <v>2</v>
      </c>
      <c r="F911">
        <v>10</v>
      </c>
      <c r="G911" t="b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</row>
    <row r="912" spans="1:16" x14ac:dyDescent="0.3">
      <c r="A912">
        <v>911</v>
      </c>
      <c r="B912" s="2">
        <v>40584</v>
      </c>
      <c r="C912">
        <v>1</v>
      </c>
      <c r="D912">
        <v>0</v>
      </c>
      <c r="E912">
        <v>2</v>
      </c>
      <c r="F912">
        <v>11</v>
      </c>
      <c r="G912" t="b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</row>
    <row r="913" spans="1:16" x14ac:dyDescent="0.3">
      <c r="A913">
        <v>912</v>
      </c>
      <c r="B913" s="2">
        <v>40584</v>
      </c>
      <c r="C913">
        <v>1</v>
      </c>
      <c r="D913">
        <v>0</v>
      </c>
      <c r="E913">
        <v>2</v>
      </c>
      <c r="F913">
        <v>12</v>
      </c>
      <c r="G913" t="b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</row>
    <row r="914" spans="1:16" x14ac:dyDescent="0.3">
      <c r="A914">
        <v>913</v>
      </c>
      <c r="B914" s="2">
        <v>40584</v>
      </c>
      <c r="C914">
        <v>1</v>
      </c>
      <c r="D914">
        <v>0</v>
      </c>
      <c r="E914">
        <v>2</v>
      </c>
      <c r="F914">
        <v>13</v>
      </c>
      <c r="G914" t="b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</row>
    <row r="915" spans="1:16" x14ac:dyDescent="0.3">
      <c r="A915">
        <v>914</v>
      </c>
      <c r="B915" s="2">
        <v>40584</v>
      </c>
      <c r="C915">
        <v>1</v>
      </c>
      <c r="D915">
        <v>0</v>
      </c>
      <c r="E915">
        <v>2</v>
      </c>
      <c r="F915">
        <v>14</v>
      </c>
      <c r="G915" t="b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</row>
    <row r="916" spans="1:16" x14ac:dyDescent="0.3">
      <c r="A916">
        <v>915</v>
      </c>
      <c r="B916" s="2">
        <v>40584</v>
      </c>
      <c r="C916">
        <v>1</v>
      </c>
      <c r="D916">
        <v>0</v>
      </c>
      <c r="E916">
        <v>2</v>
      </c>
      <c r="F916">
        <v>15</v>
      </c>
      <c r="G916" t="b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</row>
    <row r="917" spans="1:16" x14ac:dyDescent="0.3">
      <c r="A917">
        <v>916</v>
      </c>
      <c r="B917" s="2">
        <v>40584</v>
      </c>
      <c r="C917">
        <v>1</v>
      </c>
      <c r="D917">
        <v>0</v>
      </c>
      <c r="E917">
        <v>2</v>
      </c>
      <c r="F917">
        <v>16</v>
      </c>
      <c r="G917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</row>
    <row r="918" spans="1:16" x14ac:dyDescent="0.3">
      <c r="A918">
        <v>917</v>
      </c>
      <c r="B918" s="2">
        <v>40584</v>
      </c>
      <c r="C918">
        <v>1</v>
      </c>
      <c r="D918">
        <v>0</v>
      </c>
      <c r="E918">
        <v>2</v>
      </c>
      <c r="F918">
        <v>17</v>
      </c>
      <c r="G918" t="b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</row>
    <row r="919" spans="1:16" x14ac:dyDescent="0.3">
      <c r="A919">
        <v>918</v>
      </c>
      <c r="B919" s="2">
        <v>40584</v>
      </c>
      <c r="C919">
        <v>1</v>
      </c>
      <c r="D919">
        <v>0</v>
      </c>
      <c r="E919">
        <v>2</v>
      </c>
      <c r="F919">
        <v>18</v>
      </c>
      <c r="G919" t="b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</row>
    <row r="920" spans="1:16" x14ac:dyDescent="0.3">
      <c r="A920">
        <v>919</v>
      </c>
      <c r="B920" s="2">
        <v>40584</v>
      </c>
      <c r="C920">
        <v>1</v>
      </c>
      <c r="D920">
        <v>0</v>
      </c>
      <c r="E920">
        <v>2</v>
      </c>
      <c r="F920">
        <v>19</v>
      </c>
      <c r="G920" t="b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</row>
    <row r="921" spans="1:16" x14ac:dyDescent="0.3">
      <c r="A921">
        <v>920</v>
      </c>
      <c r="B921" s="2">
        <v>40584</v>
      </c>
      <c r="C921">
        <v>1</v>
      </c>
      <c r="D921">
        <v>0</v>
      </c>
      <c r="E921">
        <v>2</v>
      </c>
      <c r="F921">
        <v>20</v>
      </c>
      <c r="G921" t="b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</row>
    <row r="922" spans="1:16" x14ac:dyDescent="0.3">
      <c r="A922">
        <v>921</v>
      </c>
      <c r="B922" s="2">
        <v>40584</v>
      </c>
      <c r="C922">
        <v>1</v>
      </c>
      <c r="D922">
        <v>0</v>
      </c>
      <c r="E922">
        <v>2</v>
      </c>
      <c r="F922">
        <v>21</v>
      </c>
      <c r="G922" t="b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</row>
    <row r="923" spans="1:16" x14ac:dyDescent="0.3">
      <c r="A923">
        <v>922</v>
      </c>
      <c r="B923" s="2">
        <v>40584</v>
      </c>
      <c r="C923">
        <v>1</v>
      </c>
      <c r="D923">
        <v>0</v>
      </c>
      <c r="E923">
        <v>2</v>
      </c>
      <c r="F923">
        <v>22</v>
      </c>
      <c r="G923" t="b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</row>
    <row r="924" spans="1:16" x14ac:dyDescent="0.3">
      <c r="A924">
        <v>923</v>
      </c>
      <c r="B924" s="2">
        <v>40584</v>
      </c>
      <c r="C924">
        <v>1</v>
      </c>
      <c r="D924">
        <v>0</v>
      </c>
      <c r="E924">
        <v>2</v>
      </c>
      <c r="F924">
        <v>23</v>
      </c>
      <c r="G924" t="b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</row>
    <row r="925" spans="1:16" x14ac:dyDescent="0.3">
      <c r="A925">
        <v>924</v>
      </c>
      <c r="B925" s="2">
        <v>40585</v>
      </c>
      <c r="C925">
        <v>1</v>
      </c>
      <c r="D925">
        <v>0</v>
      </c>
      <c r="E925">
        <v>2</v>
      </c>
      <c r="F925">
        <v>0</v>
      </c>
      <c r="G925" t="b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</row>
    <row r="926" spans="1:16" x14ac:dyDescent="0.3">
      <c r="A926">
        <v>925</v>
      </c>
      <c r="B926" s="2">
        <v>40585</v>
      </c>
      <c r="C926">
        <v>1</v>
      </c>
      <c r="D926">
        <v>0</v>
      </c>
      <c r="E926">
        <v>2</v>
      </c>
      <c r="F926">
        <v>1</v>
      </c>
      <c r="G926" t="b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</row>
    <row r="927" spans="1:16" x14ac:dyDescent="0.3">
      <c r="A927">
        <v>926</v>
      </c>
      <c r="B927" s="2">
        <v>40585</v>
      </c>
      <c r="C927">
        <v>1</v>
      </c>
      <c r="D927">
        <v>0</v>
      </c>
      <c r="E927">
        <v>2</v>
      </c>
      <c r="F927">
        <v>2</v>
      </c>
      <c r="G927" t="b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</row>
    <row r="928" spans="1:16" x14ac:dyDescent="0.3">
      <c r="A928">
        <v>927</v>
      </c>
      <c r="B928" s="2">
        <v>40585</v>
      </c>
      <c r="C928">
        <v>1</v>
      </c>
      <c r="D928">
        <v>0</v>
      </c>
      <c r="E928">
        <v>2</v>
      </c>
      <c r="F928">
        <v>5</v>
      </c>
      <c r="G928" t="b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</row>
    <row r="929" spans="1:16" x14ac:dyDescent="0.3">
      <c r="A929">
        <v>928</v>
      </c>
      <c r="B929" s="2">
        <v>40585</v>
      </c>
      <c r="C929">
        <v>1</v>
      </c>
      <c r="D929">
        <v>0</v>
      </c>
      <c r="E929">
        <v>2</v>
      </c>
      <c r="F929">
        <v>6</v>
      </c>
      <c r="G929" t="b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</row>
    <row r="930" spans="1:16" x14ac:dyDescent="0.3">
      <c r="A930">
        <v>929</v>
      </c>
      <c r="B930" s="2">
        <v>40585</v>
      </c>
      <c r="C930">
        <v>1</v>
      </c>
      <c r="D930">
        <v>0</v>
      </c>
      <c r="E930">
        <v>2</v>
      </c>
      <c r="F930">
        <v>7</v>
      </c>
      <c r="G930" t="b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</row>
    <row r="931" spans="1:16" x14ac:dyDescent="0.3">
      <c r="A931">
        <v>930</v>
      </c>
      <c r="B931" s="2">
        <v>40585</v>
      </c>
      <c r="C931">
        <v>1</v>
      </c>
      <c r="D931">
        <v>0</v>
      </c>
      <c r="E931">
        <v>2</v>
      </c>
      <c r="F931">
        <v>8</v>
      </c>
      <c r="G931" t="b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</row>
    <row r="932" spans="1:16" x14ac:dyDescent="0.3">
      <c r="A932">
        <v>931</v>
      </c>
      <c r="B932" s="2">
        <v>40585</v>
      </c>
      <c r="C932">
        <v>1</v>
      </c>
      <c r="D932">
        <v>0</v>
      </c>
      <c r="E932">
        <v>2</v>
      </c>
      <c r="F932">
        <v>9</v>
      </c>
      <c r="G932" t="b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</row>
    <row r="933" spans="1:16" x14ac:dyDescent="0.3">
      <c r="A933">
        <v>932</v>
      </c>
      <c r="B933" s="2">
        <v>40585</v>
      </c>
      <c r="C933">
        <v>1</v>
      </c>
      <c r="D933">
        <v>0</v>
      </c>
      <c r="E933">
        <v>2</v>
      </c>
      <c r="F933">
        <v>10</v>
      </c>
      <c r="G933" t="b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</row>
    <row r="934" spans="1:16" x14ac:dyDescent="0.3">
      <c r="A934">
        <v>933</v>
      </c>
      <c r="B934" s="2">
        <v>40585</v>
      </c>
      <c r="C934">
        <v>1</v>
      </c>
      <c r="D934">
        <v>0</v>
      </c>
      <c r="E934">
        <v>2</v>
      </c>
      <c r="F934">
        <v>11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</row>
    <row r="935" spans="1:16" x14ac:dyDescent="0.3">
      <c r="A935">
        <v>934</v>
      </c>
      <c r="B935" s="2">
        <v>40585</v>
      </c>
      <c r="C935">
        <v>1</v>
      </c>
      <c r="D935">
        <v>0</v>
      </c>
      <c r="E935">
        <v>2</v>
      </c>
      <c r="F935">
        <v>12</v>
      </c>
      <c r="G935" t="b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</row>
    <row r="936" spans="1:16" x14ac:dyDescent="0.3">
      <c r="A936">
        <v>935</v>
      </c>
      <c r="B936" s="2">
        <v>40585</v>
      </c>
      <c r="C936">
        <v>1</v>
      </c>
      <c r="D936">
        <v>0</v>
      </c>
      <c r="E936">
        <v>2</v>
      </c>
      <c r="F936">
        <v>13</v>
      </c>
      <c r="G936" t="b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</row>
    <row r="937" spans="1:16" x14ac:dyDescent="0.3">
      <c r="A937">
        <v>936</v>
      </c>
      <c r="B937" s="2">
        <v>40585</v>
      </c>
      <c r="C937">
        <v>1</v>
      </c>
      <c r="D937">
        <v>0</v>
      </c>
      <c r="E937">
        <v>2</v>
      </c>
      <c r="F937">
        <v>14</v>
      </c>
      <c r="G937" t="b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</row>
    <row r="938" spans="1:16" x14ac:dyDescent="0.3">
      <c r="A938">
        <v>937</v>
      </c>
      <c r="B938" s="2">
        <v>40585</v>
      </c>
      <c r="C938">
        <v>1</v>
      </c>
      <c r="D938">
        <v>0</v>
      </c>
      <c r="E938">
        <v>2</v>
      </c>
      <c r="F938">
        <v>15</v>
      </c>
      <c r="G938" t="b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</row>
    <row r="939" spans="1:16" x14ac:dyDescent="0.3">
      <c r="A939">
        <v>938</v>
      </c>
      <c r="B939" s="2">
        <v>40585</v>
      </c>
      <c r="C939">
        <v>1</v>
      </c>
      <c r="D939">
        <v>0</v>
      </c>
      <c r="E939">
        <v>2</v>
      </c>
      <c r="F939">
        <v>16</v>
      </c>
      <c r="G939" t="b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</row>
    <row r="940" spans="1:16" x14ac:dyDescent="0.3">
      <c r="A940">
        <v>939</v>
      </c>
      <c r="B940" s="2">
        <v>40585</v>
      </c>
      <c r="C940">
        <v>1</v>
      </c>
      <c r="D940">
        <v>0</v>
      </c>
      <c r="E940">
        <v>2</v>
      </c>
      <c r="F940">
        <v>17</v>
      </c>
      <c r="G940" t="b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</row>
    <row r="941" spans="1:16" x14ac:dyDescent="0.3">
      <c r="A941">
        <v>940</v>
      </c>
      <c r="B941" s="2">
        <v>40585</v>
      </c>
      <c r="C941">
        <v>1</v>
      </c>
      <c r="D941">
        <v>0</v>
      </c>
      <c r="E941">
        <v>2</v>
      </c>
      <c r="F941">
        <v>18</v>
      </c>
      <c r="G941" t="b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</row>
    <row r="942" spans="1:16" x14ac:dyDescent="0.3">
      <c r="A942">
        <v>941</v>
      </c>
      <c r="B942" s="2">
        <v>40585</v>
      </c>
      <c r="C942">
        <v>1</v>
      </c>
      <c r="D942">
        <v>0</v>
      </c>
      <c r="E942">
        <v>2</v>
      </c>
      <c r="F942">
        <v>19</v>
      </c>
      <c r="G942" t="b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</row>
    <row r="943" spans="1:16" x14ac:dyDescent="0.3">
      <c r="A943">
        <v>942</v>
      </c>
      <c r="B943" s="2">
        <v>40585</v>
      </c>
      <c r="C943">
        <v>1</v>
      </c>
      <c r="D943">
        <v>0</v>
      </c>
      <c r="E943">
        <v>2</v>
      </c>
      <c r="F943">
        <v>20</v>
      </c>
      <c r="G943" t="b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</row>
    <row r="944" spans="1:16" x14ac:dyDescent="0.3">
      <c r="A944">
        <v>943</v>
      </c>
      <c r="B944" s="2">
        <v>40585</v>
      </c>
      <c r="C944">
        <v>1</v>
      </c>
      <c r="D944">
        <v>0</v>
      </c>
      <c r="E944">
        <v>2</v>
      </c>
      <c r="F944">
        <v>21</v>
      </c>
      <c r="G944" t="b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</row>
    <row r="945" spans="1:16" x14ac:dyDescent="0.3">
      <c r="A945">
        <v>944</v>
      </c>
      <c r="B945" s="2">
        <v>40585</v>
      </c>
      <c r="C945">
        <v>1</v>
      </c>
      <c r="D945">
        <v>0</v>
      </c>
      <c r="E945">
        <v>2</v>
      </c>
      <c r="F945">
        <v>22</v>
      </c>
      <c r="G945" t="b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</row>
    <row r="946" spans="1:16" x14ac:dyDescent="0.3">
      <c r="A946">
        <v>945</v>
      </c>
      <c r="B946" s="2">
        <v>40585</v>
      </c>
      <c r="C946">
        <v>1</v>
      </c>
      <c r="D946">
        <v>0</v>
      </c>
      <c r="E946">
        <v>2</v>
      </c>
      <c r="F946">
        <v>23</v>
      </c>
      <c r="G946" t="b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</row>
    <row r="947" spans="1:16" x14ac:dyDescent="0.3">
      <c r="A947">
        <v>946</v>
      </c>
      <c r="B947" s="2">
        <v>40586</v>
      </c>
      <c r="C947">
        <v>1</v>
      </c>
      <c r="D947">
        <v>0</v>
      </c>
      <c r="E947">
        <v>2</v>
      </c>
      <c r="F947">
        <v>0</v>
      </c>
      <c r="G947" t="b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</row>
    <row r="948" spans="1:16" x14ac:dyDescent="0.3">
      <c r="A948">
        <v>947</v>
      </c>
      <c r="B948" s="2">
        <v>40586</v>
      </c>
      <c r="C948">
        <v>1</v>
      </c>
      <c r="D948">
        <v>0</v>
      </c>
      <c r="E948">
        <v>2</v>
      </c>
      <c r="F948">
        <v>1</v>
      </c>
      <c r="G948" t="b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</row>
    <row r="949" spans="1:16" x14ac:dyDescent="0.3">
      <c r="A949">
        <v>948</v>
      </c>
      <c r="B949" s="2">
        <v>40586</v>
      </c>
      <c r="C949">
        <v>1</v>
      </c>
      <c r="D949">
        <v>0</v>
      </c>
      <c r="E949">
        <v>2</v>
      </c>
      <c r="F949">
        <v>2</v>
      </c>
      <c r="G949" t="b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</row>
    <row r="950" spans="1:16" x14ac:dyDescent="0.3">
      <c r="A950">
        <v>949</v>
      </c>
      <c r="B950" s="2">
        <v>40586</v>
      </c>
      <c r="C950">
        <v>1</v>
      </c>
      <c r="D950">
        <v>0</v>
      </c>
      <c r="E950">
        <v>2</v>
      </c>
      <c r="F950">
        <v>3</v>
      </c>
      <c r="G950" t="b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</row>
    <row r="951" spans="1:16" x14ac:dyDescent="0.3">
      <c r="A951">
        <v>950</v>
      </c>
      <c r="B951" s="2">
        <v>40586</v>
      </c>
      <c r="C951">
        <v>1</v>
      </c>
      <c r="D951">
        <v>0</v>
      </c>
      <c r="E951">
        <v>2</v>
      </c>
      <c r="F951">
        <v>4</v>
      </c>
      <c r="G951" t="b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</row>
    <row r="952" spans="1:16" x14ac:dyDescent="0.3">
      <c r="A952">
        <v>951</v>
      </c>
      <c r="B952" s="2">
        <v>40586</v>
      </c>
      <c r="C952">
        <v>1</v>
      </c>
      <c r="D952">
        <v>0</v>
      </c>
      <c r="E952">
        <v>2</v>
      </c>
      <c r="F952">
        <v>5</v>
      </c>
      <c r="G952" t="b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</row>
    <row r="953" spans="1:16" x14ac:dyDescent="0.3">
      <c r="A953">
        <v>952</v>
      </c>
      <c r="B953" s="2">
        <v>40586</v>
      </c>
      <c r="C953">
        <v>1</v>
      </c>
      <c r="D953">
        <v>0</v>
      </c>
      <c r="E953">
        <v>2</v>
      </c>
      <c r="F953">
        <v>6</v>
      </c>
      <c r="G953" t="b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</row>
    <row r="954" spans="1:16" x14ac:dyDescent="0.3">
      <c r="A954">
        <v>953</v>
      </c>
      <c r="B954" s="2">
        <v>40586</v>
      </c>
      <c r="C954">
        <v>1</v>
      </c>
      <c r="D954">
        <v>0</v>
      </c>
      <c r="E954">
        <v>2</v>
      </c>
      <c r="F954">
        <v>7</v>
      </c>
      <c r="G954" t="b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</row>
    <row r="955" spans="1:16" x14ac:dyDescent="0.3">
      <c r="A955">
        <v>954</v>
      </c>
      <c r="B955" s="2">
        <v>40586</v>
      </c>
      <c r="C955">
        <v>1</v>
      </c>
      <c r="D955">
        <v>0</v>
      </c>
      <c r="E955">
        <v>2</v>
      </c>
      <c r="F955">
        <v>8</v>
      </c>
      <c r="G955" t="b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</row>
    <row r="956" spans="1:16" x14ac:dyDescent="0.3">
      <c r="A956">
        <v>955</v>
      </c>
      <c r="B956" s="2">
        <v>40586</v>
      </c>
      <c r="C956">
        <v>1</v>
      </c>
      <c r="D956">
        <v>0</v>
      </c>
      <c r="E956">
        <v>2</v>
      </c>
      <c r="F956">
        <v>9</v>
      </c>
      <c r="G956" t="b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</row>
    <row r="957" spans="1:16" x14ac:dyDescent="0.3">
      <c r="A957">
        <v>956</v>
      </c>
      <c r="B957" s="2">
        <v>40586</v>
      </c>
      <c r="C957">
        <v>1</v>
      </c>
      <c r="D957">
        <v>0</v>
      </c>
      <c r="E957">
        <v>2</v>
      </c>
      <c r="F957">
        <v>10</v>
      </c>
      <c r="G957" t="b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</row>
    <row r="958" spans="1:16" x14ac:dyDescent="0.3">
      <c r="A958">
        <v>957</v>
      </c>
      <c r="B958" s="2">
        <v>40586</v>
      </c>
      <c r="C958">
        <v>1</v>
      </c>
      <c r="D958">
        <v>0</v>
      </c>
      <c r="E958">
        <v>2</v>
      </c>
      <c r="F958">
        <v>11</v>
      </c>
      <c r="G958" t="b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</row>
    <row r="959" spans="1:16" x14ac:dyDescent="0.3">
      <c r="A959">
        <v>958</v>
      </c>
      <c r="B959" s="2">
        <v>40586</v>
      </c>
      <c r="C959">
        <v>1</v>
      </c>
      <c r="D959">
        <v>0</v>
      </c>
      <c r="E959">
        <v>2</v>
      </c>
      <c r="F959">
        <v>12</v>
      </c>
      <c r="G959" t="b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</row>
    <row r="960" spans="1:16" x14ac:dyDescent="0.3">
      <c r="A960">
        <v>959</v>
      </c>
      <c r="B960" s="2">
        <v>40586</v>
      </c>
      <c r="C960">
        <v>1</v>
      </c>
      <c r="D960">
        <v>0</v>
      </c>
      <c r="E960">
        <v>2</v>
      </c>
      <c r="F960">
        <v>13</v>
      </c>
      <c r="G960" t="b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</row>
    <row r="961" spans="1:16" x14ac:dyDescent="0.3">
      <c r="A961">
        <v>960</v>
      </c>
      <c r="B961" s="2">
        <v>40586</v>
      </c>
      <c r="C961">
        <v>1</v>
      </c>
      <c r="D961">
        <v>0</v>
      </c>
      <c r="E961">
        <v>2</v>
      </c>
      <c r="F961">
        <v>14</v>
      </c>
      <c r="G961" t="b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</row>
    <row r="962" spans="1:16" x14ac:dyDescent="0.3">
      <c r="A962">
        <v>961</v>
      </c>
      <c r="B962" s="2">
        <v>40586</v>
      </c>
      <c r="C962">
        <v>1</v>
      </c>
      <c r="D962">
        <v>0</v>
      </c>
      <c r="E962">
        <v>2</v>
      </c>
      <c r="F962">
        <v>15</v>
      </c>
      <c r="G962" t="b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</row>
    <row r="963" spans="1:16" x14ac:dyDescent="0.3">
      <c r="A963">
        <v>962</v>
      </c>
      <c r="B963" s="2">
        <v>40586</v>
      </c>
      <c r="C963">
        <v>1</v>
      </c>
      <c r="D963">
        <v>0</v>
      </c>
      <c r="E963">
        <v>2</v>
      </c>
      <c r="F963">
        <v>16</v>
      </c>
      <c r="G963" t="b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</row>
    <row r="964" spans="1:16" x14ac:dyDescent="0.3">
      <c r="A964">
        <v>963</v>
      </c>
      <c r="B964" s="2">
        <v>40586</v>
      </c>
      <c r="C964">
        <v>1</v>
      </c>
      <c r="D964">
        <v>0</v>
      </c>
      <c r="E964">
        <v>2</v>
      </c>
      <c r="F964">
        <v>17</v>
      </c>
      <c r="G964" t="b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</row>
    <row r="965" spans="1:16" x14ac:dyDescent="0.3">
      <c r="A965">
        <v>964</v>
      </c>
      <c r="B965" s="2">
        <v>40586</v>
      </c>
      <c r="C965">
        <v>1</v>
      </c>
      <c r="D965">
        <v>0</v>
      </c>
      <c r="E965">
        <v>2</v>
      </c>
      <c r="F965">
        <v>18</v>
      </c>
      <c r="G965" t="b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</row>
    <row r="966" spans="1:16" x14ac:dyDescent="0.3">
      <c r="A966">
        <v>965</v>
      </c>
      <c r="B966" s="2">
        <v>40586</v>
      </c>
      <c r="C966">
        <v>1</v>
      </c>
      <c r="D966">
        <v>0</v>
      </c>
      <c r="E966">
        <v>2</v>
      </c>
      <c r="F966">
        <v>19</v>
      </c>
      <c r="G966" t="b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</row>
    <row r="967" spans="1:16" x14ac:dyDescent="0.3">
      <c r="A967">
        <v>966</v>
      </c>
      <c r="B967" s="2">
        <v>40586</v>
      </c>
      <c r="C967">
        <v>1</v>
      </c>
      <c r="D967">
        <v>0</v>
      </c>
      <c r="E967">
        <v>2</v>
      </c>
      <c r="F967">
        <v>20</v>
      </c>
      <c r="G967" t="b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</row>
    <row r="968" spans="1:16" x14ac:dyDescent="0.3">
      <c r="A968">
        <v>967</v>
      </c>
      <c r="B968" s="2">
        <v>40586</v>
      </c>
      <c r="C968">
        <v>1</v>
      </c>
      <c r="D968">
        <v>0</v>
      </c>
      <c r="E968">
        <v>2</v>
      </c>
      <c r="F968">
        <v>21</v>
      </c>
      <c r="G968" t="b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</row>
    <row r="969" spans="1:16" x14ac:dyDescent="0.3">
      <c r="A969">
        <v>968</v>
      </c>
      <c r="B969" s="2">
        <v>40586</v>
      </c>
      <c r="C969">
        <v>1</v>
      </c>
      <c r="D969">
        <v>0</v>
      </c>
      <c r="E969">
        <v>2</v>
      </c>
      <c r="F969">
        <v>22</v>
      </c>
      <c r="G969" t="b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</row>
    <row r="970" spans="1:16" x14ac:dyDescent="0.3">
      <c r="A970">
        <v>969</v>
      </c>
      <c r="B970" s="2">
        <v>40586</v>
      </c>
      <c r="C970">
        <v>1</v>
      </c>
      <c r="D970">
        <v>0</v>
      </c>
      <c r="E970">
        <v>2</v>
      </c>
      <c r="F970">
        <v>23</v>
      </c>
      <c r="G970" t="b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</row>
    <row r="971" spans="1:16" x14ac:dyDescent="0.3">
      <c r="A971">
        <v>970</v>
      </c>
      <c r="B971" s="2">
        <v>40587</v>
      </c>
      <c r="C971">
        <v>1</v>
      </c>
      <c r="D971">
        <v>0</v>
      </c>
      <c r="E971">
        <v>2</v>
      </c>
      <c r="F971">
        <v>0</v>
      </c>
      <c r="G971" t="b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</row>
    <row r="972" spans="1:16" x14ac:dyDescent="0.3">
      <c r="A972">
        <v>971</v>
      </c>
      <c r="B972" s="2">
        <v>40587</v>
      </c>
      <c r="C972">
        <v>1</v>
      </c>
      <c r="D972">
        <v>0</v>
      </c>
      <c r="E972">
        <v>2</v>
      </c>
      <c r="F972">
        <v>1</v>
      </c>
      <c r="G972" t="b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</row>
    <row r="973" spans="1:16" x14ac:dyDescent="0.3">
      <c r="A973">
        <v>972</v>
      </c>
      <c r="B973" s="2">
        <v>40587</v>
      </c>
      <c r="C973">
        <v>1</v>
      </c>
      <c r="D973">
        <v>0</v>
      </c>
      <c r="E973">
        <v>2</v>
      </c>
      <c r="F973">
        <v>2</v>
      </c>
      <c r="G973" t="b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</row>
    <row r="974" spans="1:16" x14ac:dyDescent="0.3">
      <c r="A974">
        <v>973</v>
      </c>
      <c r="B974" s="2">
        <v>40587</v>
      </c>
      <c r="C974">
        <v>1</v>
      </c>
      <c r="D974">
        <v>0</v>
      </c>
      <c r="E974">
        <v>2</v>
      </c>
      <c r="F974">
        <v>3</v>
      </c>
      <c r="G974" t="b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</row>
    <row r="975" spans="1:16" x14ac:dyDescent="0.3">
      <c r="A975">
        <v>974</v>
      </c>
      <c r="B975" s="2">
        <v>40587</v>
      </c>
      <c r="C975">
        <v>1</v>
      </c>
      <c r="D975">
        <v>0</v>
      </c>
      <c r="E975">
        <v>2</v>
      </c>
      <c r="F975">
        <v>4</v>
      </c>
      <c r="G975" t="b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</row>
    <row r="976" spans="1:16" x14ac:dyDescent="0.3">
      <c r="A976">
        <v>975</v>
      </c>
      <c r="B976" s="2">
        <v>40587</v>
      </c>
      <c r="C976">
        <v>1</v>
      </c>
      <c r="D976">
        <v>0</v>
      </c>
      <c r="E976">
        <v>2</v>
      </c>
      <c r="F976">
        <v>6</v>
      </c>
      <c r="G976" t="b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</row>
    <row r="977" spans="1:16" x14ac:dyDescent="0.3">
      <c r="A977">
        <v>976</v>
      </c>
      <c r="B977" s="2">
        <v>40587</v>
      </c>
      <c r="C977">
        <v>1</v>
      </c>
      <c r="D977">
        <v>0</v>
      </c>
      <c r="E977">
        <v>2</v>
      </c>
      <c r="F977">
        <v>7</v>
      </c>
      <c r="G977" t="b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</row>
    <row r="978" spans="1:16" x14ac:dyDescent="0.3">
      <c r="A978">
        <v>977</v>
      </c>
      <c r="B978" s="2">
        <v>40587</v>
      </c>
      <c r="C978">
        <v>1</v>
      </c>
      <c r="D978">
        <v>0</v>
      </c>
      <c r="E978">
        <v>2</v>
      </c>
      <c r="F978">
        <v>8</v>
      </c>
      <c r="G978" t="b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</row>
    <row r="979" spans="1:16" x14ac:dyDescent="0.3">
      <c r="A979">
        <v>978</v>
      </c>
      <c r="B979" s="2">
        <v>40587</v>
      </c>
      <c r="C979">
        <v>1</v>
      </c>
      <c r="D979">
        <v>0</v>
      </c>
      <c r="E979">
        <v>2</v>
      </c>
      <c r="F979">
        <v>9</v>
      </c>
      <c r="G979" t="b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</row>
    <row r="980" spans="1:16" x14ac:dyDescent="0.3">
      <c r="A980">
        <v>979</v>
      </c>
      <c r="B980" s="2">
        <v>40587</v>
      </c>
      <c r="C980">
        <v>1</v>
      </c>
      <c r="D980">
        <v>0</v>
      </c>
      <c r="E980">
        <v>2</v>
      </c>
      <c r="F980">
        <v>10</v>
      </c>
      <c r="G980" t="b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</row>
    <row r="981" spans="1:16" x14ac:dyDescent="0.3">
      <c r="A981">
        <v>980</v>
      </c>
      <c r="B981" s="2">
        <v>40587</v>
      </c>
      <c r="C981">
        <v>1</v>
      </c>
      <c r="D981">
        <v>0</v>
      </c>
      <c r="E981">
        <v>2</v>
      </c>
      <c r="F981">
        <v>11</v>
      </c>
      <c r="G981" t="b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</row>
    <row r="982" spans="1:16" x14ac:dyDescent="0.3">
      <c r="A982">
        <v>981</v>
      </c>
      <c r="B982" s="2">
        <v>40587</v>
      </c>
      <c r="C982">
        <v>1</v>
      </c>
      <c r="D982">
        <v>0</v>
      </c>
      <c r="E982">
        <v>2</v>
      </c>
      <c r="F982">
        <v>12</v>
      </c>
      <c r="G982" t="b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</row>
    <row r="983" spans="1:16" x14ac:dyDescent="0.3">
      <c r="A983">
        <v>982</v>
      </c>
      <c r="B983" s="2">
        <v>40587</v>
      </c>
      <c r="C983">
        <v>1</v>
      </c>
      <c r="D983">
        <v>0</v>
      </c>
      <c r="E983">
        <v>2</v>
      </c>
      <c r="F983">
        <v>13</v>
      </c>
      <c r="G983" t="b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</row>
    <row r="984" spans="1:16" x14ac:dyDescent="0.3">
      <c r="A984">
        <v>983</v>
      </c>
      <c r="B984" s="2">
        <v>40587</v>
      </c>
      <c r="C984">
        <v>1</v>
      </c>
      <c r="D984">
        <v>0</v>
      </c>
      <c r="E984">
        <v>2</v>
      </c>
      <c r="F984">
        <v>14</v>
      </c>
      <c r="G984" t="b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</row>
    <row r="985" spans="1:16" x14ac:dyDescent="0.3">
      <c r="A985">
        <v>984</v>
      </c>
      <c r="B985" s="2">
        <v>40587</v>
      </c>
      <c r="C985">
        <v>1</v>
      </c>
      <c r="D985">
        <v>0</v>
      </c>
      <c r="E985">
        <v>2</v>
      </c>
      <c r="F985">
        <v>15</v>
      </c>
      <c r="G985" t="b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</row>
    <row r="986" spans="1:16" x14ac:dyDescent="0.3">
      <c r="A986">
        <v>985</v>
      </c>
      <c r="B986" s="2">
        <v>40587</v>
      </c>
      <c r="C986">
        <v>1</v>
      </c>
      <c r="D986">
        <v>0</v>
      </c>
      <c r="E986">
        <v>2</v>
      </c>
      <c r="F986">
        <v>16</v>
      </c>
      <c r="G986" t="b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</row>
    <row r="987" spans="1:16" x14ac:dyDescent="0.3">
      <c r="A987">
        <v>986</v>
      </c>
      <c r="B987" s="2">
        <v>40587</v>
      </c>
      <c r="C987">
        <v>1</v>
      </c>
      <c r="D987">
        <v>0</v>
      </c>
      <c r="E987">
        <v>2</v>
      </c>
      <c r="F987">
        <v>17</v>
      </c>
      <c r="G987" t="b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</row>
    <row r="988" spans="1:16" x14ac:dyDescent="0.3">
      <c r="A988">
        <v>987</v>
      </c>
      <c r="B988" s="2">
        <v>40587</v>
      </c>
      <c r="C988">
        <v>1</v>
      </c>
      <c r="D988">
        <v>0</v>
      </c>
      <c r="E988">
        <v>2</v>
      </c>
      <c r="F988">
        <v>18</v>
      </c>
      <c r="G988" t="b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</row>
    <row r="989" spans="1:16" x14ac:dyDescent="0.3">
      <c r="A989">
        <v>988</v>
      </c>
      <c r="B989" s="2">
        <v>40587</v>
      </c>
      <c r="C989">
        <v>1</v>
      </c>
      <c r="D989">
        <v>0</v>
      </c>
      <c r="E989">
        <v>2</v>
      </c>
      <c r="F989">
        <v>19</v>
      </c>
      <c r="G989" t="b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</row>
    <row r="990" spans="1:16" x14ac:dyDescent="0.3">
      <c r="A990">
        <v>989</v>
      </c>
      <c r="B990" s="2">
        <v>40587</v>
      </c>
      <c r="C990">
        <v>1</v>
      </c>
      <c r="D990">
        <v>0</v>
      </c>
      <c r="E990">
        <v>2</v>
      </c>
      <c r="F990">
        <v>20</v>
      </c>
      <c r="G990" t="b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</row>
    <row r="991" spans="1:16" x14ac:dyDescent="0.3">
      <c r="A991">
        <v>990</v>
      </c>
      <c r="B991" s="2">
        <v>40587</v>
      </c>
      <c r="C991">
        <v>1</v>
      </c>
      <c r="D991">
        <v>0</v>
      </c>
      <c r="E991">
        <v>2</v>
      </c>
      <c r="F991">
        <v>21</v>
      </c>
      <c r="G991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</row>
    <row r="992" spans="1:16" x14ac:dyDescent="0.3">
      <c r="A992">
        <v>991</v>
      </c>
      <c r="B992" s="2">
        <v>40587</v>
      </c>
      <c r="C992">
        <v>1</v>
      </c>
      <c r="D992">
        <v>0</v>
      </c>
      <c r="E992">
        <v>2</v>
      </c>
      <c r="F992">
        <v>22</v>
      </c>
      <c r="G99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</row>
    <row r="993" spans="1:16" x14ac:dyDescent="0.3">
      <c r="A993">
        <v>992</v>
      </c>
      <c r="B993" s="2">
        <v>40587</v>
      </c>
      <c r="C993">
        <v>1</v>
      </c>
      <c r="D993">
        <v>0</v>
      </c>
      <c r="E993">
        <v>2</v>
      </c>
      <c r="F993">
        <v>23</v>
      </c>
      <c r="G993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</row>
    <row r="994" spans="1:16" x14ac:dyDescent="0.3">
      <c r="A994">
        <v>993</v>
      </c>
      <c r="B994" s="2">
        <v>40588</v>
      </c>
      <c r="C994">
        <v>1</v>
      </c>
      <c r="D994">
        <v>0</v>
      </c>
      <c r="E994">
        <v>2</v>
      </c>
      <c r="F994">
        <v>0</v>
      </c>
      <c r="G994" t="b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</row>
    <row r="995" spans="1:16" x14ac:dyDescent="0.3">
      <c r="A995">
        <v>994</v>
      </c>
      <c r="B995" s="2">
        <v>40588</v>
      </c>
      <c r="C995">
        <v>1</v>
      </c>
      <c r="D995">
        <v>0</v>
      </c>
      <c r="E995">
        <v>2</v>
      </c>
      <c r="F995">
        <v>1</v>
      </c>
      <c r="G995" t="b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</row>
    <row r="996" spans="1:16" x14ac:dyDescent="0.3">
      <c r="A996">
        <v>995</v>
      </c>
      <c r="B996" s="2">
        <v>40588</v>
      </c>
      <c r="C996">
        <v>1</v>
      </c>
      <c r="D996">
        <v>0</v>
      </c>
      <c r="E996">
        <v>2</v>
      </c>
      <c r="F996">
        <v>2</v>
      </c>
      <c r="G996" t="b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</row>
    <row r="997" spans="1:16" x14ac:dyDescent="0.3">
      <c r="A997">
        <v>996</v>
      </c>
      <c r="B997" s="2">
        <v>40588</v>
      </c>
      <c r="C997">
        <v>1</v>
      </c>
      <c r="D997">
        <v>0</v>
      </c>
      <c r="E997">
        <v>2</v>
      </c>
      <c r="F997">
        <v>3</v>
      </c>
      <c r="G997" t="b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</row>
    <row r="998" spans="1:16" x14ac:dyDescent="0.3">
      <c r="A998">
        <v>997</v>
      </c>
      <c r="B998" s="2">
        <v>40588</v>
      </c>
      <c r="C998">
        <v>1</v>
      </c>
      <c r="D998">
        <v>0</v>
      </c>
      <c r="E998">
        <v>2</v>
      </c>
      <c r="F998">
        <v>4</v>
      </c>
      <c r="G998" t="b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</row>
    <row r="999" spans="1:16" x14ac:dyDescent="0.3">
      <c r="A999">
        <v>998</v>
      </c>
      <c r="B999" s="2">
        <v>40588</v>
      </c>
      <c r="C999">
        <v>1</v>
      </c>
      <c r="D999">
        <v>0</v>
      </c>
      <c r="E999">
        <v>2</v>
      </c>
      <c r="F999">
        <v>5</v>
      </c>
      <c r="G999" t="b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</row>
    <row r="1000" spans="1:16" x14ac:dyDescent="0.3">
      <c r="A1000">
        <v>999</v>
      </c>
      <c r="B1000" s="2">
        <v>40588</v>
      </c>
      <c r="C1000">
        <v>1</v>
      </c>
      <c r="D1000">
        <v>0</v>
      </c>
      <c r="E1000">
        <v>2</v>
      </c>
      <c r="F1000">
        <v>6</v>
      </c>
      <c r="G1000" t="b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</row>
    <row r="1001" spans="1:16" x14ac:dyDescent="0.3">
      <c r="A1001">
        <v>1000</v>
      </c>
      <c r="B1001" s="2">
        <v>40588</v>
      </c>
      <c r="C1001">
        <v>1</v>
      </c>
      <c r="D1001">
        <v>0</v>
      </c>
      <c r="E1001">
        <v>2</v>
      </c>
      <c r="F1001">
        <v>7</v>
      </c>
      <c r="G1001" t="b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FE52-1115-4721-ADC4-CEB8077F2B02}">
  <sheetPr>
    <tabColor rgb="FFFF0000"/>
  </sheetPr>
  <dimension ref="A1:AA1002"/>
  <sheetViews>
    <sheetView tabSelected="1" topLeftCell="M1" workbookViewId="0">
      <selection activeCell="V8" sqref="V8"/>
    </sheetView>
  </sheetViews>
  <sheetFormatPr defaultColWidth="9.109375" defaultRowHeight="13.8" x14ac:dyDescent="0.3"/>
  <cols>
    <col min="1" max="1" width="7.33203125" style="26" bestFit="1" customWidth="1"/>
    <col min="2" max="2" width="9.5546875" style="27" bestFit="1" customWidth="1"/>
    <col min="3" max="3" width="10.88671875" style="26" bestFit="1" customWidth="1"/>
    <col min="4" max="4" width="3" style="26" bestFit="1" customWidth="1"/>
    <col min="5" max="5" width="10.88671875" style="26" bestFit="1" customWidth="1"/>
    <col min="6" max="6" width="7.44140625" style="26" bestFit="1" customWidth="1"/>
    <col min="7" max="7" width="2.88671875" style="26" bestFit="1" customWidth="1"/>
    <col min="8" max="8" width="5.6640625" style="26" bestFit="1" customWidth="1"/>
    <col min="9" max="9" width="9.109375" style="26" bestFit="1" customWidth="1"/>
    <col min="10" max="10" width="20.109375" style="26" bestFit="1" customWidth="1"/>
    <col min="11" max="11" width="7.5546875" style="26" bestFit="1" customWidth="1"/>
    <col min="12" max="12" width="10.6640625" style="26" bestFit="1" customWidth="1"/>
    <col min="13" max="13" width="20.109375" style="26" bestFit="1" customWidth="1"/>
    <col min="14" max="14" width="5.6640625" style="26" bestFit="1" customWidth="1"/>
    <col min="15" max="15" width="11.33203125" style="26" bestFit="1" customWidth="1"/>
    <col min="16" max="16" width="9" style="26" bestFit="1" customWidth="1"/>
    <col min="17" max="17" width="29.6640625" style="26" bestFit="1" customWidth="1"/>
    <col min="18" max="18" width="5" style="26" bestFit="1" customWidth="1"/>
    <col min="19" max="19" width="10.88671875" style="26" bestFit="1" customWidth="1"/>
    <col min="20" max="20" width="20.109375" style="26" bestFit="1" customWidth="1"/>
    <col min="21" max="21" width="6.6640625" style="26" bestFit="1" customWidth="1"/>
    <col min="22" max="22" width="10.6640625" style="26" bestFit="1" customWidth="1"/>
    <col min="23" max="23" width="4" style="26" bestFit="1" customWidth="1"/>
    <col min="24" max="24" width="10.5546875" style="26" bestFit="1" customWidth="1"/>
    <col min="25" max="26" width="8.6640625" style="26" bestFit="1" customWidth="1"/>
    <col min="27" max="27" width="15.6640625" style="26" bestFit="1" customWidth="1"/>
    <col min="28" max="16384" width="9.109375" style="26"/>
  </cols>
  <sheetData>
    <row r="1" spans="1:27" x14ac:dyDescent="0.3">
      <c r="C1" s="43" t="s">
        <v>53</v>
      </c>
      <c r="E1" s="43" t="s">
        <v>53</v>
      </c>
      <c r="J1" s="43" t="s">
        <v>53</v>
      </c>
      <c r="M1" s="43" t="s">
        <v>53</v>
      </c>
      <c r="Q1" s="42" t="s">
        <v>54</v>
      </c>
      <c r="T1" s="43" t="s">
        <v>53</v>
      </c>
      <c r="X1" s="43" t="s">
        <v>53</v>
      </c>
      <c r="Y1" s="43" t="s">
        <v>53</v>
      </c>
      <c r="Z1" s="43" t="s">
        <v>53</v>
      </c>
      <c r="AA1" s="43" t="s">
        <v>53</v>
      </c>
    </row>
    <row r="2" spans="1:27" s="25" customFormat="1" ht="27.6" x14ac:dyDescent="0.3">
      <c r="A2" s="29" t="s">
        <v>0</v>
      </c>
      <c r="B2" s="30" t="s">
        <v>1</v>
      </c>
      <c r="C2" s="39" t="s">
        <v>45</v>
      </c>
      <c r="D2" s="31" t="s">
        <v>5</v>
      </c>
      <c r="E2" s="39" t="s">
        <v>51</v>
      </c>
      <c r="F2" s="31" t="s">
        <v>2</v>
      </c>
      <c r="G2" s="31" t="s">
        <v>3</v>
      </c>
      <c r="H2" s="31" t="s">
        <v>4</v>
      </c>
      <c r="I2" s="31" t="s">
        <v>7</v>
      </c>
      <c r="J2" s="39" t="s">
        <v>46</v>
      </c>
      <c r="K2" s="31" t="s">
        <v>6</v>
      </c>
      <c r="L2" s="31" t="s">
        <v>8</v>
      </c>
      <c r="M2" s="39" t="s">
        <v>47</v>
      </c>
      <c r="N2" s="31" t="s">
        <v>9</v>
      </c>
      <c r="O2" s="31" t="s">
        <v>48</v>
      </c>
      <c r="P2" s="31" t="s">
        <v>11</v>
      </c>
      <c r="Q2" s="37" t="s">
        <v>52</v>
      </c>
      <c r="R2" s="31" t="s">
        <v>12</v>
      </c>
      <c r="S2" s="31" t="s">
        <v>13</v>
      </c>
      <c r="T2" s="39" t="s">
        <v>49</v>
      </c>
      <c r="U2" s="31" t="s">
        <v>14</v>
      </c>
      <c r="V2" s="31" t="s">
        <v>15</v>
      </c>
      <c r="W2" s="31" t="s">
        <v>16</v>
      </c>
      <c r="X2" s="46" t="s">
        <v>55</v>
      </c>
      <c r="Y2" s="46" t="s">
        <v>56</v>
      </c>
      <c r="Z2" s="46" t="s">
        <v>57</v>
      </c>
      <c r="AA2" s="46" t="s">
        <v>50</v>
      </c>
    </row>
    <row r="3" spans="1:27" x14ac:dyDescent="0.3">
      <c r="A3" s="32">
        <v>1</v>
      </c>
      <c r="B3" s="33">
        <v>40544</v>
      </c>
      <c r="C3" s="40" t="str">
        <f>TEXT(B3,"dddd")</f>
        <v>Saturday</v>
      </c>
      <c r="D3" s="28">
        <v>0</v>
      </c>
      <c r="E3" s="40" t="str" cm="1">
        <f t="array" ref="E3">_xlfn.IFS(D3&gt;=21,"Night",D3&gt;=17,"Evening",D3&gt;=12,"Midday",D3&gt;=6,"Morning", TRUE, "Night")</f>
        <v>Night</v>
      </c>
      <c r="F3" s="28">
        <v>1</v>
      </c>
      <c r="G3" s="28">
        <v>0</v>
      </c>
      <c r="H3" s="28">
        <v>1</v>
      </c>
      <c r="I3" s="28">
        <v>6</v>
      </c>
      <c r="J3" s="40" t="str">
        <f>IF(OR(I3="Saturday", I3="Sunday"), "Weekend", "Weekday")</f>
        <v>Weekday</v>
      </c>
      <c r="K3" s="28" t="b">
        <v>0</v>
      </c>
      <c r="L3" s="28">
        <v>1</v>
      </c>
      <c r="M3" s="40" t="str" cm="1">
        <f t="array" ref="M3">_xlfn.IFS(L3=1,"Clear / Partly Cloudy",L3=2,"Mist / Cloudy",L3=3,"Light Snow / Rain",L3=4,"Heavy Precipitation")</f>
        <v>Clear / Partly Cloudy</v>
      </c>
      <c r="N3" s="28">
        <v>0.24</v>
      </c>
      <c r="O3" s="28" t="str">
        <f>IF(N3&lt;0.2,"Cold",IF(N3&lt;0.6,"Mild","Hot"))</f>
        <v>Mild</v>
      </c>
      <c r="P3" s="28">
        <v>0.28789999999999999</v>
      </c>
      <c r="Q3" s="38">
        <f>IF(P3="", AVERAGE($P$3:$P$1002), P3)</f>
        <v>0.28789999999999999</v>
      </c>
      <c r="R3" s="28">
        <v>0.81</v>
      </c>
      <c r="S3" s="28">
        <v>0</v>
      </c>
      <c r="T3" s="40" t="str" cm="1">
        <f t="array" ref="T3">_xlfn.IFS(S3*18.6&lt;2,"Calm",S3*18.6&lt;6,"Light Breeze",S3*18.6&lt;14,"Gale",TRUE,"Extreme Storm")</f>
        <v>Calm</v>
      </c>
      <c r="U3" s="28">
        <v>3</v>
      </c>
      <c r="V3" s="28">
        <v>13</v>
      </c>
      <c r="W3" s="28">
        <v>16</v>
      </c>
      <c r="X3" s="44">
        <f>AVERAGE(INDEX($W:$W,MAX(ROW($W$3),ROW()-23)):INDEX($W:$W,ROW()))</f>
        <v>16</v>
      </c>
      <c r="Y3" s="44"/>
      <c r="Z3" s="44">
        <f>IFERROR((W3-X3)/Y3,0)</f>
        <v>0</v>
      </c>
      <c r="AA3" s="40" t="b">
        <f t="shared" ref="AA3:AA66" si="0">IF(ABS(Z3)&gt;=3,TRUE,FALSE)</f>
        <v>0</v>
      </c>
    </row>
    <row r="4" spans="1:27" x14ac:dyDescent="0.3">
      <c r="A4" s="32">
        <v>2</v>
      </c>
      <c r="B4" s="33">
        <v>40544</v>
      </c>
      <c r="C4" s="40" t="str">
        <f>TEXT(B4,"dddd")</f>
        <v>Saturday</v>
      </c>
      <c r="D4" s="28">
        <v>1</v>
      </c>
      <c r="E4" s="40" t="str" cm="1">
        <f t="array" ref="E4">_xlfn.IFS(D4&gt;=21,"Night",D4&gt;=17,"Evening",D4&gt;=12,"Midday",D4&gt;=6,"Morning", TRUE, "Night")</f>
        <v>Night</v>
      </c>
      <c r="F4" s="28">
        <v>1</v>
      </c>
      <c r="G4" s="28">
        <v>0</v>
      </c>
      <c r="H4" s="28">
        <v>1</v>
      </c>
      <c r="I4" s="28">
        <v>6</v>
      </c>
      <c r="J4" s="40" t="str">
        <f>IF(OR(I4="Saturday", I4="Sunday"), "Weekend", "Weekday")</f>
        <v>Weekday</v>
      </c>
      <c r="K4" s="28" t="b">
        <v>0</v>
      </c>
      <c r="L4" s="28">
        <v>1</v>
      </c>
      <c r="M4" s="40" t="str" cm="1">
        <f t="array" ref="M4">_xlfn.IFS(L4=1,"Clear / Partly Cloudy",L4=2,"Mist / Cloudy",L4=3,"Light Snow / Rain",L4=4,"Heavy Precipitation")</f>
        <v>Clear / Partly Cloudy</v>
      </c>
      <c r="N4" s="28">
        <v>0.22</v>
      </c>
      <c r="O4" s="28" t="str">
        <f>IF(N4&lt;0.2,"Cold",IF(N4&lt;0.6,"Mild","Hot"))</f>
        <v>Mild</v>
      </c>
      <c r="P4" s="28">
        <v>0.2727</v>
      </c>
      <c r="Q4" s="38">
        <f t="shared" ref="Q4:Q67" si="1">IF(P4="", AVERAGE($P$3:$P$1002), P4)</f>
        <v>0.2727</v>
      </c>
      <c r="R4" s="28">
        <v>0.8</v>
      </c>
      <c r="S4" s="28">
        <v>0</v>
      </c>
      <c r="T4" s="40" t="str" cm="1">
        <f t="array" ref="T4">_xlfn.IFS(S4*18.6&lt;2,"Calm",S4*18.6&lt;6,"Light Breeze",S4*18.6&lt;14,"Gale",TRUE,"Extreme Storm")</f>
        <v>Calm</v>
      </c>
      <c r="U4" s="28">
        <v>8</v>
      </c>
      <c r="V4" s="28">
        <v>32</v>
      </c>
      <c r="W4" s="28">
        <v>40</v>
      </c>
      <c r="X4" s="44">
        <f>AVERAGE(INDEX($W:$W,MAX(ROW($W$3),ROW()-23)):INDEX($W:$W,ROW()))</f>
        <v>28</v>
      </c>
      <c r="Y4" s="44">
        <f>_xlfn.STDEV.S(INDEX($W:$W,MAX(ROW($W$3),ROW()-23)):INDEX($W:$W,ROW()))</f>
        <v>16.970562748477139</v>
      </c>
      <c r="Z4" s="44">
        <f t="shared" ref="Z4:Z67" si="2">IFERROR((W4-X4)/Y4,0)</f>
        <v>0.70710678118654757</v>
      </c>
      <c r="AA4" s="40" t="b">
        <f t="shared" si="0"/>
        <v>0</v>
      </c>
    </row>
    <row r="5" spans="1:27" x14ac:dyDescent="0.3">
      <c r="A5" s="32">
        <v>3</v>
      </c>
      <c r="B5" s="33">
        <v>40544</v>
      </c>
      <c r="C5" s="40" t="str">
        <f t="shared" ref="C5:C68" si="3">TEXT(B5,"dddd")</f>
        <v>Saturday</v>
      </c>
      <c r="D5" s="28">
        <v>2</v>
      </c>
      <c r="E5" s="40" t="str" cm="1">
        <f t="array" ref="E5">_xlfn.IFS(D5&gt;=21,"Night",D5&gt;=17,"Evening",D5&gt;=12,"Midday",D5&gt;=6,"Morning", TRUE, "Night")</f>
        <v>Night</v>
      </c>
      <c r="F5" s="28">
        <v>1</v>
      </c>
      <c r="G5" s="28">
        <v>0</v>
      </c>
      <c r="H5" s="28">
        <v>1</v>
      </c>
      <c r="I5" s="28">
        <v>6</v>
      </c>
      <c r="J5" s="40" t="str">
        <f t="shared" ref="J5:J68" si="4">IF(OR(I5="Saturday", I5="Sunday"), "Weekend", "Weekday")</f>
        <v>Weekday</v>
      </c>
      <c r="K5" s="28" t="b">
        <v>0</v>
      </c>
      <c r="L5" s="28">
        <v>1</v>
      </c>
      <c r="M5" s="40" t="str" cm="1">
        <f t="array" ref="M5">_xlfn.IFS(L5=1,"Clear / Partly Cloudy",L5=2,"Mist / Cloudy",L5=3,"Light Snow / Rain",L5=4,"Heavy Precipitation")</f>
        <v>Clear / Partly Cloudy</v>
      </c>
      <c r="N5" s="28">
        <v>0.22</v>
      </c>
      <c r="O5" s="28" t="str">
        <f t="shared" ref="O5:O68" si="5">IF(N5&lt;0.2,"Cold",IF(N5&lt;0.6,"Mild","Hot"))</f>
        <v>Mild</v>
      </c>
      <c r="P5" s="28">
        <v>0.2727</v>
      </c>
      <c r="Q5" s="38">
        <f t="shared" si="1"/>
        <v>0.2727</v>
      </c>
      <c r="R5" s="28">
        <v>0.8</v>
      </c>
      <c r="S5" s="28">
        <v>0</v>
      </c>
      <c r="T5" s="40" t="str" cm="1">
        <f t="array" ref="T5">_xlfn.IFS(S5*18.6&lt;2,"Calm",S5*18.6&lt;6,"Light Breeze",S5*18.6&lt;14,"Gale",TRUE,"Extreme Storm")</f>
        <v>Calm</v>
      </c>
      <c r="U5" s="28">
        <v>5</v>
      </c>
      <c r="V5" s="28">
        <v>27</v>
      </c>
      <c r="W5" s="28">
        <v>32</v>
      </c>
      <c r="X5" s="44">
        <f>AVERAGE(INDEX($W:$W,MAX(ROW($W$3),ROW()-23)):INDEX($W:$W,ROW()))</f>
        <v>29.333333333333332</v>
      </c>
      <c r="Y5" s="44">
        <f>_xlfn.STDEV.S(INDEX($W:$W,MAX(ROW($W$3),ROW()-23)):INDEX($W:$W,ROW()))</f>
        <v>12.220201853215571</v>
      </c>
      <c r="Z5" s="44">
        <f t="shared" si="2"/>
        <v>0.21821789023599253</v>
      </c>
      <c r="AA5" s="40" t="b">
        <f t="shared" si="0"/>
        <v>0</v>
      </c>
    </row>
    <row r="6" spans="1:27" x14ac:dyDescent="0.3">
      <c r="A6" s="32">
        <v>4</v>
      </c>
      <c r="B6" s="33">
        <v>40544</v>
      </c>
      <c r="C6" s="40" t="str">
        <f t="shared" si="3"/>
        <v>Saturday</v>
      </c>
      <c r="D6" s="28">
        <v>3</v>
      </c>
      <c r="E6" s="40" t="str" cm="1">
        <f t="array" ref="E6">_xlfn.IFS(D6&gt;=21,"Night",D6&gt;=17,"Evening",D6&gt;=12,"Midday",D6&gt;=6,"Morning", TRUE, "Night")</f>
        <v>Night</v>
      </c>
      <c r="F6" s="28">
        <v>1</v>
      </c>
      <c r="G6" s="28">
        <v>0</v>
      </c>
      <c r="H6" s="28">
        <v>1</v>
      </c>
      <c r="I6" s="28">
        <v>6</v>
      </c>
      <c r="J6" s="40" t="str">
        <f t="shared" si="4"/>
        <v>Weekday</v>
      </c>
      <c r="K6" s="28" t="b">
        <v>0</v>
      </c>
      <c r="L6" s="28">
        <v>1</v>
      </c>
      <c r="M6" s="40" t="str" cm="1">
        <f t="array" ref="M6">_xlfn.IFS(L6=1,"Clear / Partly Cloudy",L6=2,"Mist / Cloudy",L6=3,"Light Snow / Rain",L6=4,"Heavy Precipitation")</f>
        <v>Clear / Partly Cloudy</v>
      </c>
      <c r="N6" s="28">
        <v>0.24</v>
      </c>
      <c r="O6" s="28" t="str">
        <f t="shared" si="5"/>
        <v>Mild</v>
      </c>
      <c r="P6" s="28">
        <v>0.28789999999999999</v>
      </c>
      <c r="Q6" s="38">
        <f t="shared" si="1"/>
        <v>0.28789999999999999</v>
      </c>
      <c r="R6" s="28">
        <v>0.75</v>
      </c>
      <c r="S6" s="28">
        <v>0</v>
      </c>
      <c r="T6" s="40" t="str" cm="1">
        <f t="array" ref="T6">_xlfn.IFS(S6*18.6&lt;2,"Calm",S6*18.6&lt;6,"Light Breeze",S6*18.6&lt;14,"Gale",TRUE,"Extreme Storm")</f>
        <v>Calm</v>
      </c>
      <c r="U6" s="28">
        <v>3</v>
      </c>
      <c r="V6" s="28">
        <v>10</v>
      </c>
      <c r="W6" s="28">
        <v>13</v>
      </c>
      <c r="X6" s="44">
        <f>AVERAGE(INDEX($W:$W,MAX(ROW($W$3),ROW()-23)):INDEX($W:$W,ROW()))</f>
        <v>25.25</v>
      </c>
      <c r="Y6" s="44">
        <f>_xlfn.STDEV.S(INDEX($W:$W,MAX(ROW($W$3),ROW()-23)):INDEX($W:$W,ROW()))</f>
        <v>12.893796958227627</v>
      </c>
      <c r="Z6" s="44">
        <f t="shared" si="2"/>
        <v>-0.9500692495536146</v>
      </c>
      <c r="AA6" s="40" t="b">
        <f t="shared" si="0"/>
        <v>0</v>
      </c>
    </row>
    <row r="7" spans="1:27" x14ac:dyDescent="0.3">
      <c r="A7" s="32">
        <v>5</v>
      </c>
      <c r="B7" s="33">
        <v>40544</v>
      </c>
      <c r="C7" s="40" t="str">
        <f t="shared" si="3"/>
        <v>Saturday</v>
      </c>
      <c r="D7" s="28">
        <v>4</v>
      </c>
      <c r="E7" s="40" t="str" cm="1">
        <f t="array" ref="E7">_xlfn.IFS(D7&gt;=21,"Night",D7&gt;=17,"Evening",D7&gt;=12,"Midday",D7&gt;=6,"Morning", TRUE, "Night")</f>
        <v>Night</v>
      </c>
      <c r="F7" s="28">
        <v>1</v>
      </c>
      <c r="G7" s="28">
        <v>0</v>
      </c>
      <c r="H7" s="28">
        <v>1</v>
      </c>
      <c r="I7" s="28">
        <v>6</v>
      </c>
      <c r="J7" s="40" t="str">
        <f t="shared" si="4"/>
        <v>Weekday</v>
      </c>
      <c r="K7" s="28" t="b">
        <v>0</v>
      </c>
      <c r="L7" s="28">
        <v>1</v>
      </c>
      <c r="M7" s="40" t="str" cm="1">
        <f t="array" ref="M7">_xlfn.IFS(L7=1,"Clear / Partly Cloudy",L7=2,"Mist / Cloudy",L7=3,"Light Snow / Rain",L7=4,"Heavy Precipitation")</f>
        <v>Clear / Partly Cloudy</v>
      </c>
      <c r="N7" s="28">
        <v>0.24</v>
      </c>
      <c r="O7" s="28" t="str">
        <f t="shared" si="5"/>
        <v>Mild</v>
      </c>
      <c r="P7" s="28">
        <v>0.28789999999999999</v>
      </c>
      <c r="Q7" s="38">
        <f t="shared" si="1"/>
        <v>0.28789999999999999</v>
      </c>
      <c r="R7" s="28">
        <v>0.75</v>
      </c>
      <c r="S7" s="28">
        <v>0</v>
      </c>
      <c r="T7" s="40" t="str" cm="1">
        <f t="array" ref="T7">_xlfn.IFS(S7*18.6&lt;2,"Calm",S7*18.6&lt;6,"Light Breeze",S7*18.6&lt;14,"Gale",TRUE,"Extreme Storm")</f>
        <v>Calm</v>
      </c>
      <c r="U7" s="28">
        <v>0</v>
      </c>
      <c r="V7" s="28">
        <v>1</v>
      </c>
      <c r="W7" s="28">
        <v>1</v>
      </c>
      <c r="X7" s="44">
        <f>AVERAGE(INDEX($W:$W,MAX(ROW($W$3),ROW()-23)):INDEX($W:$W,ROW()))</f>
        <v>20.399999999999999</v>
      </c>
      <c r="Y7" s="44">
        <f>_xlfn.STDEV.S(INDEX($W:$W,MAX(ROW($W$3),ROW()-23)):INDEX($W:$W,ROW()))</f>
        <v>15.565988564816561</v>
      </c>
      <c r="Z7" s="44">
        <f t="shared" si="2"/>
        <v>-1.2463069672201459</v>
      </c>
      <c r="AA7" s="40" t="b">
        <f t="shared" si="0"/>
        <v>0</v>
      </c>
    </row>
    <row r="8" spans="1:27" x14ac:dyDescent="0.3">
      <c r="A8" s="32">
        <v>6</v>
      </c>
      <c r="B8" s="33">
        <v>40544</v>
      </c>
      <c r="C8" s="40" t="str">
        <f t="shared" si="3"/>
        <v>Saturday</v>
      </c>
      <c r="D8" s="28">
        <v>5</v>
      </c>
      <c r="E8" s="40" t="str" cm="1">
        <f t="array" ref="E8">_xlfn.IFS(D8&gt;=21,"Night",D8&gt;=17,"Evening",D8&gt;=12,"Midday",D8&gt;=6,"Morning", TRUE, "Night")</f>
        <v>Night</v>
      </c>
      <c r="F8" s="28">
        <v>1</v>
      </c>
      <c r="G8" s="28">
        <v>0</v>
      </c>
      <c r="H8" s="28">
        <v>1</v>
      </c>
      <c r="I8" s="28">
        <v>6</v>
      </c>
      <c r="J8" s="40" t="str">
        <f t="shared" si="4"/>
        <v>Weekday</v>
      </c>
      <c r="K8" s="28" t="b">
        <v>0</v>
      </c>
      <c r="L8" s="28">
        <v>2</v>
      </c>
      <c r="M8" s="40" t="str" cm="1">
        <f t="array" ref="M8">_xlfn.IFS(L8=1,"Clear / Partly Cloudy",L8=2,"Mist / Cloudy",L8=3,"Light Snow / Rain",L8=4,"Heavy Precipitation")</f>
        <v>Mist / Cloudy</v>
      </c>
      <c r="N8" s="28">
        <v>0.24</v>
      </c>
      <c r="O8" s="28" t="str">
        <f t="shared" si="5"/>
        <v>Mild</v>
      </c>
      <c r="P8" s="28">
        <v>0.2576</v>
      </c>
      <c r="Q8" s="38">
        <f t="shared" si="1"/>
        <v>0.2576</v>
      </c>
      <c r="R8" s="28">
        <v>0.75</v>
      </c>
      <c r="S8" s="28">
        <v>8.9599999999999999E-2</v>
      </c>
      <c r="T8" s="40" t="str" cm="1">
        <f t="array" ref="T8">_xlfn.IFS(S8*18.6&lt;2,"Calm",S8*18.6&lt;6,"Light Breeze",S8*18.6&lt;14,"Gale",TRUE,"Extreme Storm")</f>
        <v>Calm</v>
      </c>
      <c r="U8" s="28">
        <v>0</v>
      </c>
      <c r="V8" s="28">
        <v>1</v>
      </c>
      <c r="W8" s="28">
        <v>1</v>
      </c>
      <c r="X8" s="44">
        <f>AVERAGE(INDEX($W:$W,MAX(ROW($W$3),ROW()-23)):INDEX($W:$W,ROW()))</f>
        <v>17.166666666666668</v>
      </c>
      <c r="Y8" s="44">
        <f>_xlfn.STDEV.S(INDEX($W:$W,MAX(ROW($W$3),ROW()-23)):INDEX($W:$W,ROW()))</f>
        <v>16.017698544630768</v>
      </c>
      <c r="Z8" s="44">
        <f t="shared" si="2"/>
        <v>-1.0093002201047063</v>
      </c>
      <c r="AA8" s="40" t="b">
        <f t="shared" si="0"/>
        <v>0</v>
      </c>
    </row>
    <row r="9" spans="1:27" x14ac:dyDescent="0.3">
      <c r="A9" s="32">
        <v>7</v>
      </c>
      <c r="B9" s="33">
        <v>40544</v>
      </c>
      <c r="C9" s="40" t="str">
        <f t="shared" si="3"/>
        <v>Saturday</v>
      </c>
      <c r="D9" s="28">
        <v>6</v>
      </c>
      <c r="E9" s="40" t="str" cm="1">
        <f t="array" ref="E9">_xlfn.IFS(D9&gt;=21,"Night",D9&gt;=17,"Evening",D9&gt;=12,"Midday",D9&gt;=6,"Morning", TRUE, "Night")</f>
        <v>Morning</v>
      </c>
      <c r="F9" s="28">
        <v>1</v>
      </c>
      <c r="G9" s="28">
        <v>0</v>
      </c>
      <c r="H9" s="28">
        <v>1</v>
      </c>
      <c r="I9" s="28">
        <v>6</v>
      </c>
      <c r="J9" s="40" t="str">
        <f t="shared" si="4"/>
        <v>Weekday</v>
      </c>
      <c r="K9" s="28" t="b">
        <v>0</v>
      </c>
      <c r="L9" s="28">
        <v>1</v>
      </c>
      <c r="M9" s="40" t="str" cm="1">
        <f t="array" ref="M9">_xlfn.IFS(L9=1,"Clear / Partly Cloudy",L9=2,"Mist / Cloudy",L9=3,"Light Snow / Rain",L9=4,"Heavy Precipitation")</f>
        <v>Clear / Partly Cloudy</v>
      </c>
      <c r="N9" s="28">
        <v>0.22</v>
      </c>
      <c r="O9" s="28" t="str">
        <f t="shared" si="5"/>
        <v>Mild</v>
      </c>
      <c r="P9" s="28">
        <v>0.2727</v>
      </c>
      <c r="Q9" s="38">
        <f t="shared" si="1"/>
        <v>0.2727</v>
      </c>
      <c r="R9" s="28">
        <v>0.8</v>
      </c>
      <c r="S9" s="28">
        <v>0</v>
      </c>
      <c r="T9" s="40" t="str" cm="1">
        <f t="array" ref="T9">_xlfn.IFS(S9*18.6&lt;2,"Calm",S9*18.6&lt;6,"Light Breeze",S9*18.6&lt;14,"Gale",TRUE,"Extreme Storm")</f>
        <v>Calm</v>
      </c>
      <c r="U9" s="28">
        <v>2</v>
      </c>
      <c r="V9" s="28">
        <v>0</v>
      </c>
      <c r="W9" s="28">
        <v>2</v>
      </c>
      <c r="X9" s="44">
        <f>AVERAGE(INDEX($W:$W,MAX(ROW($W$3),ROW()-23)):INDEX($W:$W,ROW()))</f>
        <v>15</v>
      </c>
      <c r="Y9" s="44">
        <f>_xlfn.STDEV.S(INDEX($W:$W,MAX(ROW($W$3),ROW()-23)):INDEX($W:$W,ROW()))</f>
        <v>15.705625319186328</v>
      </c>
      <c r="Z9" s="44">
        <f t="shared" si="2"/>
        <v>-0.82772890195711735</v>
      </c>
      <c r="AA9" s="40" t="b">
        <f t="shared" si="0"/>
        <v>0</v>
      </c>
    </row>
    <row r="10" spans="1:27" x14ac:dyDescent="0.3">
      <c r="A10" s="32">
        <v>8</v>
      </c>
      <c r="B10" s="33">
        <v>40544</v>
      </c>
      <c r="C10" s="40" t="str">
        <f t="shared" si="3"/>
        <v>Saturday</v>
      </c>
      <c r="D10" s="28">
        <v>7</v>
      </c>
      <c r="E10" s="40" t="str" cm="1">
        <f t="array" ref="E10">_xlfn.IFS(D10&gt;=21,"Night",D10&gt;=17,"Evening",D10&gt;=12,"Midday",D10&gt;=6,"Morning", TRUE, "Night")</f>
        <v>Morning</v>
      </c>
      <c r="F10" s="28">
        <v>1</v>
      </c>
      <c r="G10" s="28">
        <v>0</v>
      </c>
      <c r="H10" s="28">
        <v>1</v>
      </c>
      <c r="I10" s="28">
        <v>6</v>
      </c>
      <c r="J10" s="40" t="str">
        <f t="shared" si="4"/>
        <v>Weekday</v>
      </c>
      <c r="K10" s="28" t="b">
        <v>0</v>
      </c>
      <c r="L10" s="28">
        <v>1</v>
      </c>
      <c r="M10" s="40" t="str" cm="1">
        <f t="array" ref="M10">_xlfn.IFS(L10=1,"Clear / Partly Cloudy",L10=2,"Mist / Cloudy",L10=3,"Light Snow / Rain",L10=4,"Heavy Precipitation")</f>
        <v>Clear / Partly Cloudy</v>
      </c>
      <c r="N10" s="28">
        <v>0.2</v>
      </c>
      <c r="O10" s="28" t="str">
        <f t="shared" si="5"/>
        <v>Mild</v>
      </c>
      <c r="P10" s="28">
        <v>0.2576</v>
      </c>
      <c r="Q10" s="38">
        <f t="shared" si="1"/>
        <v>0.2576</v>
      </c>
      <c r="R10" s="28">
        <v>0.86</v>
      </c>
      <c r="S10" s="28">
        <v>0</v>
      </c>
      <c r="T10" s="40" t="str" cm="1">
        <f t="array" ref="T10">_xlfn.IFS(S10*18.6&lt;2,"Calm",S10*18.6&lt;6,"Light Breeze",S10*18.6&lt;14,"Gale",TRUE,"Extreme Storm")</f>
        <v>Calm</v>
      </c>
      <c r="U10" s="28">
        <v>1</v>
      </c>
      <c r="V10" s="28">
        <v>2</v>
      </c>
      <c r="W10" s="28">
        <v>3</v>
      </c>
      <c r="X10" s="44">
        <f>AVERAGE(INDEX($W:$W,MAX(ROW($W$3),ROW()-23)):INDEX($W:$W,ROW()))</f>
        <v>13.5</v>
      </c>
      <c r="Y10" s="44">
        <f>_xlfn.STDEV.S(INDEX($W:$W,MAX(ROW($W$3),ROW()-23)):INDEX($W:$W,ROW()))</f>
        <v>15.146899729930592</v>
      </c>
      <c r="Z10" s="44">
        <f t="shared" si="2"/>
        <v>-0.69321116447689812</v>
      </c>
      <c r="AA10" s="40" t="b">
        <f t="shared" si="0"/>
        <v>0</v>
      </c>
    </row>
    <row r="11" spans="1:27" ht="22.8" x14ac:dyDescent="0.3">
      <c r="A11" s="32">
        <v>9</v>
      </c>
      <c r="B11" s="33">
        <v>40544</v>
      </c>
      <c r="C11" s="40" t="str">
        <f t="shared" si="3"/>
        <v>Saturday</v>
      </c>
      <c r="D11" s="28">
        <v>8</v>
      </c>
      <c r="E11" s="40" t="str" cm="1">
        <f t="array" ref="E11">_xlfn.IFS(D11&gt;=21,"Night",D11&gt;=17,"Evening",D11&gt;=12,"Midday",D11&gt;=6,"Morning", TRUE, "Night")</f>
        <v>Morning</v>
      </c>
      <c r="F11" s="28">
        <v>1</v>
      </c>
      <c r="G11" s="28">
        <v>0</v>
      </c>
      <c r="H11" s="28">
        <v>1</v>
      </c>
      <c r="I11" s="28">
        <v>6</v>
      </c>
      <c r="J11" s="40" t="str">
        <f t="shared" si="4"/>
        <v>Weekday</v>
      </c>
      <c r="K11" s="28" t="b">
        <v>0</v>
      </c>
      <c r="L11" s="28">
        <v>1</v>
      </c>
      <c r="M11" s="40" t="str" cm="1">
        <f t="array" ref="M11">_xlfn.IFS(L11=1,"Clear / Partly Cloudy",L11=2,"Mist / Cloudy",L11=3,"Light Snow / Rain",L11=4,"Heavy Precipitation")</f>
        <v>Clear / Partly Cloudy</v>
      </c>
      <c r="N11" s="28">
        <v>0.24</v>
      </c>
      <c r="O11" s="28" t="str">
        <f t="shared" si="5"/>
        <v>Mild</v>
      </c>
      <c r="P11" s="48">
        <v>5.0869880687563325E-2</v>
      </c>
      <c r="Q11" s="47">
        <f t="shared" si="1"/>
        <v>5.0869880687563325E-2</v>
      </c>
      <c r="R11" s="28">
        <v>0.75</v>
      </c>
      <c r="S11" s="28">
        <v>0</v>
      </c>
      <c r="T11" s="40" t="str" cm="1">
        <f t="array" ref="T11">_xlfn.IFS(S11*18.6&lt;2,"Calm",S11*18.6&lt;6,"Light Breeze",S11*18.6&lt;14,"Gale",TRUE,"Extreme Storm")</f>
        <v>Calm</v>
      </c>
      <c r="U11" s="28">
        <v>1</v>
      </c>
      <c r="V11" s="28">
        <v>7</v>
      </c>
      <c r="W11" s="28">
        <v>8</v>
      </c>
      <c r="X11" s="44">
        <f>AVERAGE(INDEX($W:$W,MAX(ROW($W$3),ROW()-23)):INDEX($W:$W,ROW()))</f>
        <v>12.888888888888889</v>
      </c>
      <c r="Y11" s="44">
        <f>_xlfn.STDEV.S(INDEX($W:$W,MAX(ROW($W$3),ROW()-23)):INDEX($W:$W,ROW()))</f>
        <v>14.286745994491227</v>
      </c>
      <c r="Z11" s="44">
        <f t="shared" si="2"/>
        <v>-0.34219750885008926</v>
      </c>
      <c r="AA11" s="40" t="b">
        <f t="shared" si="0"/>
        <v>0</v>
      </c>
    </row>
    <row r="12" spans="1:27" x14ac:dyDescent="0.3">
      <c r="A12" s="32">
        <v>10</v>
      </c>
      <c r="B12" s="33">
        <v>40544</v>
      </c>
      <c r="C12" s="40" t="str">
        <f t="shared" si="3"/>
        <v>Saturday</v>
      </c>
      <c r="D12" s="28">
        <v>9</v>
      </c>
      <c r="E12" s="40" t="str" cm="1">
        <f t="array" ref="E12">_xlfn.IFS(D12&gt;=21,"Night",D12&gt;=17,"Evening",D12&gt;=12,"Midday",D12&gt;=6,"Morning", TRUE, "Night")</f>
        <v>Morning</v>
      </c>
      <c r="F12" s="28">
        <v>1</v>
      </c>
      <c r="G12" s="28">
        <v>0</v>
      </c>
      <c r="H12" s="28">
        <v>1</v>
      </c>
      <c r="I12" s="28">
        <v>6</v>
      </c>
      <c r="J12" s="40" t="str">
        <f t="shared" si="4"/>
        <v>Weekday</v>
      </c>
      <c r="K12" s="28" t="b">
        <v>0</v>
      </c>
      <c r="L12" s="28">
        <v>1</v>
      </c>
      <c r="M12" s="40" t="str" cm="1">
        <f t="array" ref="M12">_xlfn.IFS(L12=1,"Clear / Partly Cloudy",L12=2,"Mist / Cloudy",L12=3,"Light Snow / Rain",L12=4,"Heavy Precipitation")</f>
        <v>Clear / Partly Cloudy</v>
      </c>
      <c r="N12" s="28">
        <v>0.32</v>
      </c>
      <c r="O12" s="28" t="str">
        <f t="shared" si="5"/>
        <v>Mild</v>
      </c>
      <c r="P12" s="28">
        <v>0.34849999999999998</v>
      </c>
      <c r="Q12" s="38">
        <f t="shared" si="1"/>
        <v>0.34849999999999998</v>
      </c>
      <c r="R12" s="28">
        <v>0.76</v>
      </c>
      <c r="S12" s="28">
        <v>0</v>
      </c>
      <c r="T12" s="40" t="str" cm="1">
        <f t="array" ref="T12">_xlfn.IFS(S12*18.6&lt;2,"Calm",S12*18.6&lt;6,"Light Breeze",S12*18.6&lt;14,"Gale",TRUE,"Extreme Storm")</f>
        <v>Calm</v>
      </c>
      <c r="U12" s="28">
        <v>8</v>
      </c>
      <c r="V12" s="28">
        <v>6</v>
      </c>
      <c r="W12" s="28">
        <v>14</v>
      </c>
      <c r="X12" s="44">
        <f>AVERAGE(INDEX($W:$W,MAX(ROW($W$3),ROW()-23)):INDEX($W:$W,ROW()))</f>
        <v>13</v>
      </c>
      <c r="Y12" s="44">
        <f>_xlfn.STDEV.S(INDEX($W:$W,MAX(ROW($W$3),ROW()-23)):INDEX($W:$W,ROW()))</f>
        <v>13.474255287605157</v>
      </c>
      <c r="Z12" s="44">
        <f t="shared" si="2"/>
        <v>7.4215604399294019E-2</v>
      </c>
      <c r="AA12" s="40" t="b">
        <f t="shared" si="0"/>
        <v>0</v>
      </c>
    </row>
    <row r="13" spans="1:27" x14ac:dyDescent="0.3">
      <c r="A13" s="32">
        <v>11</v>
      </c>
      <c r="B13" s="33">
        <v>40544</v>
      </c>
      <c r="C13" s="40" t="str">
        <f t="shared" si="3"/>
        <v>Saturday</v>
      </c>
      <c r="D13" s="28">
        <v>10</v>
      </c>
      <c r="E13" s="40" t="str" cm="1">
        <f t="array" ref="E13">_xlfn.IFS(D13&gt;=21,"Night",D13&gt;=17,"Evening",D13&gt;=12,"Midday",D13&gt;=6,"Morning", TRUE, "Night")</f>
        <v>Morning</v>
      </c>
      <c r="F13" s="28">
        <v>1</v>
      </c>
      <c r="G13" s="28">
        <v>0</v>
      </c>
      <c r="H13" s="28">
        <v>1</v>
      </c>
      <c r="I13" s="28">
        <v>6</v>
      </c>
      <c r="J13" s="40" t="str">
        <f t="shared" si="4"/>
        <v>Weekday</v>
      </c>
      <c r="K13" s="28" t="b">
        <v>0</v>
      </c>
      <c r="L13" s="28">
        <v>1</v>
      </c>
      <c r="M13" s="40" t="str" cm="1">
        <f t="array" ref="M13">_xlfn.IFS(L13=1,"Clear / Partly Cloudy",L13=2,"Mist / Cloudy",L13=3,"Light Snow / Rain",L13=4,"Heavy Precipitation")</f>
        <v>Clear / Partly Cloudy</v>
      </c>
      <c r="N13" s="28">
        <v>0.38</v>
      </c>
      <c r="O13" s="28" t="str">
        <f t="shared" si="5"/>
        <v>Mild</v>
      </c>
      <c r="P13" s="28">
        <v>0.39389999999999997</v>
      </c>
      <c r="Q13" s="38">
        <f t="shared" si="1"/>
        <v>0.39389999999999997</v>
      </c>
      <c r="R13" s="28">
        <v>0.76</v>
      </c>
      <c r="S13" s="28">
        <v>0.25369999999999998</v>
      </c>
      <c r="T13" s="40" t="str" cm="1">
        <f t="array" ref="T13">_xlfn.IFS(S13*18.6&lt;2,"Calm",S13*18.6&lt;6,"Light Breeze",S13*18.6&lt;14,"Gale",TRUE,"Extreme Storm")</f>
        <v>Light Breeze</v>
      </c>
      <c r="U13" s="28">
        <v>12</v>
      </c>
      <c r="V13" s="28">
        <v>24</v>
      </c>
      <c r="W13" s="28">
        <v>36</v>
      </c>
      <c r="X13" s="44">
        <f>AVERAGE(INDEX($W:$W,MAX(ROW($W$3),ROW()-23)):INDEX($W:$W,ROW()))</f>
        <v>15.090909090909092</v>
      </c>
      <c r="Y13" s="44">
        <f>_xlfn.STDEV.S(INDEX($W:$W,MAX(ROW($W$3),ROW()-23)):INDEX($W:$W,ROW()))</f>
        <v>14.542727016997503</v>
      </c>
      <c r="Z13" s="44">
        <f t="shared" si="2"/>
        <v>1.4377696070793609</v>
      </c>
      <c r="AA13" s="40" t="b">
        <f t="shared" si="0"/>
        <v>0</v>
      </c>
    </row>
    <row r="14" spans="1:27" x14ac:dyDescent="0.3">
      <c r="A14" s="32">
        <v>12</v>
      </c>
      <c r="B14" s="33">
        <v>40544</v>
      </c>
      <c r="C14" s="40" t="str">
        <f t="shared" si="3"/>
        <v>Saturday</v>
      </c>
      <c r="D14" s="28">
        <v>11</v>
      </c>
      <c r="E14" s="40" t="str" cm="1">
        <f t="array" ref="E14">_xlfn.IFS(D14&gt;=21,"Night",D14&gt;=17,"Evening",D14&gt;=12,"Midday",D14&gt;=6,"Morning", TRUE, "Night")</f>
        <v>Morning</v>
      </c>
      <c r="F14" s="28">
        <v>1</v>
      </c>
      <c r="G14" s="28">
        <v>0</v>
      </c>
      <c r="H14" s="28">
        <v>1</v>
      </c>
      <c r="I14" s="28">
        <v>6</v>
      </c>
      <c r="J14" s="40" t="str">
        <f t="shared" si="4"/>
        <v>Weekday</v>
      </c>
      <c r="K14" s="28" t="b">
        <v>0</v>
      </c>
      <c r="L14" s="28">
        <v>1</v>
      </c>
      <c r="M14" s="40" t="str" cm="1">
        <f t="array" ref="M14">_xlfn.IFS(L14=1,"Clear / Partly Cloudy",L14=2,"Mist / Cloudy",L14=3,"Light Snow / Rain",L14=4,"Heavy Precipitation")</f>
        <v>Clear / Partly Cloudy</v>
      </c>
      <c r="N14" s="28">
        <v>0.36</v>
      </c>
      <c r="O14" s="28" t="str">
        <f t="shared" si="5"/>
        <v>Mild</v>
      </c>
      <c r="P14" s="28">
        <v>0.33329999999999999</v>
      </c>
      <c r="Q14" s="38">
        <f t="shared" si="1"/>
        <v>0.33329999999999999</v>
      </c>
      <c r="R14" s="28">
        <v>0.81</v>
      </c>
      <c r="S14" s="28">
        <v>0.28360000000000002</v>
      </c>
      <c r="T14" s="40" t="str" cm="1">
        <f t="array" ref="T14">_xlfn.IFS(S14*18.6&lt;2,"Calm",S14*18.6&lt;6,"Light Breeze",S14*18.6&lt;14,"Gale",TRUE,"Extreme Storm")</f>
        <v>Light Breeze</v>
      </c>
      <c r="U14" s="28">
        <v>26</v>
      </c>
      <c r="V14" s="28">
        <v>30</v>
      </c>
      <c r="W14" s="28">
        <v>56</v>
      </c>
      <c r="X14" s="44">
        <f>AVERAGE(INDEX($W:$W,MAX(ROW($W$3),ROW()-23)):INDEX($W:$W,ROW()))</f>
        <v>18.5</v>
      </c>
      <c r="Y14" s="44">
        <f>_xlfn.STDEV.S(INDEX($W:$W,MAX(ROW($W$3),ROW()-23)):INDEX($W:$W,ROW()))</f>
        <v>18.2133816938885</v>
      </c>
      <c r="Z14" s="44">
        <f t="shared" si="2"/>
        <v>2.0589257190268584</v>
      </c>
      <c r="AA14" s="40" t="b">
        <f t="shared" si="0"/>
        <v>0</v>
      </c>
    </row>
    <row r="15" spans="1:27" x14ac:dyDescent="0.3">
      <c r="A15" s="32">
        <v>13</v>
      </c>
      <c r="B15" s="33">
        <v>40544</v>
      </c>
      <c r="C15" s="40" t="str">
        <f t="shared" si="3"/>
        <v>Saturday</v>
      </c>
      <c r="D15" s="28">
        <v>12</v>
      </c>
      <c r="E15" s="40" t="str" cm="1">
        <f t="array" ref="E15">_xlfn.IFS(D15&gt;=21,"Night",D15&gt;=17,"Evening",D15&gt;=12,"Midday",D15&gt;=6,"Morning", TRUE, "Night")</f>
        <v>Midday</v>
      </c>
      <c r="F15" s="28">
        <v>1</v>
      </c>
      <c r="G15" s="28">
        <v>0</v>
      </c>
      <c r="H15" s="28">
        <v>1</v>
      </c>
      <c r="I15" s="28">
        <v>6</v>
      </c>
      <c r="J15" s="40" t="str">
        <f t="shared" si="4"/>
        <v>Weekday</v>
      </c>
      <c r="K15" s="28" t="b">
        <v>0</v>
      </c>
      <c r="L15" s="28">
        <v>1</v>
      </c>
      <c r="M15" s="40" t="str" cm="1">
        <f t="array" ref="M15">_xlfn.IFS(L15=1,"Clear / Partly Cloudy",L15=2,"Mist / Cloudy",L15=3,"Light Snow / Rain",L15=4,"Heavy Precipitation")</f>
        <v>Clear / Partly Cloudy</v>
      </c>
      <c r="N15" s="28">
        <v>0.42</v>
      </c>
      <c r="O15" s="28" t="str">
        <f t="shared" si="5"/>
        <v>Mild</v>
      </c>
      <c r="P15" s="28">
        <v>0.42420000000000002</v>
      </c>
      <c r="Q15" s="38">
        <f t="shared" si="1"/>
        <v>0.42420000000000002</v>
      </c>
      <c r="R15" s="28">
        <v>0.77</v>
      </c>
      <c r="S15" s="28">
        <v>0.28360000000000002</v>
      </c>
      <c r="T15" s="40" t="str" cm="1">
        <f t="array" ref="T15">_xlfn.IFS(S15*18.6&lt;2,"Calm",S15*18.6&lt;6,"Light Breeze",S15*18.6&lt;14,"Gale",TRUE,"Extreme Storm")</f>
        <v>Light Breeze</v>
      </c>
      <c r="U15" s="28">
        <v>29</v>
      </c>
      <c r="V15" s="28">
        <v>55</v>
      </c>
      <c r="W15" s="28">
        <v>84</v>
      </c>
      <c r="X15" s="44">
        <f>AVERAGE(INDEX($W:$W,MAX(ROW($W$3),ROW()-23)):INDEX($W:$W,ROW()))</f>
        <v>23.53846153846154</v>
      </c>
      <c r="Y15" s="44">
        <f>_xlfn.STDEV.S(INDEX($W:$W,MAX(ROW($W$3),ROW()-23)):INDEX($W:$W,ROW()))</f>
        <v>25.181393212103337</v>
      </c>
      <c r="Z15" s="44">
        <f t="shared" si="2"/>
        <v>2.4010402423833268</v>
      </c>
      <c r="AA15" s="40" t="b">
        <f t="shared" si="0"/>
        <v>0</v>
      </c>
    </row>
    <row r="16" spans="1:27" x14ac:dyDescent="0.3">
      <c r="A16" s="32">
        <v>14</v>
      </c>
      <c r="B16" s="33">
        <v>40544</v>
      </c>
      <c r="C16" s="40" t="str">
        <f t="shared" si="3"/>
        <v>Saturday</v>
      </c>
      <c r="D16" s="28">
        <v>13</v>
      </c>
      <c r="E16" s="40" t="str" cm="1">
        <f t="array" ref="E16">_xlfn.IFS(D16&gt;=21,"Night",D16&gt;=17,"Evening",D16&gt;=12,"Midday",D16&gt;=6,"Morning", TRUE, "Night")</f>
        <v>Midday</v>
      </c>
      <c r="F16" s="28">
        <v>1</v>
      </c>
      <c r="G16" s="28">
        <v>0</v>
      </c>
      <c r="H16" s="28">
        <v>1</v>
      </c>
      <c r="I16" s="28">
        <v>6</v>
      </c>
      <c r="J16" s="40" t="str">
        <f t="shared" si="4"/>
        <v>Weekday</v>
      </c>
      <c r="K16" s="28" t="b">
        <v>0</v>
      </c>
      <c r="L16" s="28">
        <v>2</v>
      </c>
      <c r="M16" s="40" t="str" cm="1">
        <f t="array" ref="M16">_xlfn.IFS(L16=1,"Clear / Partly Cloudy",L16=2,"Mist / Cloudy",L16=3,"Light Snow / Rain",L16=4,"Heavy Precipitation")</f>
        <v>Mist / Cloudy</v>
      </c>
      <c r="N16" s="28">
        <v>0.46</v>
      </c>
      <c r="O16" s="28" t="str">
        <f t="shared" si="5"/>
        <v>Mild</v>
      </c>
      <c r="P16" s="28">
        <v>0.45450000000000002</v>
      </c>
      <c r="Q16" s="38">
        <f t="shared" si="1"/>
        <v>0.45450000000000002</v>
      </c>
      <c r="R16" s="28">
        <v>0.72</v>
      </c>
      <c r="S16" s="28">
        <v>0.29849999999999999</v>
      </c>
      <c r="T16" s="40" t="str" cm="1">
        <f t="array" ref="T16">_xlfn.IFS(S16*18.6&lt;2,"Calm",S16*18.6&lt;6,"Light Breeze",S16*18.6&lt;14,"Gale",TRUE,"Extreme Storm")</f>
        <v>Light Breeze</v>
      </c>
      <c r="U16" s="28">
        <v>47</v>
      </c>
      <c r="V16" s="28">
        <v>47</v>
      </c>
      <c r="W16" s="28">
        <v>94</v>
      </c>
      <c r="X16" s="44">
        <f>AVERAGE(INDEX($W:$W,MAX(ROW($W$3),ROW()-23)):INDEX($W:$W,ROW()))</f>
        <v>28.571428571428573</v>
      </c>
      <c r="Y16" s="44">
        <f>_xlfn.STDEV.S(INDEX($W:$W,MAX(ROW($W$3),ROW()-23)):INDEX($W:$W,ROW()))</f>
        <v>30.658702581095046</v>
      </c>
      <c r="Z16" s="44">
        <f t="shared" si="2"/>
        <v>2.1340945937130553</v>
      </c>
      <c r="AA16" s="40" t="b">
        <f t="shared" si="0"/>
        <v>0</v>
      </c>
    </row>
    <row r="17" spans="1:27" x14ac:dyDescent="0.3">
      <c r="A17" s="32">
        <v>15</v>
      </c>
      <c r="B17" s="33">
        <v>40544</v>
      </c>
      <c r="C17" s="40" t="str">
        <f t="shared" si="3"/>
        <v>Saturday</v>
      </c>
      <c r="D17" s="28">
        <v>14</v>
      </c>
      <c r="E17" s="40" t="str" cm="1">
        <f t="array" ref="E17">_xlfn.IFS(D17&gt;=21,"Night",D17&gt;=17,"Evening",D17&gt;=12,"Midday",D17&gt;=6,"Morning", TRUE, "Night")</f>
        <v>Midday</v>
      </c>
      <c r="F17" s="28">
        <v>1</v>
      </c>
      <c r="G17" s="28">
        <v>0</v>
      </c>
      <c r="H17" s="28">
        <v>1</v>
      </c>
      <c r="I17" s="28">
        <v>6</v>
      </c>
      <c r="J17" s="40" t="str">
        <f t="shared" si="4"/>
        <v>Weekday</v>
      </c>
      <c r="K17" s="28" t="b">
        <v>0</v>
      </c>
      <c r="L17" s="28">
        <v>2</v>
      </c>
      <c r="M17" s="40" t="str" cm="1">
        <f t="array" ref="M17">_xlfn.IFS(L17=1,"Clear / Partly Cloudy",L17=2,"Mist / Cloudy",L17=3,"Light Snow / Rain",L17=4,"Heavy Precipitation")</f>
        <v>Mist / Cloudy</v>
      </c>
      <c r="N17" s="28">
        <v>0.46</v>
      </c>
      <c r="O17" s="28" t="str">
        <f t="shared" si="5"/>
        <v>Mild</v>
      </c>
      <c r="P17" s="28">
        <v>0.45450000000000002</v>
      </c>
      <c r="Q17" s="38">
        <f t="shared" si="1"/>
        <v>0.45450000000000002</v>
      </c>
      <c r="R17" s="28">
        <v>0.72</v>
      </c>
      <c r="S17" s="28">
        <v>0.28360000000000002</v>
      </c>
      <c r="T17" s="40" t="str" cm="1">
        <f t="array" ref="T17">_xlfn.IFS(S17*18.6&lt;2,"Calm",S17*18.6&lt;6,"Light Breeze",S17*18.6&lt;14,"Gale",TRUE,"Extreme Storm")</f>
        <v>Light Breeze</v>
      </c>
      <c r="U17" s="28">
        <v>35</v>
      </c>
      <c r="V17" s="28">
        <v>71</v>
      </c>
      <c r="W17" s="28">
        <v>106</v>
      </c>
      <c r="X17" s="44">
        <f>AVERAGE(INDEX($W:$W,MAX(ROW($W$3),ROW()-23)):INDEX($W:$W,ROW()))</f>
        <v>33.733333333333334</v>
      </c>
      <c r="Y17" s="44">
        <f>_xlfn.STDEV.S(INDEX($W:$W,MAX(ROW($W$3),ROW()-23)):INDEX($W:$W,ROW()))</f>
        <v>35.672051217938645</v>
      </c>
      <c r="Z17" s="44">
        <f t="shared" si="2"/>
        <v>2.0258623824336022</v>
      </c>
      <c r="AA17" s="40" t="b">
        <f t="shared" si="0"/>
        <v>0</v>
      </c>
    </row>
    <row r="18" spans="1:27" x14ac:dyDescent="0.3">
      <c r="A18" s="32">
        <v>16</v>
      </c>
      <c r="B18" s="33">
        <v>40544</v>
      </c>
      <c r="C18" s="40" t="str">
        <f t="shared" si="3"/>
        <v>Saturday</v>
      </c>
      <c r="D18" s="28">
        <v>15</v>
      </c>
      <c r="E18" s="40" t="str" cm="1">
        <f t="array" ref="E18">_xlfn.IFS(D18&gt;=21,"Night",D18&gt;=17,"Evening",D18&gt;=12,"Midday",D18&gt;=6,"Morning", TRUE, "Night")</f>
        <v>Midday</v>
      </c>
      <c r="F18" s="28">
        <v>1</v>
      </c>
      <c r="G18" s="28">
        <v>0</v>
      </c>
      <c r="H18" s="28">
        <v>1</v>
      </c>
      <c r="I18" s="28">
        <v>6</v>
      </c>
      <c r="J18" s="40" t="str">
        <f t="shared" si="4"/>
        <v>Weekday</v>
      </c>
      <c r="K18" s="28" t="b">
        <v>0</v>
      </c>
      <c r="L18" s="28">
        <v>2</v>
      </c>
      <c r="M18" s="40" t="str" cm="1">
        <f t="array" ref="M18">_xlfn.IFS(L18=1,"Clear / Partly Cloudy",L18=2,"Mist / Cloudy",L18=3,"Light Snow / Rain",L18=4,"Heavy Precipitation")</f>
        <v>Mist / Cloudy</v>
      </c>
      <c r="N18" s="28">
        <v>0.44</v>
      </c>
      <c r="O18" s="28" t="str">
        <f t="shared" si="5"/>
        <v>Mild</v>
      </c>
      <c r="P18" s="28">
        <v>0.43940000000000001</v>
      </c>
      <c r="Q18" s="38">
        <f t="shared" si="1"/>
        <v>0.43940000000000001</v>
      </c>
      <c r="R18" s="28">
        <v>0.77</v>
      </c>
      <c r="S18" s="28">
        <v>0.29849999999999999</v>
      </c>
      <c r="T18" s="40" t="str" cm="1">
        <f t="array" ref="T18">_xlfn.IFS(S18*18.6&lt;2,"Calm",S18*18.6&lt;6,"Light Breeze",S18*18.6&lt;14,"Gale",TRUE,"Extreme Storm")</f>
        <v>Light Breeze</v>
      </c>
      <c r="U18" s="28">
        <v>40</v>
      </c>
      <c r="V18" s="28">
        <v>70</v>
      </c>
      <c r="W18" s="28">
        <v>110</v>
      </c>
      <c r="X18" s="44">
        <f>AVERAGE(INDEX($W:$W,MAX(ROW($W$3),ROW()-23)):INDEX($W:$W,ROW()))</f>
        <v>38.5</v>
      </c>
      <c r="Y18" s="44">
        <f>_xlfn.STDEV.S(INDEX($W:$W,MAX(ROW($W$3),ROW()-23)):INDEX($W:$W,ROW()))</f>
        <v>39.385276436759966</v>
      </c>
      <c r="Z18" s="44">
        <f t="shared" si="2"/>
        <v>1.8153992168826314</v>
      </c>
      <c r="AA18" s="40" t="b">
        <f t="shared" si="0"/>
        <v>0</v>
      </c>
    </row>
    <row r="19" spans="1:27" x14ac:dyDescent="0.3">
      <c r="A19" s="32">
        <v>17</v>
      </c>
      <c r="B19" s="33">
        <v>40544</v>
      </c>
      <c r="C19" s="40" t="str">
        <f t="shared" si="3"/>
        <v>Saturday</v>
      </c>
      <c r="D19" s="28">
        <v>16</v>
      </c>
      <c r="E19" s="40" t="str" cm="1">
        <f t="array" ref="E19">_xlfn.IFS(D19&gt;=21,"Night",D19&gt;=17,"Evening",D19&gt;=12,"Midday",D19&gt;=6,"Morning", TRUE, "Night")</f>
        <v>Midday</v>
      </c>
      <c r="F19" s="28">
        <v>1</v>
      </c>
      <c r="G19" s="28">
        <v>0</v>
      </c>
      <c r="H19" s="28">
        <v>1</v>
      </c>
      <c r="I19" s="28">
        <v>6</v>
      </c>
      <c r="J19" s="40" t="str">
        <f t="shared" si="4"/>
        <v>Weekday</v>
      </c>
      <c r="K19" s="28" t="b">
        <v>0</v>
      </c>
      <c r="L19" s="28">
        <v>2</v>
      </c>
      <c r="M19" s="40" t="str" cm="1">
        <f t="array" ref="M19">_xlfn.IFS(L19=1,"Clear / Partly Cloudy",L19=2,"Mist / Cloudy",L19=3,"Light Snow / Rain",L19=4,"Heavy Precipitation")</f>
        <v>Mist / Cloudy</v>
      </c>
      <c r="N19" s="28">
        <v>0.42</v>
      </c>
      <c r="O19" s="28" t="str">
        <f t="shared" si="5"/>
        <v>Mild</v>
      </c>
      <c r="P19" s="28">
        <v>0.42420000000000002</v>
      </c>
      <c r="Q19" s="38">
        <f t="shared" si="1"/>
        <v>0.42420000000000002</v>
      </c>
      <c r="R19" s="28">
        <v>0.82</v>
      </c>
      <c r="S19" s="28">
        <v>0.29849999999999999</v>
      </c>
      <c r="T19" s="40" t="str" cm="1">
        <f t="array" ref="T19">_xlfn.IFS(S19*18.6&lt;2,"Calm",S19*18.6&lt;6,"Light Breeze",S19*18.6&lt;14,"Gale",TRUE,"Extreme Storm")</f>
        <v>Light Breeze</v>
      </c>
      <c r="U19" s="28">
        <v>41</v>
      </c>
      <c r="V19" s="28">
        <v>52</v>
      </c>
      <c r="W19" s="28">
        <v>93</v>
      </c>
      <c r="X19" s="44">
        <f>AVERAGE(INDEX($W:$W,MAX(ROW($W$3),ROW()-23)):INDEX($W:$W,ROW()))</f>
        <v>41.705882352941174</v>
      </c>
      <c r="Y19" s="44">
        <f>_xlfn.STDEV.S(INDEX($W:$W,MAX(ROW($W$3),ROW()-23)):INDEX($W:$W,ROW()))</f>
        <v>40.360507779700868</v>
      </c>
      <c r="Z19" s="44">
        <f t="shared" si="2"/>
        <v>1.2708987192885854</v>
      </c>
      <c r="AA19" s="40" t="b">
        <f t="shared" si="0"/>
        <v>0</v>
      </c>
    </row>
    <row r="20" spans="1:27" ht="22.8" x14ac:dyDescent="0.3">
      <c r="A20" s="32">
        <v>18</v>
      </c>
      <c r="B20" s="33">
        <v>40544</v>
      </c>
      <c r="C20" s="40" t="str">
        <f t="shared" si="3"/>
        <v>Saturday</v>
      </c>
      <c r="D20" s="28">
        <v>17</v>
      </c>
      <c r="E20" s="40" t="str" cm="1">
        <f t="array" ref="E20">_xlfn.IFS(D20&gt;=21,"Night",D20&gt;=17,"Evening",D20&gt;=12,"Midday",D20&gt;=6,"Morning", TRUE, "Night")</f>
        <v>Evening</v>
      </c>
      <c r="F20" s="28">
        <v>1</v>
      </c>
      <c r="G20" s="28">
        <v>0</v>
      </c>
      <c r="H20" s="28">
        <v>1</v>
      </c>
      <c r="I20" s="28">
        <v>6</v>
      </c>
      <c r="J20" s="40" t="str">
        <f t="shared" si="4"/>
        <v>Weekday</v>
      </c>
      <c r="K20" s="28" t="b">
        <v>0</v>
      </c>
      <c r="L20" s="28">
        <v>2</v>
      </c>
      <c r="M20" s="40" t="str" cm="1">
        <f t="array" ref="M20">_xlfn.IFS(L20=1,"Clear / Partly Cloudy",L20=2,"Mist / Cloudy",L20=3,"Light Snow / Rain",L20=4,"Heavy Precipitation")</f>
        <v>Mist / Cloudy</v>
      </c>
      <c r="N20" s="28">
        <v>0.44</v>
      </c>
      <c r="O20" s="28" t="str">
        <f t="shared" si="5"/>
        <v>Mild</v>
      </c>
      <c r="P20" s="48">
        <v>9.3189853280305823E-2</v>
      </c>
      <c r="Q20" s="47">
        <f t="shared" si="1"/>
        <v>9.3189853280305823E-2</v>
      </c>
      <c r="R20" s="28">
        <v>0.82</v>
      </c>
      <c r="S20" s="28">
        <v>0.28360000000000002</v>
      </c>
      <c r="T20" s="40" t="str" cm="1">
        <f t="array" ref="T20">_xlfn.IFS(S20*18.6&lt;2,"Calm",S20*18.6&lt;6,"Light Breeze",S20*18.6&lt;14,"Gale",TRUE,"Extreme Storm")</f>
        <v>Light Breeze</v>
      </c>
      <c r="U20" s="28">
        <v>15</v>
      </c>
      <c r="V20" s="28">
        <v>52</v>
      </c>
      <c r="W20" s="28">
        <v>67</v>
      </c>
      <c r="X20" s="44">
        <f>AVERAGE(INDEX($W:$W,MAX(ROW($W$3),ROW()-23)):INDEX($W:$W,ROW()))</f>
        <v>43.111111111111114</v>
      </c>
      <c r="Y20" s="44">
        <f>_xlfn.STDEV.S(INDEX($W:$W,MAX(ROW($W$3),ROW()-23)):INDEX($W:$W,ROW()))</f>
        <v>39.606726833424602</v>
      </c>
      <c r="Z20" s="44">
        <f t="shared" si="2"/>
        <v>0.60315231272099867</v>
      </c>
      <c r="AA20" s="40" t="b">
        <f t="shared" si="0"/>
        <v>0</v>
      </c>
    </row>
    <row r="21" spans="1:27" x14ac:dyDescent="0.3">
      <c r="A21" s="32">
        <v>19</v>
      </c>
      <c r="B21" s="33">
        <v>40544</v>
      </c>
      <c r="C21" s="40" t="str">
        <f t="shared" si="3"/>
        <v>Saturday</v>
      </c>
      <c r="D21" s="28">
        <v>18</v>
      </c>
      <c r="E21" s="40" t="str" cm="1">
        <f t="array" ref="E21">_xlfn.IFS(D21&gt;=21,"Night",D21&gt;=17,"Evening",D21&gt;=12,"Midday",D21&gt;=6,"Morning", TRUE, "Night")</f>
        <v>Evening</v>
      </c>
      <c r="F21" s="28">
        <v>1</v>
      </c>
      <c r="G21" s="28">
        <v>0</v>
      </c>
      <c r="H21" s="28">
        <v>1</v>
      </c>
      <c r="I21" s="28">
        <v>6</v>
      </c>
      <c r="J21" s="40" t="str">
        <f t="shared" si="4"/>
        <v>Weekday</v>
      </c>
      <c r="K21" s="28" t="b">
        <v>0</v>
      </c>
      <c r="L21" s="28">
        <v>3</v>
      </c>
      <c r="M21" s="40" t="str" cm="1">
        <f t="array" ref="M21">_xlfn.IFS(L21=1,"Clear / Partly Cloudy",L21=2,"Mist / Cloudy",L21=3,"Light Snow / Rain",L21=4,"Heavy Precipitation")</f>
        <v>Light Snow / Rain</v>
      </c>
      <c r="N21" s="28">
        <v>0.42</v>
      </c>
      <c r="O21" s="28" t="str">
        <f t="shared" si="5"/>
        <v>Mild</v>
      </c>
      <c r="P21" s="28">
        <v>0.42420000000000002</v>
      </c>
      <c r="Q21" s="38">
        <f t="shared" si="1"/>
        <v>0.42420000000000002</v>
      </c>
      <c r="R21" s="28">
        <v>0.88</v>
      </c>
      <c r="S21" s="28">
        <v>0.25369999999999998</v>
      </c>
      <c r="T21" s="40" t="str" cm="1">
        <f t="array" ref="T21">_xlfn.IFS(S21*18.6&lt;2,"Calm",S21*18.6&lt;6,"Light Breeze",S21*18.6&lt;14,"Gale",TRUE,"Extreme Storm")</f>
        <v>Light Breeze</v>
      </c>
      <c r="U21" s="28">
        <v>9</v>
      </c>
      <c r="V21" s="28">
        <v>26</v>
      </c>
      <c r="W21" s="28">
        <v>35</v>
      </c>
      <c r="X21" s="44">
        <f>AVERAGE(INDEX($W:$W,MAX(ROW($W$3),ROW()-23)):INDEX($W:$W,ROW()))</f>
        <v>42.684210526315788</v>
      </c>
      <c r="Y21" s="44">
        <f>_xlfn.STDEV.S(INDEX($W:$W,MAX(ROW($W$3),ROW()-23)):INDEX($W:$W,ROW()))</f>
        <v>38.535773613010761</v>
      </c>
      <c r="Z21" s="44">
        <f t="shared" si="2"/>
        <v>-0.19940460008622696</v>
      </c>
      <c r="AA21" s="40" t="b">
        <f t="shared" si="0"/>
        <v>0</v>
      </c>
    </row>
    <row r="22" spans="1:27" x14ac:dyDescent="0.3">
      <c r="A22" s="32">
        <v>20</v>
      </c>
      <c r="B22" s="33">
        <v>40544</v>
      </c>
      <c r="C22" s="40" t="str">
        <f t="shared" si="3"/>
        <v>Saturday</v>
      </c>
      <c r="D22" s="28">
        <v>19</v>
      </c>
      <c r="E22" s="40" t="str" cm="1">
        <f t="array" ref="E22">_xlfn.IFS(D22&gt;=21,"Night",D22&gt;=17,"Evening",D22&gt;=12,"Midday",D22&gt;=6,"Morning", TRUE, "Night")</f>
        <v>Evening</v>
      </c>
      <c r="F22" s="28">
        <v>1</v>
      </c>
      <c r="G22" s="28">
        <v>0</v>
      </c>
      <c r="H22" s="28">
        <v>1</v>
      </c>
      <c r="I22" s="28">
        <v>6</v>
      </c>
      <c r="J22" s="40" t="str">
        <f t="shared" si="4"/>
        <v>Weekday</v>
      </c>
      <c r="K22" s="28" t="b">
        <v>0</v>
      </c>
      <c r="L22" s="28">
        <v>3</v>
      </c>
      <c r="M22" s="40" t="str" cm="1">
        <f t="array" ref="M22">_xlfn.IFS(L22=1,"Clear / Partly Cloudy",L22=2,"Mist / Cloudy",L22=3,"Light Snow / Rain",L22=4,"Heavy Precipitation")</f>
        <v>Light Snow / Rain</v>
      </c>
      <c r="N22" s="28">
        <v>0.42</v>
      </c>
      <c r="O22" s="28" t="str">
        <f t="shared" si="5"/>
        <v>Mild</v>
      </c>
      <c r="P22" s="28">
        <v>0.42420000000000002</v>
      </c>
      <c r="Q22" s="38">
        <f t="shared" si="1"/>
        <v>0.42420000000000002</v>
      </c>
      <c r="R22" s="28">
        <v>0.88</v>
      </c>
      <c r="S22" s="28">
        <v>0.25369999999999998</v>
      </c>
      <c r="T22" s="40" t="str" cm="1">
        <f t="array" ref="T22">_xlfn.IFS(S22*18.6&lt;2,"Calm",S22*18.6&lt;6,"Light Breeze",S22*18.6&lt;14,"Gale",TRUE,"Extreme Storm")</f>
        <v>Light Breeze</v>
      </c>
      <c r="U22" s="28">
        <v>6</v>
      </c>
      <c r="V22" s="28">
        <v>31</v>
      </c>
      <c r="W22" s="28">
        <v>37</v>
      </c>
      <c r="X22" s="44">
        <f>AVERAGE(INDEX($W:$W,MAX(ROW($W$3),ROW()-23)):INDEX($W:$W,ROW()))</f>
        <v>42.4</v>
      </c>
      <c r="Y22" s="44">
        <f>_xlfn.STDEV.S(INDEX($W:$W,MAX(ROW($W$3),ROW()-23)):INDEX($W:$W,ROW()))</f>
        <v>37.529497170822005</v>
      </c>
      <c r="Z22" s="44">
        <f t="shared" si="2"/>
        <v>-0.14388681989052407</v>
      </c>
      <c r="AA22" s="40" t="b">
        <f t="shared" si="0"/>
        <v>0</v>
      </c>
    </row>
    <row r="23" spans="1:27" x14ac:dyDescent="0.3">
      <c r="A23" s="32">
        <v>21</v>
      </c>
      <c r="B23" s="33">
        <v>40544</v>
      </c>
      <c r="C23" s="40" t="str">
        <f t="shared" si="3"/>
        <v>Saturday</v>
      </c>
      <c r="D23" s="28">
        <v>20</v>
      </c>
      <c r="E23" s="40" t="str" cm="1">
        <f t="array" ref="E23">_xlfn.IFS(D23&gt;=21,"Night",D23&gt;=17,"Evening",D23&gt;=12,"Midday",D23&gt;=6,"Morning", TRUE, "Night")</f>
        <v>Evening</v>
      </c>
      <c r="F23" s="28">
        <v>1</v>
      </c>
      <c r="G23" s="28">
        <v>0</v>
      </c>
      <c r="H23" s="28">
        <v>1</v>
      </c>
      <c r="I23" s="28">
        <v>6</v>
      </c>
      <c r="J23" s="40" t="str">
        <f t="shared" si="4"/>
        <v>Weekday</v>
      </c>
      <c r="K23" s="28" t="b">
        <v>0</v>
      </c>
      <c r="L23" s="28">
        <v>2</v>
      </c>
      <c r="M23" s="40" t="str" cm="1">
        <f t="array" ref="M23">_xlfn.IFS(L23=1,"Clear / Partly Cloudy",L23=2,"Mist / Cloudy",L23=3,"Light Snow / Rain",L23=4,"Heavy Precipitation")</f>
        <v>Mist / Cloudy</v>
      </c>
      <c r="N23" s="28">
        <v>0.4</v>
      </c>
      <c r="O23" s="28" t="str">
        <f t="shared" si="5"/>
        <v>Mild</v>
      </c>
      <c r="P23" s="28">
        <v>0.40910000000000002</v>
      </c>
      <c r="Q23" s="38">
        <f t="shared" si="1"/>
        <v>0.40910000000000002</v>
      </c>
      <c r="R23" s="28">
        <v>0.87</v>
      </c>
      <c r="S23" s="28">
        <v>0.25369999999999998</v>
      </c>
      <c r="T23" s="40" t="str" cm="1">
        <f t="array" ref="T23">_xlfn.IFS(S23*18.6&lt;2,"Calm",S23*18.6&lt;6,"Light Breeze",S23*18.6&lt;14,"Gale",TRUE,"Extreme Storm")</f>
        <v>Light Breeze</v>
      </c>
      <c r="U23" s="28">
        <v>11</v>
      </c>
      <c r="V23" s="28">
        <v>25</v>
      </c>
      <c r="W23" s="28">
        <v>36</v>
      </c>
      <c r="X23" s="44">
        <f>AVERAGE(INDEX($W:$W,MAX(ROW($W$3),ROW()-23)):INDEX($W:$W,ROW()))</f>
        <v>42.095238095238095</v>
      </c>
      <c r="Y23" s="44">
        <f>_xlfn.STDEV.S(INDEX($W:$W,MAX(ROW($W$3),ROW()-23)):INDEX($W:$W,ROW()))</f>
        <v>36.605880349890185</v>
      </c>
      <c r="Z23" s="44">
        <f t="shared" si="2"/>
        <v>-0.1665098076313955</v>
      </c>
      <c r="AA23" s="40" t="b">
        <f t="shared" si="0"/>
        <v>0</v>
      </c>
    </row>
    <row r="24" spans="1:27" x14ac:dyDescent="0.3">
      <c r="A24" s="32">
        <v>22</v>
      </c>
      <c r="B24" s="33">
        <v>40544</v>
      </c>
      <c r="C24" s="40" t="str">
        <f t="shared" si="3"/>
        <v>Saturday</v>
      </c>
      <c r="D24" s="28">
        <v>21</v>
      </c>
      <c r="E24" s="40" t="str" cm="1">
        <f t="array" ref="E24">_xlfn.IFS(D24&gt;=21,"Night",D24&gt;=17,"Evening",D24&gt;=12,"Midday",D24&gt;=6,"Morning", TRUE, "Night")</f>
        <v>Night</v>
      </c>
      <c r="F24" s="28">
        <v>1</v>
      </c>
      <c r="G24" s="28">
        <v>0</v>
      </c>
      <c r="H24" s="28">
        <v>1</v>
      </c>
      <c r="I24" s="28">
        <v>6</v>
      </c>
      <c r="J24" s="40" t="str">
        <f t="shared" si="4"/>
        <v>Weekday</v>
      </c>
      <c r="K24" s="28" t="b">
        <v>0</v>
      </c>
      <c r="L24" s="28">
        <v>2</v>
      </c>
      <c r="M24" s="40" t="str" cm="1">
        <f t="array" ref="M24">_xlfn.IFS(L24=1,"Clear / Partly Cloudy",L24=2,"Mist / Cloudy",L24=3,"Light Snow / Rain",L24=4,"Heavy Precipitation")</f>
        <v>Mist / Cloudy</v>
      </c>
      <c r="N24" s="28">
        <v>0.4</v>
      </c>
      <c r="O24" s="28" t="str">
        <f t="shared" si="5"/>
        <v>Mild</v>
      </c>
      <c r="P24" s="28">
        <v>0.40910000000000002</v>
      </c>
      <c r="Q24" s="38">
        <f t="shared" si="1"/>
        <v>0.40910000000000002</v>
      </c>
      <c r="R24" s="28">
        <v>0.87</v>
      </c>
      <c r="S24" s="28">
        <v>0.19400000000000001</v>
      </c>
      <c r="T24" s="40" t="str" cm="1">
        <f t="array" ref="T24">_xlfn.IFS(S24*18.6&lt;2,"Calm",S24*18.6&lt;6,"Light Breeze",S24*18.6&lt;14,"Gale",TRUE,"Extreme Storm")</f>
        <v>Light Breeze</v>
      </c>
      <c r="U24" s="28">
        <v>3</v>
      </c>
      <c r="V24" s="28">
        <v>31</v>
      </c>
      <c r="W24" s="28">
        <v>34</v>
      </c>
      <c r="X24" s="44">
        <f>AVERAGE(INDEX($W:$W,MAX(ROW($W$3),ROW()-23)):INDEX($W:$W,ROW()))</f>
        <v>41.727272727272727</v>
      </c>
      <c r="Y24" s="44">
        <f>_xlfn.STDEV.S(INDEX($W:$W,MAX(ROW($W$3),ROW()-23)):INDEX($W:$W,ROW()))</f>
        <v>35.765348777275655</v>
      </c>
      <c r="Z24" s="44">
        <f t="shared" si="2"/>
        <v>-0.21605472870943815</v>
      </c>
      <c r="AA24" s="40" t="b">
        <f t="shared" si="0"/>
        <v>0</v>
      </c>
    </row>
    <row r="25" spans="1:27" x14ac:dyDescent="0.3">
      <c r="A25" s="32">
        <v>23</v>
      </c>
      <c r="B25" s="33">
        <v>40544</v>
      </c>
      <c r="C25" s="40" t="str">
        <f t="shared" si="3"/>
        <v>Saturday</v>
      </c>
      <c r="D25" s="28">
        <v>22</v>
      </c>
      <c r="E25" s="40" t="str" cm="1">
        <f t="array" ref="E25">_xlfn.IFS(D25&gt;=21,"Night",D25&gt;=17,"Evening",D25&gt;=12,"Midday",D25&gt;=6,"Morning", TRUE, "Night")</f>
        <v>Night</v>
      </c>
      <c r="F25" s="28">
        <v>1</v>
      </c>
      <c r="G25" s="28">
        <v>0</v>
      </c>
      <c r="H25" s="28">
        <v>1</v>
      </c>
      <c r="I25" s="28">
        <v>6</v>
      </c>
      <c r="J25" s="40" t="str">
        <f t="shared" si="4"/>
        <v>Weekday</v>
      </c>
      <c r="K25" s="28" t="b">
        <v>0</v>
      </c>
      <c r="L25" s="28">
        <v>2</v>
      </c>
      <c r="M25" s="40" t="str" cm="1">
        <f t="array" ref="M25">_xlfn.IFS(L25=1,"Clear / Partly Cloudy",L25=2,"Mist / Cloudy",L25=3,"Light Snow / Rain",L25=4,"Heavy Precipitation")</f>
        <v>Mist / Cloudy</v>
      </c>
      <c r="N25" s="28">
        <v>0.4</v>
      </c>
      <c r="O25" s="28" t="str">
        <f t="shared" si="5"/>
        <v>Mild</v>
      </c>
      <c r="P25" s="28">
        <v>0.40910000000000002</v>
      </c>
      <c r="Q25" s="38">
        <f t="shared" si="1"/>
        <v>0.40910000000000002</v>
      </c>
      <c r="R25" s="28">
        <v>0.94</v>
      </c>
      <c r="S25" s="28">
        <v>0.22389999999999999</v>
      </c>
      <c r="T25" s="40" t="str" cm="1">
        <f t="array" ref="T25">_xlfn.IFS(S25*18.6&lt;2,"Calm",S25*18.6&lt;6,"Light Breeze",S25*18.6&lt;14,"Gale",TRUE,"Extreme Storm")</f>
        <v>Light Breeze</v>
      </c>
      <c r="U25" s="28">
        <v>11</v>
      </c>
      <c r="V25" s="28">
        <v>17</v>
      </c>
      <c r="W25" s="28">
        <v>28</v>
      </c>
      <c r="X25" s="44">
        <f>AVERAGE(INDEX($W:$W,MAX(ROW($W$3),ROW()-23)):INDEX($W:$W,ROW()))</f>
        <v>41.130434782608695</v>
      </c>
      <c r="Y25" s="44">
        <f>_xlfn.STDEV.S(INDEX($W:$W,MAX(ROW($W$3),ROW()-23)):INDEX($W:$W,ROW()))</f>
        <v>35.060083944081022</v>
      </c>
      <c r="Z25" s="44">
        <f t="shared" si="2"/>
        <v>-0.37451236008308036</v>
      </c>
      <c r="AA25" s="40" t="b">
        <f t="shared" si="0"/>
        <v>0</v>
      </c>
    </row>
    <row r="26" spans="1:27" ht="22.8" x14ac:dyDescent="0.3">
      <c r="A26" s="32">
        <v>24</v>
      </c>
      <c r="B26" s="33">
        <v>40544</v>
      </c>
      <c r="C26" s="40" t="str">
        <f t="shared" si="3"/>
        <v>Saturday</v>
      </c>
      <c r="D26" s="28">
        <v>23</v>
      </c>
      <c r="E26" s="40" t="str" cm="1">
        <f t="array" ref="E26">_xlfn.IFS(D26&gt;=21,"Night",D26&gt;=17,"Evening",D26&gt;=12,"Midday",D26&gt;=6,"Morning", TRUE, "Night")</f>
        <v>Night</v>
      </c>
      <c r="F26" s="28">
        <v>1</v>
      </c>
      <c r="G26" s="28">
        <v>0</v>
      </c>
      <c r="H26" s="28">
        <v>1</v>
      </c>
      <c r="I26" s="28">
        <v>6</v>
      </c>
      <c r="J26" s="40" t="str">
        <f t="shared" si="4"/>
        <v>Weekday</v>
      </c>
      <c r="K26" s="28" t="b">
        <v>0</v>
      </c>
      <c r="L26" s="28">
        <v>2</v>
      </c>
      <c r="M26" s="40" t="str" cm="1">
        <f t="array" ref="M26">_xlfn.IFS(L26=1,"Clear / Partly Cloudy",L26=2,"Mist / Cloudy",L26=3,"Light Snow / Rain",L26=4,"Heavy Precipitation")</f>
        <v>Mist / Cloudy</v>
      </c>
      <c r="N26" s="28">
        <v>0.46</v>
      </c>
      <c r="O26" s="28" t="str">
        <f t="shared" si="5"/>
        <v>Mild</v>
      </c>
      <c r="P26" s="48">
        <v>9.7370701793769387E-2</v>
      </c>
      <c r="Q26" s="47">
        <f t="shared" si="1"/>
        <v>9.7370701793769387E-2</v>
      </c>
      <c r="R26" s="28">
        <v>0.88</v>
      </c>
      <c r="S26" s="28">
        <v>0.29849999999999999</v>
      </c>
      <c r="T26" s="40" t="str" cm="1">
        <f t="array" ref="T26">_xlfn.IFS(S26*18.6&lt;2,"Calm",S26*18.6&lt;6,"Light Breeze",S26*18.6&lt;14,"Gale",TRUE,"Extreme Storm")</f>
        <v>Light Breeze</v>
      </c>
      <c r="U26" s="28">
        <v>15</v>
      </c>
      <c r="V26" s="28">
        <v>24</v>
      </c>
      <c r="W26" s="28">
        <v>39</v>
      </c>
      <c r="X26" s="44">
        <f>AVERAGE(INDEX($W:$W,MAX(ROW($W$3),ROW()-23)):INDEX($W:$W,ROW()))</f>
        <v>41.041666666666664</v>
      </c>
      <c r="Y26" s="44">
        <f>_xlfn.STDEV.S(INDEX($W:$W,MAX(ROW($W$3),ROW()-23)):INDEX($W:$W,ROW()))</f>
        <v>34.292196053109919</v>
      </c>
      <c r="Z26" s="44">
        <f t="shared" si="2"/>
        <v>-5.9537355481831498E-2</v>
      </c>
      <c r="AA26" s="40" t="b">
        <f t="shared" si="0"/>
        <v>0</v>
      </c>
    </row>
    <row r="27" spans="1:27" x14ac:dyDescent="0.3">
      <c r="A27" s="32">
        <v>25</v>
      </c>
      <c r="B27" s="33">
        <v>40545</v>
      </c>
      <c r="C27" s="40" t="str">
        <f t="shared" si="3"/>
        <v>Sunday</v>
      </c>
      <c r="D27" s="28">
        <v>0</v>
      </c>
      <c r="E27" s="40" t="str" cm="1">
        <f t="array" ref="E27">_xlfn.IFS(D27&gt;=21,"Night",D27&gt;=17,"Evening",D27&gt;=12,"Midday",D27&gt;=6,"Morning", TRUE, "Night")</f>
        <v>Night</v>
      </c>
      <c r="F27" s="28">
        <v>1</v>
      </c>
      <c r="G27" s="28">
        <v>0</v>
      </c>
      <c r="H27" s="28">
        <v>1</v>
      </c>
      <c r="I27" s="28">
        <v>0</v>
      </c>
      <c r="J27" s="40" t="str">
        <f t="shared" si="4"/>
        <v>Weekday</v>
      </c>
      <c r="K27" s="28" t="b">
        <v>0</v>
      </c>
      <c r="L27" s="28">
        <v>2</v>
      </c>
      <c r="M27" s="40" t="str" cm="1">
        <f t="array" ref="M27">_xlfn.IFS(L27=1,"Clear / Partly Cloudy",L27=2,"Mist / Cloudy",L27=3,"Light Snow / Rain",L27=4,"Heavy Precipitation")</f>
        <v>Mist / Cloudy</v>
      </c>
      <c r="N27" s="28">
        <v>0.46</v>
      </c>
      <c r="O27" s="28" t="str">
        <f t="shared" si="5"/>
        <v>Mild</v>
      </c>
      <c r="P27" s="28">
        <v>0.45450000000000002</v>
      </c>
      <c r="Q27" s="38">
        <f t="shared" si="1"/>
        <v>0.45450000000000002</v>
      </c>
      <c r="R27" s="28">
        <v>0.88</v>
      </c>
      <c r="S27" s="28">
        <v>0.29849999999999999</v>
      </c>
      <c r="T27" s="40" t="str" cm="1">
        <f t="array" ref="T27">_xlfn.IFS(S27*18.6&lt;2,"Calm",S27*18.6&lt;6,"Light Breeze",S27*18.6&lt;14,"Gale",TRUE,"Extreme Storm")</f>
        <v>Light Breeze</v>
      </c>
      <c r="U27" s="28">
        <v>4</v>
      </c>
      <c r="V27" s="28">
        <v>13</v>
      </c>
      <c r="W27" s="28">
        <v>17</v>
      </c>
      <c r="X27" s="44">
        <f>AVERAGE(INDEX($W:$W,MAX(ROW($W$3),ROW()-23)):INDEX($W:$W,ROW()))</f>
        <v>41.083333333333336</v>
      </c>
      <c r="Y27" s="44">
        <f>_xlfn.STDEV.S(INDEX($W:$W,MAX(ROW($W$3),ROW()-23)):INDEX($W:$W,ROW()))</f>
        <v>34.261039689123713</v>
      </c>
      <c r="Z27" s="44">
        <f t="shared" si="2"/>
        <v>-0.70293644185522697</v>
      </c>
      <c r="AA27" s="40" t="b">
        <f t="shared" si="0"/>
        <v>0</v>
      </c>
    </row>
    <row r="28" spans="1:27" x14ac:dyDescent="0.3">
      <c r="A28" s="32">
        <v>26</v>
      </c>
      <c r="B28" s="33">
        <v>40545</v>
      </c>
      <c r="C28" s="40" t="str">
        <f t="shared" si="3"/>
        <v>Sunday</v>
      </c>
      <c r="D28" s="28">
        <v>1</v>
      </c>
      <c r="E28" s="40" t="str" cm="1">
        <f t="array" ref="E28">_xlfn.IFS(D28&gt;=21,"Night",D28&gt;=17,"Evening",D28&gt;=12,"Midday",D28&gt;=6,"Morning", TRUE, "Night")</f>
        <v>Night</v>
      </c>
      <c r="F28" s="28">
        <v>1</v>
      </c>
      <c r="G28" s="28">
        <v>0</v>
      </c>
      <c r="H28" s="28">
        <v>1</v>
      </c>
      <c r="I28" s="28">
        <v>0</v>
      </c>
      <c r="J28" s="40" t="str">
        <f t="shared" si="4"/>
        <v>Weekday</v>
      </c>
      <c r="K28" s="28" t="b">
        <v>0</v>
      </c>
      <c r="L28" s="28">
        <v>2</v>
      </c>
      <c r="M28" s="40" t="str" cm="1">
        <f t="array" ref="M28">_xlfn.IFS(L28=1,"Clear / Partly Cloudy",L28=2,"Mist / Cloudy",L28=3,"Light Snow / Rain",L28=4,"Heavy Precipitation")</f>
        <v>Mist / Cloudy</v>
      </c>
      <c r="N28" s="28">
        <v>0.44</v>
      </c>
      <c r="O28" s="28" t="str">
        <f t="shared" si="5"/>
        <v>Mild</v>
      </c>
      <c r="P28" s="28">
        <v>0.43940000000000001</v>
      </c>
      <c r="Q28" s="38">
        <f t="shared" si="1"/>
        <v>0.43940000000000001</v>
      </c>
      <c r="R28" s="28">
        <v>0.94</v>
      </c>
      <c r="S28" s="28">
        <v>0.25369999999999998</v>
      </c>
      <c r="T28" s="40" t="str" cm="1">
        <f t="array" ref="T28">_xlfn.IFS(S28*18.6&lt;2,"Calm",S28*18.6&lt;6,"Light Breeze",S28*18.6&lt;14,"Gale",TRUE,"Extreme Storm")</f>
        <v>Light Breeze</v>
      </c>
      <c r="U28" s="28">
        <v>1</v>
      </c>
      <c r="V28" s="28">
        <v>16</v>
      </c>
      <c r="W28" s="28">
        <v>17</v>
      </c>
      <c r="X28" s="44">
        <f>AVERAGE(INDEX($W:$W,MAX(ROW($W$3),ROW()-23)):INDEX($W:$W,ROW()))</f>
        <v>40.125</v>
      </c>
      <c r="Y28" s="44">
        <f>_xlfn.STDEV.S(INDEX($W:$W,MAX(ROW($W$3),ROW()-23)):INDEX($W:$W,ROW()))</f>
        <v>34.612529146438341</v>
      </c>
      <c r="Z28" s="44">
        <f t="shared" si="2"/>
        <v>-0.66811066888995552</v>
      </c>
      <c r="AA28" s="40" t="b">
        <f t="shared" si="0"/>
        <v>0</v>
      </c>
    </row>
    <row r="29" spans="1:27" x14ac:dyDescent="0.3">
      <c r="A29" s="32">
        <v>27</v>
      </c>
      <c r="B29" s="33">
        <v>40545</v>
      </c>
      <c r="C29" s="40" t="str">
        <f t="shared" si="3"/>
        <v>Sunday</v>
      </c>
      <c r="D29" s="28">
        <v>2</v>
      </c>
      <c r="E29" s="40" t="str" cm="1">
        <f t="array" ref="E29">_xlfn.IFS(D29&gt;=21,"Night",D29&gt;=17,"Evening",D29&gt;=12,"Midday",D29&gt;=6,"Morning", TRUE, "Night")</f>
        <v>Night</v>
      </c>
      <c r="F29" s="28">
        <v>1</v>
      </c>
      <c r="G29" s="28">
        <v>0</v>
      </c>
      <c r="H29" s="28">
        <v>1</v>
      </c>
      <c r="I29" s="28">
        <v>0</v>
      </c>
      <c r="J29" s="40" t="str">
        <f t="shared" si="4"/>
        <v>Weekday</v>
      </c>
      <c r="K29" s="28" t="b">
        <v>0</v>
      </c>
      <c r="L29" s="28">
        <v>2</v>
      </c>
      <c r="M29" s="40" t="str" cm="1">
        <f t="array" ref="M29">_xlfn.IFS(L29=1,"Clear / Partly Cloudy",L29=2,"Mist / Cloudy",L29=3,"Light Snow / Rain",L29=4,"Heavy Precipitation")</f>
        <v>Mist / Cloudy</v>
      </c>
      <c r="N29" s="28">
        <v>0.42</v>
      </c>
      <c r="O29" s="28" t="str">
        <f t="shared" si="5"/>
        <v>Mild</v>
      </c>
      <c r="P29" s="28">
        <v>0.42420000000000002</v>
      </c>
      <c r="Q29" s="38">
        <f t="shared" si="1"/>
        <v>0.42420000000000002</v>
      </c>
      <c r="R29" s="28">
        <v>1</v>
      </c>
      <c r="S29" s="28">
        <v>0.28360000000000002</v>
      </c>
      <c r="T29" s="40" t="str" cm="1">
        <f t="array" ref="T29">_xlfn.IFS(S29*18.6&lt;2,"Calm",S29*18.6&lt;6,"Light Breeze",S29*18.6&lt;14,"Gale",TRUE,"Extreme Storm")</f>
        <v>Light Breeze</v>
      </c>
      <c r="U29" s="28">
        <v>1</v>
      </c>
      <c r="V29" s="28">
        <v>8</v>
      </c>
      <c r="W29" s="28">
        <v>9</v>
      </c>
      <c r="X29" s="44">
        <f>AVERAGE(INDEX($W:$W,MAX(ROW($W$3),ROW()-23)):INDEX($W:$W,ROW()))</f>
        <v>39.166666666666664</v>
      </c>
      <c r="Y29" s="44">
        <f>_xlfn.STDEV.S(INDEX($W:$W,MAX(ROW($W$3),ROW()-23)):INDEX($W:$W,ROW()))</f>
        <v>35.161325921809464</v>
      </c>
      <c r="Z29" s="44">
        <f t="shared" si="2"/>
        <v>-0.857950201700307</v>
      </c>
      <c r="AA29" s="40" t="b">
        <f t="shared" si="0"/>
        <v>0</v>
      </c>
    </row>
    <row r="30" spans="1:27" x14ac:dyDescent="0.3">
      <c r="A30" s="32">
        <v>28</v>
      </c>
      <c r="B30" s="33">
        <v>40545</v>
      </c>
      <c r="C30" s="40" t="str">
        <f t="shared" si="3"/>
        <v>Sunday</v>
      </c>
      <c r="D30" s="28">
        <v>3</v>
      </c>
      <c r="E30" s="40" t="str" cm="1">
        <f t="array" ref="E30">_xlfn.IFS(D30&gt;=21,"Night",D30&gt;=17,"Evening",D30&gt;=12,"Midday",D30&gt;=6,"Morning", TRUE, "Night")</f>
        <v>Night</v>
      </c>
      <c r="F30" s="28">
        <v>1</v>
      </c>
      <c r="G30" s="28">
        <v>0</v>
      </c>
      <c r="H30" s="28">
        <v>1</v>
      </c>
      <c r="I30" s="28">
        <v>0</v>
      </c>
      <c r="J30" s="40" t="str">
        <f t="shared" si="4"/>
        <v>Weekday</v>
      </c>
      <c r="K30" s="28" t="b">
        <v>0</v>
      </c>
      <c r="L30" s="28">
        <v>2</v>
      </c>
      <c r="M30" s="40" t="str" cm="1">
        <f t="array" ref="M30">_xlfn.IFS(L30=1,"Clear / Partly Cloudy",L30=2,"Mist / Cloudy",L30=3,"Light Snow / Rain",L30=4,"Heavy Precipitation")</f>
        <v>Mist / Cloudy</v>
      </c>
      <c r="N30" s="28">
        <v>0.46</v>
      </c>
      <c r="O30" s="28" t="str">
        <f t="shared" si="5"/>
        <v>Mild</v>
      </c>
      <c r="P30" s="28">
        <v>0.45450000000000002</v>
      </c>
      <c r="Q30" s="38">
        <f t="shared" si="1"/>
        <v>0.45450000000000002</v>
      </c>
      <c r="R30" s="28">
        <v>0.94</v>
      </c>
      <c r="S30" s="28">
        <v>0.19400000000000001</v>
      </c>
      <c r="T30" s="40" t="str" cm="1">
        <f t="array" ref="T30">_xlfn.IFS(S30*18.6&lt;2,"Calm",S30*18.6&lt;6,"Light Breeze",S30*18.6&lt;14,"Gale",TRUE,"Extreme Storm")</f>
        <v>Light Breeze</v>
      </c>
      <c r="U30" s="28">
        <v>2</v>
      </c>
      <c r="V30" s="28">
        <v>4</v>
      </c>
      <c r="W30" s="28">
        <v>6</v>
      </c>
      <c r="X30" s="44">
        <f>AVERAGE(INDEX($W:$W,MAX(ROW($W$3),ROW()-23)):INDEX($W:$W,ROW()))</f>
        <v>38.875</v>
      </c>
      <c r="Y30" s="44">
        <f>_xlfn.STDEV.S(INDEX($W:$W,MAX(ROW($W$3),ROW()-23)):INDEX($W:$W,ROW()))</f>
        <v>35.415929233584436</v>
      </c>
      <c r="Z30" s="44">
        <f t="shared" si="2"/>
        <v>-0.92825462190118369</v>
      </c>
      <c r="AA30" s="40" t="b">
        <f t="shared" si="0"/>
        <v>0</v>
      </c>
    </row>
    <row r="31" spans="1:27" ht="22.8" x14ac:dyDescent="0.3">
      <c r="A31" s="32">
        <v>29</v>
      </c>
      <c r="B31" s="33">
        <v>40545</v>
      </c>
      <c r="C31" s="40" t="str">
        <f t="shared" si="3"/>
        <v>Sunday</v>
      </c>
      <c r="D31" s="28">
        <v>4</v>
      </c>
      <c r="E31" s="40" t="str" cm="1">
        <f t="array" ref="E31">_xlfn.IFS(D31&gt;=21,"Night",D31&gt;=17,"Evening",D31&gt;=12,"Midday",D31&gt;=6,"Morning", TRUE, "Night")</f>
        <v>Night</v>
      </c>
      <c r="F31" s="28">
        <v>1</v>
      </c>
      <c r="G31" s="28">
        <v>0</v>
      </c>
      <c r="H31" s="28">
        <v>1</v>
      </c>
      <c r="I31" s="28">
        <v>0</v>
      </c>
      <c r="J31" s="40" t="str">
        <f t="shared" si="4"/>
        <v>Weekday</v>
      </c>
      <c r="K31" s="28" t="b">
        <v>0</v>
      </c>
      <c r="L31" s="28">
        <v>2</v>
      </c>
      <c r="M31" s="40" t="str" cm="1">
        <f t="array" ref="M31">_xlfn.IFS(L31=1,"Clear / Partly Cloudy",L31=2,"Mist / Cloudy",L31=3,"Light Snow / Rain",L31=4,"Heavy Precipitation")</f>
        <v>Mist / Cloudy</v>
      </c>
      <c r="N31" s="28">
        <v>0.46</v>
      </c>
      <c r="O31" s="28" t="str">
        <f t="shared" si="5"/>
        <v>Mild</v>
      </c>
      <c r="P31" s="48">
        <v>9.7317697581099386E-2</v>
      </c>
      <c r="Q31" s="47">
        <f t="shared" si="1"/>
        <v>9.7317697581099386E-2</v>
      </c>
      <c r="R31" s="28">
        <v>0.94</v>
      </c>
      <c r="S31" s="28">
        <v>0.19400000000000001</v>
      </c>
      <c r="T31" s="40" t="str" cm="1">
        <f t="array" ref="T31">_xlfn.IFS(S31*18.6&lt;2,"Calm",S31*18.6&lt;6,"Light Breeze",S31*18.6&lt;14,"Gale",TRUE,"Extreme Storm")</f>
        <v>Light Breeze</v>
      </c>
      <c r="U31" s="28">
        <v>2</v>
      </c>
      <c r="V31" s="28">
        <v>1</v>
      </c>
      <c r="W31" s="28">
        <v>3</v>
      </c>
      <c r="X31" s="44">
        <f>AVERAGE(INDEX($W:$W,MAX(ROW($W$3),ROW()-23)):INDEX($W:$W,ROW()))</f>
        <v>38.958333333333336</v>
      </c>
      <c r="Y31" s="44">
        <f>_xlfn.STDEV.S(INDEX($W:$W,MAX(ROW($W$3),ROW()-23)):INDEX($W:$W,ROW()))</f>
        <v>35.325171671531741</v>
      </c>
      <c r="Z31" s="44">
        <f t="shared" si="2"/>
        <v>-1.017923809902157</v>
      </c>
      <c r="AA31" s="40" t="b">
        <f t="shared" si="0"/>
        <v>0</v>
      </c>
    </row>
    <row r="32" spans="1:27" x14ac:dyDescent="0.3">
      <c r="A32" s="32">
        <v>30</v>
      </c>
      <c r="B32" s="33">
        <v>40545</v>
      </c>
      <c r="C32" s="40" t="str">
        <f t="shared" si="3"/>
        <v>Sunday</v>
      </c>
      <c r="D32" s="28">
        <v>6</v>
      </c>
      <c r="E32" s="40" t="str" cm="1">
        <f t="array" ref="E32">_xlfn.IFS(D32&gt;=21,"Night",D32&gt;=17,"Evening",D32&gt;=12,"Midday",D32&gt;=6,"Morning", TRUE, "Night")</f>
        <v>Morning</v>
      </c>
      <c r="F32" s="28">
        <v>1</v>
      </c>
      <c r="G32" s="28">
        <v>0</v>
      </c>
      <c r="H32" s="28">
        <v>1</v>
      </c>
      <c r="I32" s="28">
        <v>0</v>
      </c>
      <c r="J32" s="40" t="str">
        <f t="shared" si="4"/>
        <v>Weekday</v>
      </c>
      <c r="K32" s="28" t="b">
        <v>0</v>
      </c>
      <c r="L32" s="28">
        <v>3</v>
      </c>
      <c r="M32" s="40" t="str" cm="1">
        <f t="array" ref="M32">_xlfn.IFS(L32=1,"Clear / Partly Cloudy",L32=2,"Mist / Cloudy",L32=3,"Light Snow / Rain",L32=4,"Heavy Precipitation")</f>
        <v>Light Snow / Rain</v>
      </c>
      <c r="N32" s="28">
        <v>0.42</v>
      </c>
      <c r="O32" s="28" t="str">
        <f t="shared" si="5"/>
        <v>Mild</v>
      </c>
      <c r="P32" s="28">
        <v>0.42420000000000002</v>
      </c>
      <c r="Q32" s="38">
        <f t="shared" si="1"/>
        <v>0.42420000000000002</v>
      </c>
      <c r="R32" s="28">
        <v>0.77</v>
      </c>
      <c r="S32" s="28">
        <v>0.29849999999999999</v>
      </c>
      <c r="T32" s="40" t="str" cm="1">
        <f t="array" ref="T32">_xlfn.IFS(S32*18.6&lt;2,"Calm",S32*18.6&lt;6,"Light Breeze",S32*18.6&lt;14,"Gale",TRUE,"Extreme Storm")</f>
        <v>Light Breeze</v>
      </c>
      <c r="U32" s="28">
        <v>0</v>
      </c>
      <c r="V32" s="28">
        <v>2</v>
      </c>
      <c r="W32" s="28">
        <v>2</v>
      </c>
      <c r="X32" s="44">
        <f>AVERAGE(INDEX($W:$W,MAX(ROW($W$3),ROW()-23)):INDEX($W:$W,ROW()))</f>
        <v>39</v>
      </c>
      <c r="Y32" s="44">
        <f>_xlfn.STDEV.S(INDEX($W:$W,MAX(ROW($W$3),ROW()-23)):INDEX($W:$W,ROW()))</f>
        <v>35.279012112758686</v>
      </c>
      <c r="Z32" s="44">
        <f t="shared" si="2"/>
        <v>-1.0487822017731308</v>
      </c>
      <c r="AA32" s="40" t="b">
        <f t="shared" si="0"/>
        <v>0</v>
      </c>
    </row>
    <row r="33" spans="1:27" x14ac:dyDescent="0.3">
      <c r="A33" s="32">
        <v>31</v>
      </c>
      <c r="B33" s="33">
        <v>40545</v>
      </c>
      <c r="C33" s="40" t="str">
        <f t="shared" si="3"/>
        <v>Sunday</v>
      </c>
      <c r="D33" s="28">
        <v>7</v>
      </c>
      <c r="E33" s="40" t="str" cm="1">
        <f t="array" ref="E33">_xlfn.IFS(D33&gt;=21,"Night",D33&gt;=17,"Evening",D33&gt;=12,"Midday",D33&gt;=6,"Morning", TRUE, "Night")</f>
        <v>Morning</v>
      </c>
      <c r="F33" s="28">
        <v>1</v>
      </c>
      <c r="G33" s="28">
        <v>0</v>
      </c>
      <c r="H33" s="28">
        <v>1</v>
      </c>
      <c r="I33" s="28">
        <v>0</v>
      </c>
      <c r="J33" s="40" t="str">
        <f t="shared" si="4"/>
        <v>Weekday</v>
      </c>
      <c r="K33" s="28" t="b">
        <v>0</v>
      </c>
      <c r="L33" s="28">
        <v>2</v>
      </c>
      <c r="M33" s="40" t="str" cm="1">
        <f t="array" ref="M33">_xlfn.IFS(L33=1,"Clear / Partly Cloudy",L33=2,"Mist / Cloudy",L33=3,"Light Snow / Rain",L33=4,"Heavy Precipitation")</f>
        <v>Mist / Cloudy</v>
      </c>
      <c r="N33" s="28">
        <v>0.4</v>
      </c>
      <c r="O33" s="28" t="str">
        <f t="shared" si="5"/>
        <v>Mild</v>
      </c>
      <c r="P33" s="28">
        <v>0.40910000000000002</v>
      </c>
      <c r="Q33" s="38">
        <f t="shared" si="1"/>
        <v>0.40910000000000002</v>
      </c>
      <c r="R33" s="28">
        <v>0.76</v>
      </c>
      <c r="S33" s="28">
        <v>0.19400000000000001</v>
      </c>
      <c r="T33" s="40" t="str" cm="1">
        <f t="array" ref="T33">_xlfn.IFS(S33*18.6&lt;2,"Calm",S33*18.6&lt;6,"Light Breeze",S33*18.6&lt;14,"Gale",TRUE,"Extreme Storm")</f>
        <v>Light Breeze</v>
      </c>
      <c r="U33" s="28">
        <v>0</v>
      </c>
      <c r="V33" s="28">
        <v>1</v>
      </c>
      <c r="W33" s="28">
        <v>1</v>
      </c>
      <c r="X33" s="44">
        <f>AVERAGE(INDEX($W:$W,MAX(ROW($W$3),ROW()-23)):INDEX($W:$W,ROW()))</f>
        <v>38.958333333333336</v>
      </c>
      <c r="Y33" s="44">
        <f>_xlfn.STDEV.S(INDEX($W:$W,MAX(ROW($W$3),ROW()-23)):INDEX($W:$W,ROW()))</f>
        <v>35.325171671531741</v>
      </c>
      <c r="Z33" s="44">
        <f t="shared" si="2"/>
        <v>-1.0745406614378505</v>
      </c>
      <c r="AA33" s="40" t="b">
        <f t="shared" si="0"/>
        <v>0</v>
      </c>
    </row>
    <row r="34" spans="1:27" x14ac:dyDescent="0.3">
      <c r="A34" s="32">
        <v>32</v>
      </c>
      <c r="B34" s="33">
        <v>40545</v>
      </c>
      <c r="C34" s="40" t="str">
        <f t="shared" si="3"/>
        <v>Sunday</v>
      </c>
      <c r="D34" s="28">
        <v>8</v>
      </c>
      <c r="E34" s="40" t="str" cm="1">
        <f t="array" ref="E34">_xlfn.IFS(D34&gt;=21,"Night",D34&gt;=17,"Evening",D34&gt;=12,"Midday",D34&gt;=6,"Morning", TRUE, "Night")</f>
        <v>Morning</v>
      </c>
      <c r="F34" s="28">
        <v>1</v>
      </c>
      <c r="G34" s="28">
        <v>0</v>
      </c>
      <c r="H34" s="28">
        <v>1</v>
      </c>
      <c r="I34" s="28">
        <v>0</v>
      </c>
      <c r="J34" s="40" t="str">
        <f t="shared" si="4"/>
        <v>Weekday</v>
      </c>
      <c r="K34" s="28" t="b">
        <v>0</v>
      </c>
      <c r="L34" s="28">
        <v>3</v>
      </c>
      <c r="M34" s="40" t="str" cm="1">
        <f t="array" ref="M34">_xlfn.IFS(L34=1,"Clear / Partly Cloudy",L34=2,"Mist / Cloudy",L34=3,"Light Snow / Rain",L34=4,"Heavy Precipitation")</f>
        <v>Light Snow / Rain</v>
      </c>
      <c r="N34" s="28">
        <v>0.4</v>
      </c>
      <c r="O34" s="28" t="str">
        <f t="shared" si="5"/>
        <v>Mild</v>
      </c>
      <c r="P34" s="28">
        <v>0.40910000000000002</v>
      </c>
      <c r="Q34" s="38">
        <f t="shared" si="1"/>
        <v>0.40910000000000002</v>
      </c>
      <c r="R34" s="28">
        <v>0.71</v>
      </c>
      <c r="S34" s="28">
        <v>0.22389999999999999</v>
      </c>
      <c r="T34" s="40" t="str" cm="1">
        <f t="array" ref="T34">_xlfn.IFS(S34*18.6&lt;2,"Calm",S34*18.6&lt;6,"Light Breeze",S34*18.6&lt;14,"Gale",TRUE,"Extreme Storm")</f>
        <v>Light Breeze</v>
      </c>
      <c r="U34" s="28">
        <v>0</v>
      </c>
      <c r="V34" s="28">
        <v>8</v>
      </c>
      <c r="W34" s="28">
        <v>8</v>
      </c>
      <c r="X34" s="44">
        <f>AVERAGE(INDEX($W:$W,MAX(ROW($W$3),ROW()-23)):INDEX($W:$W,ROW()))</f>
        <v>39.166666666666664</v>
      </c>
      <c r="Y34" s="44">
        <f>_xlfn.STDEV.S(INDEX($W:$W,MAX(ROW($W$3),ROW()-23)):INDEX($W:$W,ROW()))</f>
        <v>35.118020478364677</v>
      </c>
      <c r="Z34" s="44">
        <f t="shared" si="2"/>
        <v>-0.88748358370220948</v>
      </c>
      <c r="AA34" s="40" t="b">
        <f t="shared" si="0"/>
        <v>0</v>
      </c>
    </row>
    <row r="35" spans="1:27" ht="22.8" x14ac:dyDescent="0.3">
      <c r="A35" s="32">
        <v>33</v>
      </c>
      <c r="B35" s="33">
        <v>40545</v>
      </c>
      <c r="C35" s="40" t="str">
        <f t="shared" si="3"/>
        <v>Sunday</v>
      </c>
      <c r="D35" s="28">
        <v>9</v>
      </c>
      <c r="E35" s="40" t="str" cm="1">
        <f t="array" ref="E35">_xlfn.IFS(D35&gt;=21,"Night",D35&gt;=17,"Evening",D35&gt;=12,"Midday",D35&gt;=6,"Morning", TRUE, "Night")</f>
        <v>Morning</v>
      </c>
      <c r="F35" s="28">
        <v>1</v>
      </c>
      <c r="G35" s="28">
        <v>0</v>
      </c>
      <c r="H35" s="28">
        <v>1</v>
      </c>
      <c r="I35" s="28">
        <v>0</v>
      </c>
      <c r="J35" s="40" t="str">
        <f t="shared" si="4"/>
        <v>Weekday</v>
      </c>
      <c r="K35" s="28" t="b">
        <v>0</v>
      </c>
      <c r="L35" s="28">
        <v>2</v>
      </c>
      <c r="M35" s="40" t="str" cm="1">
        <f t="array" ref="M35">_xlfn.IFS(L35=1,"Clear / Partly Cloudy",L35=2,"Mist / Cloudy",L35=3,"Light Snow / Rain",L35=4,"Heavy Precipitation")</f>
        <v>Mist / Cloudy</v>
      </c>
      <c r="N35" s="28">
        <v>0.38</v>
      </c>
      <c r="O35" s="28" t="str">
        <f t="shared" si="5"/>
        <v>Mild</v>
      </c>
      <c r="P35" s="48">
        <v>8.0349162427664086E-2</v>
      </c>
      <c r="Q35" s="47">
        <f t="shared" si="1"/>
        <v>8.0349162427664086E-2</v>
      </c>
      <c r="R35" s="28">
        <v>0.76</v>
      </c>
      <c r="S35" s="28">
        <v>0.22389999999999999</v>
      </c>
      <c r="T35" s="40" t="str" cm="1">
        <f t="array" ref="T35">_xlfn.IFS(S35*18.6&lt;2,"Calm",S35*18.6&lt;6,"Light Breeze",S35*18.6&lt;14,"Gale",TRUE,"Extreme Storm")</f>
        <v>Light Breeze</v>
      </c>
      <c r="U35" s="28">
        <v>1</v>
      </c>
      <c r="V35" s="28">
        <v>19</v>
      </c>
      <c r="W35" s="28">
        <v>20</v>
      </c>
      <c r="X35" s="44">
        <f>AVERAGE(INDEX($W:$W,MAX(ROW($W$3),ROW()-23)):INDEX($W:$W,ROW()))</f>
        <v>39.666666666666664</v>
      </c>
      <c r="Y35" s="44">
        <f>_xlfn.STDEV.S(INDEX($W:$W,MAX(ROW($W$3),ROW()-23)):INDEX($W:$W,ROW()))</f>
        <v>34.738359535078885</v>
      </c>
      <c r="Z35" s="44">
        <f t="shared" si="2"/>
        <v>-0.56613688527252459</v>
      </c>
      <c r="AA35" s="40" t="b">
        <f t="shared" si="0"/>
        <v>0</v>
      </c>
    </row>
    <row r="36" spans="1:27" x14ac:dyDescent="0.3">
      <c r="A36" s="32">
        <v>34</v>
      </c>
      <c r="B36" s="33">
        <v>40545</v>
      </c>
      <c r="C36" s="40" t="str">
        <f t="shared" si="3"/>
        <v>Sunday</v>
      </c>
      <c r="D36" s="28">
        <v>10</v>
      </c>
      <c r="E36" s="40" t="str" cm="1">
        <f t="array" ref="E36">_xlfn.IFS(D36&gt;=21,"Night",D36&gt;=17,"Evening",D36&gt;=12,"Midday",D36&gt;=6,"Morning", TRUE, "Night")</f>
        <v>Morning</v>
      </c>
      <c r="F36" s="28">
        <v>1</v>
      </c>
      <c r="G36" s="28">
        <v>0</v>
      </c>
      <c r="H36" s="28">
        <v>1</v>
      </c>
      <c r="I36" s="28">
        <v>0</v>
      </c>
      <c r="J36" s="40" t="str">
        <f t="shared" si="4"/>
        <v>Weekday</v>
      </c>
      <c r="K36" s="28" t="b">
        <v>0</v>
      </c>
      <c r="L36" s="28">
        <v>2</v>
      </c>
      <c r="M36" s="40" t="str" cm="1">
        <f t="array" ref="M36">_xlfn.IFS(L36=1,"Clear / Partly Cloudy",L36=2,"Mist / Cloudy",L36=3,"Light Snow / Rain",L36=4,"Heavy Precipitation")</f>
        <v>Mist / Cloudy</v>
      </c>
      <c r="N36" s="28">
        <v>0.36</v>
      </c>
      <c r="O36" s="28" t="str">
        <f t="shared" si="5"/>
        <v>Mild</v>
      </c>
      <c r="P36" s="28">
        <v>0.34849999999999998</v>
      </c>
      <c r="Q36" s="38">
        <f t="shared" si="1"/>
        <v>0.34849999999999998</v>
      </c>
      <c r="R36" s="28">
        <v>0.81</v>
      </c>
      <c r="S36" s="28">
        <v>0.22389999999999999</v>
      </c>
      <c r="T36" s="40" t="str" cm="1">
        <f t="array" ref="T36">_xlfn.IFS(S36*18.6&lt;2,"Calm",S36*18.6&lt;6,"Light Breeze",S36*18.6&lt;14,"Gale",TRUE,"Extreme Storm")</f>
        <v>Light Breeze</v>
      </c>
      <c r="U36" s="28">
        <v>7</v>
      </c>
      <c r="V36" s="28">
        <v>46</v>
      </c>
      <c r="W36" s="28">
        <v>53</v>
      </c>
      <c r="X36" s="44">
        <f>AVERAGE(INDEX($W:$W,MAX(ROW($W$3),ROW()-23)):INDEX($W:$W,ROW()))</f>
        <v>41.291666666666664</v>
      </c>
      <c r="Y36" s="44">
        <f>_xlfn.STDEV.S(INDEX($W:$W,MAX(ROW($W$3),ROW()-23)):INDEX($W:$W,ROW()))</f>
        <v>34.396004781479142</v>
      </c>
      <c r="Z36" s="44">
        <f t="shared" si="2"/>
        <v>0.34039806098753073</v>
      </c>
      <c r="AA36" s="40" t="b">
        <f t="shared" si="0"/>
        <v>0</v>
      </c>
    </row>
    <row r="37" spans="1:27" x14ac:dyDescent="0.3">
      <c r="A37" s="32">
        <v>35</v>
      </c>
      <c r="B37" s="33">
        <v>40545</v>
      </c>
      <c r="C37" s="40" t="str">
        <f t="shared" si="3"/>
        <v>Sunday</v>
      </c>
      <c r="D37" s="28">
        <v>11</v>
      </c>
      <c r="E37" s="40" t="str" cm="1">
        <f t="array" ref="E37">_xlfn.IFS(D37&gt;=21,"Night",D37&gt;=17,"Evening",D37&gt;=12,"Midday",D37&gt;=6,"Morning", TRUE, "Night")</f>
        <v>Morning</v>
      </c>
      <c r="F37" s="28">
        <v>1</v>
      </c>
      <c r="G37" s="28">
        <v>0</v>
      </c>
      <c r="H37" s="28">
        <v>1</v>
      </c>
      <c r="I37" s="28">
        <v>0</v>
      </c>
      <c r="J37" s="40" t="str">
        <f t="shared" si="4"/>
        <v>Weekday</v>
      </c>
      <c r="K37" s="28" t="b">
        <v>0</v>
      </c>
      <c r="L37" s="28">
        <v>2</v>
      </c>
      <c r="M37" s="40" t="str" cm="1">
        <f t="array" ref="M37">_xlfn.IFS(L37=1,"Clear / Partly Cloudy",L37=2,"Mist / Cloudy",L37=3,"Light Snow / Rain",L37=4,"Heavy Precipitation")</f>
        <v>Mist / Cloudy</v>
      </c>
      <c r="N37" s="28">
        <v>0.36</v>
      </c>
      <c r="O37" s="28" t="str">
        <f t="shared" si="5"/>
        <v>Mild</v>
      </c>
      <c r="P37" s="28">
        <v>0.33329999999999999</v>
      </c>
      <c r="Q37" s="38">
        <f t="shared" si="1"/>
        <v>0.33329999999999999</v>
      </c>
      <c r="R37" s="28">
        <v>0.71</v>
      </c>
      <c r="S37" s="28">
        <v>0.25369999999999998</v>
      </c>
      <c r="T37" s="40" t="str" cm="1">
        <f t="array" ref="T37">_xlfn.IFS(S37*18.6&lt;2,"Calm",S37*18.6&lt;6,"Light Breeze",S37*18.6&lt;14,"Gale",TRUE,"Extreme Storm")</f>
        <v>Light Breeze</v>
      </c>
      <c r="U37" s="28">
        <v>16</v>
      </c>
      <c r="V37" s="28">
        <v>54</v>
      </c>
      <c r="W37" s="28">
        <v>70</v>
      </c>
      <c r="X37" s="44">
        <f>AVERAGE(INDEX($W:$W,MAX(ROW($W$3),ROW()-23)):INDEX($W:$W,ROW()))</f>
        <v>42.708333333333336</v>
      </c>
      <c r="Y37" s="44">
        <f>_xlfn.STDEV.S(INDEX($W:$W,MAX(ROW($W$3),ROW()-23)):INDEX($W:$W,ROW()))</f>
        <v>34.865554406290045</v>
      </c>
      <c r="Z37" s="44">
        <f t="shared" si="2"/>
        <v>0.78276875648198541</v>
      </c>
      <c r="AA37" s="40" t="b">
        <f t="shared" si="0"/>
        <v>0</v>
      </c>
    </row>
    <row r="38" spans="1:27" x14ac:dyDescent="0.3">
      <c r="A38" s="32">
        <v>36</v>
      </c>
      <c r="B38" s="33">
        <v>40545</v>
      </c>
      <c r="C38" s="40" t="str">
        <f t="shared" si="3"/>
        <v>Sunday</v>
      </c>
      <c r="D38" s="28">
        <v>12</v>
      </c>
      <c r="E38" s="40" t="str" cm="1">
        <f t="array" ref="E38">_xlfn.IFS(D38&gt;=21,"Night",D38&gt;=17,"Evening",D38&gt;=12,"Midday",D38&gt;=6,"Morning", TRUE, "Night")</f>
        <v>Midday</v>
      </c>
      <c r="F38" s="28">
        <v>1</v>
      </c>
      <c r="G38" s="28">
        <v>0</v>
      </c>
      <c r="H38" s="28">
        <v>1</v>
      </c>
      <c r="I38" s="28">
        <v>0</v>
      </c>
      <c r="J38" s="40" t="str">
        <f t="shared" si="4"/>
        <v>Weekday</v>
      </c>
      <c r="K38" s="28" t="b">
        <v>0</v>
      </c>
      <c r="L38" s="28">
        <v>2</v>
      </c>
      <c r="M38" s="40" t="str" cm="1">
        <f t="array" ref="M38">_xlfn.IFS(L38=1,"Clear / Partly Cloudy",L38=2,"Mist / Cloudy",L38=3,"Light Snow / Rain",L38=4,"Heavy Precipitation")</f>
        <v>Mist / Cloudy</v>
      </c>
      <c r="N38" s="28">
        <v>0.36</v>
      </c>
      <c r="O38" s="28" t="str">
        <f t="shared" si="5"/>
        <v>Mild</v>
      </c>
      <c r="P38" s="28">
        <v>0.33329999999999999</v>
      </c>
      <c r="Q38" s="38">
        <f t="shared" si="1"/>
        <v>0.33329999999999999</v>
      </c>
      <c r="R38" s="28">
        <v>0.66</v>
      </c>
      <c r="S38" s="28">
        <v>0.29849999999999999</v>
      </c>
      <c r="T38" s="40" t="str" cm="1">
        <f t="array" ref="T38">_xlfn.IFS(S38*18.6&lt;2,"Calm",S38*18.6&lt;6,"Light Breeze",S38*18.6&lt;14,"Gale",TRUE,"Extreme Storm")</f>
        <v>Light Breeze</v>
      </c>
      <c r="U38" s="28">
        <v>20</v>
      </c>
      <c r="V38" s="28">
        <v>73</v>
      </c>
      <c r="W38" s="28">
        <v>93</v>
      </c>
      <c r="X38" s="44">
        <f>AVERAGE(INDEX($W:$W,MAX(ROW($W$3),ROW()-23)):INDEX($W:$W,ROW()))</f>
        <v>44.25</v>
      </c>
      <c r="Y38" s="44">
        <f>_xlfn.STDEV.S(INDEX($W:$W,MAX(ROW($W$3),ROW()-23)):INDEX($W:$W,ROW()))</f>
        <v>36.26862340202976</v>
      </c>
      <c r="Z38" s="44">
        <f t="shared" si="2"/>
        <v>1.3441370371193002</v>
      </c>
      <c r="AA38" s="40" t="b">
        <f t="shared" si="0"/>
        <v>0</v>
      </c>
    </row>
    <row r="39" spans="1:27" x14ac:dyDescent="0.3">
      <c r="A39" s="32">
        <v>37</v>
      </c>
      <c r="B39" s="33">
        <v>40545</v>
      </c>
      <c r="C39" s="40" t="str">
        <f t="shared" si="3"/>
        <v>Sunday</v>
      </c>
      <c r="D39" s="28">
        <v>13</v>
      </c>
      <c r="E39" s="40" t="str" cm="1">
        <f t="array" ref="E39">_xlfn.IFS(D39&gt;=21,"Night",D39&gt;=17,"Evening",D39&gt;=12,"Midday",D39&gt;=6,"Morning", TRUE, "Night")</f>
        <v>Midday</v>
      </c>
      <c r="F39" s="28">
        <v>1</v>
      </c>
      <c r="G39" s="28">
        <v>0</v>
      </c>
      <c r="H39" s="28">
        <v>1</v>
      </c>
      <c r="I39" s="28">
        <v>0</v>
      </c>
      <c r="J39" s="40" t="str">
        <f t="shared" si="4"/>
        <v>Weekday</v>
      </c>
      <c r="K39" s="28" t="b">
        <v>0</v>
      </c>
      <c r="L39" s="28">
        <v>2</v>
      </c>
      <c r="M39" s="40" t="str" cm="1">
        <f t="array" ref="M39">_xlfn.IFS(L39=1,"Clear / Partly Cloudy",L39=2,"Mist / Cloudy",L39=3,"Light Snow / Rain",L39=4,"Heavy Precipitation")</f>
        <v>Mist / Cloudy</v>
      </c>
      <c r="N39" s="28">
        <v>0.36</v>
      </c>
      <c r="O39" s="28" t="str">
        <f t="shared" si="5"/>
        <v>Mild</v>
      </c>
      <c r="P39" s="28">
        <v>0.34849999999999998</v>
      </c>
      <c r="Q39" s="38">
        <f t="shared" si="1"/>
        <v>0.34849999999999998</v>
      </c>
      <c r="R39" s="28">
        <v>0.66</v>
      </c>
      <c r="S39" s="28">
        <v>0.1343</v>
      </c>
      <c r="T39" s="40" t="str" cm="1">
        <f t="array" ref="T39">_xlfn.IFS(S39*18.6&lt;2,"Calm",S39*18.6&lt;6,"Light Breeze",S39*18.6&lt;14,"Gale",TRUE,"Extreme Storm")</f>
        <v>Light Breeze</v>
      </c>
      <c r="U39" s="28">
        <v>11</v>
      </c>
      <c r="V39" s="28">
        <v>64</v>
      </c>
      <c r="W39" s="28">
        <v>75</v>
      </c>
      <c r="X39" s="44">
        <f>AVERAGE(INDEX($W:$W,MAX(ROW($W$3),ROW()-23)):INDEX($W:$W,ROW()))</f>
        <v>43.875</v>
      </c>
      <c r="Y39" s="44">
        <f>_xlfn.STDEV.S(INDEX($W:$W,MAX(ROW($W$3),ROW()-23)):INDEX($W:$W,ROW()))</f>
        <v>35.884249300021409</v>
      </c>
      <c r="Z39" s="44">
        <f t="shared" si="2"/>
        <v>0.8673721927347503</v>
      </c>
      <c r="AA39" s="40" t="b">
        <f t="shared" si="0"/>
        <v>0</v>
      </c>
    </row>
    <row r="40" spans="1:27" ht="22.8" x14ac:dyDescent="0.3">
      <c r="A40" s="32">
        <v>38</v>
      </c>
      <c r="B40" s="33">
        <v>40545</v>
      </c>
      <c r="C40" s="40" t="str">
        <f t="shared" si="3"/>
        <v>Sunday</v>
      </c>
      <c r="D40" s="28">
        <v>14</v>
      </c>
      <c r="E40" s="40" t="str" cm="1">
        <f t="array" ref="E40">_xlfn.IFS(D40&gt;=21,"Night",D40&gt;=17,"Evening",D40&gt;=12,"Midday",D40&gt;=6,"Morning", TRUE, "Night")</f>
        <v>Midday</v>
      </c>
      <c r="F40" s="28">
        <v>1</v>
      </c>
      <c r="G40" s="28">
        <v>0</v>
      </c>
      <c r="H40" s="28">
        <v>1</v>
      </c>
      <c r="I40" s="28">
        <v>0</v>
      </c>
      <c r="J40" s="40" t="str">
        <f t="shared" si="4"/>
        <v>Weekday</v>
      </c>
      <c r="K40" s="28" t="b">
        <v>0</v>
      </c>
      <c r="L40" s="28">
        <v>3</v>
      </c>
      <c r="M40" s="40" t="str" cm="1">
        <f t="array" ref="M40">_xlfn.IFS(L40=1,"Clear / Partly Cloudy",L40=2,"Mist / Cloudy",L40=3,"Light Snow / Rain",L40=4,"Heavy Precipitation")</f>
        <v>Light Snow / Rain</v>
      </c>
      <c r="N40" s="28">
        <v>0.36</v>
      </c>
      <c r="O40" s="28" t="str">
        <f t="shared" si="5"/>
        <v>Mild</v>
      </c>
      <c r="P40" s="48">
        <v>7.6072779704705773E-2</v>
      </c>
      <c r="Q40" s="47">
        <f t="shared" si="1"/>
        <v>7.6072779704705773E-2</v>
      </c>
      <c r="R40" s="28">
        <v>0.76</v>
      </c>
      <c r="S40" s="28">
        <v>0.19400000000000001</v>
      </c>
      <c r="T40" s="40" t="str" cm="1">
        <f t="array" ref="T40">_xlfn.IFS(S40*18.6&lt;2,"Calm",S40*18.6&lt;6,"Light Breeze",S40*18.6&lt;14,"Gale",TRUE,"Extreme Storm")</f>
        <v>Light Breeze</v>
      </c>
      <c r="U40" s="28">
        <v>4</v>
      </c>
      <c r="V40" s="28">
        <v>55</v>
      </c>
      <c r="W40" s="28">
        <v>59</v>
      </c>
      <c r="X40" s="44">
        <f>AVERAGE(INDEX($W:$W,MAX(ROW($W$3),ROW()-23)):INDEX($W:$W,ROW()))</f>
        <v>42.416666666666664</v>
      </c>
      <c r="Y40" s="44">
        <f>_xlfn.STDEV.S(INDEX($W:$W,MAX(ROW($W$3),ROW()-23)):INDEX($W:$W,ROW()))</f>
        <v>34.440770413372967</v>
      </c>
      <c r="Z40" s="44">
        <f t="shared" si="2"/>
        <v>0.48150297261916686</v>
      </c>
      <c r="AA40" s="40" t="b">
        <f t="shared" si="0"/>
        <v>0</v>
      </c>
    </row>
    <row r="41" spans="1:27" x14ac:dyDescent="0.3">
      <c r="A41" s="32">
        <v>39</v>
      </c>
      <c r="B41" s="33">
        <v>40545</v>
      </c>
      <c r="C41" s="40" t="str">
        <f t="shared" si="3"/>
        <v>Sunday</v>
      </c>
      <c r="D41" s="28">
        <v>15</v>
      </c>
      <c r="E41" s="40" t="str" cm="1">
        <f t="array" ref="E41">_xlfn.IFS(D41&gt;=21,"Night",D41&gt;=17,"Evening",D41&gt;=12,"Midday",D41&gt;=6,"Morning", TRUE, "Night")</f>
        <v>Midday</v>
      </c>
      <c r="F41" s="28">
        <v>1</v>
      </c>
      <c r="G41" s="28">
        <v>0</v>
      </c>
      <c r="H41" s="28">
        <v>1</v>
      </c>
      <c r="I41" s="28">
        <v>0</v>
      </c>
      <c r="J41" s="40" t="str">
        <f t="shared" si="4"/>
        <v>Weekday</v>
      </c>
      <c r="K41" s="28" t="b">
        <v>0</v>
      </c>
      <c r="L41" s="28">
        <v>3</v>
      </c>
      <c r="M41" s="40" t="str" cm="1">
        <f t="array" ref="M41">_xlfn.IFS(L41=1,"Clear / Partly Cloudy",L41=2,"Mist / Cloudy",L41=3,"Light Snow / Rain",L41=4,"Heavy Precipitation")</f>
        <v>Light Snow / Rain</v>
      </c>
      <c r="N41" s="28">
        <v>0.34</v>
      </c>
      <c r="O41" s="28" t="str">
        <f t="shared" si="5"/>
        <v>Mild</v>
      </c>
      <c r="P41" s="28">
        <v>0.33329999999999999</v>
      </c>
      <c r="Q41" s="38">
        <f t="shared" si="1"/>
        <v>0.33329999999999999</v>
      </c>
      <c r="R41" s="28">
        <v>0.81</v>
      </c>
      <c r="S41" s="28">
        <v>0.16420000000000001</v>
      </c>
      <c r="T41" s="40" t="str" cm="1">
        <f t="array" ref="T41">_xlfn.IFS(S41*18.6&lt;2,"Calm",S41*18.6&lt;6,"Light Breeze",S41*18.6&lt;14,"Gale",TRUE,"Extreme Storm")</f>
        <v>Light Breeze</v>
      </c>
      <c r="U41" s="28">
        <v>19</v>
      </c>
      <c r="V41" s="28">
        <v>55</v>
      </c>
      <c r="W41" s="28">
        <v>74</v>
      </c>
      <c r="X41" s="44">
        <f>AVERAGE(INDEX($W:$W,MAX(ROW($W$3),ROW()-23)):INDEX($W:$W,ROW()))</f>
        <v>41.083333333333336</v>
      </c>
      <c r="Y41" s="44">
        <f>_xlfn.STDEV.S(INDEX($W:$W,MAX(ROW($W$3),ROW()-23)):INDEX($W:$W,ROW()))</f>
        <v>32.433097248049705</v>
      </c>
      <c r="Z41" s="44">
        <f t="shared" si="2"/>
        <v>1.0149097514467582</v>
      </c>
      <c r="AA41" s="40" t="b">
        <f t="shared" si="0"/>
        <v>0</v>
      </c>
    </row>
    <row r="42" spans="1:27" x14ac:dyDescent="0.3">
      <c r="A42" s="32">
        <v>40</v>
      </c>
      <c r="B42" s="33">
        <v>40545</v>
      </c>
      <c r="C42" s="40" t="str">
        <f t="shared" si="3"/>
        <v>Sunday</v>
      </c>
      <c r="D42" s="28">
        <v>16</v>
      </c>
      <c r="E42" s="40" t="str" cm="1">
        <f t="array" ref="E42">_xlfn.IFS(D42&gt;=21,"Night",D42&gt;=17,"Evening",D42&gt;=12,"Midday",D42&gt;=6,"Morning", TRUE, "Night")</f>
        <v>Midday</v>
      </c>
      <c r="F42" s="28">
        <v>1</v>
      </c>
      <c r="G42" s="28">
        <v>0</v>
      </c>
      <c r="H42" s="28">
        <v>1</v>
      </c>
      <c r="I42" s="28">
        <v>0</v>
      </c>
      <c r="J42" s="40" t="str">
        <f t="shared" si="4"/>
        <v>Weekday</v>
      </c>
      <c r="K42" s="28" t="b">
        <v>0</v>
      </c>
      <c r="L42" s="28">
        <v>3</v>
      </c>
      <c r="M42" s="40" t="str" cm="1">
        <f t="array" ref="M42">_xlfn.IFS(L42=1,"Clear / Partly Cloudy",L42=2,"Mist / Cloudy",L42=3,"Light Snow / Rain",L42=4,"Heavy Precipitation")</f>
        <v>Light Snow / Rain</v>
      </c>
      <c r="N42" s="28">
        <v>0.34</v>
      </c>
      <c r="O42" s="28" t="str">
        <f t="shared" si="5"/>
        <v>Mild</v>
      </c>
      <c r="P42" s="28">
        <v>0.33329999999999999</v>
      </c>
      <c r="Q42" s="38">
        <f t="shared" si="1"/>
        <v>0.33329999999999999</v>
      </c>
      <c r="R42" s="28">
        <v>0.71</v>
      </c>
      <c r="S42" s="28">
        <v>0.16420000000000001</v>
      </c>
      <c r="T42" s="40" t="str" cm="1">
        <f t="array" ref="T42">_xlfn.IFS(S42*18.6&lt;2,"Calm",S42*18.6&lt;6,"Light Breeze",S42*18.6&lt;14,"Gale",TRUE,"Extreme Storm")</f>
        <v>Light Breeze</v>
      </c>
      <c r="U42" s="28">
        <v>9</v>
      </c>
      <c r="V42" s="28">
        <v>67</v>
      </c>
      <c r="W42" s="28">
        <v>76</v>
      </c>
      <c r="X42" s="44">
        <f>AVERAGE(INDEX($W:$W,MAX(ROW($W$3),ROW()-23)):INDEX($W:$W,ROW()))</f>
        <v>39.666666666666664</v>
      </c>
      <c r="Y42" s="44">
        <f>_xlfn.STDEV.S(INDEX($W:$W,MAX(ROW($W$3),ROW()-23)):INDEX($W:$W,ROW()))</f>
        <v>29.938584478557271</v>
      </c>
      <c r="Z42" s="44">
        <f t="shared" si="2"/>
        <v>1.2135955645917775</v>
      </c>
      <c r="AA42" s="40" t="b">
        <f t="shared" si="0"/>
        <v>0</v>
      </c>
    </row>
    <row r="43" spans="1:27" x14ac:dyDescent="0.3">
      <c r="A43" s="32">
        <v>41</v>
      </c>
      <c r="B43" s="33">
        <v>40545</v>
      </c>
      <c r="C43" s="40" t="str">
        <f t="shared" si="3"/>
        <v>Sunday</v>
      </c>
      <c r="D43" s="28">
        <v>17</v>
      </c>
      <c r="E43" s="40" t="str" cm="1">
        <f t="array" ref="E43">_xlfn.IFS(D43&gt;=21,"Night",D43&gt;=17,"Evening",D43&gt;=12,"Midday",D43&gt;=6,"Morning", TRUE, "Night")</f>
        <v>Evening</v>
      </c>
      <c r="F43" s="28">
        <v>1</v>
      </c>
      <c r="G43" s="28">
        <v>0</v>
      </c>
      <c r="H43" s="28">
        <v>1</v>
      </c>
      <c r="I43" s="28">
        <v>0</v>
      </c>
      <c r="J43" s="40" t="str">
        <f t="shared" si="4"/>
        <v>Weekday</v>
      </c>
      <c r="K43" s="28" t="b">
        <v>0</v>
      </c>
      <c r="L43" s="28">
        <v>1</v>
      </c>
      <c r="M43" s="40" t="str" cm="1">
        <f t="array" ref="M43">_xlfn.IFS(L43=1,"Clear / Partly Cloudy",L43=2,"Mist / Cloudy",L43=3,"Light Snow / Rain",L43=4,"Heavy Precipitation")</f>
        <v>Clear / Partly Cloudy</v>
      </c>
      <c r="N43" s="28">
        <v>0.34</v>
      </c>
      <c r="O43" s="28" t="str">
        <f t="shared" si="5"/>
        <v>Mild</v>
      </c>
      <c r="P43" s="28">
        <v>0.33329999999999999</v>
      </c>
      <c r="Q43" s="38">
        <f t="shared" si="1"/>
        <v>0.33329999999999999</v>
      </c>
      <c r="R43" s="28">
        <v>0.56999999999999995</v>
      </c>
      <c r="S43" s="28">
        <v>0.19400000000000001</v>
      </c>
      <c r="T43" s="40" t="str" cm="1">
        <f t="array" ref="T43">_xlfn.IFS(S43*18.6&lt;2,"Calm",S43*18.6&lt;6,"Light Breeze",S43*18.6&lt;14,"Gale",TRUE,"Extreme Storm")</f>
        <v>Light Breeze</v>
      </c>
      <c r="U43" s="28">
        <v>7</v>
      </c>
      <c r="V43" s="28">
        <v>58</v>
      </c>
      <c r="W43" s="28">
        <v>65</v>
      </c>
      <c r="X43" s="44">
        <f>AVERAGE(INDEX($W:$W,MAX(ROW($W$3),ROW()-23)):INDEX($W:$W,ROW()))</f>
        <v>38.5</v>
      </c>
      <c r="Y43" s="44">
        <f>_xlfn.STDEV.S(INDEX($W:$W,MAX(ROW($W$3),ROW()-23)):INDEX($W:$W,ROW()))</f>
        <v>28.268895181499555</v>
      </c>
      <c r="Z43" s="44">
        <f t="shared" si="2"/>
        <v>0.93742609429401402</v>
      </c>
      <c r="AA43" s="40" t="b">
        <f t="shared" si="0"/>
        <v>0</v>
      </c>
    </row>
    <row r="44" spans="1:27" x14ac:dyDescent="0.3">
      <c r="A44" s="32">
        <v>42</v>
      </c>
      <c r="B44" s="33">
        <v>40545</v>
      </c>
      <c r="C44" s="40" t="str">
        <f t="shared" si="3"/>
        <v>Sunday</v>
      </c>
      <c r="D44" s="28">
        <v>18</v>
      </c>
      <c r="E44" s="40" t="str" cm="1">
        <f t="array" ref="E44">_xlfn.IFS(D44&gt;=21,"Night",D44&gt;=17,"Evening",D44&gt;=12,"Midday",D44&gt;=6,"Morning", TRUE, "Night")</f>
        <v>Evening</v>
      </c>
      <c r="F44" s="28">
        <v>1</v>
      </c>
      <c r="G44" s="28">
        <v>0</v>
      </c>
      <c r="H44" s="28">
        <v>1</v>
      </c>
      <c r="I44" s="28">
        <v>0</v>
      </c>
      <c r="J44" s="40" t="str">
        <f t="shared" si="4"/>
        <v>Weekday</v>
      </c>
      <c r="K44" s="28" t="b">
        <v>0</v>
      </c>
      <c r="L44" s="28">
        <v>2</v>
      </c>
      <c r="M44" s="40" t="str" cm="1">
        <f t="array" ref="M44">_xlfn.IFS(L44=1,"Clear / Partly Cloudy",L44=2,"Mist / Cloudy",L44=3,"Light Snow / Rain",L44=4,"Heavy Precipitation")</f>
        <v>Mist / Cloudy</v>
      </c>
      <c r="N44" s="28">
        <v>0.36</v>
      </c>
      <c r="O44" s="28" t="str">
        <f t="shared" si="5"/>
        <v>Mild</v>
      </c>
      <c r="P44" s="28">
        <v>0.33329999999999999</v>
      </c>
      <c r="Q44" s="38">
        <f t="shared" si="1"/>
        <v>0.33329999999999999</v>
      </c>
      <c r="R44" s="28">
        <v>0.46</v>
      </c>
      <c r="S44" s="28">
        <v>0.32840000000000003</v>
      </c>
      <c r="T44" s="40" t="str" cm="1">
        <f t="array" ref="T44">_xlfn.IFS(S44*18.6&lt;2,"Calm",S44*18.6&lt;6,"Light Breeze",S44*18.6&lt;14,"Gale",TRUE,"Extreme Storm")</f>
        <v>Gale</v>
      </c>
      <c r="U44" s="28">
        <v>10</v>
      </c>
      <c r="V44" s="28">
        <v>43</v>
      </c>
      <c r="W44" s="28">
        <v>53</v>
      </c>
      <c r="X44" s="44">
        <f>AVERAGE(INDEX($W:$W,MAX(ROW($W$3),ROW()-23)):INDEX($W:$W,ROW()))</f>
        <v>37.916666666666664</v>
      </c>
      <c r="Y44" s="44">
        <f>_xlfn.STDEV.S(INDEX($W:$W,MAX(ROW($W$3),ROW()-23)):INDEX($W:$W,ROW()))</f>
        <v>27.795709188206772</v>
      </c>
      <c r="Z44" s="44">
        <f t="shared" si="2"/>
        <v>0.54264970291648207</v>
      </c>
      <c r="AA44" s="40" t="b">
        <f t="shared" si="0"/>
        <v>0</v>
      </c>
    </row>
    <row r="45" spans="1:27" x14ac:dyDescent="0.3">
      <c r="A45" s="32">
        <v>43</v>
      </c>
      <c r="B45" s="33">
        <v>40545</v>
      </c>
      <c r="C45" s="40" t="str">
        <f t="shared" si="3"/>
        <v>Sunday</v>
      </c>
      <c r="D45" s="28">
        <v>19</v>
      </c>
      <c r="E45" s="40" t="str" cm="1">
        <f t="array" ref="E45">_xlfn.IFS(D45&gt;=21,"Night",D45&gt;=17,"Evening",D45&gt;=12,"Midday",D45&gt;=6,"Morning", TRUE, "Night")</f>
        <v>Evening</v>
      </c>
      <c r="F45" s="28">
        <v>1</v>
      </c>
      <c r="G45" s="28">
        <v>0</v>
      </c>
      <c r="H45" s="28">
        <v>1</v>
      </c>
      <c r="I45" s="28">
        <v>0</v>
      </c>
      <c r="J45" s="40" t="str">
        <f t="shared" si="4"/>
        <v>Weekday</v>
      </c>
      <c r="K45" s="28" t="b">
        <v>0</v>
      </c>
      <c r="L45" s="28">
        <v>1</v>
      </c>
      <c r="M45" s="40" t="str" cm="1">
        <f t="array" ref="M45">_xlfn.IFS(L45=1,"Clear / Partly Cloudy",L45=2,"Mist / Cloudy",L45=3,"Light Snow / Rain",L45=4,"Heavy Precipitation")</f>
        <v>Clear / Partly Cloudy</v>
      </c>
      <c r="N45" s="28">
        <v>0.32</v>
      </c>
      <c r="O45" s="28" t="str">
        <f t="shared" si="5"/>
        <v>Mild</v>
      </c>
      <c r="P45" s="28">
        <v>0.28789999999999999</v>
      </c>
      <c r="Q45" s="38">
        <f t="shared" si="1"/>
        <v>0.28789999999999999</v>
      </c>
      <c r="R45" s="28">
        <v>0.42</v>
      </c>
      <c r="S45" s="28">
        <v>0.44779999999999998</v>
      </c>
      <c r="T45" s="40" t="str" cm="1">
        <f t="array" ref="T45">_xlfn.IFS(S45*18.6&lt;2,"Calm",S45*18.6&lt;6,"Light Breeze",S45*18.6&lt;14,"Gale",TRUE,"Extreme Storm")</f>
        <v>Gale</v>
      </c>
      <c r="U45" s="28">
        <v>1</v>
      </c>
      <c r="V45" s="28">
        <v>29</v>
      </c>
      <c r="W45" s="28">
        <v>30</v>
      </c>
      <c r="X45" s="44">
        <f>AVERAGE(INDEX($W:$W,MAX(ROW($W$3),ROW()-23)):INDEX($W:$W,ROW()))</f>
        <v>37.708333333333336</v>
      </c>
      <c r="Y45" s="44">
        <f>_xlfn.STDEV.S(INDEX($W:$W,MAX(ROW($W$3),ROW()-23)):INDEX($W:$W,ROW()))</f>
        <v>27.837227446066862</v>
      </c>
      <c r="Z45" s="44">
        <f t="shared" si="2"/>
        <v>-0.27690736616165595</v>
      </c>
      <c r="AA45" s="40" t="b">
        <f t="shared" si="0"/>
        <v>0</v>
      </c>
    </row>
    <row r="46" spans="1:27" ht="22.8" x14ac:dyDescent="0.3">
      <c r="A46" s="32">
        <v>44</v>
      </c>
      <c r="B46" s="33">
        <v>40545</v>
      </c>
      <c r="C46" s="40" t="str">
        <f t="shared" si="3"/>
        <v>Sunday</v>
      </c>
      <c r="D46" s="28">
        <v>20</v>
      </c>
      <c r="E46" s="40" t="str" cm="1">
        <f t="array" ref="E46">_xlfn.IFS(D46&gt;=21,"Night",D46&gt;=17,"Evening",D46&gt;=12,"Midday",D46&gt;=6,"Morning", TRUE, "Night")</f>
        <v>Evening</v>
      </c>
      <c r="F46" s="28">
        <v>1</v>
      </c>
      <c r="G46" s="28">
        <v>0</v>
      </c>
      <c r="H46" s="28">
        <v>1</v>
      </c>
      <c r="I46" s="28">
        <v>0</v>
      </c>
      <c r="J46" s="40" t="str">
        <f t="shared" si="4"/>
        <v>Weekday</v>
      </c>
      <c r="K46" s="28" t="b">
        <v>0</v>
      </c>
      <c r="L46" s="28">
        <v>1</v>
      </c>
      <c r="M46" s="40" t="str" cm="1">
        <f t="array" ref="M46">_xlfn.IFS(L46=1,"Clear / Partly Cloudy",L46=2,"Mist / Cloudy",L46=3,"Light Snow / Rain",L46=4,"Heavy Precipitation")</f>
        <v>Clear / Partly Cloudy</v>
      </c>
      <c r="N46" s="28">
        <v>0.3</v>
      </c>
      <c r="O46" s="28" t="str">
        <f t="shared" si="5"/>
        <v>Mild</v>
      </c>
      <c r="P46" s="48">
        <v>6.3353207057932348E-2</v>
      </c>
      <c r="Q46" s="47">
        <f t="shared" si="1"/>
        <v>6.3353207057932348E-2</v>
      </c>
      <c r="R46" s="28">
        <v>0.39</v>
      </c>
      <c r="S46" s="28">
        <v>0.35820000000000002</v>
      </c>
      <c r="T46" s="40" t="str" cm="1">
        <f t="array" ref="T46">_xlfn.IFS(S46*18.6&lt;2,"Calm",S46*18.6&lt;6,"Light Breeze",S46*18.6&lt;14,"Gale",TRUE,"Extreme Storm")</f>
        <v>Gale</v>
      </c>
      <c r="U46" s="28">
        <v>5</v>
      </c>
      <c r="V46" s="28">
        <v>17</v>
      </c>
      <c r="W46" s="28">
        <v>22</v>
      </c>
      <c r="X46" s="44">
        <f>AVERAGE(INDEX($W:$W,MAX(ROW($W$3),ROW()-23)):INDEX($W:$W,ROW()))</f>
        <v>37.083333333333336</v>
      </c>
      <c r="Y46" s="44">
        <f>_xlfn.STDEV.S(INDEX($W:$W,MAX(ROW($W$3),ROW()-23)):INDEX($W:$W,ROW()))</f>
        <v>28.021601398341538</v>
      </c>
      <c r="Z46" s="44">
        <f t="shared" si="2"/>
        <v>-0.53827520843352106</v>
      </c>
      <c r="AA46" s="40" t="b">
        <f t="shared" si="0"/>
        <v>0</v>
      </c>
    </row>
    <row r="47" spans="1:27" x14ac:dyDescent="0.3">
      <c r="A47" s="32">
        <v>45</v>
      </c>
      <c r="B47" s="33">
        <v>40545</v>
      </c>
      <c r="C47" s="40" t="str">
        <f t="shared" si="3"/>
        <v>Sunday</v>
      </c>
      <c r="D47" s="28">
        <v>21</v>
      </c>
      <c r="E47" s="40" t="str" cm="1">
        <f t="array" ref="E47">_xlfn.IFS(D47&gt;=21,"Night",D47&gt;=17,"Evening",D47&gt;=12,"Midday",D47&gt;=6,"Morning", TRUE, "Night")</f>
        <v>Night</v>
      </c>
      <c r="F47" s="28">
        <v>1</v>
      </c>
      <c r="G47" s="28">
        <v>0</v>
      </c>
      <c r="H47" s="28">
        <v>1</v>
      </c>
      <c r="I47" s="28">
        <v>0</v>
      </c>
      <c r="J47" s="40" t="str">
        <f t="shared" si="4"/>
        <v>Weekday</v>
      </c>
      <c r="K47" s="28" t="b">
        <v>0</v>
      </c>
      <c r="L47" s="28">
        <v>1</v>
      </c>
      <c r="M47" s="40" t="str" cm="1">
        <f t="array" ref="M47">_xlfn.IFS(L47=1,"Clear / Partly Cloudy",L47=2,"Mist / Cloudy",L47=3,"Light Snow / Rain",L47=4,"Heavy Precipitation")</f>
        <v>Clear / Partly Cloudy</v>
      </c>
      <c r="N47" s="28">
        <v>0.26</v>
      </c>
      <c r="O47" s="28" t="str">
        <f t="shared" si="5"/>
        <v>Mild</v>
      </c>
      <c r="P47" s="28">
        <v>0.2273</v>
      </c>
      <c r="Q47" s="38">
        <f t="shared" si="1"/>
        <v>0.2273</v>
      </c>
      <c r="R47" s="28">
        <v>0.44</v>
      </c>
      <c r="S47" s="28">
        <v>0.32840000000000003</v>
      </c>
      <c r="T47" s="40" t="str" cm="1">
        <f t="array" ref="T47">_xlfn.IFS(S47*18.6&lt;2,"Calm",S47*18.6&lt;6,"Light Breeze",S47*18.6&lt;14,"Gale",TRUE,"Extreme Storm")</f>
        <v>Gale</v>
      </c>
      <c r="U47" s="28">
        <v>11</v>
      </c>
      <c r="V47" s="28">
        <v>20</v>
      </c>
      <c r="W47" s="28">
        <v>31</v>
      </c>
      <c r="X47" s="44">
        <f>AVERAGE(INDEX($W:$W,MAX(ROW($W$3),ROW()-23)):INDEX($W:$W,ROW()))</f>
        <v>36.875</v>
      </c>
      <c r="Y47" s="44">
        <f>_xlfn.STDEV.S(INDEX($W:$W,MAX(ROW($W$3),ROW()-23)):INDEX($W:$W,ROW()))</f>
        <v>28.048579751690752</v>
      </c>
      <c r="Z47" s="44">
        <f t="shared" si="2"/>
        <v>-0.20945802076291789</v>
      </c>
      <c r="AA47" s="40" t="b">
        <f t="shared" si="0"/>
        <v>0</v>
      </c>
    </row>
    <row r="48" spans="1:27" x14ac:dyDescent="0.3">
      <c r="A48" s="32">
        <v>46</v>
      </c>
      <c r="B48" s="33">
        <v>40545</v>
      </c>
      <c r="C48" s="40" t="str">
        <f t="shared" si="3"/>
        <v>Sunday</v>
      </c>
      <c r="D48" s="28">
        <v>22</v>
      </c>
      <c r="E48" s="40" t="str" cm="1">
        <f t="array" ref="E48">_xlfn.IFS(D48&gt;=21,"Night",D48&gt;=17,"Evening",D48&gt;=12,"Midday",D48&gt;=6,"Morning", TRUE, "Night")</f>
        <v>Night</v>
      </c>
      <c r="F48" s="28">
        <v>1</v>
      </c>
      <c r="G48" s="28">
        <v>0</v>
      </c>
      <c r="H48" s="28">
        <v>1</v>
      </c>
      <c r="I48" s="28">
        <v>0</v>
      </c>
      <c r="J48" s="40" t="str">
        <f t="shared" si="4"/>
        <v>Weekday</v>
      </c>
      <c r="K48" s="28" t="b">
        <v>0</v>
      </c>
      <c r="L48" s="28">
        <v>1</v>
      </c>
      <c r="M48" s="40" t="str" cm="1">
        <f t="array" ref="M48">_xlfn.IFS(L48=1,"Clear / Partly Cloudy",L48=2,"Mist / Cloudy",L48=3,"Light Snow / Rain",L48=4,"Heavy Precipitation")</f>
        <v>Clear / Partly Cloudy</v>
      </c>
      <c r="N48" s="28">
        <v>0.24</v>
      </c>
      <c r="O48" s="28" t="str">
        <f t="shared" si="5"/>
        <v>Mild</v>
      </c>
      <c r="P48" s="28">
        <v>0.21210000000000001</v>
      </c>
      <c r="Q48" s="38">
        <f t="shared" si="1"/>
        <v>0.21210000000000001</v>
      </c>
      <c r="R48" s="28">
        <v>0.44</v>
      </c>
      <c r="S48" s="28">
        <v>0.29849999999999999</v>
      </c>
      <c r="T48" s="40" t="str" cm="1">
        <f t="array" ref="T48">_xlfn.IFS(S48*18.6&lt;2,"Calm",S48*18.6&lt;6,"Light Breeze",S48*18.6&lt;14,"Gale",TRUE,"Extreme Storm")</f>
        <v>Light Breeze</v>
      </c>
      <c r="U48" s="28">
        <v>0</v>
      </c>
      <c r="V48" s="28">
        <v>9</v>
      </c>
      <c r="W48" s="28">
        <v>9</v>
      </c>
      <c r="X48" s="44">
        <f>AVERAGE(INDEX($W:$W,MAX(ROW($W$3),ROW()-23)):INDEX($W:$W,ROW()))</f>
        <v>35.833333333333336</v>
      </c>
      <c r="Y48" s="44">
        <f>_xlfn.STDEV.S(INDEX($W:$W,MAX(ROW($W$3),ROW()-23)):INDEX($W:$W,ROW()))</f>
        <v>28.618429250285963</v>
      </c>
      <c r="Z48" s="44">
        <f t="shared" si="2"/>
        <v>-0.93762425249335479</v>
      </c>
      <c r="AA48" s="40" t="b">
        <f t="shared" si="0"/>
        <v>0</v>
      </c>
    </row>
    <row r="49" spans="1:27" x14ac:dyDescent="0.3">
      <c r="A49" s="32">
        <v>47</v>
      </c>
      <c r="B49" s="33">
        <v>40545</v>
      </c>
      <c r="C49" s="40" t="str">
        <f t="shared" si="3"/>
        <v>Sunday</v>
      </c>
      <c r="D49" s="28">
        <v>23</v>
      </c>
      <c r="E49" s="40" t="str" cm="1">
        <f t="array" ref="E49">_xlfn.IFS(D49&gt;=21,"Night",D49&gt;=17,"Evening",D49&gt;=12,"Midday",D49&gt;=6,"Morning", TRUE, "Night")</f>
        <v>Night</v>
      </c>
      <c r="F49" s="28">
        <v>1</v>
      </c>
      <c r="G49" s="28">
        <v>0</v>
      </c>
      <c r="H49" s="28">
        <v>1</v>
      </c>
      <c r="I49" s="28">
        <v>0</v>
      </c>
      <c r="J49" s="40" t="str">
        <f t="shared" si="4"/>
        <v>Weekday</v>
      </c>
      <c r="K49" s="28" t="b">
        <v>0</v>
      </c>
      <c r="L49" s="28">
        <v>1</v>
      </c>
      <c r="M49" s="40" t="str" cm="1">
        <f t="array" ref="M49">_xlfn.IFS(L49=1,"Clear / Partly Cloudy",L49=2,"Mist / Cloudy",L49=3,"Light Snow / Rain",L49=4,"Heavy Precipitation")</f>
        <v>Clear / Partly Cloudy</v>
      </c>
      <c r="N49" s="28">
        <v>0.22</v>
      </c>
      <c r="O49" s="28" t="str">
        <f t="shared" si="5"/>
        <v>Mild</v>
      </c>
      <c r="P49" s="28">
        <v>0.2273</v>
      </c>
      <c r="Q49" s="38">
        <f t="shared" si="1"/>
        <v>0.2273</v>
      </c>
      <c r="R49" s="28">
        <v>0.47</v>
      </c>
      <c r="S49" s="28">
        <v>0.16420000000000001</v>
      </c>
      <c r="T49" s="40" t="str" cm="1">
        <f t="array" ref="T49">_xlfn.IFS(S49*18.6&lt;2,"Calm",S49*18.6&lt;6,"Light Breeze",S49*18.6&lt;14,"Gale",TRUE,"Extreme Storm")</f>
        <v>Light Breeze</v>
      </c>
      <c r="U49" s="28">
        <v>0</v>
      </c>
      <c r="V49" s="28">
        <v>8</v>
      </c>
      <c r="W49" s="28">
        <v>8</v>
      </c>
      <c r="X49" s="44">
        <f>AVERAGE(INDEX($W:$W,MAX(ROW($W$3),ROW()-23)):INDEX($W:$W,ROW()))</f>
        <v>35</v>
      </c>
      <c r="Y49" s="44">
        <f>_xlfn.STDEV.S(INDEX($W:$W,MAX(ROW($W$3),ROW()-23)):INDEX($W:$W,ROW()))</f>
        <v>29.142826695879844</v>
      </c>
      <c r="Z49" s="44">
        <f t="shared" si="2"/>
        <v>-0.92647155616573074</v>
      </c>
      <c r="AA49" s="40" t="b">
        <f t="shared" si="0"/>
        <v>0</v>
      </c>
    </row>
    <row r="50" spans="1:27" x14ac:dyDescent="0.3">
      <c r="A50" s="32">
        <v>48</v>
      </c>
      <c r="B50" s="33">
        <v>40546</v>
      </c>
      <c r="C50" s="40" t="str">
        <f t="shared" si="3"/>
        <v>Monday</v>
      </c>
      <c r="D50" s="28">
        <v>0</v>
      </c>
      <c r="E50" s="40" t="str" cm="1">
        <f t="array" ref="E50">_xlfn.IFS(D50&gt;=21,"Night",D50&gt;=17,"Evening",D50&gt;=12,"Midday",D50&gt;=6,"Morning", TRUE, "Night")</f>
        <v>Night</v>
      </c>
      <c r="F50" s="28">
        <v>1</v>
      </c>
      <c r="G50" s="28">
        <v>0</v>
      </c>
      <c r="H50" s="28">
        <v>1</v>
      </c>
      <c r="I50" s="28">
        <v>1</v>
      </c>
      <c r="J50" s="40" t="str">
        <f t="shared" si="4"/>
        <v>Weekday</v>
      </c>
      <c r="K50" s="28" t="b">
        <v>0</v>
      </c>
      <c r="L50" s="28">
        <v>1</v>
      </c>
      <c r="M50" s="40" t="str" cm="1">
        <f t="array" ref="M50">_xlfn.IFS(L50=1,"Clear / Partly Cloudy",L50=2,"Mist / Cloudy",L50=3,"Light Snow / Rain",L50=4,"Heavy Precipitation")</f>
        <v>Clear / Partly Cloudy</v>
      </c>
      <c r="N50" s="28">
        <v>0.22</v>
      </c>
      <c r="O50" s="28" t="str">
        <f t="shared" si="5"/>
        <v>Mild</v>
      </c>
      <c r="P50" s="28">
        <v>0.19700000000000001</v>
      </c>
      <c r="Q50" s="38">
        <f t="shared" si="1"/>
        <v>0.19700000000000001</v>
      </c>
      <c r="R50" s="28">
        <v>0.44</v>
      </c>
      <c r="S50" s="28">
        <v>0.35820000000000002</v>
      </c>
      <c r="T50" s="40" t="str" cm="1">
        <f t="array" ref="T50">_xlfn.IFS(S50*18.6&lt;2,"Calm",S50*18.6&lt;6,"Light Breeze",S50*18.6&lt;14,"Gale",TRUE,"Extreme Storm")</f>
        <v>Gale</v>
      </c>
      <c r="U50" s="28">
        <v>0</v>
      </c>
      <c r="V50" s="28">
        <v>5</v>
      </c>
      <c r="W50" s="28">
        <v>5</v>
      </c>
      <c r="X50" s="44">
        <f>AVERAGE(INDEX($W:$W,MAX(ROW($W$3),ROW()-23)):INDEX($W:$W,ROW()))</f>
        <v>33.583333333333336</v>
      </c>
      <c r="Y50" s="44">
        <f>_xlfn.STDEV.S(INDEX($W:$W,MAX(ROW($W$3),ROW()-23)):INDEX($W:$W,ROW()))</f>
        <v>29.759787088220772</v>
      </c>
      <c r="Z50" s="44">
        <f t="shared" si="2"/>
        <v>-0.96046834100660994</v>
      </c>
      <c r="AA50" s="40" t="b">
        <f t="shared" si="0"/>
        <v>0</v>
      </c>
    </row>
    <row r="51" spans="1:27" ht="22.8" x14ac:dyDescent="0.3">
      <c r="A51" s="32">
        <v>49</v>
      </c>
      <c r="B51" s="33">
        <v>40546</v>
      </c>
      <c r="C51" s="40" t="str">
        <f t="shared" si="3"/>
        <v>Monday</v>
      </c>
      <c r="D51" s="28">
        <v>1</v>
      </c>
      <c r="E51" s="40" t="str" cm="1">
        <f t="array" ref="E51">_xlfn.IFS(D51&gt;=21,"Night",D51&gt;=17,"Evening",D51&gt;=12,"Midday",D51&gt;=6,"Morning", TRUE, "Night")</f>
        <v>Night</v>
      </c>
      <c r="F51" s="28">
        <v>1</v>
      </c>
      <c r="G51" s="28">
        <v>0</v>
      </c>
      <c r="H51" s="28">
        <v>1</v>
      </c>
      <c r="I51" s="28">
        <v>1</v>
      </c>
      <c r="J51" s="40" t="str">
        <f t="shared" si="4"/>
        <v>Weekday</v>
      </c>
      <c r="K51" s="28" t="b">
        <v>0</v>
      </c>
      <c r="L51" s="28">
        <v>1</v>
      </c>
      <c r="M51" s="40" t="str" cm="1">
        <f t="array" ref="M51">_xlfn.IFS(L51=1,"Clear / Partly Cloudy",L51=2,"Mist / Cloudy",L51=3,"Light Snow / Rain",L51=4,"Heavy Precipitation")</f>
        <v>Clear / Partly Cloudy</v>
      </c>
      <c r="N51" s="28">
        <v>0.2</v>
      </c>
      <c r="O51" s="28" t="str">
        <f t="shared" si="5"/>
        <v>Mild</v>
      </c>
      <c r="P51" s="48">
        <v>4.2205787807737663E-2</v>
      </c>
      <c r="Q51" s="47">
        <f t="shared" si="1"/>
        <v>4.2205787807737663E-2</v>
      </c>
      <c r="R51" s="28">
        <v>0.44</v>
      </c>
      <c r="S51" s="28">
        <v>0.41789999999999999</v>
      </c>
      <c r="T51" s="40" t="str" cm="1">
        <f t="array" ref="T51">_xlfn.IFS(S51*18.6&lt;2,"Calm",S51*18.6&lt;6,"Light Breeze",S51*18.6&lt;14,"Gale",TRUE,"Extreme Storm")</f>
        <v>Gale</v>
      </c>
      <c r="U51" s="28">
        <v>0</v>
      </c>
      <c r="V51" s="28">
        <v>2</v>
      </c>
      <c r="W51" s="28">
        <v>2</v>
      </c>
      <c r="X51" s="44">
        <f>AVERAGE(INDEX($W:$W,MAX(ROW($W$3),ROW()-23)):INDEX($W:$W,ROW()))</f>
        <v>32.958333333333336</v>
      </c>
      <c r="Y51" s="44">
        <f>_xlfn.STDEV.S(INDEX($W:$W,MAX(ROW($W$3),ROW()-23)):INDEX($W:$W,ROW()))</f>
        <v>30.276234282335057</v>
      </c>
      <c r="Z51" s="44">
        <f t="shared" si="2"/>
        <v>-1.0225291905405902</v>
      </c>
      <c r="AA51" s="40" t="b">
        <f t="shared" si="0"/>
        <v>0</v>
      </c>
    </row>
    <row r="52" spans="1:27" x14ac:dyDescent="0.3">
      <c r="A52" s="32">
        <v>50</v>
      </c>
      <c r="B52" s="33">
        <v>40546</v>
      </c>
      <c r="C52" s="40" t="str">
        <f t="shared" si="3"/>
        <v>Monday</v>
      </c>
      <c r="D52" s="28">
        <v>4</v>
      </c>
      <c r="E52" s="40" t="str" cm="1">
        <f t="array" ref="E52">_xlfn.IFS(D52&gt;=21,"Night",D52&gt;=17,"Evening",D52&gt;=12,"Midday",D52&gt;=6,"Morning", TRUE, "Night")</f>
        <v>Night</v>
      </c>
      <c r="F52" s="28">
        <v>1</v>
      </c>
      <c r="G52" s="28">
        <v>0</v>
      </c>
      <c r="H52" s="28">
        <v>1</v>
      </c>
      <c r="I52" s="28">
        <v>1</v>
      </c>
      <c r="J52" s="40" t="str">
        <f t="shared" si="4"/>
        <v>Weekday</v>
      </c>
      <c r="K52" s="28" t="b">
        <v>0</v>
      </c>
      <c r="L52" s="28">
        <v>1</v>
      </c>
      <c r="M52" s="40" t="str" cm="1">
        <f t="array" ref="M52">_xlfn.IFS(L52=1,"Clear / Partly Cloudy",L52=2,"Mist / Cloudy",L52=3,"Light Snow / Rain",L52=4,"Heavy Precipitation")</f>
        <v>Clear / Partly Cloudy</v>
      </c>
      <c r="N52" s="28">
        <v>0.16</v>
      </c>
      <c r="O52" s="28" t="str">
        <f t="shared" si="5"/>
        <v>Cold</v>
      </c>
      <c r="P52" s="28">
        <v>0.13639999999999999</v>
      </c>
      <c r="Q52" s="38">
        <f t="shared" si="1"/>
        <v>0.13639999999999999</v>
      </c>
      <c r="R52" s="28">
        <v>0.47</v>
      </c>
      <c r="S52" s="28">
        <v>0.3881</v>
      </c>
      <c r="T52" s="40" t="str" cm="1">
        <f t="array" ref="T52">_xlfn.IFS(S52*18.6&lt;2,"Calm",S52*18.6&lt;6,"Light Breeze",S52*18.6&lt;14,"Gale",TRUE,"Extreme Storm")</f>
        <v>Gale</v>
      </c>
      <c r="U52" s="28">
        <v>0</v>
      </c>
      <c r="V52" s="28">
        <v>1</v>
      </c>
      <c r="W52" s="28">
        <v>1</v>
      </c>
      <c r="X52" s="44">
        <f>AVERAGE(INDEX($W:$W,MAX(ROW($W$3),ROW()-23)):INDEX($W:$W,ROW()))</f>
        <v>32.291666666666664</v>
      </c>
      <c r="Y52" s="44">
        <f>_xlfn.STDEV.S(INDEX($W:$W,MAX(ROW($W$3),ROW()-23)):INDEX($W:$W,ROW()))</f>
        <v>30.814281226993302</v>
      </c>
      <c r="Z52" s="44">
        <f t="shared" si="2"/>
        <v>-1.0154923438309889</v>
      </c>
      <c r="AA52" s="40" t="b">
        <f t="shared" si="0"/>
        <v>0</v>
      </c>
    </row>
    <row r="53" spans="1:27" x14ac:dyDescent="0.3">
      <c r="A53" s="32">
        <v>51</v>
      </c>
      <c r="B53" s="33">
        <v>40546</v>
      </c>
      <c r="C53" s="40" t="str">
        <f t="shared" si="3"/>
        <v>Monday</v>
      </c>
      <c r="D53" s="28">
        <v>5</v>
      </c>
      <c r="E53" s="40" t="str" cm="1">
        <f t="array" ref="E53">_xlfn.IFS(D53&gt;=21,"Night",D53&gt;=17,"Evening",D53&gt;=12,"Midday",D53&gt;=6,"Morning", TRUE, "Night")</f>
        <v>Night</v>
      </c>
      <c r="F53" s="28">
        <v>1</v>
      </c>
      <c r="G53" s="28">
        <v>0</v>
      </c>
      <c r="H53" s="28">
        <v>1</v>
      </c>
      <c r="I53" s="28">
        <v>1</v>
      </c>
      <c r="J53" s="40" t="str">
        <f t="shared" si="4"/>
        <v>Weekday</v>
      </c>
      <c r="K53" s="28" t="b">
        <v>0</v>
      </c>
      <c r="L53" s="28">
        <v>1</v>
      </c>
      <c r="M53" s="40" t="str" cm="1">
        <f t="array" ref="M53">_xlfn.IFS(L53=1,"Clear / Partly Cloudy",L53=2,"Mist / Cloudy",L53=3,"Light Snow / Rain",L53=4,"Heavy Precipitation")</f>
        <v>Clear / Partly Cloudy</v>
      </c>
      <c r="N53" s="28">
        <v>0.16</v>
      </c>
      <c r="O53" s="28" t="str">
        <f t="shared" si="5"/>
        <v>Cold</v>
      </c>
      <c r="P53" s="28">
        <v>0.13639999999999999</v>
      </c>
      <c r="Q53" s="38">
        <f t="shared" si="1"/>
        <v>0.13639999999999999</v>
      </c>
      <c r="R53" s="28">
        <v>0.47</v>
      </c>
      <c r="S53" s="28">
        <v>0.28360000000000002</v>
      </c>
      <c r="T53" s="40" t="str" cm="1">
        <f t="array" ref="T53">_xlfn.IFS(S53*18.6&lt;2,"Calm",S53*18.6&lt;6,"Light Breeze",S53*18.6&lt;14,"Gale",TRUE,"Extreme Storm")</f>
        <v>Light Breeze</v>
      </c>
      <c r="U53" s="28">
        <v>0</v>
      </c>
      <c r="V53" s="28">
        <v>3</v>
      </c>
      <c r="W53" s="28">
        <v>3</v>
      </c>
      <c r="X53" s="44">
        <f>AVERAGE(INDEX($W:$W,MAX(ROW($W$3),ROW()-23)):INDEX($W:$W,ROW()))</f>
        <v>32.041666666666664</v>
      </c>
      <c r="Y53" s="44">
        <f>_xlfn.STDEV.S(INDEX($W:$W,MAX(ROW($W$3),ROW()-23)):INDEX($W:$W,ROW()))</f>
        <v>31.035014120333106</v>
      </c>
      <c r="Z53" s="44">
        <f t="shared" si="2"/>
        <v>-0.93577101508839122</v>
      </c>
      <c r="AA53" s="40" t="b">
        <f t="shared" si="0"/>
        <v>0</v>
      </c>
    </row>
    <row r="54" spans="1:27" x14ac:dyDescent="0.3">
      <c r="A54" s="32">
        <v>52</v>
      </c>
      <c r="B54" s="33">
        <v>40546</v>
      </c>
      <c r="C54" s="40" t="str">
        <f t="shared" si="3"/>
        <v>Monday</v>
      </c>
      <c r="D54" s="28">
        <v>6</v>
      </c>
      <c r="E54" s="40" t="str" cm="1">
        <f t="array" ref="E54">_xlfn.IFS(D54&gt;=21,"Night",D54&gt;=17,"Evening",D54&gt;=12,"Midday",D54&gt;=6,"Morning", TRUE, "Night")</f>
        <v>Morning</v>
      </c>
      <c r="F54" s="28">
        <v>1</v>
      </c>
      <c r="G54" s="28">
        <v>0</v>
      </c>
      <c r="H54" s="28">
        <v>1</v>
      </c>
      <c r="I54" s="28">
        <v>1</v>
      </c>
      <c r="J54" s="40" t="str">
        <f t="shared" si="4"/>
        <v>Weekday</v>
      </c>
      <c r="K54" s="28" t="b">
        <v>0</v>
      </c>
      <c r="L54" s="28">
        <v>1</v>
      </c>
      <c r="M54" s="40" t="str" cm="1">
        <f t="array" ref="M54">_xlfn.IFS(L54=1,"Clear / Partly Cloudy",L54=2,"Mist / Cloudy",L54=3,"Light Snow / Rain",L54=4,"Heavy Precipitation")</f>
        <v>Clear / Partly Cloudy</v>
      </c>
      <c r="N54" s="28">
        <v>0.14000000000000001</v>
      </c>
      <c r="O54" s="28" t="str">
        <f t="shared" si="5"/>
        <v>Cold</v>
      </c>
      <c r="P54" s="28">
        <v>0.1061</v>
      </c>
      <c r="Q54" s="38">
        <f t="shared" si="1"/>
        <v>0.1061</v>
      </c>
      <c r="R54" s="28">
        <v>0.5</v>
      </c>
      <c r="S54" s="28">
        <v>0.3881</v>
      </c>
      <c r="T54" s="40" t="str" cm="1">
        <f t="array" ref="T54">_xlfn.IFS(S54*18.6&lt;2,"Calm",S54*18.6&lt;6,"Light Breeze",S54*18.6&lt;14,"Gale",TRUE,"Extreme Storm")</f>
        <v>Gale</v>
      </c>
      <c r="U54" s="28">
        <v>0</v>
      </c>
      <c r="V54" s="28">
        <v>30</v>
      </c>
      <c r="W54" s="28">
        <v>30</v>
      </c>
      <c r="X54" s="44">
        <f>AVERAGE(INDEX($W:$W,MAX(ROW($W$3),ROW()-23)):INDEX($W:$W,ROW()))</f>
        <v>33.041666666666664</v>
      </c>
      <c r="Y54" s="44">
        <f>_xlfn.STDEV.S(INDEX($W:$W,MAX(ROW($W$3),ROW()-23)):INDEX($W:$W,ROW()))</f>
        <v>30.542172079967049</v>
      </c>
      <c r="Z54" s="44">
        <f t="shared" si="2"/>
        <v>-9.9589075023964233E-2</v>
      </c>
      <c r="AA54" s="40" t="b">
        <f t="shared" si="0"/>
        <v>0</v>
      </c>
    </row>
    <row r="55" spans="1:27" x14ac:dyDescent="0.3">
      <c r="A55" s="32">
        <v>53</v>
      </c>
      <c r="B55" s="33">
        <v>40546</v>
      </c>
      <c r="C55" s="40" t="str">
        <f t="shared" si="3"/>
        <v>Monday</v>
      </c>
      <c r="D55" s="28">
        <v>7</v>
      </c>
      <c r="E55" s="40" t="str" cm="1">
        <f t="array" ref="E55">_xlfn.IFS(D55&gt;=21,"Night",D55&gt;=17,"Evening",D55&gt;=12,"Midday",D55&gt;=6,"Morning", TRUE, "Night")</f>
        <v>Morning</v>
      </c>
      <c r="F55" s="28">
        <v>1</v>
      </c>
      <c r="G55" s="28">
        <v>0</v>
      </c>
      <c r="H55" s="28">
        <v>1</v>
      </c>
      <c r="I55" s="28">
        <v>1</v>
      </c>
      <c r="J55" s="40" t="str">
        <f t="shared" si="4"/>
        <v>Weekday</v>
      </c>
      <c r="K55" s="28" t="b">
        <v>0</v>
      </c>
      <c r="L55" s="28">
        <v>1</v>
      </c>
      <c r="M55" s="40" t="str" cm="1">
        <f t="array" ref="M55">_xlfn.IFS(L55=1,"Clear / Partly Cloudy",L55=2,"Mist / Cloudy",L55=3,"Light Snow / Rain",L55=4,"Heavy Precipitation")</f>
        <v>Clear / Partly Cloudy</v>
      </c>
      <c r="N55" s="28">
        <v>0.14000000000000001</v>
      </c>
      <c r="O55" s="28" t="str">
        <f t="shared" si="5"/>
        <v>Cold</v>
      </c>
      <c r="P55" s="28">
        <v>0.13639999999999999</v>
      </c>
      <c r="Q55" s="38">
        <f t="shared" si="1"/>
        <v>0.13639999999999999</v>
      </c>
      <c r="R55" s="28">
        <v>0.5</v>
      </c>
      <c r="S55" s="28">
        <v>0.19400000000000001</v>
      </c>
      <c r="T55" s="40" t="str" cm="1">
        <f t="array" ref="T55">_xlfn.IFS(S55*18.6&lt;2,"Calm",S55*18.6&lt;6,"Light Breeze",S55*18.6&lt;14,"Gale",TRUE,"Extreme Storm")</f>
        <v>Light Breeze</v>
      </c>
      <c r="U55" s="28">
        <v>1</v>
      </c>
      <c r="V55" s="28">
        <v>63</v>
      </c>
      <c r="W55" s="28">
        <v>64</v>
      </c>
      <c r="X55" s="44">
        <f>AVERAGE(INDEX($W:$W,MAX(ROW($W$3),ROW()-23)):INDEX($W:$W,ROW()))</f>
        <v>35.583333333333336</v>
      </c>
      <c r="Y55" s="44">
        <f>_xlfn.STDEV.S(INDEX($W:$W,MAX(ROW($W$3),ROW()-23)):INDEX($W:$W,ROW()))</f>
        <v>30.471535779373234</v>
      </c>
      <c r="Z55" s="44">
        <f t="shared" si="2"/>
        <v>0.93256430763501097</v>
      </c>
      <c r="AA55" s="40" t="b">
        <f t="shared" si="0"/>
        <v>0</v>
      </c>
    </row>
    <row r="56" spans="1:27" x14ac:dyDescent="0.3">
      <c r="A56" s="32">
        <v>54</v>
      </c>
      <c r="B56" s="33">
        <v>40546</v>
      </c>
      <c r="C56" s="40" t="str">
        <f t="shared" si="3"/>
        <v>Monday</v>
      </c>
      <c r="D56" s="28">
        <v>8</v>
      </c>
      <c r="E56" s="40" t="str" cm="1">
        <f t="array" ref="E56">_xlfn.IFS(D56&gt;=21,"Night",D56&gt;=17,"Evening",D56&gt;=12,"Midday",D56&gt;=6,"Morning", TRUE, "Night")</f>
        <v>Morning</v>
      </c>
      <c r="F56" s="28">
        <v>1</v>
      </c>
      <c r="G56" s="28">
        <v>0</v>
      </c>
      <c r="H56" s="28">
        <v>1</v>
      </c>
      <c r="I56" s="28">
        <v>1</v>
      </c>
      <c r="J56" s="40" t="str">
        <f t="shared" si="4"/>
        <v>Weekday</v>
      </c>
      <c r="K56" s="28" t="b">
        <v>0</v>
      </c>
      <c r="L56" s="28">
        <v>1</v>
      </c>
      <c r="M56" s="40" t="str" cm="1">
        <f t="array" ref="M56">_xlfn.IFS(L56=1,"Clear / Partly Cloudy",L56=2,"Mist / Cloudy",L56=3,"Light Snow / Rain",L56=4,"Heavy Precipitation")</f>
        <v>Clear / Partly Cloudy</v>
      </c>
      <c r="N56" s="28">
        <v>0.14000000000000001</v>
      </c>
      <c r="O56" s="28" t="str">
        <f t="shared" si="5"/>
        <v>Cold</v>
      </c>
      <c r="P56" s="28">
        <v>0.1212</v>
      </c>
      <c r="Q56" s="38">
        <f t="shared" si="1"/>
        <v>0.1212</v>
      </c>
      <c r="R56" s="28">
        <v>0.5</v>
      </c>
      <c r="S56" s="28">
        <v>0.28360000000000002</v>
      </c>
      <c r="T56" s="40" t="str" cm="1">
        <f t="array" ref="T56">_xlfn.IFS(S56*18.6&lt;2,"Calm",S56*18.6&lt;6,"Light Breeze",S56*18.6&lt;14,"Gale",TRUE,"Extreme Storm")</f>
        <v>Light Breeze</v>
      </c>
      <c r="U56" s="28">
        <v>1</v>
      </c>
      <c r="V56" s="28">
        <v>153</v>
      </c>
      <c r="W56" s="28">
        <v>154</v>
      </c>
      <c r="X56" s="44">
        <f>AVERAGE(INDEX($W:$W,MAX(ROW($W$3),ROW()-23)):INDEX($W:$W,ROW()))</f>
        <v>41.916666666666664</v>
      </c>
      <c r="Y56" s="44">
        <f>_xlfn.STDEV.S(INDEX($W:$W,MAX(ROW($W$3),ROW()-23)):INDEX($W:$W,ROW()))</f>
        <v>38.043358177864313</v>
      </c>
      <c r="Z56" s="44">
        <f t="shared" si="2"/>
        <v>2.9461997757745135</v>
      </c>
      <c r="AA56" s="40" t="b">
        <f t="shared" si="0"/>
        <v>0</v>
      </c>
    </row>
    <row r="57" spans="1:27" x14ac:dyDescent="0.3">
      <c r="A57" s="32">
        <v>55</v>
      </c>
      <c r="B57" s="33">
        <v>40546</v>
      </c>
      <c r="C57" s="40" t="str">
        <f t="shared" si="3"/>
        <v>Monday</v>
      </c>
      <c r="D57" s="28">
        <v>9</v>
      </c>
      <c r="E57" s="40" t="str" cm="1">
        <f t="array" ref="E57">_xlfn.IFS(D57&gt;=21,"Night",D57&gt;=17,"Evening",D57&gt;=12,"Midday",D57&gt;=6,"Morning", TRUE, "Night")</f>
        <v>Morning</v>
      </c>
      <c r="F57" s="28">
        <v>1</v>
      </c>
      <c r="G57" s="28">
        <v>0</v>
      </c>
      <c r="H57" s="28">
        <v>1</v>
      </c>
      <c r="I57" s="28">
        <v>1</v>
      </c>
      <c r="J57" s="40" t="str">
        <f t="shared" si="4"/>
        <v>Weekday</v>
      </c>
      <c r="K57" s="28" t="b">
        <v>0</v>
      </c>
      <c r="L57" s="28">
        <v>1</v>
      </c>
      <c r="M57" s="40" t="str" cm="1">
        <f t="array" ref="M57">_xlfn.IFS(L57=1,"Clear / Partly Cloudy",L57=2,"Mist / Cloudy",L57=3,"Light Snow / Rain",L57=4,"Heavy Precipitation")</f>
        <v>Clear / Partly Cloudy</v>
      </c>
      <c r="N57" s="28">
        <v>0.16</v>
      </c>
      <c r="O57" s="28" t="str">
        <f t="shared" si="5"/>
        <v>Cold</v>
      </c>
      <c r="P57" s="28">
        <v>0.13639999999999999</v>
      </c>
      <c r="Q57" s="38">
        <f t="shared" si="1"/>
        <v>0.13639999999999999</v>
      </c>
      <c r="R57" s="28">
        <v>0.43</v>
      </c>
      <c r="S57" s="28">
        <v>0.3881</v>
      </c>
      <c r="T57" s="40" t="str" cm="1">
        <f t="array" ref="T57">_xlfn.IFS(S57*18.6&lt;2,"Calm",S57*18.6&lt;6,"Light Breeze",S57*18.6&lt;14,"Gale",TRUE,"Extreme Storm")</f>
        <v>Gale</v>
      </c>
      <c r="U57" s="28">
        <v>7</v>
      </c>
      <c r="V57" s="28">
        <v>81</v>
      </c>
      <c r="W57" s="28">
        <v>88</v>
      </c>
      <c r="X57" s="44">
        <f>AVERAGE(INDEX($W:$W,MAX(ROW($W$3),ROW()-23)):INDEX($W:$W,ROW()))</f>
        <v>45.541666666666664</v>
      </c>
      <c r="Y57" s="44">
        <f>_xlfn.STDEV.S(INDEX($W:$W,MAX(ROW($W$3),ROW()-23)):INDEX($W:$W,ROW()))</f>
        <v>38.119924228523935</v>
      </c>
      <c r="Z57" s="44">
        <f t="shared" si="2"/>
        <v>1.1138094892004824</v>
      </c>
      <c r="AA57" s="40" t="b">
        <f t="shared" si="0"/>
        <v>0</v>
      </c>
    </row>
    <row r="58" spans="1:27" x14ac:dyDescent="0.3">
      <c r="A58" s="32">
        <v>56</v>
      </c>
      <c r="B58" s="33">
        <v>40546</v>
      </c>
      <c r="C58" s="40" t="str">
        <f t="shared" si="3"/>
        <v>Monday</v>
      </c>
      <c r="D58" s="28">
        <v>10</v>
      </c>
      <c r="E58" s="40" t="str" cm="1">
        <f t="array" ref="E58">_xlfn.IFS(D58&gt;=21,"Night",D58&gt;=17,"Evening",D58&gt;=12,"Midday",D58&gt;=6,"Morning", TRUE, "Night")</f>
        <v>Morning</v>
      </c>
      <c r="F58" s="28">
        <v>1</v>
      </c>
      <c r="G58" s="28">
        <v>0</v>
      </c>
      <c r="H58" s="28">
        <v>1</v>
      </c>
      <c r="I58" s="28">
        <v>1</v>
      </c>
      <c r="J58" s="40" t="str">
        <f t="shared" si="4"/>
        <v>Weekday</v>
      </c>
      <c r="K58" s="28" t="b">
        <v>0</v>
      </c>
      <c r="L58" s="28">
        <v>1</v>
      </c>
      <c r="M58" s="40" t="str" cm="1">
        <f t="array" ref="M58">_xlfn.IFS(L58=1,"Clear / Partly Cloudy",L58=2,"Mist / Cloudy",L58=3,"Light Snow / Rain",L58=4,"Heavy Precipitation")</f>
        <v>Clear / Partly Cloudy</v>
      </c>
      <c r="N58" s="28">
        <v>0.18</v>
      </c>
      <c r="O58" s="28" t="str">
        <f t="shared" si="5"/>
        <v>Cold</v>
      </c>
      <c r="P58" s="28">
        <v>0.16669999999999999</v>
      </c>
      <c r="Q58" s="38">
        <f t="shared" si="1"/>
        <v>0.16669999999999999</v>
      </c>
      <c r="R58" s="28">
        <v>0.43</v>
      </c>
      <c r="S58" s="28">
        <v>0.25369999999999998</v>
      </c>
      <c r="T58" s="40" t="str" cm="1">
        <f t="array" ref="T58">_xlfn.IFS(S58*18.6&lt;2,"Calm",S58*18.6&lt;6,"Light Breeze",S58*18.6&lt;14,"Gale",TRUE,"Extreme Storm")</f>
        <v>Light Breeze</v>
      </c>
      <c r="U58" s="28">
        <v>11</v>
      </c>
      <c r="V58" s="28">
        <v>33</v>
      </c>
      <c r="W58" s="28">
        <v>44</v>
      </c>
      <c r="X58" s="44">
        <f>AVERAGE(INDEX($W:$W,MAX(ROW($W$3),ROW()-23)):INDEX($W:$W,ROW()))</f>
        <v>47.041666666666664</v>
      </c>
      <c r="Y58" s="44">
        <f>_xlfn.STDEV.S(INDEX($W:$W,MAX(ROW($W$3),ROW()-23)):INDEX($W:$W,ROW()))</f>
        <v>37.277431296402</v>
      </c>
      <c r="Z58" s="44">
        <f t="shared" si="2"/>
        <v>-8.1595393268426325E-2</v>
      </c>
      <c r="AA58" s="40" t="b">
        <f t="shared" si="0"/>
        <v>0</v>
      </c>
    </row>
    <row r="59" spans="1:27" x14ac:dyDescent="0.3">
      <c r="A59" s="32">
        <v>57</v>
      </c>
      <c r="B59" s="33">
        <v>40546</v>
      </c>
      <c r="C59" s="40" t="str">
        <f t="shared" si="3"/>
        <v>Monday</v>
      </c>
      <c r="D59" s="28">
        <v>11</v>
      </c>
      <c r="E59" s="40" t="str" cm="1">
        <f t="array" ref="E59">_xlfn.IFS(D59&gt;=21,"Night",D59&gt;=17,"Evening",D59&gt;=12,"Midday",D59&gt;=6,"Morning", TRUE, "Night")</f>
        <v>Morning</v>
      </c>
      <c r="F59" s="28">
        <v>1</v>
      </c>
      <c r="G59" s="28">
        <v>0</v>
      </c>
      <c r="H59" s="28">
        <v>1</v>
      </c>
      <c r="I59" s="28">
        <v>1</v>
      </c>
      <c r="J59" s="40" t="str">
        <f t="shared" si="4"/>
        <v>Weekday</v>
      </c>
      <c r="K59" s="28" t="b">
        <v>0</v>
      </c>
      <c r="L59" s="28">
        <v>1</v>
      </c>
      <c r="M59" s="40" t="str" cm="1">
        <f t="array" ref="M59">_xlfn.IFS(L59=1,"Clear / Partly Cloudy",L59=2,"Mist / Cloudy",L59=3,"Light Snow / Rain",L59=4,"Heavy Precipitation")</f>
        <v>Clear / Partly Cloudy</v>
      </c>
      <c r="N59" s="28">
        <v>0.2</v>
      </c>
      <c r="O59" s="28" t="str">
        <f t="shared" si="5"/>
        <v>Mild</v>
      </c>
      <c r="P59" s="28">
        <v>0.18179999999999999</v>
      </c>
      <c r="Q59" s="38">
        <f t="shared" si="1"/>
        <v>0.18179999999999999</v>
      </c>
      <c r="R59" s="28">
        <v>0.4</v>
      </c>
      <c r="S59" s="28">
        <v>0.32840000000000003</v>
      </c>
      <c r="T59" s="40" t="str" cm="1">
        <f t="array" ref="T59">_xlfn.IFS(S59*18.6&lt;2,"Calm",S59*18.6&lt;6,"Light Breeze",S59*18.6&lt;14,"Gale",TRUE,"Extreme Storm")</f>
        <v>Gale</v>
      </c>
      <c r="U59" s="28">
        <v>10</v>
      </c>
      <c r="V59" s="28">
        <v>41</v>
      </c>
      <c r="W59" s="28">
        <v>51</v>
      </c>
      <c r="X59" s="44">
        <f>AVERAGE(INDEX($W:$W,MAX(ROW($W$3),ROW()-23)):INDEX($W:$W,ROW()))</f>
        <v>48.333333333333336</v>
      </c>
      <c r="Y59" s="44">
        <f>_xlfn.STDEV.S(INDEX($W:$W,MAX(ROW($W$3),ROW()-23)):INDEX($W:$W,ROW()))</f>
        <v>36.834136655939233</v>
      </c>
      <c r="Z59" s="44">
        <f t="shared" si="2"/>
        <v>7.2396611099521557E-2</v>
      </c>
      <c r="AA59" s="40" t="b">
        <f t="shared" si="0"/>
        <v>0</v>
      </c>
    </row>
    <row r="60" spans="1:27" x14ac:dyDescent="0.3">
      <c r="A60" s="32">
        <v>58</v>
      </c>
      <c r="B60" s="33">
        <v>40546</v>
      </c>
      <c r="C60" s="40" t="str">
        <f t="shared" si="3"/>
        <v>Monday</v>
      </c>
      <c r="D60" s="28">
        <v>12</v>
      </c>
      <c r="E60" s="40" t="str" cm="1">
        <f t="array" ref="E60">_xlfn.IFS(D60&gt;=21,"Night",D60&gt;=17,"Evening",D60&gt;=12,"Midday",D60&gt;=6,"Morning", TRUE, "Night")</f>
        <v>Midday</v>
      </c>
      <c r="F60" s="28">
        <v>1</v>
      </c>
      <c r="G60" s="28">
        <v>0</v>
      </c>
      <c r="H60" s="28">
        <v>1</v>
      </c>
      <c r="I60" s="28">
        <v>1</v>
      </c>
      <c r="J60" s="40" t="str">
        <f t="shared" si="4"/>
        <v>Weekday</v>
      </c>
      <c r="K60" s="28" t="b">
        <v>0</v>
      </c>
      <c r="L60" s="28">
        <v>1</v>
      </c>
      <c r="M60" s="40" t="str" cm="1">
        <f t="array" ref="M60">_xlfn.IFS(L60=1,"Clear / Partly Cloudy",L60=2,"Mist / Cloudy",L60=3,"Light Snow / Rain",L60=4,"Heavy Precipitation")</f>
        <v>Clear / Partly Cloudy</v>
      </c>
      <c r="N60" s="28">
        <v>0.22</v>
      </c>
      <c r="O60" s="28" t="str">
        <f t="shared" si="5"/>
        <v>Mild</v>
      </c>
      <c r="P60" s="28">
        <v>0.21210000000000001</v>
      </c>
      <c r="Q60" s="38">
        <f t="shared" si="1"/>
        <v>0.21210000000000001</v>
      </c>
      <c r="R60" s="28">
        <v>0.35</v>
      </c>
      <c r="S60" s="28">
        <v>0.29849999999999999</v>
      </c>
      <c r="T60" s="40" t="str" cm="1">
        <f t="array" ref="T60">_xlfn.IFS(S60*18.6&lt;2,"Calm",S60*18.6&lt;6,"Light Breeze",S60*18.6&lt;14,"Gale",TRUE,"Extreme Storm")</f>
        <v>Light Breeze</v>
      </c>
      <c r="U60" s="28">
        <v>13</v>
      </c>
      <c r="V60" s="28">
        <v>48</v>
      </c>
      <c r="W60" s="28">
        <v>61</v>
      </c>
      <c r="X60" s="44">
        <f>AVERAGE(INDEX($W:$W,MAX(ROW($W$3),ROW()-23)):INDEX($W:$W,ROW()))</f>
        <v>48.666666666666664</v>
      </c>
      <c r="Y60" s="44">
        <f>_xlfn.STDEV.S(INDEX($W:$W,MAX(ROW($W$3),ROW()-23)):INDEX($W:$W,ROW()))</f>
        <v>36.914315199752345</v>
      </c>
      <c r="Z60" s="44">
        <f t="shared" si="2"/>
        <v>0.33410706027173109</v>
      </c>
      <c r="AA60" s="40" t="b">
        <f t="shared" si="0"/>
        <v>0</v>
      </c>
    </row>
    <row r="61" spans="1:27" ht="22.8" x14ac:dyDescent="0.3">
      <c r="A61" s="32">
        <v>59</v>
      </c>
      <c r="B61" s="33">
        <v>40546</v>
      </c>
      <c r="C61" s="40" t="str">
        <f t="shared" si="3"/>
        <v>Monday</v>
      </c>
      <c r="D61" s="28">
        <v>13</v>
      </c>
      <c r="E61" s="40" t="str" cm="1">
        <f t="array" ref="E61">_xlfn.IFS(D61&gt;=21,"Night",D61&gt;=17,"Evening",D61&gt;=12,"Midday",D61&gt;=6,"Morning", TRUE, "Night")</f>
        <v>Midday</v>
      </c>
      <c r="F61" s="28">
        <v>1</v>
      </c>
      <c r="G61" s="28">
        <v>0</v>
      </c>
      <c r="H61" s="28">
        <v>1</v>
      </c>
      <c r="I61" s="28">
        <v>1</v>
      </c>
      <c r="J61" s="40" t="str">
        <f t="shared" si="4"/>
        <v>Weekday</v>
      </c>
      <c r="K61" s="28" t="b">
        <v>0</v>
      </c>
      <c r="L61" s="28">
        <v>1</v>
      </c>
      <c r="M61" s="40" t="str" cm="1">
        <f t="array" ref="M61">_xlfn.IFS(L61=1,"Clear / Partly Cloudy",L61=2,"Mist / Cloudy",L61=3,"Light Snow / Rain",L61=4,"Heavy Precipitation")</f>
        <v>Clear / Partly Cloudy</v>
      </c>
      <c r="N61" s="28">
        <v>0.24</v>
      </c>
      <c r="O61" s="28" t="str">
        <f t="shared" si="5"/>
        <v>Mild</v>
      </c>
      <c r="P61" s="48">
        <v>5.0606305894565606E-2</v>
      </c>
      <c r="Q61" s="47">
        <f t="shared" si="1"/>
        <v>5.0606305894565606E-2</v>
      </c>
      <c r="R61" s="28">
        <v>0.35</v>
      </c>
      <c r="S61" s="28">
        <v>0.28360000000000002</v>
      </c>
      <c r="T61" s="40" t="str" cm="1">
        <f t="array" ref="T61">_xlfn.IFS(S61*18.6&lt;2,"Calm",S61*18.6&lt;6,"Light Breeze",S61*18.6&lt;14,"Gale",TRUE,"Extreme Storm")</f>
        <v>Light Breeze</v>
      </c>
      <c r="U61" s="28">
        <v>8</v>
      </c>
      <c r="V61" s="28">
        <v>53</v>
      </c>
      <c r="W61" s="28">
        <v>61</v>
      </c>
      <c r="X61" s="44">
        <f>AVERAGE(INDEX($W:$W,MAX(ROW($W$3),ROW()-23)):INDEX($W:$W,ROW()))</f>
        <v>48.291666666666664</v>
      </c>
      <c r="Y61" s="44">
        <f>_xlfn.STDEV.S(INDEX($W:$W,MAX(ROW($W$3),ROW()-23)):INDEX($W:$W,ROW()))</f>
        <v>36.733445448157376</v>
      </c>
      <c r="Z61" s="44">
        <f t="shared" si="2"/>
        <v>0.34596083156067819</v>
      </c>
      <c r="AA61" s="40" t="b">
        <f t="shared" si="0"/>
        <v>0</v>
      </c>
    </row>
    <row r="62" spans="1:27" x14ac:dyDescent="0.3">
      <c r="A62" s="32">
        <v>60</v>
      </c>
      <c r="B62" s="33">
        <v>40546</v>
      </c>
      <c r="C62" s="40" t="str">
        <f t="shared" si="3"/>
        <v>Monday</v>
      </c>
      <c r="D62" s="28">
        <v>14</v>
      </c>
      <c r="E62" s="40" t="str" cm="1">
        <f t="array" ref="E62">_xlfn.IFS(D62&gt;=21,"Night",D62&gt;=17,"Evening",D62&gt;=12,"Midday",D62&gt;=6,"Morning", TRUE, "Night")</f>
        <v>Midday</v>
      </c>
      <c r="F62" s="28">
        <v>1</v>
      </c>
      <c r="G62" s="28">
        <v>0</v>
      </c>
      <c r="H62" s="28">
        <v>1</v>
      </c>
      <c r="I62" s="28">
        <v>1</v>
      </c>
      <c r="J62" s="40" t="str">
        <f t="shared" si="4"/>
        <v>Weekday</v>
      </c>
      <c r="K62" s="28" t="b">
        <v>0</v>
      </c>
      <c r="L62" s="28">
        <v>1</v>
      </c>
      <c r="M62" s="40" t="str" cm="1">
        <f t="array" ref="M62">_xlfn.IFS(L62=1,"Clear / Partly Cloudy",L62=2,"Mist / Cloudy",L62=3,"Light Snow / Rain",L62=4,"Heavy Precipitation")</f>
        <v>Clear / Partly Cloudy</v>
      </c>
      <c r="N62" s="28">
        <v>0.26</v>
      </c>
      <c r="O62" s="28" t="str">
        <f t="shared" si="5"/>
        <v>Mild</v>
      </c>
      <c r="P62" s="28">
        <v>0.2424</v>
      </c>
      <c r="Q62" s="38">
        <f t="shared" si="1"/>
        <v>0.2424</v>
      </c>
      <c r="R62" s="28">
        <v>0.3</v>
      </c>
      <c r="S62" s="28">
        <v>0.28360000000000002</v>
      </c>
      <c r="T62" s="40" t="str" cm="1">
        <f t="array" ref="T62">_xlfn.IFS(S62*18.6&lt;2,"Calm",S62*18.6&lt;6,"Light Breeze",S62*18.6&lt;14,"Gale",TRUE,"Extreme Storm")</f>
        <v>Light Breeze</v>
      </c>
      <c r="U62" s="28">
        <v>11</v>
      </c>
      <c r="V62" s="28">
        <v>66</v>
      </c>
      <c r="W62" s="28">
        <v>77</v>
      </c>
      <c r="X62" s="44">
        <f>AVERAGE(INDEX($W:$W,MAX(ROW($W$3),ROW()-23)):INDEX($W:$W,ROW()))</f>
        <v>47.625</v>
      </c>
      <c r="Y62" s="44">
        <f>_xlfn.STDEV.S(INDEX($W:$W,MAX(ROW($W$3),ROW()-23)):INDEX($W:$W,ROW()))</f>
        <v>36.025127100521047</v>
      </c>
      <c r="Z62" s="44">
        <f t="shared" si="2"/>
        <v>0.81540309123781374</v>
      </c>
      <c r="AA62" s="40" t="b">
        <f t="shared" si="0"/>
        <v>0</v>
      </c>
    </row>
    <row r="63" spans="1:27" x14ac:dyDescent="0.3">
      <c r="A63" s="32">
        <v>61</v>
      </c>
      <c r="B63" s="33">
        <v>40546</v>
      </c>
      <c r="C63" s="40" t="str">
        <f t="shared" si="3"/>
        <v>Monday</v>
      </c>
      <c r="D63" s="28">
        <v>15</v>
      </c>
      <c r="E63" s="40" t="str" cm="1">
        <f t="array" ref="E63">_xlfn.IFS(D63&gt;=21,"Night",D63&gt;=17,"Evening",D63&gt;=12,"Midday",D63&gt;=6,"Morning", TRUE, "Night")</f>
        <v>Midday</v>
      </c>
      <c r="F63" s="28">
        <v>1</v>
      </c>
      <c r="G63" s="28">
        <v>0</v>
      </c>
      <c r="H63" s="28">
        <v>1</v>
      </c>
      <c r="I63" s="28">
        <v>1</v>
      </c>
      <c r="J63" s="40" t="str">
        <f t="shared" si="4"/>
        <v>Weekday</v>
      </c>
      <c r="K63" s="28" t="b">
        <v>0</v>
      </c>
      <c r="L63" s="28">
        <v>1</v>
      </c>
      <c r="M63" s="40" t="str" cm="1">
        <f t="array" ref="M63">_xlfn.IFS(L63=1,"Clear / Partly Cloudy",L63=2,"Mist / Cloudy",L63=3,"Light Snow / Rain",L63=4,"Heavy Precipitation")</f>
        <v>Clear / Partly Cloudy</v>
      </c>
      <c r="N63" s="28">
        <v>0.26</v>
      </c>
      <c r="O63" s="28" t="str">
        <f t="shared" si="5"/>
        <v>Mild</v>
      </c>
      <c r="P63" s="28">
        <v>0.2424</v>
      </c>
      <c r="Q63" s="38">
        <f t="shared" si="1"/>
        <v>0.2424</v>
      </c>
      <c r="R63" s="28">
        <v>0.3</v>
      </c>
      <c r="S63" s="28">
        <v>0.25369999999999998</v>
      </c>
      <c r="T63" s="40" t="str" cm="1">
        <f t="array" ref="T63">_xlfn.IFS(S63*18.6&lt;2,"Calm",S63*18.6&lt;6,"Light Breeze",S63*18.6&lt;14,"Gale",TRUE,"Extreme Storm")</f>
        <v>Light Breeze</v>
      </c>
      <c r="U63" s="28">
        <v>14</v>
      </c>
      <c r="V63" s="28">
        <v>58</v>
      </c>
      <c r="W63" s="28">
        <v>72</v>
      </c>
      <c r="X63" s="44">
        <f>AVERAGE(INDEX($W:$W,MAX(ROW($W$3),ROW()-23)):INDEX($W:$W,ROW()))</f>
        <v>47.5</v>
      </c>
      <c r="Y63" s="44">
        <f>_xlfn.STDEV.S(INDEX($W:$W,MAX(ROW($W$3),ROW()-23)):INDEX($W:$W,ROW()))</f>
        <v>35.931093474327632</v>
      </c>
      <c r="Z63" s="44">
        <f t="shared" si="2"/>
        <v>0.68186068474384109</v>
      </c>
      <c r="AA63" s="40" t="b">
        <f t="shared" si="0"/>
        <v>0</v>
      </c>
    </row>
    <row r="64" spans="1:27" x14ac:dyDescent="0.3">
      <c r="A64" s="32">
        <v>62</v>
      </c>
      <c r="B64" s="33">
        <v>40546</v>
      </c>
      <c r="C64" s="40" t="str">
        <f t="shared" si="3"/>
        <v>Monday</v>
      </c>
      <c r="D64" s="28">
        <v>16</v>
      </c>
      <c r="E64" s="40" t="str" cm="1">
        <f t="array" ref="E64">_xlfn.IFS(D64&gt;=21,"Night",D64&gt;=17,"Evening",D64&gt;=12,"Midday",D64&gt;=6,"Morning", TRUE, "Night")</f>
        <v>Midday</v>
      </c>
      <c r="F64" s="28">
        <v>1</v>
      </c>
      <c r="G64" s="28">
        <v>0</v>
      </c>
      <c r="H64" s="28">
        <v>1</v>
      </c>
      <c r="I64" s="28">
        <v>1</v>
      </c>
      <c r="J64" s="40" t="str">
        <f t="shared" si="4"/>
        <v>Weekday</v>
      </c>
      <c r="K64" s="28" t="b">
        <v>0</v>
      </c>
      <c r="L64" s="28">
        <v>1</v>
      </c>
      <c r="M64" s="40" t="str" cm="1">
        <f t="array" ref="M64">_xlfn.IFS(L64=1,"Clear / Partly Cloudy",L64=2,"Mist / Cloudy",L64=3,"Light Snow / Rain",L64=4,"Heavy Precipitation")</f>
        <v>Clear / Partly Cloudy</v>
      </c>
      <c r="N64" s="28">
        <v>0.26</v>
      </c>
      <c r="O64" s="28" t="str">
        <f t="shared" si="5"/>
        <v>Mild</v>
      </c>
      <c r="P64" s="28">
        <v>0.2424</v>
      </c>
      <c r="Q64" s="38">
        <f t="shared" si="1"/>
        <v>0.2424</v>
      </c>
      <c r="R64" s="28">
        <v>0.3</v>
      </c>
      <c r="S64" s="28">
        <v>0.25369999999999998</v>
      </c>
      <c r="T64" s="40" t="str" cm="1">
        <f t="array" ref="T64">_xlfn.IFS(S64*18.6&lt;2,"Calm",S64*18.6&lt;6,"Light Breeze",S64*18.6&lt;14,"Gale",TRUE,"Extreme Storm")</f>
        <v>Light Breeze</v>
      </c>
      <c r="U64" s="28">
        <v>9</v>
      </c>
      <c r="V64" s="28">
        <v>67</v>
      </c>
      <c r="W64" s="28">
        <v>76</v>
      </c>
      <c r="X64" s="44">
        <f>AVERAGE(INDEX($W:$W,MAX(ROW($W$3),ROW()-23)):INDEX($W:$W,ROW()))</f>
        <v>48.208333333333336</v>
      </c>
      <c r="Y64" s="44">
        <f>_xlfn.STDEV.S(INDEX($W:$W,MAX(ROW($W$3),ROW()-23)):INDEX($W:$W,ROW()))</f>
        <v>36.332975998774671</v>
      </c>
      <c r="Z64" s="44">
        <f t="shared" si="2"/>
        <v>0.76491577974796054</v>
      </c>
      <c r="AA64" s="40" t="b">
        <f t="shared" si="0"/>
        <v>0</v>
      </c>
    </row>
    <row r="65" spans="1:27" x14ac:dyDescent="0.3">
      <c r="A65" s="32">
        <v>63</v>
      </c>
      <c r="B65" s="33">
        <v>40546</v>
      </c>
      <c r="C65" s="40" t="str">
        <f t="shared" si="3"/>
        <v>Monday</v>
      </c>
      <c r="D65" s="28">
        <v>17</v>
      </c>
      <c r="E65" s="40" t="str" cm="1">
        <f t="array" ref="E65">_xlfn.IFS(D65&gt;=21,"Night",D65&gt;=17,"Evening",D65&gt;=12,"Midday",D65&gt;=6,"Morning", TRUE, "Night")</f>
        <v>Evening</v>
      </c>
      <c r="F65" s="28">
        <v>1</v>
      </c>
      <c r="G65" s="28">
        <v>0</v>
      </c>
      <c r="H65" s="28">
        <v>1</v>
      </c>
      <c r="I65" s="28">
        <v>1</v>
      </c>
      <c r="J65" s="40" t="str">
        <f t="shared" si="4"/>
        <v>Weekday</v>
      </c>
      <c r="K65" s="28" t="b">
        <v>0</v>
      </c>
      <c r="L65" s="28">
        <v>1</v>
      </c>
      <c r="M65" s="40" t="str" cm="1">
        <f t="array" ref="M65">_xlfn.IFS(L65=1,"Clear / Partly Cloudy",L65=2,"Mist / Cloudy",L65=3,"Light Snow / Rain",L65=4,"Heavy Precipitation")</f>
        <v>Clear / Partly Cloudy</v>
      </c>
      <c r="N65" s="28">
        <v>0.24</v>
      </c>
      <c r="O65" s="28" t="str">
        <f t="shared" si="5"/>
        <v>Mild</v>
      </c>
      <c r="P65" s="28">
        <v>0.2273</v>
      </c>
      <c r="Q65" s="38">
        <f t="shared" si="1"/>
        <v>0.2273</v>
      </c>
      <c r="R65" s="28">
        <v>0.3</v>
      </c>
      <c r="S65" s="28">
        <v>0.22389999999999999</v>
      </c>
      <c r="T65" s="40" t="str" cm="1">
        <f t="array" ref="T65">_xlfn.IFS(S65*18.6&lt;2,"Calm",S65*18.6&lt;6,"Light Breeze",S65*18.6&lt;14,"Gale",TRUE,"Extreme Storm")</f>
        <v>Light Breeze</v>
      </c>
      <c r="U65" s="28">
        <v>11</v>
      </c>
      <c r="V65" s="28">
        <v>146</v>
      </c>
      <c r="W65" s="28">
        <v>157</v>
      </c>
      <c r="X65" s="44">
        <f>AVERAGE(INDEX($W:$W,MAX(ROW($W$3),ROW()-23)):INDEX($W:$W,ROW()))</f>
        <v>51.666666666666664</v>
      </c>
      <c r="Y65" s="44">
        <f>_xlfn.STDEV.S(INDEX($W:$W,MAX(ROW($W$3),ROW()-23)):INDEX($W:$W,ROW()))</f>
        <v>42.347082099228992</v>
      </c>
      <c r="Z65" s="44">
        <f t="shared" si="2"/>
        <v>2.4873811396618311</v>
      </c>
      <c r="AA65" s="40" t="b">
        <f t="shared" si="0"/>
        <v>0</v>
      </c>
    </row>
    <row r="66" spans="1:27" x14ac:dyDescent="0.3">
      <c r="A66" s="32">
        <v>64</v>
      </c>
      <c r="B66" s="33">
        <v>40546</v>
      </c>
      <c r="C66" s="40" t="str">
        <f t="shared" si="3"/>
        <v>Monday</v>
      </c>
      <c r="D66" s="28">
        <v>18</v>
      </c>
      <c r="E66" s="40" t="str" cm="1">
        <f t="array" ref="E66">_xlfn.IFS(D66&gt;=21,"Night",D66&gt;=17,"Evening",D66&gt;=12,"Midday",D66&gt;=6,"Morning", TRUE, "Night")</f>
        <v>Evening</v>
      </c>
      <c r="F66" s="28">
        <v>1</v>
      </c>
      <c r="G66" s="28">
        <v>0</v>
      </c>
      <c r="H66" s="28">
        <v>1</v>
      </c>
      <c r="I66" s="28">
        <v>1</v>
      </c>
      <c r="J66" s="40" t="str">
        <f t="shared" si="4"/>
        <v>Weekday</v>
      </c>
      <c r="K66" s="28" t="b">
        <v>0</v>
      </c>
      <c r="L66" s="28">
        <v>1</v>
      </c>
      <c r="M66" s="40" t="str" cm="1">
        <f t="array" ref="M66">_xlfn.IFS(L66=1,"Clear / Partly Cloudy",L66=2,"Mist / Cloudy",L66=3,"Light Snow / Rain",L66=4,"Heavy Precipitation")</f>
        <v>Clear / Partly Cloudy</v>
      </c>
      <c r="N66" s="28">
        <v>0.24</v>
      </c>
      <c r="O66" s="28" t="str">
        <f t="shared" si="5"/>
        <v>Mild</v>
      </c>
      <c r="P66" s="28">
        <v>0.2576</v>
      </c>
      <c r="Q66" s="38">
        <f t="shared" si="1"/>
        <v>0.2576</v>
      </c>
      <c r="R66" s="28">
        <v>0.32</v>
      </c>
      <c r="S66" s="28">
        <v>0.1045</v>
      </c>
      <c r="T66" s="40" t="str" cm="1">
        <f t="array" ref="T66">_xlfn.IFS(S66*18.6&lt;2,"Calm",S66*18.6&lt;6,"Light Breeze",S66*18.6&lt;14,"Gale",TRUE,"Extreme Storm")</f>
        <v>Calm</v>
      </c>
      <c r="U66" s="28">
        <v>9</v>
      </c>
      <c r="V66" s="28">
        <v>148</v>
      </c>
      <c r="W66" s="28">
        <v>157</v>
      </c>
      <c r="X66" s="44">
        <f>AVERAGE(INDEX($W:$W,MAX(ROW($W$3),ROW()-23)):INDEX($W:$W,ROW()))</f>
        <v>55.041666666666664</v>
      </c>
      <c r="Y66" s="44">
        <f>_xlfn.STDEV.S(INDEX($W:$W,MAX(ROW($W$3),ROW()-23)):INDEX($W:$W,ROW()))</f>
        <v>47.30794506916007</v>
      </c>
      <c r="Z66" s="44">
        <f t="shared" si="2"/>
        <v>2.1552052870670919</v>
      </c>
      <c r="AA66" s="40" t="b">
        <f t="shared" si="0"/>
        <v>0</v>
      </c>
    </row>
    <row r="67" spans="1:27" x14ac:dyDescent="0.3">
      <c r="A67" s="32">
        <v>65</v>
      </c>
      <c r="B67" s="33">
        <v>40546</v>
      </c>
      <c r="C67" s="40" t="str">
        <f t="shared" si="3"/>
        <v>Monday</v>
      </c>
      <c r="D67" s="28">
        <v>19</v>
      </c>
      <c r="E67" s="40" t="str" cm="1">
        <f t="array" ref="E67">_xlfn.IFS(D67&gt;=21,"Night",D67&gt;=17,"Evening",D67&gt;=12,"Midday",D67&gt;=6,"Morning", TRUE, "Night")</f>
        <v>Evening</v>
      </c>
      <c r="F67" s="28">
        <v>1</v>
      </c>
      <c r="G67" s="28">
        <v>0</v>
      </c>
      <c r="H67" s="28">
        <v>1</v>
      </c>
      <c r="I67" s="28">
        <v>1</v>
      </c>
      <c r="J67" s="40" t="str">
        <f t="shared" si="4"/>
        <v>Weekday</v>
      </c>
      <c r="K67" s="28" t="b">
        <v>0</v>
      </c>
      <c r="L67" s="28">
        <v>1</v>
      </c>
      <c r="M67" s="40" t="str" cm="1">
        <f t="array" ref="M67">_xlfn.IFS(L67=1,"Clear / Partly Cloudy",L67=2,"Mist / Cloudy",L67=3,"Light Snow / Rain",L67=4,"Heavy Precipitation")</f>
        <v>Clear / Partly Cloudy</v>
      </c>
      <c r="N67" s="28">
        <v>0.2</v>
      </c>
      <c r="O67" s="28" t="str">
        <f t="shared" si="5"/>
        <v>Mild</v>
      </c>
      <c r="P67" s="28">
        <v>0.2576</v>
      </c>
      <c r="Q67" s="38">
        <f t="shared" si="1"/>
        <v>0.2576</v>
      </c>
      <c r="R67" s="28">
        <v>0.47</v>
      </c>
      <c r="S67" s="28">
        <v>0</v>
      </c>
      <c r="T67" s="40" t="str" cm="1">
        <f t="array" ref="T67">_xlfn.IFS(S67*18.6&lt;2,"Calm",S67*18.6&lt;6,"Light Breeze",S67*18.6&lt;14,"Gale",TRUE,"Extreme Storm")</f>
        <v>Calm</v>
      </c>
      <c r="U67" s="28">
        <v>8</v>
      </c>
      <c r="V67" s="28">
        <v>102</v>
      </c>
      <c r="W67" s="28">
        <v>110</v>
      </c>
      <c r="X67" s="44">
        <f>AVERAGE(INDEX($W:$W,MAX(ROW($W$3),ROW()-23)):INDEX($W:$W,ROW()))</f>
        <v>56.916666666666664</v>
      </c>
      <c r="Y67" s="44">
        <f>_xlfn.STDEV.S(INDEX($W:$W,MAX(ROW($W$3),ROW()-23)):INDEX($W:$W,ROW()))</f>
        <v>48.594074309230486</v>
      </c>
      <c r="Z67" s="44">
        <f t="shared" si="2"/>
        <v>1.0923828488950167</v>
      </c>
      <c r="AA67" s="40" t="b">
        <f t="shared" ref="AA67:AA130" si="6">IF(ABS(Z67)&gt;=3,TRUE,FALSE)</f>
        <v>0</v>
      </c>
    </row>
    <row r="68" spans="1:27" ht="22.8" x14ac:dyDescent="0.3">
      <c r="A68" s="32">
        <v>66</v>
      </c>
      <c r="B68" s="33">
        <v>40546</v>
      </c>
      <c r="C68" s="40" t="str">
        <f t="shared" si="3"/>
        <v>Monday</v>
      </c>
      <c r="D68" s="28">
        <v>20</v>
      </c>
      <c r="E68" s="40" t="str" cm="1">
        <f t="array" ref="E68">_xlfn.IFS(D68&gt;=21,"Night",D68&gt;=17,"Evening",D68&gt;=12,"Midday",D68&gt;=6,"Morning", TRUE, "Night")</f>
        <v>Evening</v>
      </c>
      <c r="F68" s="28">
        <v>1</v>
      </c>
      <c r="G68" s="28">
        <v>0</v>
      </c>
      <c r="H68" s="28">
        <v>1</v>
      </c>
      <c r="I68" s="28">
        <v>1</v>
      </c>
      <c r="J68" s="40" t="str">
        <f t="shared" si="4"/>
        <v>Weekday</v>
      </c>
      <c r="K68" s="28" t="b">
        <v>0</v>
      </c>
      <c r="L68" s="28">
        <v>1</v>
      </c>
      <c r="M68" s="40" t="str" cm="1">
        <f t="array" ref="M68">_xlfn.IFS(L68=1,"Clear / Partly Cloudy",L68=2,"Mist / Cloudy",L68=3,"Light Snow / Rain",L68=4,"Heavy Precipitation")</f>
        <v>Clear / Partly Cloudy</v>
      </c>
      <c r="N68" s="28">
        <v>0.2</v>
      </c>
      <c r="O68" s="28" t="str">
        <f t="shared" si="5"/>
        <v>Mild</v>
      </c>
      <c r="P68" s="48">
        <v>4.2139806688624423E-2</v>
      </c>
      <c r="Q68" s="47">
        <f t="shared" ref="Q68:Q131" si="7">IF(P68="", AVERAGE($P$3:$P$1002), P68)</f>
        <v>4.2139806688624423E-2</v>
      </c>
      <c r="R68" s="28">
        <v>0.47</v>
      </c>
      <c r="S68" s="28">
        <v>0.1045</v>
      </c>
      <c r="T68" s="40" t="str" cm="1">
        <f t="array" ref="T68">_xlfn.IFS(S68*18.6&lt;2,"Calm",S68*18.6&lt;6,"Light Breeze",S68*18.6&lt;14,"Gale",TRUE,"Extreme Storm")</f>
        <v>Calm</v>
      </c>
      <c r="U68" s="28">
        <v>3</v>
      </c>
      <c r="V68" s="28">
        <v>49</v>
      </c>
      <c r="W68" s="28">
        <v>52</v>
      </c>
      <c r="X68" s="44">
        <f>AVERAGE(INDEX($W:$W,MAX(ROW($W$3),ROW()-23)):INDEX($W:$W,ROW()))</f>
        <v>56.875</v>
      </c>
      <c r="Y68" s="44">
        <f>_xlfn.STDEV.S(INDEX($W:$W,MAX(ROW($W$3),ROW()-23)):INDEX($W:$W,ROW()))</f>
        <v>48.598007205520538</v>
      </c>
      <c r="Z68" s="44">
        <f t="shared" ref="Z68:Z131" si="8">IFERROR((W68-X68)/Y68,0)</f>
        <v>-0.10031275519968687</v>
      </c>
      <c r="AA68" s="40" t="b">
        <f t="shared" si="6"/>
        <v>0</v>
      </c>
    </row>
    <row r="69" spans="1:27" x14ac:dyDescent="0.3">
      <c r="A69" s="32">
        <v>67</v>
      </c>
      <c r="B69" s="33">
        <v>40546</v>
      </c>
      <c r="C69" s="40" t="str">
        <f t="shared" ref="C69:C132" si="9">TEXT(B69,"dddd")</f>
        <v>Monday</v>
      </c>
      <c r="D69" s="28">
        <v>21</v>
      </c>
      <c r="E69" s="40" t="str" cm="1">
        <f t="array" ref="E69">_xlfn.IFS(D69&gt;=21,"Night",D69&gt;=17,"Evening",D69&gt;=12,"Midday",D69&gt;=6,"Morning", TRUE, "Night")</f>
        <v>Night</v>
      </c>
      <c r="F69" s="28">
        <v>1</v>
      </c>
      <c r="G69" s="28">
        <v>0</v>
      </c>
      <c r="H69" s="28">
        <v>1</v>
      </c>
      <c r="I69" s="28">
        <v>1</v>
      </c>
      <c r="J69" s="40" t="str">
        <f t="shared" ref="J69:J132" si="10">IF(OR(I69="Saturday", I69="Sunday"), "Weekend", "Weekday")</f>
        <v>Weekday</v>
      </c>
      <c r="K69" s="28" t="b">
        <v>0</v>
      </c>
      <c r="L69" s="28">
        <v>1</v>
      </c>
      <c r="M69" s="40" t="str" cm="1">
        <f t="array" ref="M69">_xlfn.IFS(L69=1,"Clear / Partly Cloudy",L69=2,"Mist / Cloudy",L69=3,"Light Snow / Rain",L69=4,"Heavy Precipitation")</f>
        <v>Clear / Partly Cloudy</v>
      </c>
      <c r="N69" s="28">
        <v>0.18</v>
      </c>
      <c r="O69" s="28" t="str">
        <f t="shared" ref="O69:O132" si="11">IF(N69&lt;0.2,"Cold",IF(N69&lt;0.6,"Mild","Hot"))</f>
        <v>Cold</v>
      </c>
      <c r="P69" s="28">
        <v>0.19700000000000001</v>
      </c>
      <c r="Q69" s="38">
        <f t="shared" si="7"/>
        <v>0.19700000000000001</v>
      </c>
      <c r="R69" s="28">
        <v>0.64</v>
      </c>
      <c r="S69" s="28">
        <v>0.1343</v>
      </c>
      <c r="T69" s="40" t="str" cm="1">
        <f t="array" ref="T69">_xlfn.IFS(S69*18.6&lt;2,"Calm",S69*18.6&lt;6,"Light Breeze",S69*18.6&lt;14,"Gale",TRUE,"Extreme Storm")</f>
        <v>Light Breeze</v>
      </c>
      <c r="U69" s="28">
        <v>3</v>
      </c>
      <c r="V69" s="28">
        <v>49</v>
      </c>
      <c r="W69" s="28">
        <v>52</v>
      </c>
      <c r="X69" s="44">
        <f>AVERAGE(INDEX($W:$W,MAX(ROW($W$3),ROW()-23)):INDEX($W:$W,ROW()))</f>
        <v>57.791666666666664</v>
      </c>
      <c r="Y69" s="44">
        <f>_xlfn.STDEV.S(INDEX($W:$W,MAX(ROW($W$3),ROW()-23)):INDEX($W:$W,ROW()))</f>
        <v>48.275458853709836</v>
      </c>
      <c r="Z69" s="44">
        <f t="shared" si="8"/>
        <v>-0.11997124013294781</v>
      </c>
      <c r="AA69" s="40" t="b">
        <f t="shared" si="6"/>
        <v>0</v>
      </c>
    </row>
    <row r="70" spans="1:27" x14ac:dyDescent="0.3">
      <c r="A70" s="32">
        <v>68</v>
      </c>
      <c r="B70" s="33">
        <v>40546</v>
      </c>
      <c r="C70" s="40" t="str">
        <f t="shared" si="9"/>
        <v>Monday</v>
      </c>
      <c r="D70" s="28">
        <v>22</v>
      </c>
      <c r="E70" s="40" t="str" cm="1">
        <f t="array" ref="E70">_xlfn.IFS(D70&gt;=21,"Night",D70&gt;=17,"Evening",D70&gt;=12,"Midday",D70&gt;=6,"Morning", TRUE, "Night")</f>
        <v>Night</v>
      </c>
      <c r="F70" s="28">
        <v>1</v>
      </c>
      <c r="G70" s="28">
        <v>0</v>
      </c>
      <c r="H70" s="28">
        <v>1</v>
      </c>
      <c r="I70" s="28">
        <v>1</v>
      </c>
      <c r="J70" s="40" t="str">
        <f t="shared" si="10"/>
        <v>Weekday</v>
      </c>
      <c r="K70" s="28" t="b">
        <v>0</v>
      </c>
      <c r="L70" s="28">
        <v>1</v>
      </c>
      <c r="M70" s="40" t="str" cm="1">
        <f t="array" ref="M70">_xlfn.IFS(L70=1,"Clear / Partly Cloudy",L70=2,"Mist / Cloudy",L70=3,"Light Snow / Rain",L70=4,"Heavy Precipitation")</f>
        <v>Clear / Partly Cloudy</v>
      </c>
      <c r="N70" s="28">
        <v>0.14000000000000001</v>
      </c>
      <c r="O70" s="28" t="str">
        <f t="shared" si="11"/>
        <v>Cold</v>
      </c>
      <c r="P70" s="28">
        <v>0.1515</v>
      </c>
      <c r="Q70" s="38">
        <f t="shared" si="7"/>
        <v>0.1515</v>
      </c>
      <c r="R70" s="28">
        <v>0.69</v>
      </c>
      <c r="S70" s="28">
        <v>0.1343</v>
      </c>
      <c r="T70" s="40" t="str" cm="1">
        <f t="array" ref="T70">_xlfn.IFS(S70*18.6&lt;2,"Calm",S70*18.6&lt;6,"Light Breeze",S70*18.6&lt;14,"Gale",TRUE,"Extreme Storm")</f>
        <v>Light Breeze</v>
      </c>
      <c r="U70" s="28">
        <v>0</v>
      </c>
      <c r="V70" s="28">
        <v>20</v>
      </c>
      <c r="W70" s="28">
        <v>20</v>
      </c>
      <c r="X70" s="44">
        <f>AVERAGE(INDEX($W:$W,MAX(ROW($W$3),ROW()-23)):INDEX($W:$W,ROW()))</f>
        <v>57.708333333333336</v>
      </c>
      <c r="Y70" s="44">
        <f>_xlfn.STDEV.S(INDEX($W:$W,MAX(ROW($W$3),ROW()-23)):INDEX($W:$W,ROW()))</f>
        <v>48.341609736168877</v>
      </c>
      <c r="Z70" s="44">
        <f t="shared" si="8"/>
        <v>-0.78003884312359184</v>
      </c>
      <c r="AA70" s="40" t="b">
        <f t="shared" si="6"/>
        <v>0</v>
      </c>
    </row>
    <row r="71" spans="1:27" x14ac:dyDescent="0.3">
      <c r="A71" s="32">
        <v>69</v>
      </c>
      <c r="B71" s="33">
        <v>40546</v>
      </c>
      <c r="C71" s="40" t="str">
        <f t="shared" si="9"/>
        <v>Monday</v>
      </c>
      <c r="D71" s="28">
        <v>23</v>
      </c>
      <c r="E71" s="40" t="str" cm="1">
        <f t="array" ref="E71">_xlfn.IFS(D71&gt;=21,"Night",D71&gt;=17,"Evening",D71&gt;=12,"Midday",D71&gt;=6,"Morning", TRUE, "Night")</f>
        <v>Night</v>
      </c>
      <c r="F71" s="28">
        <v>1</v>
      </c>
      <c r="G71" s="28">
        <v>0</v>
      </c>
      <c r="H71" s="28">
        <v>1</v>
      </c>
      <c r="I71" s="28">
        <v>1</v>
      </c>
      <c r="J71" s="40" t="str">
        <f t="shared" si="10"/>
        <v>Weekday</v>
      </c>
      <c r="K71" s="28" t="b">
        <v>0</v>
      </c>
      <c r="L71" s="28">
        <v>1</v>
      </c>
      <c r="M71" s="40" t="str" cm="1">
        <f t="array" ref="M71">_xlfn.IFS(L71=1,"Clear / Partly Cloudy",L71=2,"Mist / Cloudy",L71=3,"Light Snow / Rain",L71=4,"Heavy Precipitation")</f>
        <v>Clear / Partly Cloudy</v>
      </c>
      <c r="N71" s="28">
        <v>0.18</v>
      </c>
      <c r="O71" s="28" t="str">
        <f t="shared" si="11"/>
        <v>Cold</v>
      </c>
      <c r="P71" s="28">
        <v>0.21210000000000001</v>
      </c>
      <c r="Q71" s="38">
        <f t="shared" si="7"/>
        <v>0.21210000000000001</v>
      </c>
      <c r="R71" s="28">
        <v>0.55000000000000004</v>
      </c>
      <c r="S71" s="28">
        <v>0.1045</v>
      </c>
      <c r="T71" s="40" t="str" cm="1">
        <f t="array" ref="T71">_xlfn.IFS(S71*18.6&lt;2,"Calm",S71*18.6&lt;6,"Light Breeze",S71*18.6&lt;14,"Gale",TRUE,"Extreme Storm")</f>
        <v>Calm</v>
      </c>
      <c r="U71" s="28">
        <v>1</v>
      </c>
      <c r="V71" s="28">
        <v>11</v>
      </c>
      <c r="W71" s="28">
        <v>12</v>
      </c>
      <c r="X71" s="44">
        <f>AVERAGE(INDEX($W:$W,MAX(ROW($W$3),ROW()-23)):INDEX($W:$W,ROW()))</f>
        <v>56.916666666666664</v>
      </c>
      <c r="Y71" s="44">
        <f>_xlfn.STDEV.S(INDEX($W:$W,MAX(ROW($W$3),ROW()-23)):INDEX($W:$W,ROW()))</f>
        <v>48.949767212367085</v>
      </c>
      <c r="Z71" s="44">
        <f t="shared" si="8"/>
        <v>-0.91760736004723098</v>
      </c>
      <c r="AA71" s="40" t="b">
        <f t="shared" si="6"/>
        <v>0</v>
      </c>
    </row>
    <row r="72" spans="1:27" ht="22.8" x14ac:dyDescent="0.3">
      <c r="A72" s="32">
        <v>70</v>
      </c>
      <c r="B72" s="33">
        <v>40547</v>
      </c>
      <c r="C72" s="40" t="str">
        <f t="shared" si="9"/>
        <v>Tuesday</v>
      </c>
      <c r="D72" s="28">
        <v>0</v>
      </c>
      <c r="E72" s="40" t="str" cm="1">
        <f t="array" ref="E72">_xlfn.IFS(D72&gt;=21,"Night",D72&gt;=17,"Evening",D72&gt;=12,"Midday",D72&gt;=6,"Morning", TRUE, "Night")</f>
        <v>Night</v>
      </c>
      <c r="F72" s="28">
        <v>1</v>
      </c>
      <c r="G72" s="28">
        <v>0</v>
      </c>
      <c r="H72" s="28">
        <v>1</v>
      </c>
      <c r="I72" s="28">
        <v>2</v>
      </c>
      <c r="J72" s="40" t="str">
        <f t="shared" si="10"/>
        <v>Weekday</v>
      </c>
      <c r="K72" s="28" t="b">
        <v>0</v>
      </c>
      <c r="L72" s="28">
        <v>1</v>
      </c>
      <c r="M72" s="40" t="str" cm="1">
        <f t="array" ref="M72">_xlfn.IFS(L72=1,"Clear / Partly Cloudy",L72=2,"Mist / Cloudy",L72=3,"Light Snow / Rain",L72=4,"Heavy Precipitation")</f>
        <v>Clear / Partly Cloudy</v>
      </c>
      <c r="N72" s="28">
        <v>0.16</v>
      </c>
      <c r="O72" s="28" t="str">
        <f t="shared" si="11"/>
        <v>Cold</v>
      </c>
      <c r="P72" s="48">
        <v>3.3684848878146066E-2</v>
      </c>
      <c r="Q72" s="47">
        <f t="shared" si="7"/>
        <v>3.3684848878146066E-2</v>
      </c>
      <c r="R72" s="28">
        <v>0.55000000000000004</v>
      </c>
      <c r="S72" s="28">
        <v>0.1045</v>
      </c>
      <c r="T72" s="40" t="str" cm="1">
        <f t="array" ref="T72">_xlfn.IFS(S72*18.6&lt;2,"Calm",S72*18.6&lt;6,"Light Breeze",S72*18.6&lt;14,"Gale",TRUE,"Extreme Storm")</f>
        <v>Calm</v>
      </c>
      <c r="U72" s="28">
        <v>0</v>
      </c>
      <c r="V72" s="28">
        <v>5</v>
      </c>
      <c r="W72" s="28">
        <v>5</v>
      </c>
      <c r="X72" s="44">
        <f>AVERAGE(INDEX($W:$W,MAX(ROW($W$3),ROW()-23)):INDEX($W:$W,ROW()))</f>
        <v>56.75</v>
      </c>
      <c r="Y72" s="44">
        <f>_xlfn.STDEV.S(INDEX($W:$W,MAX(ROW($W$3),ROW()-23)):INDEX($W:$W,ROW()))</f>
        <v>49.126500419613251</v>
      </c>
      <c r="Z72" s="44">
        <f t="shared" si="8"/>
        <v>-1.0534029405306335</v>
      </c>
      <c r="AA72" s="40" t="b">
        <f t="shared" si="6"/>
        <v>0</v>
      </c>
    </row>
    <row r="73" spans="1:27" x14ac:dyDescent="0.3">
      <c r="A73" s="32">
        <v>71</v>
      </c>
      <c r="B73" s="33">
        <v>40547</v>
      </c>
      <c r="C73" s="40" t="str">
        <f t="shared" si="9"/>
        <v>Tuesday</v>
      </c>
      <c r="D73" s="28">
        <v>1</v>
      </c>
      <c r="E73" s="40" t="str" cm="1">
        <f t="array" ref="E73">_xlfn.IFS(D73&gt;=21,"Night",D73&gt;=17,"Evening",D73&gt;=12,"Midday",D73&gt;=6,"Morning", TRUE, "Night")</f>
        <v>Night</v>
      </c>
      <c r="F73" s="28">
        <v>1</v>
      </c>
      <c r="G73" s="28">
        <v>0</v>
      </c>
      <c r="H73" s="28">
        <v>1</v>
      </c>
      <c r="I73" s="28">
        <v>2</v>
      </c>
      <c r="J73" s="40" t="str">
        <f t="shared" si="10"/>
        <v>Weekday</v>
      </c>
      <c r="K73" s="28" t="b">
        <v>0</v>
      </c>
      <c r="L73" s="28">
        <v>1</v>
      </c>
      <c r="M73" s="40" t="str" cm="1">
        <f t="array" ref="M73">_xlfn.IFS(L73=1,"Clear / Partly Cloudy",L73=2,"Mist / Cloudy",L73=3,"Light Snow / Rain",L73=4,"Heavy Precipitation")</f>
        <v>Clear / Partly Cloudy</v>
      </c>
      <c r="N73" s="28">
        <v>0.16</v>
      </c>
      <c r="O73" s="28" t="str">
        <f t="shared" si="11"/>
        <v>Cold</v>
      </c>
      <c r="P73" s="28">
        <v>0.18179999999999999</v>
      </c>
      <c r="Q73" s="38">
        <f t="shared" si="7"/>
        <v>0.18179999999999999</v>
      </c>
      <c r="R73" s="28">
        <v>0.59</v>
      </c>
      <c r="S73" s="28">
        <v>0.1045</v>
      </c>
      <c r="T73" s="40" t="str" cm="1">
        <f t="array" ref="T73">_xlfn.IFS(S73*18.6&lt;2,"Calm",S73*18.6&lt;6,"Light Breeze",S73*18.6&lt;14,"Gale",TRUE,"Extreme Storm")</f>
        <v>Calm</v>
      </c>
      <c r="U73" s="28">
        <v>0</v>
      </c>
      <c r="V73" s="28">
        <v>2</v>
      </c>
      <c r="W73" s="28">
        <v>2</v>
      </c>
      <c r="X73" s="44">
        <f>AVERAGE(INDEX($W:$W,MAX(ROW($W$3),ROW()-23)):INDEX($W:$W,ROW()))</f>
        <v>56.5</v>
      </c>
      <c r="Y73" s="44">
        <f>_xlfn.STDEV.S(INDEX($W:$W,MAX(ROW($W$3),ROW()-23)):INDEX($W:$W,ROW()))</f>
        <v>49.399876782102972</v>
      </c>
      <c r="Z73" s="44">
        <f t="shared" si="8"/>
        <v>-1.1032416182006499</v>
      </c>
      <c r="AA73" s="40" t="b">
        <f t="shared" si="6"/>
        <v>0</v>
      </c>
    </row>
    <row r="74" spans="1:27" x14ac:dyDescent="0.3">
      <c r="A74" s="32">
        <v>72</v>
      </c>
      <c r="B74" s="33">
        <v>40547</v>
      </c>
      <c r="C74" s="40" t="str">
        <f t="shared" si="9"/>
        <v>Tuesday</v>
      </c>
      <c r="D74" s="28">
        <v>2</v>
      </c>
      <c r="E74" s="40" t="str" cm="1">
        <f t="array" ref="E74">_xlfn.IFS(D74&gt;=21,"Night",D74&gt;=17,"Evening",D74&gt;=12,"Midday",D74&gt;=6,"Morning", TRUE, "Night")</f>
        <v>Night</v>
      </c>
      <c r="F74" s="28">
        <v>1</v>
      </c>
      <c r="G74" s="28">
        <v>0</v>
      </c>
      <c r="H74" s="28">
        <v>1</v>
      </c>
      <c r="I74" s="28">
        <v>2</v>
      </c>
      <c r="J74" s="40" t="str">
        <f t="shared" si="10"/>
        <v>Weekday</v>
      </c>
      <c r="K74" s="28" t="b">
        <v>0</v>
      </c>
      <c r="L74" s="28">
        <v>1</v>
      </c>
      <c r="M74" s="40" t="str" cm="1">
        <f t="array" ref="M74">_xlfn.IFS(L74=1,"Clear / Partly Cloudy",L74=2,"Mist / Cloudy",L74=3,"Light Snow / Rain",L74=4,"Heavy Precipitation")</f>
        <v>Clear / Partly Cloudy</v>
      </c>
      <c r="N74" s="28">
        <v>0.14000000000000001</v>
      </c>
      <c r="O74" s="28" t="str">
        <f t="shared" si="11"/>
        <v>Cold</v>
      </c>
      <c r="P74" s="28">
        <v>0.1515</v>
      </c>
      <c r="Q74" s="38">
        <f t="shared" si="7"/>
        <v>0.1515</v>
      </c>
      <c r="R74" s="28">
        <v>0.63</v>
      </c>
      <c r="S74" s="28">
        <v>0.1343</v>
      </c>
      <c r="T74" s="40" t="str" cm="1">
        <f t="array" ref="T74">_xlfn.IFS(S74*18.6&lt;2,"Calm",S74*18.6&lt;6,"Light Breeze",S74*18.6&lt;14,"Gale",TRUE,"Extreme Storm")</f>
        <v>Light Breeze</v>
      </c>
      <c r="U74" s="28">
        <v>0</v>
      </c>
      <c r="V74" s="28">
        <v>1</v>
      </c>
      <c r="W74" s="28">
        <v>1</v>
      </c>
      <c r="X74" s="44">
        <f>AVERAGE(INDEX($W:$W,MAX(ROW($W$3),ROW()-23)):INDEX($W:$W,ROW()))</f>
        <v>56.333333333333336</v>
      </c>
      <c r="Y74" s="44">
        <f>_xlfn.STDEV.S(INDEX($W:$W,MAX(ROW($W$3),ROW()-23)):INDEX($W:$W,ROW()))</f>
        <v>49.587574413676293</v>
      </c>
      <c r="Z74" s="44">
        <f t="shared" si="8"/>
        <v>-1.115870941210473</v>
      </c>
      <c r="AA74" s="40" t="b">
        <f t="shared" si="6"/>
        <v>0</v>
      </c>
    </row>
    <row r="75" spans="1:27" x14ac:dyDescent="0.3">
      <c r="A75" s="32">
        <v>73</v>
      </c>
      <c r="B75" s="33">
        <v>40547</v>
      </c>
      <c r="C75" s="40" t="str">
        <f t="shared" si="9"/>
        <v>Tuesday</v>
      </c>
      <c r="D75" s="28">
        <v>4</v>
      </c>
      <c r="E75" s="40" t="str" cm="1">
        <f t="array" ref="E75">_xlfn.IFS(D75&gt;=21,"Night",D75&gt;=17,"Evening",D75&gt;=12,"Midday",D75&gt;=6,"Morning", TRUE, "Night")</f>
        <v>Night</v>
      </c>
      <c r="F75" s="28">
        <v>1</v>
      </c>
      <c r="G75" s="28">
        <v>0</v>
      </c>
      <c r="H75" s="28">
        <v>1</v>
      </c>
      <c r="I75" s="28">
        <v>2</v>
      </c>
      <c r="J75" s="40" t="str">
        <f t="shared" si="10"/>
        <v>Weekday</v>
      </c>
      <c r="K75" s="28" t="b">
        <v>0</v>
      </c>
      <c r="L75" s="28">
        <v>1</v>
      </c>
      <c r="M75" s="40" t="str" cm="1">
        <f t="array" ref="M75">_xlfn.IFS(L75=1,"Clear / Partly Cloudy",L75=2,"Mist / Cloudy",L75=3,"Light Snow / Rain",L75=4,"Heavy Precipitation")</f>
        <v>Clear / Partly Cloudy</v>
      </c>
      <c r="N75" s="28">
        <v>0.14000000000000001</v>
      </c>
      <c r="O75" s="28" t="str">
        <f t="shared" si="11"/>
        <v>Cold</v>
      </c>
      <c r="P75" s="28">
        <v>0.18179999999999999</v>
      </c>
      <c r="Q75" s="38">
        <f t="shared" si="7"/>
        <v>0.18179999999999999</v>
      </c>
      <c r="R75" s="28">
        <v>0.63</v>
      </c>
      <c r="S75" s="28">
        <v>8.9599999999999999E-2</v>
      </c>
      <c r="T75" s="40" t="str" cm="1">
        <f t="array" ref="T75">_xlfn.IFS(S75*18.6&lt;2,"Calm",S75*18.6&lt;6,"Light Breeze",S75*18.6&lt;14,"Gale",TRUE,"Extreme Storm")</f>
        <v>Calm</v>
      </c>
      <c r="U75" s="28">
        <v>0</v>
      </c>
      <c r="V75" s="28">
        <v>2</v>
      </c>
      <c r="W75" s="28">
        <v>2</v>
      </c>
      <c r="X75" s="44">
        <f>AVERAGE(INDEX($W:$W,MAX(ROW($W$3),ROW()-23)):INDEX($W:$W,ROW()))</f>
        <v>56.333333333333336</v>
      </c>
      <c r="Y75" s="44">
        <f>_xlfn.STDEV.S(INDEX($W:$W,MAX(ROW($W$3),ROW()-23)):INDEX($W:$W,ROW()))</f>
        <v>49.587574413676293</v>
      </c>
      <c r="Z75" s="44">
        <f t="shared" si="8"/>
        <v>-1.0957045988994405</v>
      </c>
      <c r="AA75" s="40" t="b">
        <f t="shared" si="6"/>
        <v>0</v>
      </c>
    </row>
    <row r="76" spans="1:27" x14ac:dyDescent="0.3">
      <c r="A76" s="32">
        <v>74</v>
      </c>
      <c r="B76" s="33">
        <v>40547</v>
      </c>
      <c r="C76" s="40" t="str">
        <f t="shared" si="9"/>
        <v>Tuesday</v>
      </c>
      <c r="D76" s="28">
        <v>5</v>
      </c>
      <c r="E76" s="40" t="str" cm="1">
        <f t="array" ref="E76">_xlfn.IFS(D76&gt;=21,"Night",D76&gt;=17,"Evening",D76&gt;=12,"Midday",D76&gt;=6,"Morning", TRUE, "Night")</f>
        <v>Night</v>
      </c>
      <c r="F76" s="28">
        <v>1</v>
      </c>
      <c r="G76" s="28">
        <v>0</v>
      </c>
      <c r="H76" s="28">
        <v>1</v>
      </c>
      <c r="I76" s="28">
        <v>2</v>
      </c>
      <c r="J76" s="40" t="str">
        <f t="shared" si="10"/>
        <v>Weekday</v>
      </c>
      <c r="K76" s="28" t="b">
        <v>0</v>
      </c>
      <c r="L76" s="28">
        <v>1</v>
      </c>
      <c r="M76" s="40" t="str" cm="1">
        <f t="array" ref="M76">_xlfn.IFS(L76=1,"Clear / Partly Cloudy",L76=2,"Mist / Cloudy",L76=3,"Light Snow / Rain",L76=4,"Heavy Precipitation")</f>
        <v>Clear / Partly Cloudy</v>
      </c>
      <c r="N76" s="28">
        <v>0.12</v>
      </c>
      <c r="O76" s="28" t="str">
        <f t="shared" si="11"/>
        <v>Cold</v>
      </c>
      <c r="P76" s="28">
        <v>0.1515</v>
      </c>
      <c r="Q76" s="38">
        <f t="shared" si="7"/>
        <v>0.1515</v>
      </c>
      <c r="R76" s="28">
        <v>0.68</v>
      </c>
      <c r="S76" s="28">
        <v>0.1045</v>
      </c>
      <c r="T76" s="40" t="str" cm="1">
        <f t="array" ref="T76">_xlfn.IFS(S76*18.6&lt;2,"Calm",S76*18.6&lt;6,"Light Breeze",S76*18.6&lt;14,"Gale",TRUE,"Extreme Storm")</f>
        <v>Calm</v>
      </c>
      <c r="U76" s="28">
        <v>0</v>
      </c>
      <c r="V76" s="28">
        <v>4</v>
      </c>
      <c r="W76" s="28">
        <v>4</v>
      </c>
      <c r="X76" s="44">
        <f>AVERAGE(INDEX($W:$W,MAX(ROW($W$3),ROW()-23)):INDEX($W:$W,ROW()))</f>
        <v>56.458333333333336</v>
      </c>
      <c r="Y76" s="44">
        <f>_xlfn.STDEV.S(INDEX($W:$W,MAX(ROW($W$3),ROW()-23)):INDEX($W:$W,ROW()))</f>
        <v>49.445603986837781</v>
      </c>
      <c r="Z76" s="44">
        <f t="shared" si="8"/>
        <v>-1.0609301758614886</v>
      </c>
      <c r="AA76" s="40" t="b">
        <f t="shared" si="6"/>
        <v>0</v>
      </c>
    </row>
    <row r="77" spans="1:27" x14ac:dyDescent="0.3">
      <c r="A77" s="32">
        <v>75</v>
      </c>
      <c r="B77" s="33">
        <v>40547</v>
      </c>
      <c r="C77" s="40" t="str">
        <f t="shared" si="9"/>
        <v>Tuesday</v>
      </c>
      <c r="D77" s="28">
        <v>6</v>
      </c>
      <c r="E77" s="40" t="str" cm="1">
        <f t="array" ref="E77">_xlfn.IFS(D77&gt;=21,"Night",D77&gt;=17,"Evening",D77&gt;=12,"Midday",D77&gt;=6,"Morning", TRUE, "Night")</f>
        <v>Morning</v>
      </c>
      <c r="F77" s="28">
        <v>1</v>
      </c>
      <c r="G77" s="28">
        <v>0</v>
      </c>
      <c r="H77" s="28">
        <v>1</v>
      </c>
      <c r="I77" s="28">
        <v>2</v>
      </c>
      <c r="J77" s="40" t="str">
        <f t="shared" si="10"/>
        <v>Weekday</v>
      </c>
      <c r="K77" s="28" t="b">
        <v>0</v>
      </c>
      <c r="L77" s="28">
        <v>1</v>
      </c>
      <c r="M77" s="40" t="str" cm="1">
        <f t="array" ref="M77">_xlfn.IFS(L77=1,"Clear / Partly Cloudy",L77=2,"Mist / Cloudy",L77=3,"Light Snow / Rain",L77=4,"Heavy Precipitation")</f>
        <v>Clear / Partly Cloudy</v>
      </c>
      <c r="N77" s="28">
        <v>0.12</v>
      </c>
      <c r="O77" s="28" t="str">
        <f t="shared" si="11"/>
        <v>Cold</v>
      </c>
      <c r="P77" s="28">
        <v>0.1515</v>
      </c>
      <c r="Q77" s="38">
        <f t="shared" si="7"/>
        <v>0.1515</v>
      </c>
      <c r="R77" s="28">
        <v>0.74</v>
      </c>
      <c r="S77" s="28">
        <v>0.1045</v>
      </c>
      <c r="T77" s="40" t="str" cm="1">
        <f t="array" ref="T77">_xlfn.IFS(S77*18.6&lt;2,"Calm",S77*18.6&lt;6,"Light Breeze",S77*18.6&lt;14,"Gale",TRUE,"Extreme Storm")</f>
        <v>Calm</v>
      </c>
      <c r="U77" s="28">
        <v>0</v>
      </c>
      <c r="V77" s="28">
        <v>36</v>
      </c>
      <c r="W77" s="28">
        <v>36</v>
      </c>
      <c r="X77" s="44">
        <f>AVERAGE(INDEX($W:$W,MAX(ROW($W$3),ROW()-23)):INDEX($W:$W,ROW()))</f>
        <v>57.833333333333336</v>
      </c>
      <c r="Y77" s="44">
        <f>_xlfn.STDEV.S(INDEX($W:$W,MAX(ROW($W$3),ROW()-23)):INDEX($W:$W,ROW()))</f>
        <v>48.34087897122005</v>
      </c>
      <c r="Z77" s="44">
        <f t="shared" si="8"/>
        <v>-0.45165362728162028</v>
      </c>
      <c r="AA77" s="40" t="b">
        <f t="shared" si="6"/>
        <v>0</v>
      </c>
    </row>
    <row r="78" spans="1:27" x14ac:dyDescent="0.3">
      <c r="A78" s="32">
        <v>76</v>
      </c>
      <c r="B78" s="33">
        <v>40547</v>
      </c>
      <c r="C78" s="40" t="str">
        <f t="shared" si="9"/>
        <v>Tuesday</v>
      </c>
      <c r="D78" s="28">
        <v>7</v>
      </c>
      <c r="E78" s="40" t="str" cm="1">
        <f t="array" ref="E78">_xlfn.IFS(D78&gt;=21,"Night",D78&gt;=17,"Evening",D78&gt;=12,"Midday",D78&gt;=6,"Morning", TRUE, "Night")</f>
        <v>Morning</v>
      </c>
      <c r="F78" s="28">
        <v>1</v>
      </c>
      <c r="G78" s="28">
        <v>0</v>
      </c>
      <c r="H78" s="28">
        <v>1</v>
      </c>
      <c r="I78" s="28">
        <v>2</v>
      </c>
      <c r="J78" s="40" t="str">
        <f t="shared" si="10"/>
        <v>Weekday</v>
      </c>
      <c r="K78" s="28" t="b">
        <v>0</v>
      </c>
      <c r="L78" s="28">
        <v>1</v>
      </c>
      <c r="M78" s="40" t="str" cm="1">
        <f t="array" ref="M78">_xlfn.IFS(L78=1,"Clear / Partly Cloudy",L78=2,"Mist / Cloudy",L78=3,"Light Snow / Rain",L78=4,"Heavy Precipitation")</f>
        <v>Clear / Partly Cloudy</v>
      </c>
      <c r="N78" s="28">
        <v>0.12</v>
      </c>
      <c r="O78" s="28" t="str">
        <f t="shared" si="11"/>
        <v>Cold</v>
      </c>
      <c r="P78" s="28">
        <v>0.1515</v>
      </c>
      <c r="Q78" s="38">
        <f t="shared" si="7"/>
        <v>0.1515</v>
      </c>
      <c r="R78" s="28">
        <v>0.74</v>
      </c>
      <c r="S78" s="28">
        <v>0.1343</v>
      </c>
      <c r="T78" s="40" t="str" cm="1">
        <f t="array" ref="T78">_xlfn.IFS(S78*18.6&lt;2,"Calm",S78*18.6&lt;6,"Light Breeze",S78*18.6&lt;14,"Gale",TRUE,"Extreme Storm")</f>
        <v>Light Breeze</v>
      </c>
      <c r="U78" s="28">
        <v>2</v>
      </c>
      <c r="V78" s="28">
        <v>92</v>
      </c>
      <c r="W78" s="28">
        <v>94</v>
      </c>
      <c r="X78" s="44">
        <f>AVERAGE(INDEX($W:$W,MAX(ROW($W$3),ROW()-23)):INDEX($W:$W,ROW()))</f>
        <v>60.5</v>
      </c>
      <c r="Y78" s="44">
        <f>_xlfn.STDEV.S(INDEX($W:$W,MAX(ROW($W$3),ROW()-23)):INDEX($W:$W,ROW()))</f>
        <v>48.503697752358775</v>
      </c>
      <c r="Z78" s="44">
        <f t="shared" si="8"/>
        <v>0.69066899128058468</v>
      </c>
      <c r="AA78" s="40" t="b">
        <f t="shared" si="6"/>
        <v>0</v>
      </c>
    </row>
    <row r="79" spans="1:27" x14ac:dyDescent="0.3">
      <c r="A79" s="32">
        <v>77</v>
      </c>
      <c r="B79" s="33">
        <v>40547</v>
      </c>
      <c r="C79" s="40" t="str">
        <f t="shared" si="9"/>
        <v>Tuesday</v>
      </c>
      <c r="D79" s="28">
        <v>8</v>
      </c>
      <c r="E79" s="40" t="str" cm="1">
        <f t="array" ref="E79">_xlfn.IFS(D79&gt;=21,"Night",D79&gt;=17,"Evening",D79&gt;=12,"Midday",D79&gt;=6,"Morning", TRUE, "Night")</f>
        <v>Morning</v>
      </c>
      <c r="F79" s="28">
        <v>1</v>
      </c>
      <c r="G79" s="28">
        <v>0</v>
      </c>
      <c r="H79" s="28">
        <v>1</v>
      </c>
      <c r="I79" s="28">
        <v>2</v>
      </c>
      <c r="J79" s="40" t="str">
        <f t="shared" si="10"/>
        <v>Weekday</v>
      </c>
      <c r="K79" s="28" t="b">
        <v>0</v>
      </c>
      <c r="L79" s="28">
        <v>1</v>
      </c>
      <c r="M79" s="40" t="str" cm="1">
        <f t="array" ref="M79">_xlfn.IFS(L79=1,"Clear / Partly Cloudy",L79=2,"Mist / Cloudy",L79=3,"Light Snow / Rain",L79=4,"Heavy Precipitation")</f>
        <v>Clear / Partly Cloudy</v>
      </c>
      <c r="N79" s="28">
        <v>0.14000000000000001</v>
      </c>
      <c r="O79" s="28" t="str">
        <f t="shared" si="11"/>
        <v>Cold</v>
      </c>
      <c r="P79" s="28">
        <v>0.1515</v>
      </c>
      <c r="Q79" s="38">
        <f t="shared" si="7"/>
        <v>0.1515</v>
      </c>
      <c r="R79" s="28">
        <v>0.69</v>
      </c>
      <c r="S79" s="28">
        <v>0.16420000000000001</v>
      </c>
      <c r="T79" s="40" t="str" cm="1">
        <f t="array" ref="T79">_xlfn.IFS(S79*18.6&lt;2,"Calm",S79*18.6&lt;6,"Light Breeze",S79*18.6&lt;14,"Gale",TRUE,"Extreme Storm")</f>
        <v>Light Breeze</v>
      </c>
      <c r="U79" s="28">
        <v>2</v>
      </c>
      <c r="V79" s="28">
        <v>177</v>
      </c>
      <c r="W79" s="28">
        <v>179</v>
      </c>
      <c r="X79" s="44">
        <f>AVERAGE(INDEX($W:$W,MAX(ROW($W$3),ROW()-23)):INDEX($W:$W,ROW()))</f>
        <v>65.291666666666671</v>
      </c>
      <c r="Y79" s="44">
        <f>_xlfn.STDEV.S(INDEX($W:$W,MAX(ROW($W$3),ROW()-23)):INDEX($W:$W,ROW()))</f>
        <v>54.209319884304399</v>
      </c>
      <c r="Z79" s="44">
        <f t="shared" si="8"/>
        <v>2.0975790431611023</v>
      </c>
      <c r="AA79" s="40" t="b">
        <f t="shared" si="6"/>
        <v>0</v>
      </c>
    </row>
    <row r="80" spans="1:27" x14ac:dyDescent="0.3">
      <c r="A80" s="32">
        <v>78</v>
      </c>
      <c r="B80" s="33">
        <v>40547</v>
      </c>
      <c r="C80" s="40" t="str">
        <f t="shared" si="9"/>
        <v>Tuesday</v>
      </c>
      <c r="D80" s="28">
        <v>9</v>
      </c>
      <c r="E80" s="40" t="str" cm="1">
        <f t="array" ref="E80">_xlfn.IFS(D80&gt;=21,"Night",D80&gt;=17,"Evening",D80&gt;=12,"Midday",D80&gt;=6,"Morning", TRUE, "Night")</f>
        <v>Morning</v>
      </c>
      <c r="F80" s="28">
        <v>1</v>
      </c>
      <c r="G80" s="28">
        <v>0</v>
      </c>
      <c r="H80" s="28">
        <v>1</v>
      </c>
      <c r="I80" s="28">
        <v>2</v>
      </c>
      <c r="J80" s="40" t="str">
        <f t="shared" si="10"/>
        <v>Weekday</v>
      </c>
      <c r="K80" s="28" t="b">
        <v>0</v>
      </c>
      <c r="L80" s="28">
        <v>1</v>
      </c>
      <c r="M80" s="40" t="str" cm="1">
        <f t="array" ref="M80">_xlfn.IFS(L80=1,"Clear / Partly Cloudy",L80=2,"Mist / Cloudy",L80=3,"Light Snow / Rain",L80=4,"Heavy Precipitation")</f>
        <v>Clear / Partly Cloudy</v>
      </c>
      <c r="N80" s="28">
        <v>0.16</v>
      </c>
      <c r="O80" s="28" t="str">
        <f t="shared" si="11"/>
        <v>Cold</v>
      </c>
      <c r="P80" s="28">
        <v>0.1515</v>
      </c>
      <c r="Q80" s="38">
        <f t="shared" si="7"/>
        <v>0.1515</v>
      </c>
      <c r="R80" s="28">
        <v>0.64</v>
      </c>
      <c r="S80" s="28">
        <v>0.22389999999999999</v>
      </c>
      <c r="T80" s="40" t="str" cm="1">
        <f t="array" ref="T80">_xlfn.IFS(S80*18.6&lt;2,"Calm",S80*18.6&lt;6,"Light Breeze",S80*18.6&lt;14,"Gale",TRUE,"Extreme Storm")</f>
        <v>Light Breeze</v>
      </c>
      <c r="U80" s="28">
        <v>2</v>
      </c>
      <c r="V80" s="28">
        <v>98</v>
      </c>
      <c r="W80" s="28">
        <v>100</v>
      </c>
      <c r="X80" s="44">
        <f>AVERAGE(INDEX($W:$W,MAX(ROW($W$3),ROW()-23)):INDEX($W:$W,ROW()))</f>
        <v>63.041666666666664</v>
      </c>
      <c r="Y80" s="44">
        <f>_xlfn.STDEV.S(INDEX($W:$W,MAX(ROW($W$3),ROW()-23)):INDEX($W:$W,ROW()))</f>
        <v>51.416017777128275</v>
      </c>
      <c r="Z80" s="44">
        <f t="shared" si="8"/>
        <v>0.71880971983352926</v>
      </c>
      <c r="AA80" s="40" t="b">
        <f t="shared" si="6"/>
        <v>0</v>
      </c>
    </row>
    <row r="81" spans="1:27" x14ac:dyDescent="0.3">
      <c r="A81" s="32">
        <v>79</v>
      </c>
      <c r="B81" s="33">
        <v>40547</v>
      </c>
      <c r="C81" s="40" t="str">
        <f t="shared" si="9"/>
        <v>Tuesday</v>
      </c>
      <c r="D81" s="28">
        <v>10</v>
      </c>
      <c r="E81" s="40" t="str" cm="1">
        <f t="array" ref="E81">_xlfn.IFS(D81&gt;=21,"Night",D81&gt;=17,"Evening",D81&gt;=12,"Midday",D81&gt;=6,"Morning", TRUE, "Night")</f>
        <v>Morning</v>
      </c>
      <c r="F81" s="28">
        <v>1</v>
      </c>
      <c r="G81" s="28">
        <v>0</v>
      </c>
      <c r="H81" s="28">
        <v>1</v>
      </c>
      <c r="I81" s="28">
        <v>2</v>
      </c>
      <c r="J81" s="40" t="str">
        <f t="shared" si="10"/>
        <v>Weekday</v>
      </c>
      <c r="K81" s="28" t="b">
        <v>0</v>
      </c>
      <c r="L81" s="28">
        <v>2</v>
      </c>
      <c r="M81" s="40" t="str" cm="1">
        <f t="array" ref="M81">_xlfn.IFS(L81=1,"Clear / Partly Cloudy",L81=2,"Mist / Cloudy",L81=3,"Light Snow / Rain",L81=4,"Heavy Precipitation")</f>
        <v>Mist / Cloudy</v>
      </c>
      <c r="N81" s="28">
        <v>0.16</v>
      </c>
      <c r="O81" s="28" t="str">
        <f t="shared" si="11"/>
        <v>Cold</v>
      </c>
      <c r="P81" s="28">
        <v>0.13639999999999999</v>
      </c>
      <c r="Q81" s="38">
        <f t="shared" si="7"/>
        <v>0.13639999999999999</v>
      </c>
      <c r="R81" s="28">
        <v>0.69</v>
      </c>
      <c r="S81" s="28">
        <v>0.32840000000000003</v>
      </c>
      <c r="T81" s="40" t="str" cm="1">
        <f t="array" ref="T81">_xlfn.IFS(S81*18.6&lt;2,"Calm",S81*18.6&lt;6,"Light Breeze",S81*18.6&lt;14,"Gale",TRUE,"Extreme Storm")</f>
        <v>Gale</v>
      </c>
      <c r="U81" s="28">
        <v>5</v>
      </c>
      <c r="V81" s="28">
        <v>37</v>
      </c>
      <c r="W81" s="28">
        <v>42</v>
      </c>
      <c r="X81" s="44">
        <f>AVERAGE(INDEX($W:$W,MAX(ROW($W$3),ROW()-23)):INDEX($W:$W,ROW()))</f>
        <v>61.125</v>
      </c>
      <c r="Y81" s="44">
        <f>_xlfn.STDEV.S(INDEX($W:$W,MAX(ROW($W$3),ROW()-23)):INDEX($W:$W,ROW()))</f>
        <v>51.302438708031261</v>
      </c>
      <c r="Z81" s="44">
        <f t="shared" si="8"/>
        <v>-0.37278929582359271</v>
      </c>
      <c r="AA81" s="40" t="b">
        <f t="shared" si="6"/>
        <v>0</v>
      </c>
    </row>
    <row r="82" spans="1:27" x14ac:dyDescent="0.3">
      <c r="A82" s="32">
        <v>80</v>
      </c>
      <c r="B82" s="33">
        <v>40547</v>
      </c>
      <c r="C82" s="40" t="str">
        <f t="shared" si="9"/>
        <v>Tuesday</v>
      </c>
      <c r="D82" s="28">
        <v>11</v>
      </c>
      <c r="E82" s="40" t="str" cm="1">
        <f t="array" ref="E82">_xlfn.IFS(D82&gt;=21,"Night",D82&gt;=17,"Evening",D82&gt;=12,"Midday",D82&gt;=6,"Morning", TRUE, "Night")</f>
        <v>Morning</v>
      </c>
      <c r="F82" s="28">
        <v>1</v>
      </c>
      <c r="G82" s="28">
        <v>0</v>
      </c>
      <c r="H82" s="28">
        <v>1</v>
      </c>
      <c r="I82" s="28">
        <v>2</v>
      </c>
      <c r="J82" s="40" t="str">
        <f t="shared" si="10"/>
        <v>Weekday</v>
      </c>
      <c r="K82" s="28" t="b">
        <v>0</v>
      </c>
      <c r="L82" s="28">
        <v>1</v>
      </c>
      <c r="M82" s="40" t="str" cm="1">
        <f t="array" ref="M82">_xlfn.IFS(L82=1,"Clear / Partly Cloudy",L82=2,"Mist / Cloudy",L82=3,"Light Snow / Rain",L82=4,"Heavy Precipitation")</f>
        <v>Clear / Partly Cloudy</v>
      </c>
      <c r="N82" s="28">
        <v>0.22</v>
      </c>
      <c r="O82" s="28" t="str">
        <f t="shared" si="11"/>
        <v>Mild</v>
      </c>
      <c r="P82" s="28">
        <v>0.21210000000000001</v>
      </c>
      <c r="Q82" s="38">
        <f t="shared" si="7"/>
        <v>0.21210000000000001</v>
      </c>
      <c r="R82" s="28">
        <v>0.51</v>
      </c>
      <c r="S82" s="28">
        <v>0.29849999999999999</v>
      </c>
      <c r="T82" s="40" t="str" cm="1">
        <f t="array" ref="T82">_xlfn.IFS(S82*18.6&lt;2,"Calm",S82*18.6&lt;6,"Light Breeze",S82*18.6&lt;14,"Gale",TRUE,"Extreme Storm")</f>
        <v>Light Breeze</v>
      </c>
      <c r="U82" s="28">
        <v>7</v>
      </c>
      <c r="V82" s="28">
        <v>50</v>
      </c>
      <c r="W82" s="28">
        <v>57</v>
      </c>
      <c r="X82" s="44">
        <f>AVERAGE(INDEX($W:$W,MAX(ROW($W$3),ROW()-23)):INDEX($W:$W,ROW()))</f>
        <v>61.666666666666664</v>
      </c>
      <c r="Y82" s="44">
        <f>_xlfn.STDEV.S(INDEX($W:$W,MAX(ROW($W$3),ROW()-23)):INDEX($W:$W,ROW()))</f>
        <v>51.182254624096004</v>
      </c>
      <c r="Z82" s="44">
        <f t="shared" si="8"/>
        <v>-9.1177434463187018E-2</v>
      </c>
      <c r="AA82" s="40" t="b">
        <f t="shared" si="6"/>
        <v>0</v>
      </c>
    </row>
    <row r="83" spans="1:27" x14ac:dyDescent="0.3">
      <c r="A83" s="32">
        <v>81</v>
      </c>
      <c r="B83" s="33">
        <v>40547</v>
      </c>
      <c r="C83" s="40" t="str">
        <f t="shared" si="9"/>
        <v>Tuesday</v>
      </c>
      <c r="D83" s="28">
        <v>12</v>
      </c>
      <c r="E83" s="40" t="str" cm="1">
        <f t="array" ref="E83">_xlfn.IFS(D83&gt;=21,"Night",D83&gt;=17,"Evening",D83&gt;=12,"Midday",D83&gt;=6,"Morning", TRUE, "Night")</f>
        <v>Midday</v>
      </c>
      <c r="F83" s="28">
        <v>1</v>
      </c>
      <c r="G83" s="28">
        <v>0</v>
      </c>
      <c r="H83" s="28">
        <v>1</v>
      </c>
      <c r="I83" s="28">
        <v>2</v>
      </c>
      <c r="J83" s="40" t="str">
        <f t="shared" si="10"/>
        <v>Weekday</v>
      </c>
      <c r="K83" s="28" t="b">
        <v>0</v>
      </c>
      <c r="L83" s="28">
        <v>1</v>
      </c>
      <c r="M83" s="40" t="str" cm="1">
        <f t="array" ref="M83">_xlfn.IFS(L83=1,"Clear / Partly Cloudy",L83=2,"Mist / Cloudy",L83=3,"Light Snow / Rain",L83=4,"Heavy Precipitation")</f>
        <v>Clear / Partly Cloudy</v>
      </c>
      <c r="N83" s="28">
        <v>0.22</v>
      </c>
      <c r="O83" s="28" t="str">
        <f t="shared" si="11"/>
        <v>Mild</v>
      </c>
      <c r="P83" s="28">
        <v>0.2273</v>
      </c>
      <c r="Q83" s="38">
        <f t="shared" si="7"/>
        <v>0.2273</v>
      </c>
      <c r="R83" s="28">
        <v>0.51</v>
      </c>
      <c r="S83" s="28">
        <v>0.16420000000000001</v>
      </c>
      <c r="T83" s="40" t="str" cm="1">
        <f t="array" ref="T83">_xlfn.IFS(S83*18.6&lt;2,"Calm",S83*18.6&lt;6,"Light Breeze",S83*18.6&lt;14,"Gale",TRUE,"Extreme Storm")</f>
        <v>Light Breeze</v>
      </c>
      <c r="U83" s="28">
        <v>12</v>
      </c>
      <c r="V83" s="28">
        <v>66</v>
      </c>
      <c r="W83" s="28">
        <v>78</v>
      </c>
      <c r="X83" s="44">
        <f>AVERAGE(INDEX($W:$W,MAX(ROW($W$3),ROW()-23)):INDEX($W:$W,ROW()))</f>
        <v>62.791666666666664</v>
      </c>
      <c r="Y83" s="44">
        <f>_xlfn.STDEV.S(INDEX($W:$W,MAX(ROW($W$3),ROW()-23)):INDEX($W:$W,ROW()))</f>
        <v>51.234311844162868</v>
      </c>
      <c r="Z83" s="44">
        <f t="shared" si="8"/>
        <v>0.29683883292102853</v>
      </c>
      <c r="AA83" s="40" t="b">
        <f t="shared" si="6"/>
        <v>0</v>
      </c>
    </row>
    <row r="84" spans="1:27" x14ac:dyDescent="0.3">
      <c r="A84" s="32">
        <v>82</v>
      </c>
      <c r="B84" s="33">
        <v>40547</v>
      </c>
      <c r="C84" s="40" t="str">
        <f t="shared" si="9"/>
        <v>Tuesday</v>
      </c>
      <c r="D84" s="28">
        <v>13</v>
      </c>
      <c r="E84" s="40" t="str" cm="1">
        <f t="array" ref="E84">_xlfn.IFS(D84&gt;=21,"Night",D84&gt;=17,"Evening",D84&gt;=12,"Midday",D84&gt;=6,"Morning", TRUE, "Night")</f>
        <v>Midday</v>
      </c>
      <c r="F84" s="28">
        <v>1</v>
      </c>
      <c r="G84" s="28">
        <v>0</v>
      </c>
      <c r="H84" s="28">
        <v>1</v>
      </c>
      <c r="I84" s="28">
        <v>2</v>
      </c>
      <c r="J84" s="40" t="str">
        <f t="shared" si="10"/>
        <v>Weekday</v>
      </c>
      <c r="K84" s="28" t="b">
        <v>0</v>
      </c>
      <c r="L84" s="28">
        <v>1</v>
      </c>
      <c r="M84" s="40" t="str" cm="1">
        <f t="array" ref="M84">_xlfn.IFS(L84=1,"Clear / Partly Cloudy",L84=2,"Mist / Cloudy",L84=3,"Light Snow / Rain",L84=4,"Heavy Precipitation")</f>
        <v>Clear / Partly Cloudy</v>
      </c>
      <c r="N84" s="28">
        <v>0.24</v>
      </c>
      <c r="O84" s="28" t="str">
        <f t="shared" si="11"/>
        <v>Mild</v>
      </c>
      <c r="P84" s="28">
        <v>0.2273</v>
      </c>
      <c r="Q84" s="38">
        <f t="shared" si="7"/>
        <v>0.2273</v>
      </c>
      <c r="R84" s="28">
        <v>0.56000000000000005</v>
      </c>
      <c r="S84" s="28">
        <v>0.19400000000000001</v>
      </c>
      <c r="T84" s="40" t="str" cm="1">
        <f t="array" ref="T84">_xlfn.IFS(S84*18.6&lt;2,"Calm",S84*18.6&lt;6,"Light Breeze",S84*18.6&lt;14,"Gale",TRUE,"Extreme Storm")</f>
        <v>Light Breeze</v>
      </c>
      <c r="U84" s="28">
        <v>18</v>
      </c>
      <c r="V84" s="28">
        <v>79</v>
      </c>
      <c r="W84" s="28">
        <v>97</v>
      </c>
      <c r="X84" s="44">
        <f>AVERAGE(INDEX($W:$W,MAX(ROW($W$3),ROW()-23)):INDEX($W:$W,ROW()))</f>
        <v>64.291666666666671</v>
      </c>
      <c r="Y84" s="44">
        <f>_xlfn.STDEV.S(INDEX($W:$W,MAX(ROW($W$3),ROW()-23)):INDEX($W:$W,ROW()))</f>
        <v>51.704410010102173</v>
      </c>
      <c r="Z84" s="44">
        <f t="shared" si="8"/>
        <v>0.63260238975636063</v>
      </c>
      <c r="AA84" s="40" t="b">
        <f t="shared" si="6"/>
        <v>0</v>
      </c>
    </row>
    <row r="85" spans="1:27" x14ac:dyDescent="0.3">
      <c r="A85" s="32">
        <v>83</v>
      </c>
      <c r="B85" s="33">
        <v>40547</v>
      </c>
      <c r="C85" s="40" t="str">
        <f t="shared" si="9"/>
        <v>Tuesday</v>
      </c>
      <c r="D85" s="28">
        <v>14</v>
      </c>
      <c r="E85" s="40" t="str" cm="1">
        <f t="array" ref="E85">_xlfn.IFS(D85&gt;=21,"Night",D85&gt;=17,"Evening",D85&gt;=12,"Midday",D85&gt;=6,"Morning", TRUE, "Night")</f>
        <v>Midday</v>
      </c>
      <c r="F85" s="28">
        <v>1</v>
      </c>
      <c r="G85" s="28">
        <v>0</v>
      </c>
      <c r="H85" s="28">
        <v>1</v>
      </c>
      <c r="I85" s="28">
        <v>2</v>
      </c>
      <c r="J85" s="40" t="str">
        <f t="shared" si="10"/>
        <v>Weekday</v>
      </c>
      <c r="K85" s="28" t="b">
        <v>0</v>
      </c>
      <c r="L85" s="28">
        <v>1</v>
      </c>
      <c r="M85" s="40" t="str" cm="1">
        <f t="array" ref="M85">_xlfn.IFS(L85=1,"Clear / Partly Cloudy",L85=2,"Mist / Cloudy",L85=3,"Light Snow / Rain",L85=4,"Heavy Precipitation")</f>
        <v>Clear / Partly Cloudy</v>
      </c>
      <c r="N85" s="28">
        <v>0.26</v>
      </c>
      <c r="O85" s="28" t="str">
        <f t="shared" si="11"/>
        <v>Mild</v>
      </c>
      <c r="P85" s="28">
        <v>0.2576</v>
      </c>
      <c r="Q85" s="38">
        <f t="shared" si="7"/>
        <v>0.2576</v>
      </c>
      <c r="R85" s="28">
        <v>0.52</v>
      </c>
      <c r="S85" s="28">
        <v>0.22389999999999999</v>
      </c>
      <c r="T85" s="40" t="str" cm="1">
        <f t="array" ref="T85">_xlfn.IFS(S85*18.6&lt;2,"Calm",S85*18.6&lt;6,"Light Breeze",S85*18.6&lt;14,"Gale",TRUE,"Extreme Storm")</f>
        <v>Light Breeze</v>
      </c>
      <c r="U85" s="28">
        <v>9</v>
      </c>
      <c r="V85" s="28">
        <v>54</v>
      </c>
      <c r="W85" s="28">
        <v>63</v>
      </c>
      <c r="X85" s="44">
        <f>AVERAGE(INDEX($W:$W,MAX(ROW($W$3),ROW()-23)):INDEX($W:$W,ROW()))</f>
        <v>64.375</v>
      </c>
      <c r="Y85" s="44">
        <f>_xlfn.STDEV.S(INDEX($W:$W,MAX(ROW($W$3),ROW()-23)):INDEX($W:$W,ROW()))</f>
        <v>51.700485659143517</v>
      </c>
      <c r="Z85" s="44">
        <f t="shared" si="8"/>
        <v>-2.6595494848254363E-2</v>
      </c>
      <c r="AA85" s="40" t="b">
        <f t="shared" si="6"/>
        <v>0</v>
      </c>
    </row>
    <row r="86" spans="1:27" x14ac:dyDescent="0.3">
      <c r="A86" s="32">
        <v>84</v>
      </c>
      <c r="B86" s="33">
        <v>40547</v>
      </c>
      <c r="C86" s="40" t="str">
        <f t="shared" si="9"/>
        <v>Tuesday</v>
      </c>
      <c r="D86" s="28">
        <v>15</v>
      </c>
      <c r="E86" s="40" t="str" cm="1">
        <f t="array" ref="E86">_xlfn.IFS(D86&gt;=21,"Night",D86&gt;=17,"Evening",D86&gt;=12,"Midday",D86&gt;=6,"Morning", TRUE, "Night")</f>
        <v>Midday</v>
      </c>
      <c r="F86" s="28">
        <v>1</v>
      </c>
      <c r="G86" s="28">
        <v>0</v>
      </c>
      <c r="H86" s="28">
        <v>1</v>
      </c>
      <c r="I86" s="28">
        <v>2</v>
      </c>
      <c r="J86" s="40" t="str">
        <f t="shared" si="10"/>
        <v>Weekday</v>
      </c>
      <c r="K86" s="28" t="b">
        <v>0</v>
      </c>
      <c r="L86" s="28">
        <v>1</v>
      </c>
      <c r="M86" s="40" t="str" cm="1">
        <f t="array" ref="M86">_xlfn.IFS(L86=1,"Clear / Partly Cloudy",L86=2,"Mist / Cloudy",L86=3,"Light Snow / Rain",L86=4,"Heavy Precipitation")</f>
        <v>Clear / Partly Cloudy</v>
      </c>
      <c r="N86" s="28">
        <v>0.28000000000000003</v>
      </c>
      <c r="O86" s="28" t="str">
        <f t="shared" si="11"/>
        <v>Mild</v>
      </c>
      <c r="P86" s="28">
        <v>0.2727</v>
      </c>
      <c r="Q86" s="38">
        <f t="shared" si="7"/>
        <v>0.2727</v>
      </c>
      <c r="R86" s="28">
        <v>0.52</v>
      </c>
      <c r="S86" s="28">
        <v>0.25369999999999998</v>
      </c>
      <c r="T86" s="40" t="str" cm="1">
        <f t="array" ref="T86">_xlfn.IFS(S86*18.6&lt;2,"Calm",S86*18.6&lt;6,"Light Breeze",S86*18.6&lt;14,"Gale",TRUE,"Extreme Storm")</f>
        <v>Light Breeze</v>
      </c>
      <c r="U86" s="28">
        <v>17</v>
      </c>
      <c r="V86" s="28">
        <v>48</v>
      </c>
      <c r="W86" s="28">
        <v>65</v>
      </c>
      <c r="X86" s="44">
        <f>AVERAGE(INDEX($W:$W,MAX(ROW($W$3),ROW()-23)):INDEX($W:$W,ROW()))</f>
        <v>63.875</v>
      </c>
      <c r="Y86" s="44">
        <f>_xlfn.STDEV.S(INDEX($W:$W,MAX(ROW($W$3),ROW()-23)):INDEX($W:$W,ROW()))</f>
        <v>51.631059492788118</v>
      </c>
      <c r="Z86" s="44">
        <f t="shared" si="8"/>
        <v>2.1789210042399792E-2</v>
      </c>
      <c r="AA86" s="40" t="b">
        <f t="shared" si="6"/>
        <v>0</v>
      </c>
    </row>
    <row r="87" spans="1:27" x14ac:dyDescent="0.3">
      <c r="A87" s="32">
        <v>85</v>
      </c>
      <c r="B87" s="33">
        <v>40547</v>
      </c>
      <c r="C87" s="40" t="str">
        <f t="shared" si="9"/>
        <v>Tuesday</v>
      </c>
      <c r="D87" s="28">
        <v>16</v>
      </c>
      <c r="E87" s="40" t="str" cm="1">
        <f t="array" ref="E87">_xlfn.IFS(D87&gt;=21,"Night",D87&gt;=17,"Evening",D87&gt;=12,"Midday",D87&gt;=6,"Morning", TRUE, "Night")</f>
        <v>Midday</v>
      </c>
      <c r="F87" s="28">
        <v>1</v>
      </c>
      <c r="G87" s="28">
        <v>0</v>
      </c>
      <c r="H87" s="28">
        <v>1</v>
      </c>
      <c r="I87" s="28">
        <v>2</v>
      </c>
      <c r="J87" s="40" t="str">
        <f t="shared" si="10"/>
        <v>Weekday</v>
      </c>
      <c r="K87" s="28" t="b">
        <v>0</v>
      </c>
      <c r="L87" s="28">
        <v>1</v>
      </c>
      <c r="M87" s="40" t="str" cm="1">
        <f t="array" ref="M87">_xlfn.IFS(L87=1,"Clear / Partly Cloudy",L87=2,"Mist / Cloudy",L87=3,"Light Snow / Rain",L87=4,"Heavy Precipitation")</f>
        <v>Clear / Partly Cloudy</v>
      </c>
      <c r="N87" s="28">
        <v>0.3</v>
      </c>
      <c r="O87" s="28" t="str">
        <f t="shared" si="11"/>
        <v>Mild</v>
      </c>
      <c r="P87" s="28">
        <v>0.28789999999999999</v>
      </c>
      <c r="Q87" s="38">
        <f t="shared" si="7"/>
        <v>0.28789999999999999</v>
      </c>
      <c r="R87" s="28">
        <v>0.49</v>
      </c>
      <c r="S87" s="28">
        <v>0.25369999999999998</v>
      </c>
      <c r="T87" s="40" t="str" cm="1">
        <f t="array" ref="T87">_xlfn.IFS(S87*18.6&lt;2,"Calm",S87*18.6&lt;6,"Light Breeze",S87*18.6&lt;14,"Gale",TRUE,"Extreme Storm")</f>
        <v>Light Breeze</v>
      </c>
      <c r="U87" s="28">
        <v>15</v>
      </c>
      <c r="V87" s="28">
        <v>68</v>
      </c>
      <c r="W87" s="28">
        <v>83</v>
      </c>
      <c r="X87" s="44">
        <f>AVERAGE(INDEX($W:$W,MAX(ROW($W$3),ROW()-23)):INDEX($W:$W,ROW()))</f>
        <v>64.333333333333329</v>
      </c>
      <c r="Y87" s="44">
        <f>_xlfn.STDEV.S(INDEX($W:$W,MAX(ROW($W$3),ROW()-23)):INDEX($W:$W,ROW()))</f>
        <v>51.754996958215806</v>
      </c>
      <c r="Z87" s="44">
        <f t="shared" si="8"/>
        <v>0.36067370812014793</v>
      </c>
      <c r="AA87" s="40" t="b">
        <f t="shared" si="6"/>
        <v>0</v>
      </c>
    </row>
    <row r="88" spans="1:27" x14ac:dyDescent="0.3">
      <c r="A88" s="32">
        <v>86</v>
      </c>
      <c r="B88" s="33">
        <v>40547</v>
      </c>
      <c r="C88" s="40" t="str">
        <f t="shared" si="9"/>
        <v>Tuesday</v>
      </c>
      <c r="D88" s="28">
        <v>17</v>
      </c>
      <c r="E88" s="40" t="str" cm="1">
        <f t="array" ref="E88">_xlfn.IFS(D88&gt;=21,"Night",D88&gt;=17,"Evening",D88&gt;=12,"Midday",D88&gt;=6,"Morning", TRUE, "Night")</f>
        <v>Evening</v>
      </c>
      <c r="F88" s="28">
        <v>1</v>
      </c>
      <c r="G88" s="28">
        <v>0</v>
      </c>
      <c r="H88" s="28">
        <v>1</v>
      </c>
      <c r="I88" s="28">
        <v>2</v>
      </c>
      <c r="J88" s="40" t="str">
        <f t="shared" si="10"/>
        <v>Weekday</v>
      </c>
      <c r="K88" s="28" t="b">
        <v>0</v>
      </c>
      <c r="L88" s="28">
        <v>1</v>
      </c>
      <c r="M88" s="40" t="str" cm="1">
        <f t="array" ref="M88">_xlfn.IFS(L88=1,"Clear / Partly Cloudy",L88=2,"Mist / Cloudy",L88=3,"Light Snow / Rain",L88=4,"Heavy Precipitation")</f>
        <v>Clear / Partly Cloudy</v>
      </c>
      <c r="N88" s="28">
        <v>0.28000000000000003</v>
      </c>
      <c r="O88" s="28" t="str">
        <f t="shared" si="11"/>
        <v>Mild</v>
      </c>
      <c r="P88" s="28">
        <v>0.2727</v>
      </c>
      <c r="Q88" s="38">
        <f t="shared" si="7"/>
        <v>0.2727</v>
      </c>
      <c r="R88" s="28">
        <v>0.48</v>
      </c>
      <c r="S88" s="28">
        <v>0.22389999999999999</v>
      </c>
      <c r="T88" s="40" t="str" cm="1">
        <f t="array" ref="T88">_xlfn.IFS(S88*18.6&lt;2,"Calm",S88*18.6&lt;6,"Light Breeze",S88*18.6&lt;14,"Gale",TRUE,"Extreme Storm")</f>
        <v>Light Breeze</v>
      </c>
      <c r="U88" s="28">
        <v>10</v>
      </c>
      <c r="V88" s="28">
        <v>202</v>
      </c>
      <c r="W88" s="28">
        <v>212</v>
      </c>
      <c r="X88" s="44">
        <f>AVERAGE(INDEX($W:$W,MAX(ROW($W$3),ROW()-23)):INDEX($W:$W,ROW()))</f>
        <v>70</v>
      </c>
      <c r="Y88" s="44">
        <f>_xlfn.STDEV.S(INDEX($W:$W,MAX(ROW($W$3),ROW()-23)):INDEX($W:$W,ROW()))</f>
        <v>59.893383535281657</v>
      </c>
      <c r="Z88" s="44">
        <f t="shared" si="8"/>
        <v>2.3708795799848481</v>
      </c>
      <c r="AA88" s="40" t="b">
        <f t="shared" si="6"/>
        <v>0</v>
      </c>
    </row>
    <row r="89" spans="1:27" x14ac:dyDescent="0.3">
      <c r="A89" s="32">
        <v>87</v>
      </c>
      <c r="B89" s="33">
        <v>40547</v>
      </c>
      <c r="C89" s="40" t="str">
        <f t="shared" si="9"/>
        <v>Tuesday</v>
      </c>
      <c r="D89" s="28">
        <v>18</v>
      </c>
      <c r="E89" s="40" t="str" cm="1">
        <f t="array" ref="E89">_xlfn.IFS(D89&gt;=21,"Night",D89&gt;=17,"Evening",D89&gt;=12,"Midday",D89&gt;=6,"Morning", TRUE, "Night")</f>
        <v>Evening</v>
      </c>
      <c r="F89" s="28">
        <v>1</v>
      </c>
      <c r="G89" s="28">
        <v>0</v>
      </c>
      <c r="H89" s="28">
        <v>1</v>
      </c>
      <c r="I89" s="28">
        <v>2</v>
      </c>
      <c r="J89" s="40" t="str">
        <f t="shared" si="10"/>
        <v>Weekday</v>
      </c>
      <c r="K89" s="28" t="b">
        <v>0</v>
      </c>
      <c r="L89" s="28">
        <v>1</v>
      </c>
      <c r="M89" s="40" t="str" cm="1">
        <f t="array" ref="M89">_xlfn.IFS(L89=1,"Clear / Partly Cloudy",L89=2,"Mist / Cloudy",L89=3,"Light Snow / Rain",L89=4,"Heavy Precipitation")</f>
        <v>Clear / Partly Cloudy</v>
      </c>
      <c r="N89" s="28">
        <v>0.26</v>
      </c>
      <c r="O89" s="28" t="str">
        <f t="shared" si="11"/>
        <v>Mild</v>
      </c>
      <c r="P89" s="28">
        <v>0.2576</v>
      </c>
      <c r="Q89" s="38">
        <f t="shared" si="7"/>
        <v>0.2576</v>
      </c>
      <c r="R89" s="28">
        <v>0.48</v>
      </c>
      <c r="S89" s="28">
        <v>0.19400000000000001</v>
      </c>
      <c r="T89" s="40" t="str" cm="1">
        <f t="array" ref="T89">_xlfn.IFS(S89*18.6&lt;2,"Calm",S89*18.6&lt;6,"Light Breeze",S89*18.6&lt;14,"Gale",TRUE,"Extreme Storm")</f>
        <v>Light Breeze</v>
      </c>
      <c r="U89" s="28">
        <v>3</v>
      </c>
      <c r="V89" s="28">
        <v>179</v>
      </c>
      <c r="W89" s="28">
        <v>182</v>
      </c>
      <c r="X89" s="44">
        <f>AVERAGE(INDEX($W:$W,MAX(ROW($W$3),ROW()-23)):INDEX($W:$W,ROW()))</f>
        <v>71.041666666666671</v>
      </c>
      <c r="Y89" s="44">
        <f>_xlfn.STDEV.S(INDEX($W:$W,MAX(ROW($W$3),ROW()-23)):INDEX($W:$W,ROW()))</f>
        <v>61.663518329346267</v>
      </c>
      <c r="Z89" s="44">
        <f t="shared" si="8"/>
        <v>1.7994161919321943</v>
      </c>
      <c r="AA89" s="40" t="b">
        <f t="shared" si="6"/>
        <v>0</v>
      </c>
    </row>
    <row r="90" spans="1:27" x14ac:dyDescent="0.3">
      <c r="A90" s="32">
        <v>88</v>
      </c>
      <c r="B90" s="33">
        <v>40547</v>
      </c>
      <c r="C90" s="40" t="str">
        <f t="shared" si="9"/>
        <v>Tuesday</v>
      </c>
      <c r="D90" s="28">
        <v>19</v>
      </c>
      <c r="E90" s="40" t="str" cm="1">
        <f t="array" ref="E90">_xlfn.IFS(D90&gt;=21,"Night",D90&gt;=17,"Evening",D90&gt;=12,"Midday",D90&gt;=6,"Morning", TRUE, "Night")</f>
        <v>Evening</v>
      </c>
      <c r="F90" s="28">
        <v>1</v>
      </c>
      <c r="G90" s="28">
        <v>0</v>
      </c>
      <c r="H90" s="28">
        <v>1</v>
      </c>
      <c r="I90" s="28">
        <v>2</v>
      </c>
      <c r="J90" s="40" t="str">
        <f t="shared" si="10"/>
        <v>Weekday</v>
      </c>
      <c r="K90" s="28" t="b">
        <v>0</v>
      </c>
      <c r="L90" s="28">
        <v>1</v>
      </c>
      <c r="M90" s="40" t="str" cm="1">
        <f t="array" ref="M90">_xlfn.IFS(L90=1,"Clear / Partly Cloudy",L90=2,"Mist / Cloudy",L90=3,"Light Snow / Rain",L90=4,"Heavy Precipitation")</f>
        <v>Clear / Partly Cloudy</v>
      </c>
      <c r="N90" s="28">
        <v>0.24</v>
      </c>
      <c r="O90" s="28" t="str">
        <f t="shared" si="11"/>
        <v>Mild</v>
      </c>
      <c r="P90" s="28">
        <v>0.2576</v>
      </c>
      <c r="Q90" s="38">
        <f t="shared" si="7"/>
        <v>0.2576</v>
      </c>
      <c r="R90" s="28">
        <v>0.48</v>
      </c>
      <c r="S90" s="28">
        <v>0.1045</v>
      </c>
      <c r="T90" s="40" t="str" cm="1">
        <f t="array" ref="T90">_xlfn.IFS(S90*18.6&lt;2,"Calm",S90*18.6&lt;6,"Light Breeze",S90*18.6&lt;14,"Gale",TRUE,"Extreme Storm")</f>
        <v>Calm</v>
      </c>
      <c r="U90" s="28">
        <v>2</v>
      </c>
      <c r="V90" s="28">
        <v>110</v>
      </c>
      <c r="W90" s="28">
        <v>112</v>
      </c>
      <c r="X90" s="44">
        <f>AVERAGE(INDEX($W:$W,MAX(ROW($W$3),ROW()-23)):INDEX($W:$W,ROW()))</f>
        <v>69.166666666666671</v>
      </c>
      <c r="Y90" s="44">
        <f>_xlfn.STDEV.S(INDEX($W:$W,MAX(ROW($W$3),ROW()-23)):INDEX($W:$W,ROW()))</f>
        <v>59.585281715382102</v>
      </c>
      <c r="Z90" s="44">
        <f t="shared" si="8"/>
        <v>0.71885761215215982</v>
      </c>
      <c r="AA90" s="40" t="b">
        <f t="shared" si="6"/>
        <v>0</v>
      </c>
    </row>
    <row r="91" spans="1:27" x14ac:dyDescent="0.3">
      <c r="A91" s="32">
        <v>89</v>
      </c>
      <c r="B91" s="33">
        <v>40547</v>
      </c>
      <c r="C91" s="40" t="str">
        <f t="shared" si="9"/>
        <v>Tuesday</v>
      </c>
      <c r="D91" s="28">
        <v>20</v>
      </c>
      <c r="E91" s="40" t="str" cm="1">
        <f t="array" ref="E91">_xlfn.IFS(D91&gt;=21,"Night",D91&gt;=17,"Evening",D91&gt;=12,"Midday",D91&gt;=6,"Morning", TRUE, "Night")</f>
        <v>Evening</v>
      </c>
      <c r="F91" s="28">
        <v>1</v>
      </c>
      <c r="G91" s="28">
        <v>0</v>
      </c>
      <c r="H91" s="28">
        <v>1</v>
      </c>
      <c r="I91" s="28">
        <v>2</v>
      </c>
      <c r="J91" s="40" t="str">
        <f t="shared" si="10"/>
        <v>Weekday</v>
      </c>
      <c r="K91" s="28" t="b">
        <v>0</v>
      </c>
      <c r="L91" s="28">
        <v>1</v>
      </c>
      <c r="M91" s="40" t="str" cm="1">
        <f t="array" ref="M91">_xlfn.IFS(L91=1,"Clear / Partly Cloudy",L91=2,"Mist / Cloudy",L91=3,"Light Snow / Rain",L91=4,"Heavy Precipitation")</f>
        <v>Clear / Partly Cloudy</v>
      </c>
      <c r="N91" s="28">
        <v>0.24</v>
      </c>
      <c r="O91" s="28" t="str">
        <f t="shared" si="11"/>
        <v>Mild</v>
      </c>
      <c r="P91" s="28">
        <v>0.2576</v>
      </c>
      <c r="Q91" s="38">
        <f t="shared" si="7"/>
        <v>0.2576</v>
      </c>
      <c r="R91" s="28">
        <v>0.48</v>
      </c>
      <c r="S91" s="28">
        <v>0.1045</v>
      </c>
      <c r="T91" s="40" t="str" cm="1">
        <f t="array" ref="T91">_xlfn.IFS(S91*18.6&lt;2,"Calm",S91*18.6&lt;6,"Light Breeze",S91*18.6&lt;14,"Gale",TRUE,"Extreme Storm")</f>
        <v>Calm</v>
      </c>
      <c r="U91" s="28">
        <v>1</v>
      </c>
      <c r="V91" s="28">
        <v>53</v>
      </c>
      <c r="W91" s="28">
        <v>54</v>
      </c>
      <c r="X91" s="44">
        <f>AVERAGE(INDEX($W:$W,MAX(ROW($W$3),ROW()-23)):INDEX($W:$W,ROW()))</f>
        <v>66.833333333333329</v>
      </c>
      <c r="Y91" s="44">
        <f>_xlfn.STDEV.S(INDEX($W:$W,MAX(ROW($W$3),ROW()-23)):INDEX($W:$W,ROW()))</f>
        <v>59.010438771949246</v>
      </c>
      <c r="Z91" s="44">
        <f t="shared" si="8"/>
        <v>-0.21747564668903435</v>
      </c>
      <c r="AA91" s="40" t="b">
        <f t="shared" si="6"/>
        <v>0</v>
      </c>
    </row>
    <row r="92" spans="1:27" x14ac:dyDescent="0.3">
      <c r="A92" s="32">
        <v>90</v>
      </c>
      <c r="B92" s="33">
        <v>40547</v>
      </c>
      <c r="C92" s="40" t="str">
        <f t="shared" si="9"/>
        <v>Tuesday</v>
      </c>
      <c r="D92" s="28">
        <v>21</v>
      </c>
      <c r="E92" s="40" t="str" cm="1">
        <f t="array" ref="E92">_xlfn.IFS(D92&gt;=21,"Night",D92&gt;=17,"Evening",D92&gt;=12,"Midday",D92&gt;=6,"Morning", TRUE, "Night")</f>
        <v>Night</v>
      </c>
      <c r="F92" s="28">
        <v>1</v>
      </c>
      <c r="G92" s="28">
        <v>0</v>
      </c>
      <c r="H92" s="28">
        <v>1</v>
      </c>
      <c r="I92" s="28">
        <v>2</v>
      </c>
      <c r="J92" s="40" t="str">
        <f t="shared" si="10"/>
        <v>Weekday</v>
      </c>
      <c r="K92" s="28" t="b">
        <v>0</v>
      </c>
      <c r="L92" s="28">
        <v>1</v>
      </c>
      <c r="M92" s="40" t="str" cm="1">
        <f t="array" ref="M92">_xlfn.IFS(L92=1,"Clear / Partly Cloudy",L92=2,"Mist / Cloudy",L92=3,"Light Snow / Rain",L92=4,"Heavy Precipitation")</f>
        <v>Clear / Partly Cloudy</v>
      </c>
      <c r="N92" s="28">
        <v>0.22</v>
      </c>
      <c r="O92" s="28" t="str">
        <f t="shared" si="11"/>
        <v>Mild</v>
      </c>
      <c r="P92" s="28">
        <v>0.2727</v>
      </c>
      <c r="Q92" s="38">
        <f t="shared" si="7"/>
        <v>0.2727</v>
      </c>
      <c r="R92" s="28">
        <v>0.64</v>
      </c>
      <c r="S92" s="28">
        <v>0</v>
      </c>
      <c r="T92" s="40" t="str" cm="1">
        <f t="array" ref="T92">_xlfn.IFS(S92*18.6&lt;2,"Calm",S92*18.6&lt;6,"Light Breeze",S92*18.6&lt;14,"Gale",TRUE,"Extreme Storm")</f>
        <v>Calm</v>
      </c>
      <c r="U92" s="28">
        <v>0</v>
      </c>
      <c r="V92" s="28">
        <v>48</v>
      </c>
      <c r="W92" s="28">
        <v>48</v>
      </c>
      <c r="X92" s="44">
        <f>AVERAGE(INDEX($W:$W,MAX(ROW($W$3),ROW()-23)):INDEX($W:$W,ROW()))</f>
        <v>66.666666666666671</v>
      </c>
      <c r="Y92" s="44">
        <f>_xlfn.STDEV.S(INDEX($W:$W,MAX(ROW($W$3),ROW()-23)):INDEX($W:$W,ROW()))</f>
        <v>59.059783025460675</v>
      </c>
      <c r="Z92" s="44">
        <f t="shared" si="8"/>
        <v>-0.31606392218913959</v>
      </c>
      <c r="AA92" s="40" t="b">
        <f t="shared" si="6"/>
        <v>0</v>
      </c>
    </row>
    <row r="93" spans="1:27" x14ac:dyDescent="0.3">
      <c r="A93" s="32">
        <v>91</v>
      </c>
      <c r="B93" s="33">
        <v>40547</v>
      </c>
      <c r="C93" s="40" t="str">
        <f t="shared" si="9"/>
        <v>Tuesday</v>
      </c>
      <c r="D93" s="28">
        <v>22</v>
      </c>
      <c r="E93" s="40" t="str" cm="1">
        <f t="array" ref="E93">_xlfn.IFS(D93&gt;=21,"Night",D93&gt;=17,"Evening",D93&gt;=12,"Midday",D93&gt;=6,"Morning", TRUE, "Night")</f>
        <v>Night</v>
      </c>
      <c r="F93" s="28">
        <v>1</v>
      </c>
      <c r="G93" s="28">
        <v>0</v>
      </c>
      <c r="H93" s="28">
        <v>1</v>
      </c>
      <c r="I93" s="28">
        <v>2</v>
      </c>
      <c r="J93" s="40" t="str">
        <f t="shared" si="10"/>
        <v>Weekday</v>
      </c>
      <c r="K93" s="28" t="b">
        <v>0</v>
      </c>
      <c r="L93" s="28">
        <v>1</v>
      </c>
      <c r="M93" s="40" t="str" cm="1">
        <f t="array" ref="M93">_xlfn.IFS(L93=1,"Clear / Partly Cloudy",L93=2,"Mist / Cloudy",L93=3,"Light Snow / Rain",L93=4,"Heavy Precipitation")</f>
        <v>Clear / Partly Cloudy</v>
      </c>
      <c r="N93" s="28">
        <v>0.22</v>
      </c>
      <c r="O93" s="28" t="str">
        <f t="shared" si="11"/>
        <v>Mild</v>
      </c>
      <c r="P93" s="28">
        <v>0.2576</v>
      </c>
      <c r="Q93" s="38">
        <f t="shared" si="7"/>
        <v>0.2576</v>
      </c>
      <c r="R93" s="28">
        <v>0.64</v>
      </c>
      <c r="S93" s="28">
        <v>8.9599999999999999E-2</v>
      </c>
      <c r="T93" s="40" t="str" cm="1">
        <f t="array" ref="T93">_xlfn.IFS(S93*18.6&lt;2,"Calm",S93*18.6&lt;6,"Light Breeze",S93*18.6&lt;14,"Gale",TRUE,"Extreme Storm")</f>
        <v>Calm</v>
      </c>
      <c r="U93" s="28">
        <v>1</v>
      </c>
      <c r="V93" s="28">
        <v>34</v>
      </c>
      <c r="W93" s="28">
        <v>35</v>
      </c>
      <c r="X93" s="44">
        <f>AVERAGE(INDEX($W:$W,MAX(ROW($W$3),ROW()-23)):INDEX($W:$W,ROW()))</f>
        <v>65.958333333333329</v>
      </c>
      <c r="Y93" s="44">
        <f>_xlfn.STDEV.S(INDEX($W:$W,MAX(ROW($W$3),ROW()-23)):INDEX($W:$W,ROW()))</f>
        <v>59.344593663630803</v>
      </c>
      <c r="Z93" s="44">
        <f t="shared" si="8"/>
        <v>-0.52167065982130179</v>
      </c>
      <c r="AA93" s="40" t="b">
        <f t="shared" si="6"/>
        <v>0</v>
      </c>
    </row>
    <row r="94" spans="1:27" x14ac:dyDescent="0.3">
      <c r="A94" s="32">
        <v>92</v>
      </c>
      <c r="B94" s="33">
        <v>40547</v>
      </c>
      <c r="C94" s="40" t="str">
        <f t="shared" si="9"/>
        <v>Tuesday</v>
      </c>
      <c r="D94" s="28">
        <v>23</v>
      </c>
      <c r="E94" s="40" t="str" cm="1">
        <f t="array" ref="E94">_xlfn.IFS(D94&gt;=21,"Night",D94&gt;=17,"Evening",D94&gt;=12,"Midday",D94&gt;=6,"Morning", TRUE, "Night")</f>
        <v>Night</v>
      </c>
      <c r="F94" s="28">
        <v>1</v>
      </c>
      <c r="G94" s="28">
        <v>0</v>
      </c>
      <c r="H94" s="28">
        <v>1</v>
      </c>
      <c r="I94" s="28">
        <v>2</v>
      </c>
      <c r="J94" s="40" t="str">
        <f t="shared" si="10"/>
        <v>Weekday</v>
      </c>
      <c r="K94" s="28" t="b">
        <v>0</v>
      </c>
      <c r="L94" s="28">
        <v>1</v>
      </c>
      <c r="M94" s="40" t="str" cm="1">
        <f t="array" ref="M94">_xlfn.IFS(L94=1,"Clear / Partly Cloudy",L94=2,"Mist / Cloudy",L94=3,"Light Snow / Rain",L94=4,"Heavy Precipitation")</f>
        <v>Clear / Partly Cloudy</v>
      </c>
      <c r="N94" s="28">
        <v>0.2</v>
      </c>
      <c r="O94" s="28" t="str">
        <f t="shared" si="11"/>
        <v>Mild</v>
      </c>
      <c r="P94" s="28">
        <v>0.2273</v>
      </c>
      <c r="Q94" s="38">
        <f t="shared" si="7"/>
        <v>0.2273</v>
      </c>
      <c r="R94" s="28">
        <v>0.69</v>
      </c>
      <c r="S94" s="28">
        <v>8.9599999999999999E-2</v>
      </c>
      <c r="T94" s="40" t="str" cm="1">
        <f t="array" ref="T94">_xlfn.IFS(S94*18.6&lt;2,"Calm",S94*18.6&lt;6,"Light Breeze",S94*18.6&lt;14,"Gale",TRUE,"Extreme Storm")</f>
        <v>Calm</v>
      </c>
      <c r="U94" s="28">
        <v>2</v>
      </c>
      <c r="V94" s="28">
        <v>9</v>
      </c>
      <c r="W94" s="28">
        <v>11</v>
      </c>
      <c r="X94" s="44">
        <f>AVERAGE(INDEX($W:$W,MAX(ROW($W$3),ROW()-23)):INDEX($W:$W,ROW()))</f>
        <v>65.583333333333329</v>
      </c>
      <c r="Y94" s="44">
        <f>_xlfn.STDEV.S(INDEX($W:$W,MAX(ROW($W$3),ROW()-23)):INDEX($W:$W,ROW()))</f>
        <v>59.675147158643831</v>
      </c>
      <c r="Z94" s="44">
        <f t="shared" si="8"/>
        <v>-0.91467446553966369</v>
      </c>
      <c r="AA94" s="40" t="b">
        <f t="shared" si="6"/>
        <v>0</v>
      </c>
    </row>
    <row r="95" spans="1:27" x14ac:dyDescent="0.3">
      <c r="A95" s="32">
        <v>93</v>
      </c>
      <c r="B95" s="33">
        <v>40548</v>
      </c>
      <c r="C95" s="40" t="str">
        <f t="shared" si="9"/>
        <v>Wednesday</v>
      </c>
      <c r="D95" s="28">
        <v>0</v>
      </c>
      <c r="E95" s="40" t="str" cm="1">
        <f t="array" ref="E95">_xlfn.IFS(D95&gt;=21,"Night",D95&gt;=17,"Evening",D95&gt;=12,"Midday",D95&gt;=6,"Morning", TRUE, "Night")</f>
        <v>Night</v>
      </c>
      <c r="F95" s="28">
        <v>1</v>
      </c>
      <c r="G95" s="28">
        <v>0</v>
      </c>
      <c r="H95" s="28">
        <v>1</v>
      </c>
      <c r="I95" s="28">
        <v>3</v>
      </c>
      <c r="J95" s="40" t="str">
        <f t="shared" si="10"/>
        <v>Weekday</v>
      </c>
      <c r="K95" s="28" t="b">
        <v>0</v>
      </c>
      <c r="L95" s="28">
        <v>1</v>
      </c>
      <c r="M95" s="40" t="str" cm="1">
        <f t="array" ref="M95">_xlfn.IFS(L95=1,"Clear / Partly Cloudy",L95=2,"Mist / Cloudy",L95=3,"Light Snow / Rain",L95=4,"Heavy Precipitation")</f>
        <v>Clear / Partly Cloudy</v>
      </c>
      <c r="N95" s="28">
        <v>0.2</v>
      </c>
      <c r="O95" s="28" t="str">
        <f t="shared" si="11"/>
        <v>Mild</v>
      </c>
      <c r="P95" s="28">
        <v>0.2576</v>
      </c>
      <c r="Q95" s="38">
        <f t="shared" si="7"/>
        <v>0.2576</v>
      </c>
      <c r="R95" s="28">
        <v>0.64</v>
      </c>
      <c r="S95" s="28">
        <v>0</v>
      </c>
      <c r="T95" s="40" t="str" cm="1">
        <f t="array" ref="T95">_xlfn.IFS(S95*18.6&lt;2,"Calm",S95*18.6&lt;6,"Light Breeze",S95*18.6&lt;14,"Gale",TRUE,"Extreme Storm")</f>
        <v>Calm</v>
      </c>
      <c r="U95" s="28">
        <v>0</v>
      </c>
      <c r="V95" s="28">
        <v>6</v>
      </c>
      <c r="W95" s="28">
        <v>6</v>
      </c>
      <c r="X95" s="44">
        <f>AVERAGE(INDEX($W:$W,MAX(ROW($W$3),ROW()-23)):INDEX($W:$W,ROW()))</f>
        <v>65.333333333333329</v>
      </c>
      <c r="Y95" s="44">
        <f>_xlfn.STDEV.S(INDEX($W:$W,MAX(ROW($W$3),ROW()-23)):INDEX($W:$W,ROW()))</f>
        <v>59.921446161995519</v>
      </c>
      <c r="Z95" s="44">
        <f t="shared" si="8"/>
        <v>-0.99018526977682997</v>
      </c>
      <c r="AA95" s="40" t="b">
        <f t="shared" si="6"/>
        <v>0</v>
      </c>
    </row>
    <row r="96" spans="1:27" x14ac:dyDescent="0.3">
      <c r="A96" s="32">
        <v>94</v>
      </c>
      <c r="B96" s="33">
        <v>40548</v>
      </c>
      <c r="C96" s="40" t="str">
        <f t="shared" si="9"/>
        <v>Wednesday</v>
      </c>
      <c r="D96" s="28">
        <v>1</v>
      </c>
      <c r="E96" s="40" t="str" cm="1">
        <f t="array" ref="E96">_xlfn.IFS(D96&gt;=21,"Night",D96&gt;=17,"Evening",D96&gt;=12,"Midday",D96&gt;=6,"Morning", TRUE, "Night")</f>
        <v>Night</v>
      </c>
      <c r="F96" s="28">
        <v>1</v>
      </c>
      <c r="G96" s="28">
        <v>0</v>
      </c>
      <c r="H96" s="28">
        <v>1</v>
      </c>
      <c r="I96" s="28">
        <v>3</v>
      </c>
      <c r="J96" s="40" t="str">
        <f t="shared" si="10"/>
        <v>Weekday</v>
      </c>
      <c r="K96" s="28" t="b">
        <v>0</v>
      </c>
      <c r="L96" s="28">
        <v>1</v>
      </c>
      <c r="M96" s="40" t="str" cm="1">
        <f t="array" ref="M96">_xlfn.IFS(L96=1,"Clear / Partly Cloudy",L96=2,"Mist / Cloudy",L96=3,"Light Snow / Rain",L96=4,"Heavy Precipitation")</f>
        <v>Clear / Partly Cloudy</v>
      </c>
      <c r="N96" s="28">
        <v>0.16</v>
      </c>
      <c r="O96" s="28" t="str">
        <f t="shared" si="11"/>
        <v>Cold</v>
      </c>
      <c r="P96" s="28">
        <v>0.19700000000000001</v>
      </c>
      <c r="Q96" s="38">
        <f t="shared" si="7"/>
        <v>0.19700000000000001</v>
      </c>
      <c r="R96" s="28">
        <v>0.74</v>
      </c>
      <c r="S96" s="28">
        <v>8.9599999999999999E-2</v>
      </c>
      <c r="T96" s="40" t="str" cm="1">
        <f t="array" ref="T96">_xlfn.IFS(S96*18.6&lt;2,"Calm",S96*18.6&lt;6,"Light Breeze",S96*18.6&lt;14,"Gale",TRUE,"Extreme Storm")</f>
        <v>Calm</v>
      </c>
      <c r="U96" s="28">
        <v>0</v>
      </c>
      <c r="V96" s="28">
        <v>6</v>
      </c>
      <c r="W96" s="28">
        <v>6</v>
      </c>
      <c r="X96" s="44">
        <f>AVERAGE(INDEX($W:$W,MAX(ROW($W$3),ROW()-23)):INDEX($W:$W,ROW()))</f>
        <v>65.375</v>
      </c>
      <c r="Y96" s="44">
        <f>_xlfn.STDEV.S(INDEX($W:$W,MAX(ROW($W$3),ROW()-23)):INDEX($W:$W,ROW()))</f>
        <v>59.878000968636222</v>
      </c>
      <c r="Z96" s="44">
        <f t="shared" si="8"/>
        <v>-0.99159956978357222</v>
      </c>
      <c r="AA96" s="40" t="b">
        <f t="shared" si="6"/>
        <v>0</v>
      </c>
    </row>
    <row r="97" spans="1:27" x14ac:dyDescent="0.3">
      <c r="A97" s="32">
        <v>95</v>
      </c>
      <c r="B97" s="33">
        <v>40548</v>
      </c>
      <c r="C97" s="40" t="str">
        <f t="shared" si="9"/>
        <v>Wednesday</v>
      </c>
      <c r="D97" s="28">
        <v>2</v>
      </c>
      <c r="E97" s="40" t="str" cm="1">
        <f t="array" ref="E97">_xlfn.IFS(D97&gt;=21,"Night",D97&gt;=17,"Evening",D97&gt;=12,"Midday",D97&gt;=6,"Morning", TRUE, "Night")</f>
        <v>Night</v>
      </c>
      <c r="F97" s="28">
        <v>1</v>
      </c>
      <c r="G97" s="28">
        <v>0</v>
      </c>
      <c r="H97" s="28">
        <v>1</v>
      </c>
      <c r="I97" s="28">
        <v>3</v>
      </c>
      <c r="J97" s="40" t="str">
        <f t="shared" si="10"/>
        <v>Weekday</v>
      </c>
      <c r="K97" s="28" t="b">
        <v>0</v>
      </c>
      <c r="L97" s="28">
        <v>1</v>
      </c>
      <c r="M97" s="40" t="str" cm="1">
        <f t="array" ref="M97">_xlfn.IFS(L97=1,"Clear / Partly Cloudy",L97=2,"Mist / Cloudy",L97=3,"Light Snow / Rain",L97=4,"Heavy Precipitation")</f>
        <v>Clear / Partly Cloudy</v>
      </c>
      <c r="N97" s="28">
        <v>0.16</v>
      </c>
      <c r="O97" s="28" t="str">
        <f t="shared" si="11"/>
        <v>Cold</v>
      </c>
      <c r="P97" s="28">
        <v>0.19700000000000001</v>
      </c>
      <c r="Q97" s="38">
        <f t="shared" si="7"/>
        <v>0.19700000000000001</v>
      </c>
      <c r="R97" s="28">
        <v>0.74</v>
      </c>
      <c r="S97" s="28">
        <v>8.9599999999999999E-2</v>
      </c>
      <c r="T97" s="40" t="str" cm="1">
        <f t="array" ref="T97">_xlfn.IFS(S97*18.6&lt;2,"Calm",S97*18.6&lt;6,"Light Breeze",S97*18.6&lt;14,"Gale",TRUE,"Extreme Storm")</f>
        <v>Calm</v>
      </c>
      <c r="U97" s="28">
        <v>0</v>
      </c>
      <c r="V97" s="28">
        <v>2</v>
      </c>
      <c r="W97" s="28">
        <v>2</v>
      </c>
      <c r="X97" s="44">
        <f>AVERAGE(INDEX($W:$W,MAX(ROW($W$3),ROW()-23)):INDEX($W:$W,ROW()))</f>
        <v>65.375</v>
      </c>
      <c r="Y97" s="44">
        <f>_xlfn.STDEV.S(INDEX($W:$W,MAX(ROW($W$3),ROW()-23)):INDEX($W:$W,ROW()))</f>
        <v>59.878000968636222</v>
      </c>
      <c r="Z97" s="44">
        <f t="shared" si="8"/>
        <v>-1.0584020671163603</v>
      </c>
      <c r="AA97" s="40" t="b">
        <f t="shared" si="6"/>
        <v>0</v>
      </c>
    </row>
    <row r="98" spans="1:27" x14ac:dyDescent="0.3">
      <c r="A98" s="32">
        <v>96</v>
      </c>
      <c r="B98" s="33">
        <v>40548</v>
      </c>
      <c r="C98" s="40" t="str">
        <f t="shared" si="9"/>
        <v>Wednesday</v>
      </c>
      <c r="D98" s="28">
        <v>4</v>
      </c>
      <c r="E98" s="40" t="str" cm="1">
        <f t="array" ref="E98">_xlfn.IFS(D98&gt;=21,"Night",D98&gt;=17,"Evening",D98&gt;=12,"Midday",D98&gt;=6,"Morning", TRUE, "Night")</f>
        <v>Night</v>
      </c>
      <c r="F98" s="28">
        <v>1</v>
      </c>
      <c r="G98" s="28">
        <v>0</v>
      </c>
      <c r="H98" s="28">
        <v>1</v>
      </c>
      <c r="I98" s="28">
        <v>3</v>
      </c>
      <c r="J98" s="40" t="str">
        <f t="shared" si="10"/>
        <v>Weekday</v>
      </c>
      <c r="K98" s="28" t="b">
        <v>0</v>
      </c>
      <c r="L98" s="28">
        <v>1</v>
      </c>
      <c r="M98" s="40" t="str" cm="1">
        <f t="array" ref="M98">_xlfn.IFS(L98=1,"Clear / Partly Cloudy",L98=2,"Mist / Cloudy",L98=3,"Light Snow / Rain",L98=4,"Heavy Precipitation")</f>
        <v>Clear / Partly Cloudy</v>
      </c>
      <c r="N98" s="28">
        <v>0.24</v>
      </c>
      <c r="O98" s="28" t="str">
        <f t="shared" si="11"/>
        <v>Mild</v>
      </c>
      <c r="P98" s="28">
        <v>0.2273</v>
      </c>
      <c r="Q98" s="38">
        <f t="shared" si="7"/>
        <v>0.2273</v>
      </c>
      <c r="R98" s="28">
        <v>0.48</v>
      </c>
      <c r="S98" s="28">
        <v>0.22389999999999999</v>
      </c>
      <c r="T98" s="40" t="str" cm="1">
        <f t="array" ref="T98">_xlfn.IFS(S98*18.6&lt;2,"Calm",S98*18.6&lt;6,"Light Breeze",S98*18.6&lt;14,"Gale",TRUE,"Extreme Storm")</f>
        <v>Light Breeze</v>
      </c>
      <c r="U98" s="28">
        <v>0</v>
      </c>
      <c r="V98" s="28">
        <v>2</v>
      </c>
      <c r="W98" s="28">
        <v>2</v>
      </c>
      <c r="X98" s="44">
        <f>AVERAGE(INDEX($W:$W,MAX(ROW($W$3),ROW()-23)):INDEX($W:$W,ROW()))</f>
        <v>65.416666666666671</v>
      </c>
      <c r="Y98" s="44">
        <f>_xlfn.STDEV.S(INDEX($W:$W,MAX(ROW($W$3),ROW()-23)):INDEX($W:$W,ROW()))</f>
        <v>59.831587314559108</v>
      </c>
      <c r="Z98" s="44">
        <f t="shared" si="8"/>
        <v>-1.059919509292965</v>
      </c>
      <c r="AA98" s="40" t="b">
        <f t="shared" si="6"/>
        <v>0</v>
      </c>
    </row>
    <row r="99" spans="1:27" x14ac:dyDescent="0.3">
      <c r="A99" s="32">
        <v>97</v>
      </c>
      <c r="B99" s="33">
        <v>40548</v>
      </c>
      <c r="C99" s="40" t="str">
        <f t="shared" si="9"/>
        <v>Wednesday</v>
      </c>
      <c r="D99" s="28">
        <v>5</v>
      </c>
      <c r="E99" s="40" t="str" cm="1">
        <f t="array" ref="E99">_xlfn.IFS(D99&gt;=21,"Night",D99&gt;=17,"Evening",D99&gt;=12,"Midday",D99&gt;=6,"Morning", TRUE, "Night")</f>
        <v>Night</v>
      </c>
      <c r="F99" s="28">
        <v>1</v>
      </c>
      <c r="G99" s="28">
        <v>0</v>
      </c>
      <c r="H99" s="28">
        <v>1</v>
      </c>
      <c r="I99" s="28">
        <v>3</v>
      </c>
      <c r="J99" s="40" t="str">
        <f t="shared" si="10"/>
        <v>Weekday</v>
      </c>
      <c r="K99" s="28" t="b">
        <v>0</v>
      </c>
      <c r="L99" s="28">
        <v>1</v>
      </c>
      <c r="M99" s="40" t="str" cm="1">
        <f t="array" ref="M99">_xlfn.IFS(L99=1,"Clear / Partly Cloudy",L99=2,"Mist / Cloudy",L99=3,"Light Snow / Rain",L99=4,"Heavy Precipitation")</f>
        <v>Clear / Partly Cloudy</v>
      </c>
      <c r="N99" s="28">
        <v>0.22</v>
      </c>
      <c r="O99" s="28" t="str">
        <f t="shared" si="11"/>
        <v>Mild</v>
      </c>
      <c r="P99" s="28">
        <v>0.2273</v>
      </c>
      <c r="Q99" s="38">
        <f t="shared" si="7"/>
        <v>0.2273</v>
      </c>
      <c r="R99" s="28">
        <v>0.47</v>
      </c>
      <c r="S99" s="28">
        <v>0.16420000000000001</v>
      </c>
      <c r="T99" s="40" t="str" cm="1">
        <f t="array" ref="T99">_xlfn.IFS(S99*18.6&lt;2,"Calm",S99*18.6&lt;6,"Light Breeze",S99*18.6&lt;14,"Gale",TRUE,"Extreme Storm")</f>
        <v>Light Breeze</v>
      </c>
      <c r="U99" s="28">
        <v>0</v>
      </c>
      <c r="V99" s="28">
        <v>3</v>
      </c>
      <c r="W99" s="28">
        <v>3</v>
      </c>
      <c r="X99" s="44">
        <f>AVERAGE(INDEX($W:$W,MAX(ROW($W$3),ROW()-23)):INDEX($W:$W,ROW()))</f>
        <v>65.458333333333329</v>
      </c>
      <c r="Y99" s="44">
        <f>_xlfn.STDEV.S(INDEX($W:$W,MAX(ROW($W$3),ROW()-23)):INDEX($W:$W,ROW()))</f>
        <v>59.785834563822505</v>
      </c>
      <c r="Z99" s="44">
        <f t="shared" si="8"/>
        <v>-1.0447012037049994</v>
      </c>
      <c r="AA99" s="40" t="b">
        <f t="shared" si="6"/>
        <v>0</v>
      </c>
    </row>
    <row r="100" spans="1:27" x14ac:dyDescent="0.3">
      <c r="A100" s="32">
        <v>98</v>
      </c>
      <c r="B100" s="33">
        <v>40548</v>
      </c>
      <c r="C100" s="40" t="str">
        <f t="shared" si="9"/>
        <v>Wednesday</v>
      </c>
      <c r="D100" s="28">
        <v>6</v>
      </c>
      <c r="E100" s="40" t="str" cm="1">
        <f t="array" ref="E100">_xlfn.IFS(D100&gt;=21,"Night",D100&gt;=17,"Evening",D100&gt;=12,"Midday",D100&gt;=6,"Morning", TRUE, "Night")</f>
        <v>Morning</v>
      </c>
      <c r="F100" s="28">
        <v>1</v>
      </c>
      <c r="G100" s="28">
        <v>0</v>
      </c>
      <c r="H100" s="28">
        <v>1</v>
      </c>
      <c r="I100" s="28">
        <v>3</v>
      </c>
      <c r="J100" s="40" t="str">
        <f t="shared" si="10"/>
        <v>Weekday</v>
      </c>
      <c r="K100" s="28" t="b">
        <v>0</v>
      </c>
      <c r="L100" s="28">
        <v>1</v>
      </c>
      <c r="M100" s="40" t="str" cm="1">
        <f t="array" ref="M100">_xlfn.IFS(L100=1,"Clear / Partly Cloudy",L100=2,"Mist / Cloudy",L100=3,"Light Snow / Rain",L100=4,"Heavy Precipitation")</f>
        <v>Clear / Partly Cloudy</v>
      </c>
      <c r="N100" s="28">
        <v>0.2</v>
      </c>
      <c r="O100" s="28" t="str">
        <f t="shared" si="11"/>
        <v>Mild</v>
      </c>
      <c r="P100" s="28">
        <v>0.19700000000000001</v>
      </c>
      <c r="Q100" s="38">
        <f t="shared" si="7"/>
        <v>0.19700000000000001</v>
      </c>
      <c r="R100" s="28">
        <v>0.47</v>
      </c>
      <c r="S100" s="28">
        <v>0.22389999999999999</v>
      </c>
      <c r="T100" s="40" t="str" cm="1">
        <f t="array" ref="T100">_xlfn.IFS(S100*18.6&lt;2,"Calm",S100*18.6&lt;6,"Light Breeze",S100*18.6&lt;14,"Gale",TRUE,"Extreme Storm")</f>
        <v>Light Breeze</v>
      </c>
      <c r="U100" s="28">
        <v>0</v>
      </c>
      <c r="V100" s="28">
        <v>33</v>
      </c>
      <c r="W100" s="28">
        <v>33</v>
      </c>
      <c r="X100" s="44">
        <f>AVERAGE(INDEX($W:$W,MAX(ROW($W$3),ROW()-23)):INDEX($W:$W,ROW()))</f>
        <v>66.666666666666671</v>
      </c>
      <c r="Y100" s="44">
        <f>_xlfn.STDEV.S(INDEX($W:$W,MAX(ROW($W$3),ROW()-23)):INDEX($W:$W,ROW()))</f>
        <v>58.774193291796436</v>
      </c>
      <c r="Z100" s="44">
        <f t="shared" si="8"/>
        <v>-0.57281376027607311</v>
      </c>
      <c r="AA100" s="40" t="b">
        <f t="shared" si="6"/>
        <v>0</v>
      </c>
    </row>
    <row r="101" spans="1:27" x14ac:dyDescent="0.3">
      <c r="A101" s="32">
        <v>99</v>
      </c>
      <c r="B101" s="33">
        <v>40548</v>
      </c>
      <c r="C101" s="40" t="str">
        <f t="shared" si="9"/>
        <v>Wednesday</v>
      </c>
      <c r="D101" s="28">
        <v>7</v>
      </c>
      <c r="E101" s="40" t="str" cm="1">
        <f t="array" ref="E101">_xlfn.IFS(D101&gt;=21,"Night",D101&gt;=17,"Evening",D101&gt;=12,"Midday",D101&gt;=6,"Morning", TRUE, "Night")</f>
        <v>Morning</v>
      </c>
      <c r="F101" s="28">
        <v>1</v>
      </c>
      <c r="G101" s="28">
        <v>0</v>
      </c>
      <c r="H101" s="28">
        <v>1</v>
      </c>
      <c r="I101" s="28">
        <v>3</v>
      </c>
      <c r="J101" s="40" t="str">
        <f t="shared" si="10"/>
        <v>Weekday</v>
      </c>
      <c r="K101" s="28" t="b">
        <v>0</v>
      </c>
      <c r="L101" s="28">
        <v>1</v>
      </c>
      <c r="M101" s="40" t="str" cm="1">
        <f t="array" ref="M101">_xlfn.IFS(L101=1,"Clear / Partly Cloudy",L101=2,"Mist / Cloudy",L101=3,"Light Snow / Rain",L101=4,"Heavy Precipitation")</f>
        <v>Clear / Partly Cloudy</v>
      </c>
      <c r="N101" s="28">
        <v>0.18</v>
      </c>
      <c r="O101" s="28" t="str">
        <f t="shared" si="11"/>
        <v>Cold</v>
      </c>
      <c r="P101" s="28">
        <v>0.18179999999999999</v>
      </c>
      <c r="Q101" s="38">
        <f t="shared" si="7"/>
        <v>0.18179999999999999</v>
      </c>
      <c r="R101" s="28">
        <v>0.43</v>
      </c>
      <c r="S101" s="28">
        <v>0.19400000000000001</v>
      </c>
      <c r="T101" s="40" t="str" cm="1">
        <f t="array" ref="T101">_xlfn.IFS(S101*18.6&lt;2,"Calm",S101*18.6&lt;6,"Light Breeze",S101*18.6&lt;14,"Gale",TRUE,"Extreme Storm")</f>
        <v>Light Breeze</v>
      </c>
      <c r="U101" s="28">
        <v>1</v>
      </c>
      <c r="V101" s="28">
        <v>87</v>
      </c>
      <c r="W101" s="28">
        <v>88</v>
      </c>
      <c r="X101" s="44">
        <f>AVERAGE(INDEX($W:$W,MAX(ROW($W$3),ROW()-23)):INDEX($W:$W,ROW()))</f>
        <v>68.833333333333329</v>
      </c>
      <c r="Y101" s="44">
        <f>_xlfn.STDEV.S(INDEX($W:$W,MAX(ROW($W$3),ROW()-23)):INDEX($W:$W,ROW()))</f>
        <v>58.552590011898268</v>
      </c>
      <c r="Z101" s="44">
        <f t="shared" si="8"/>
        <v>0.32734105635244964</v>
      </c>
      <c r="AA101" s="40" t="b">
        <f t="shared" si="6"/>
        <v>0</v>
      </c>
    </row>
    <row r="102" spans="1:27" x14ac:dyDescent="0.3">
      <c r="A102" s="32">
        <v>100</v>
      </c>
      <c r="B102" s="33">
        <v>40548</v>
      </c>
      <c r="C102" s="40" t="str">
        <f t="shared" si="9"/>
        <v>Wednesday</v>
      </c>
      <c r="D102" s="28">
        <v>8</v>
      </c>
      <c r="E102" s="40" t="str" cm="1">
        <f t="array" ref="E102">_xlfn.IFS(D102&gt;=21,"Night",D102&gt;=17,"Evening",D102&gt;=12,"Midday",D102&gt;=6,"Morning", TRUE, "Night")</f>
        <v>Morning</v>
      </c>
      <c r="F102" s="28">
        <v>1</v>
      </c>
      <c r="G102" s="28">
        <v>0</v>
      </c>
      <c r="H102" s="28">
        <v>1</v>
      </c>
      <c r="I102" s="28">
        <v>3</v>
      </c>
      <c r="J102" s="40" t="str">
        <f t="shared" si="10"/>
        <v>Weekday</v>
      </c>
      <c r="K102" s="28" t="b">
        <v>0</v>
      </c>
      <c r="L102" s="28">
        <v>1</v>
      </c>
      <c r="M102" s="40" t="str" cm="1">
        <f t="array" ref="M102">_xlfn.IFS(L102=1,"Clear / Partly Cloudy",L102=2,"Mist / Cloudy",L102=3,"Light Snow / Rain",L102=4,"Heavy Precipitation")</f>
        <v>Clear / Partly Cloudy</v>
      </c>
      <c r="N102" s="28">
        <v>0.2</v>
      </c>
      <c r="O102" s="28" t="str">
        <f t="shared" si="11"/>
        <v>Mild</v>
      </c>
      <c r="P102" s="28">
        <v>0.18179999999999999</v>
      </c>
      <c r="Q102" s="38">
        <f t="shared" si="7"/>
        <v>0.18179999999999999</v>
      </c>
      <c r="R102" s="28">
        <v>0.4</v>
      </c>
      <c r="S102" s="28">
        <v>0.29849999999999999</v>
      </c>
      <c r="T102" s="40" t="str" cm="1">
        <f t="array" ref="T102">_xlfn.IFS(S102*18.6&lt;2,"Calm",S102*18.6&lt;6,"Light Breeze",S102*18.6&lt;14,"Gale",TRUE,"Extreme Storm")</f>
        <v>Light Breeze</v>
      </c>
      <c r="U102" s="28">
        <v>3</v>
      </c>
      <c r="V102" s="28">
        <v>192</v>
      </c>
      <c r="W102" s="28">
        <v>195</v>
      </c>
      <c r="X102" s="44">
        <f>AVERAGE(INDEX($W:$W,MAX(ROW($W$3),ROW()-23)):INDEX($W:$W,ROW()))</f>
        <v>73.041666666666671</v>
      </c>
      <c r="Y102" s="44">
        <f>_xlfn.STDEV.S(INDEX($W:$W,MAX(ROW($W$3),ROW()-23)):INDEX($W:$W,ROW()))</f>
        <v>63.83162577653308</v>
      </c>
      <c r="Z102" s="44">
        <f t="shared" si="8"/>
        <v>1.9106255222183268</v>
      </c>
      <c r="AA102" s="40" t="b">
        <f t="shared" si="6"/>
        <v>0</v>
      </c>
    </row>
    <row r="103" spans="1:27" x14ac:dyDescent="0.3">
      <c r="A103" s="32">
        <v>101</v>
      </c>
      <c r="B103" s="33">
        <v>40548</v>
      </c>
      <c r="C103" s="40" t="str">
        <f t="shared" si="9"/>
        <v>Wednesday</v>
      </c>
      <c r="D103" s="28">
        <v>9</v>
      </c>
      <c r="E103" s="40" t="str" cm="1">
        <f t="array" ref="E103">_xlfn.IFS(D103&gt;=21,"Night",D103&gt;=17,"Evening",D103&gt;=12,"Midday",D103&gt;=6,"Morning", TRUE, "Night")</f>
        <v>Morning</v>
      </c>
      <c r="F103" s="28">
        <v>1</v>
      </c>
      <c r="G103" s="28">
        <v>0</v>
      </c>
      <c r="H103" s="28">
        <v>1</v>
      </c>
      <c r="I103" s="28">
        <v>3</v>
      </c>
      <c r="J103" s="40" t="str">
        <f t="shared" si="10"/>
        <v>Weekday</v>
      </c>
      <c r="K103" s="28" t="b">
        <v>0</v>
      </c>
      <c r="L103" s="28">
        <v>1</v>
      </c>
      <c r="M103" s="40" t="str" cm="1">
        <f t="array" ref="M103">_xlfn.IFS(L103=1,"Clear / Partly Cloudy",L103=2,"Mist / Cloudy",L103=3,"Light Snow / Rain",L103=4,"Heavy Precipitation")</f>
        <v>Clear / Partly Cloudy</v>
      </c>
      <c r="N103" s="28">
        <v>0.22</v>
      </c>
      <c r="O103" s="28" t="str">
        <f t="shared" si="11"/>
        <v>Mild</v>
      </c>
      <c r="P103" s="28">
        <v>0.19700000000000001</v>
      </c>
      <c r="Q103" s="38">
        <f t="shared" si="7"/>
        <v>0.19700000000000001</v>
      </c>
      <c r="R103" s="28">
        <v>0.37</v>
      </c>
      <c r="S103" s="28">
        <v>0.32840000000000003</v>
      </c>
      <c r="T103" s="40" t="str" cm="1">
        <f t="array" ref="T103">_xlfn.IFS(S103*18.6&lt;2,"Calm",S103*18.6&lt;6,"Light Breeze",S103*18.6&lt;14,"Gale",TRUE,"Extreme Storm")</f>
        <v>Gale</v>
      </c>
      <c r="U103" s="28">
        <v>6</v>
      </c>
      <c r="V103" s="28">
        <v>109</v>
      </c>
      <c r="W103" s="28">
        <v>115</v>
      </c>
      <c r="X103" s="44">
        <f>AVERAGE(INDEX($W:$W,MAX(ROW($W$3),ROW()-23)):INDEX($W:$W,ROW()))</f>
        <v>70.375</v>
      </c>
      <c r="Y103" s="44">
        <f>_xlfn.STDEV.S(INDEX($W:$W,MAX(ROW($W$3),ROW()-23)):INDEX($W:$W,ROW()))</f>
        <v>60.460416443502432</v>
      </c>
      <c r="Z103" s="44">
        <f t="shared" si="8"/>
        <v>0.73808621615598824</v>
      </c>
      <c r="AA103" s="40" t="b">
        <f t="shared" si="6"/>
        <v>0</v>
      </c>
    </row>
    <row r="104" spans="1:27" x14ac:dyDescent="0.3">
      <c r="A104" s="32">
        <v>102</v>
      </c>
      <c r="B104" s="33">
        <v>40548</v>
      </c>
      <c r="C104" s="40" t="str">
        <f t="shared" si="9"/>
        <v>Wednesday</v>
      </c>
      <c r="D104" s="28">
        <v>10</v>
      </c>
      <c r="E104" s="40" t="str" cm="1">
        <f t="array" ref="E104">_xlfn.IFS(D104&gt;=21,"Night",D104&gt;=17,"Evening",D104&gt;=12,"Midday",D104&gt;=6,"Morning", TRUE, "Night")</f>
        <v>Morning</v>
      </c>
      <c r="F104" s="28">
        <v>1</v>
      </c>
      <c r="G104" s="28">
        <v>0</v>
      </c>
      <c r="H104" s="28">
        <v>1</v>
      </c>
      <c r="I104" s="28">
        <v>3</v>
      </c>
      <c r="J104" s="40" t="str">
        <f t="shared" si="10"/>
        <v>Weekday</v>
      </c>
      <c r="K104" s="28" t="b">
        <v>0</v>
      </c>
      <c r="L104" s="28">
        <v>1</v>
      </c>
      <c r="M104" s="40" t="str" cm="1">
        <f t="array" ref="M104">_xlfn.IFS(L104=1,"Clear / Partly Cloudy",L104=2,"Mist / Cloudy",L104=3,"Light Snow / Rain",L104=4,"Heavy Precipitation")</f>
        <v>Clear / Partly Cloudy</v>
      </c>
      <c r="N104" s="28">
        <v>0.22</v>
      </c>
      <c r="O104" s="28" t="str">
        <f t="shared" si="11"/>
        <v>Mild</v>
      </c>
      <c r="P104" s="28">
        <v>0.19700000000000001</v>
      </c>
      <c r="Q104" s="38">
        <f t="shared" si="7"/>
        <v>0.19700000000000001</v>
      </c>
      <c r="R104" s="28">
        <v>0.37</v>
      </c>
      <c r="S104" s="28">
        <v>0.32840000000000003</v>
      </c>
      <c r="T104" s="40" t="str" cm="1">
        <f t="array" ref="T104">_xlfn.IFS(S104*18.6&lt;2,"Calm",S104*18.6&lt;6,"Light Breeze",S104*18.6&lt;14,"Gale",TRUE,"Extreme Storm")</f>
        <v>Gale</v>
      </c>
      <c r="U104" s="28">
        <v>4</v>
      </c>
      <c r="V104" s="28">
        <v>53</v>
      </c>
      <c r="W104" s="28">
        <v>57</v>
      </c>
      <c r="X104" s="44">
        <f>AVERAGE(INDEX($W:$W,MAX(ROW($W$3),ROW()-23)):INDEX($W:$W,ROW()))</f>
        <v>68.583333333333329</v>
      </c>
      <c r="Y104" s="44">
        <f>_xlfn.STDEV.S(INDEX($W:$W,MAX(ROW($W$3),ROW()-23)):INDEX($W:$W,ROW()))</f>
        <v>60.180826548477803</v>
      </c>
      <c r="Z104" s="44">
        <f t="shared" si="8"/>
        <v>-0.19247547761748571</v>
      </c>
      <c r="AA104" s="40" t="b">
        <f t="shared" si="6"/>
        <v>0</v>
      </c>
    </row>
    <row r="105" spans="1:27" x14ac:dyDescent="0.3">
      <c r="A105" s="32">
        <v>103</v>
      </c>
      <c r="B105" s="33">
        <v>40548</v>
      </c>
      <c r="C105" s="40" t="str">
        <f t="shared" si="9"/>
        <v>Wednesday</v>
      </c>
      <c r="D105" s="28">
        <v>11</v>
      </c>
      <c r="E105" s="40" t="str" cm="1">
        <f t="array" ref="E105">_xlfn.IFS(D105&gt;=21,"Night",D105&gt;=17,"Evening",D105&gt;=12,"Midday",D105&gt;=6,"Morning", TRUE, "Night")</f>
        <v>Morning</v>
      </c>
      <c r="F105" s="28">
        <v>1</v>
      </c>
      <c r="G105" s="28">
        <v>0</v>
      </c>
      <c r="H105" s="28">
        <v>1</v>
      </c>
      <c r="I105" s="28">
        <v>3</v>
      </c>
      <c r="J105" s="40" t="str">
        <f t="shared" si="10"/>
        <v>Weekday</v>
      </c>
      <c r="K105" s="28" t="b">
        <v>0</v>
      </c>
      <c r="L105" s="28">
        <v>1</v>
      </c>
      <c r="M105" s="40" t="str" cm="1">
        <f t="array" ref="M105">_xlfn.IFS(L105=1,"Clear / Partly Cloudy",L105=2,"Mist / Cloudy",L105=3,"Light Snow / Rain",L105=4,"Heavy Precipitation")</f>
        <v>Clear / Partly Cloudy</v>
      </c>
      <c r="N105" s="28">
        <v>0.26</v>
      </c>
      <c r="O105" s="28" t="str">
        <f t="shared" si="11"/>
        <v>Mild</v>
      </c>
      <c r="P105" s="28">
        <v>0.2273</v>
      </c>
      <c r="Q105" s="38">
        <f t="shared" si="7"/>
        <v>0.2273</v>
      </c>
      <c r="R105" s="28">
        <v>0.33</v>
      </c>
      <c r="S105" s="28">
        <v>0.32840000000000003</v>
      </c>
      <c r="T105" s="40" t="str" cm="1">
        <f t="array" ref="T105">_xlfn.IFS(S105*18.6&lt;2,"Calm",S105*18.6&lt;6,"Light Breeze",S105*18.6&lt;14,"Gale",TRUE,"Extreme Storm")</f>
        <v>Gale</v>
      </c>
      <c r="U105" s="28">
        <v>12</v>
      </c>
      <c r="V105" s="28">
        <v>34</v>
      </c>
      <c r="W105" s="28">
        <v>46</v>
      </c>
      <c r="X105" s="44">
        <f>AVERAGE(INDEX($W:$W,MAX(ROW($W$3),ROW()-23)):INDEX($W:$W,ROW()))</f>
        <v>68.75</v>
      </c>
      <c r="Y105" s="44">
        <f>_xlfn.STDEV.S(INDEX($W:$W,MAX(ROW($W$3),ROW()-23)):INDEX($W:$W,ROW()))</f>
        <v>60.109501527737223</v>
      </c>
      <c r="Z105" s="44">
        <f t="shared" si="8"/>
        <v>-0.37847593844214678</v>
      </c>
      <c r="AA105" s="40" t="b">
        <f t="shared" si="6"/>
        <v>0</v>
      </c>
    </row>
    <row r="106" spans="1:27" x14ac:dyDescent="0.3">
      <c r="A106" s="32">
        <v>104</v>
      </c>
      <c r="B106" s="33">
        <v>40548</v>
      </c>
      <c r="C106" s="40" t="str">
        <f t="shared" si="9"/>
        <v>Wednesday</v>
      </c>
      <c r="D106" s="28">
        <v>12</v>
      </c>
      <c r="E106" s="40" t="str" cm="1">
        <f t="array" ref="E106">_xlfn.IFS(D106&gt;=21,"Night",D106&gt;=17,"Evening",D106&gt;=12,"Midday",D106&gt;=6,"Morning", TRUE, "Night")</f>
        <v>Midday</v>
      </c>
      <c r="F106" s="28">
        <v>1</v>
      </c>
      <c r="G106" s="28">
        <v>0</v>
      </c>
      <c r="H106" s="28">
        <v>1</v>
      </c>
      <c r="I106" s="28">
        <v>3</v>
      </c>
      <c r="J106" s="40" t="str">
        <f t="shared" si="10"/>
        <v>Weekday</v>
      </c>
      <c r="K106" s="28" t="b">
        <v>0</v>
      </c>
      <c r="L106" s="28">
        <v>1</v>
      </c>
      <c r="M106" s="40" t="str" cm="1">
        <f t="array" ref="M106">_xlfn.IFS(L106=1,"Clear / Partly Cloudy",L106=2,"Mist / Cloudy",L106=3,"Light Snow / Rain",L106=4,"Heavy Precipitation")</f>
        <v>Clear / Partly Cloudy</v>
      </c>
      <c r="N106" s="28">
        <v>0.26</v>
      </c>
      <c r="O106" s="28" t="str">
        <f t="shared" si="11"/>
        <v>Mild</v>
      </c>
      <c r="P106" s="28">
        <v>0.2273</v>
      </c>
      <c r="Q106" s="38">
        <f t="shared" si="7"/>
        <v>0.2273</v>
      </c>
      <c r="R106" s="28">
        <v>0.33</v>
      </c>
      <c r="S106" s="28">
        <v>0.32840000000000003</v>
      </c>
      <c r="T106" s="40" t="str" cm="1">
        <f t="array" ref="T106">_xlfn.IFS(S106*18.6&lt;2,"Calm",S106*18.6&lt;6,"Light Breeze",S106*18.6&lt;14,"Gale",TRUE,"Extreme Storm")</f>
        <v>Gale</v>
      </c>
      <c r="U106" s="28">
        <v>5</v>
      </c>
      <c r="V106" s="28">
        <v>74</v>
      </c>
      <c r="W106" s="28">
        <v>79</v>
      </c>
      <c r="X106" s="44">
        <f>AVERAGE(INDEX($W:$W,MAX(ROW($W$3),ROW()-23)):INDEX($W:$W,ROW()))</f>
        <v>69.666666666666671</v>
      </c>
      <c r="Y106" s="44">
        <f>_xlfn.STDEV.S(INDEX($W:$W,MAX(ROW($W$3),ROW()-23)):INDEX($W:$W,ROW()))</f>
        <v>60.09027025825516</v>
      </c>
      <c r="Z106" s="44">
        <f t="shared" si="8"/>
        <v>0.15532187312888848</v>
      </c>
      <c r="AA106" s="40" t="b">
        <f t="shared" si="6"/>
        <v>0</v>
      </c>
    </row>
    <row r="107" spans="1:27" x14ac:dyDescent="0.3">
      <c r="A107" s="32">
        <v>105</v>
      </c>
      <c r="B107" s="33">
        <v>40548</v>
      </c>
      <c r="C107" s="40" t="str">
        <f t="shared" si="9"/>
        <v>Wednesday</v>
      </c>
      <c r="D107" s="28">
        <v>13</v>
      </c>
      <c r="E107" s="40" t="str" cm="1">
        <f t="array" ref="E107">_xlfn.IFS(D107&gt;=21,"Night",D107&gt;=17,"Evening",D107&gt;=12,"Midday",D107&gt;=6,"Morning", TRUE, "Night")</f>
        <v>Midday</v>
      </c>
      <c r="F107" s="28">
        <v>1</v>
      </c>
      <c r="G107" s="28">
        <v>0</v>
      </c>
      <c r="H107" s="28">
        <v>1</v>
      </c>
      <c r="I107" s="28">
        <v>3</v>
      </c>
      <c r="J107" s="40" t="str">
        <f t="shared" si="10"/>
        <v>Weekday</v>
      </c>
      <c r="K107" s="28" t="b">
        <v>0</v>
      </c>
      <c r="L107" s="28">
        <v>1</v>
      </c>
      <c r="M107" s="40" t="str" cm="1">
        <f t="array" ref="M107">_xlfn.IFS(L107=1,"Clear / Partly Cloudy",L107=2,"Mist / Cloudy",L107=3,"Light Snow / Rain",L107=4,"Heavy Precipitation")</f>
        <v>Clear / Partly Cloudy</v>
      </c>
      <c r="N107" s="28">
        <v>0.28000000000000003</v>
      </c>
      <c r="O107" s="28" t="str">
        <f t="shared" si="11"/>
        <v>Mild</v>
      </c>
      <c r="P107" s="28">
        <v>0.2576</v>
      </c>
      <c r="Q107" s="38">
        <f t="shared" si="7"/>
        <v>0.2576</v>
      </c>
      <c r="R107" s="28">
        <v>0.3</v>
      </c>
      <c r="S107" s="28">
        <v>0.29849999999999999</v>
      </c>
      <c r="T107" s="40" t="str" cm="1">
        <f t="array" ref="T107">_xlfn.IFS(S107*18.6&lt;2,"Calm",S107*18.6&lt;6,"Light Breeze",S107*18.6&lt;14,"Gale",TRUE,"Extreme Storm")</f>
        <v>Light Breeze</v>
      </c>
      <c r="U107" s="28">
        <v>6</v>
      </c>
      <c r="V107" s="28">
        <v>65</v>
      </c>
      <c r="W107" s="28">
        <v>71</v>
      </c>
      <c r="X107" s="44">
        <f>AVERAGE(INDEX($W:$W,MAX(ROW($W$3),ROW()-23)):INDEX($W:$W,ROW()))</f>
        <v>69.375</v>
      </c>
      <c r="Y107" s="44">
        <f>_xlfn.STDEV.S(INDEX($W:$W,MAX(ROW($W$3),ROW()-23)):INDEX($W:$W,ROW()))</f>
        <v>60.065046263269416</v>
      </c>
      <c r="Z107" s="44">
        <f t="shared" si="8"/>
        <v>2.7054003968922428E-2</v>
      </c>
      <c r="AA107" s="40" t="b">
        <f t="shared" si="6"/>
        <v>0</v>
      </c>
    </row>
    <row r="108" spans="1:27" x14ac:dyDescent="0.3">
      <c r="A108" s="32">
        <v>106</v>
      </c>
      <c r="B108" s="33">
        <v>40548</v>
      </c>
      <c r="C108" s="40" t="str">
        <f t="shared" si="9"/>
        <v>Wednesday</v>
      </c>
      <c r="D108" s="28">
        <v>14</v>
      </c>
      <c r="E108" s="40" t="str" cm="1">
        <f t="array" ref="E108">_xlfn.IFS(D108&gt;=21,"Night",D108&gt;=17,"Evening",D108&gt;=12,"Midday",D108&gt;=6,"Morning", TRUE, "Night")</f>
        <v>Midday</v>
      </c>
      <c r="F108" s="28">
        <v>1</v>
      </c>
      <c r="G108" s="28">
        <v>0</v>
      </c>
      <c r="H108" s="28">
        <v>1</v>
      </c>
      <c r="I108" s="28">
        <v>3</v>
      </c>
      <c r="J108" s="40" t="str">
        <f t="shared" si="10"/>
        <v>Weekday</v>
      </c>
      <c r="K108" s="28" t="b">
        <v>0</v>
      </c>
      <c r="L108" s="28">
        <v>1</v>
      </c>
      <c r="M108" s="40" t="str" cm="1">
        <f t="array" ref="M108">_xlfn.IFS(L108=1,"Clear / Partly Cloudy",L108=2,"Mist / Cloudy",L108=3,"Light Snow / Rain",L108=4,"Heavy Precipitation")</f>
        <v>Clear / Partly Cloudy</v>
      </c>
      <c r="N108" s="28">
        <v>0.3</v>
      </c>
      <c r="O108" s="28" t="str">
        <f t="shared" si="11"/>
        <v>Mild</v>
      </c>
      <c r="P108" s="28">
        <v>0.28789999999999999</v>
      </c>
      <c r="Q108" s="38">
        <f t="shared" si="7"/>
        <v>0.28789999999999999</v>
      </c>
      <c r="R108" s="28">
        <v>0.28000000000000003</v>
      </c>
      <c r="S108" s="28">
        <v>0.19400000000000001</v>
      </c>
      <c r="T108" s="40" t="str" cm="1">
        <f t="array" ref="T108">_xlfn.IFS(S108*18.6&lt;2,"Calm",S108*18.6&lt;6,"Light Breeze",S108*18.6&lt;14,"Gale",TRUE,"Extreme Storm")</f>
        <v>Light Breeze</v>
      </c>
      <c r="U108" s="28">
        <v>10</v>
      </c>
      <c r="V108" s="28">
        <v>52</v>
      </c>
      <c r="W108" s="28">
        <v>62</v>
      </c>
      <c r="X108" s="44">
        <f>AVERAGE(INDEX($W:$W,MAX(ROW($W$3),ROW()-23)):INDEX($W:$W,ROW()))</f>
        <v>67.916666666666671</v>
      </c>
      <c r="Y108" s="44">
        <f>_xlfn.STDEV.S(INDEX($W:$W,MAX(ROW($W$3),ROW()-23)):INDEX($W:$W,ROW()))</f>
        <v>59.789425171336447</v>
      </c>
      <c r="Z108" s="44">
        <f t="shared" si="8"/>
        <v>-9.8958413627685635E-2</v>
      </c>
      <c r="AA108" s="40" t="b">
        <f t="shared" si="6"/>
        <v>0</v>
      </c>
    </row>
    <row r="109" spans="1:27" x14ac:dyDescent="0.3">
      <c r="A109" s="32">
        <v>107</v>
      </c>
      <c r="B109" s="33">
        <v>40548</v>
      </c>
      <c r="C109" s="40" t="str">
        <f t="shared" si="9"/>
        <v>Wednesday</v>
      </c>
      <c r="D109" s="28">
        <v>15</v>
      </c>
      <c r="E109" s="40" t="str" cm="1">
        <f t="array" ref="E109">_xlfn.IFS(D109&gt;=21,"Night",D109&gt;=17,"Evening",D109&gt;=12,"Midday",D109&gt;=6,"Morning", TRUE, "Night")</f>
        <v>Midday</v>
      </c>
      <c r="F109" s="28">
        <v>1</v>
      </c>
      <c r="G109" s="28">
        <v>0</v>
      </c>
      <c r="H109" s="28">
        <v>1</v>
      </c>
      <c r="I109" s="28">
        <v>3</v>
      </c>
      <c r="J109" s="40" t="str">
        <f t="shared" si="10"/>
        <v>Weekday</v>
      </c>
      <c r="K109" s="28" t="b">
        <v>0</v>
      </c>
      <c r="L109" s="28">
        <v>1</v>
      </c>
      <c r="M109" s="40" t="str" cm="1">
        <f t="array" ref="M109">_xlfn.IFS(L109=1,"Clear / Partly Cloudy",L109=2,"Mist / Cloudy",L109=3,"Light Snow / Rain",L109=4,"Heavy Precipitation")</f>
        <v>Clear / Partly Cloudy</v>
      </c>
      <c r="N109" s="28">
        <v>0.3</v>
      </c>
      <c r="O109" s="28" t="str">
        <f t="shared" si="11"/>
        <v>Mild</v>
      </c>
      <c r="P109" s="28">
        <v>0.28789999999999999</v>
      </c>
      <c r="Q109" s="38">
        <f t="shared" si="7"/>
        <v>0.28789999999999999</v>
      </c>
      <c r="R109" s="28">
        <v>0.28000000000000003</v>
      </c>
      <c r="S109" s="28">
        <v>0.19400000000000001</v>
      </c>
      <c r="T109" s="40" t="str" cm="1">
        <f t="array" ref="T109">_xlfn.IFS(S109*18.6&lt;2,"Calm",S109*18.6&lt;6,"Light Breeze",S109*18.6&lt;14,"Gale",TRUE,"Extreme Storm")</f>
        <v>Light Breeze</v>
      </c>
      <c r="U109" s="28">
        <v>7</v>
      </c>
      <c r="V109" s="28">
        <v>55</v>
      </c>
      <c r="W109" s="28">
        <v>62</v>
      </c>
      <c r="X109" s="44">
        <f>AVERAGE(INDEX($W:$W,MAX(ROW($W$3),ROW()-23)):INDEX($W:$W,ROW()))</f>
        <v>67.875</v>
      </c>
      <c r="Y109" s="44">
        <f>_xlfn.STDEV.S(INDEX($W:$W,MAX(ROW($W$3),ROW()-23)):INDEX($W:$W,ROW()))</f>
        <v>59.793348837620655</v>
      </c>
      <c r="Z109" s="44">
        <f t="shared" si="8"/>
        <v>-9.8255075425773442E-2</v>
      </c>
      <c r="AA109" s="40" t="b">
        <f t="shared" si="6"/>
        <v>0</v>
      </c>
    </row>
    <row r="110" spans="1:27" x14ac:dyDescent="0.3">
      <c r="A110" s="32">
        <v>108</v>
      </c>
      <c r="B110" s="33">
        <v>40548</v>
      </c>
      <c r="C110" s="40" t="str">
        <f t="shared" si="9"/>
        <v>Wednesday</v>
      </c>
      <c r="D110" s="28">
        <v>16</v>
      </c>
      <c r="E110" s="40" t="str" cm="1">
        <f t="array" ref="E110">_xlfn.IFS(D110&gt;=21,"Night",D110&gt;=17,"Evening",D110&gt;=12,"Midday",D110&gt;=6,"Morning", TRUE, "Night")</f>
        <v>Midday</v>
      </c>
      <c r="F110" s="28">
        <v>1</v>
      </c>
      <c r="G110" s="28">
        <v>0</v>
      </c>
      <c r="H110" s="28">
        <v>1</v>
      </c>
      <c r="I110" s="28">
        <v>3</v>
      </c>
      <c r="J110" s="40" t="str">
        <f t="shared" si="10"/>
        <v>Weekday</v>
      </c>
      <c r="K110" s="28" t="b">
        <v>0</v>
      </c>
      <c r="L110" s="28">
        <v>1</v>
      </c>
      <c r="M110" s="40" t="str" cm="1">
        <f t="array" ref="M110">_xlfn.IFS(L110=1,"Clear / Partly Cloudy",L110=2,"Mist / Cloudy",L110=3,"Light Snow / Rain",L110=4,"Heavy Precipitation")</f>
        <v>Clear / Partly Cloudy</v>
      </c>
      <c r="N110" s="28">
        <v>0.3</v>
      </c>
      <c r="O110" s="28" t="str">
        <f t="shared" si="11"/>
        <v>Mild</v>
      </c>
      <c r="P110" s="28">
        <v>0.31819999999999998</v>
      </c>
      <c r="Q110" s="38">
        <f t="shared" si="7"/>
        <v>0.31819999999999998</v>
      </c>
      <c r="R110" s="28">
        <v>0.28000000000000003</v>
      </c>
      <c r="S110" s="28">
        <v>8.9599999999999999E-2</v>
      </c>
      <c r="T110" s="40" t="str" cm="1">
        <f t="array" ref="T110">_xlfn.IFS(S110*18.6&lt;2,"Calm",S110*18.6&lt;6,"Light Breeze",S110*18.6&lt;14,"Gale",TRUE,"Extreme Storm")</f>
        <v>Calm</v>
      </c>
      <c r="U110" s="28">
        <v>4</v>
      </c>
      <c r="V110" s="28">
        <v>85</v>
      </c>
      <c r="W110" s="28">
        <v>89</v>
      </c>
      <c r="X110" s="44">
        <f>AVERAGE(INDEX($W:$W,MAX(ROW($W$3),ROW()-23)):INDEX($W:$W,ROW()))</f>
        <v>68.875</v>
      </c>
      <c r="Y110" s="44">
        <f>_xlfn.STDEV.S(INDEX($W:$W,MAX(ROW($W$3),ROW()-23)):INDEX($W:$W,ROW()))</f>
        <v>59.943678275673001</v>
      </c>
      <c r="Z110" s="44">
        <f t="shared" si="8"/>
        <v>0.335731816580354</v>
      </c>
      <c r="AA110" s="40" t="b">
        <f t="shared" si="6"/>
        <v>0</v>
      </c>
    </row>
    <row r="111" spans="1:27" x14ac:dyDescent="0.3">
      <c r="A111" s="32">
        <v>109</v>
      </c>
      <c r="B111" s="33">
        <v>40548</v>
      </c>
      <c r="C111" s="40" t="str">
        <f t="shared" si="9"/>
        <v>Wednesday</v>
      </c>
      <c r="D111" s="28">
        <v>17</v>
      </c>
      <c r="E111" s="40" t="str" cm="1">
        <f t="array" ref="E111">_xlfn.IFS(D111&gt;=21,"Night",D111&gt;=17,"Evening",D111&gt;=12,"Midday",D111&gt;=6,"Morning", TRUE, "Night")</f>
        <v>Evening</v>
      </c>
      <c r="F111" s="28">
        <v>1</v>
      </c>
      <c r="G111" s="28">
        <v>0</v>
      </c>
      <c r="H111" s="28">
        <v>1</v>
      </c>
      <c r="I111" s="28">
        <v>3</v>
      </c>
      <c r="J111" s="40" t="str">
        <f t="shared" si="10"/>
        <v>Weekday</v>
      </c>
      <c r="K111" s="28" t="b">
        <v>0</v>
      </c>
      <c r="L111" s="28">
        <v>1</v>
      </c>
      <c r="M111" s="40" t="str" cm="1">
        <f t="array" ref="M111">_xlfn.IFS(L111=1,"Clear / Partly Cloudy",L111=2,"Mist / Cloudy",L111=3,"Light Snow / Rain",L111=4,"Heavy Precipitation")</f>
        <v>Clear / Partly Cloudy</v>
      </c>
      <c r="N111" s="28">
        <v>0.24</v>
      </c>
      <c r="O111" s="28" t="str">
        <f t="shared" si="11"/>
        <v>Mild</v>
      </c>
      <c r="P111" s="28">
        <v>0.2273</v>
      </c>
      <c r="Q111" s="38">
        <f t="shared" si="7"/>
        <v>0.2273</v>
      </c>
      <c r="R111" s="28">
        <v>0.38</v>
      </c>
      <c r="S111" s="28">
        <v>0.19400000000000001</v>
      </c>
      <c r="T111" s="40" t="str" cm="1">
        <f t="array" ref="T111">_xlfn.IFS(S111*18.6&lt;2,"Calm",S111*18.6&lt;6,"Light Breeze",S111*18.6&lt;14,"Gale",TRUE,"Extreme Storm")</f>
        <v>Light Breeze</v>
      </c>
      <c r="U111" s="28">
        <v>4</v>
      </c>
      <c r="V111" s="28">
        <v>186</v>
      </c>
      <c r="W111" s="28">
        <v>190</v>
      </c>
      <c r="X111" s="44">
        <f>AVERAGE(INDEX($W:$W,MAX(ROW($W$3),ROW()-23)):INDEX($W:$W,ROW()))</f>
        <v>73.333333333333329</v>
      </c>
      <c r="Y111" s="44">
        <f>_xlfn.STDEV.S(INDEX($W:$W,MAX(ROW($W$3),ROW()-23)):INDEX($W:$W,ROW()))</f>
        <v>64.820599695833849</v>
      </c>
      <c r="Z111" s="44">
        <f t="shared" si="8"/>
        <v>1.7998393599275058</v>
      </c>
      <c r="AA111" s="40" t="b">
        <f t="shared" si="6"/>
        <v>0</v>
      </c>
    </row>
    <row r="112" spans="1:27" x14ac:dyDescent="0.3">
      <c r="A112" s="32">
        <v>110</v>
      </c>
      <c r="B112" s="33">
        <v>40548</v>
      </c>
      <c r="C112" s="40" t="str">
        <f t="shared" si="9"/>
        <v>Wednesday</v>
      </c>
      <c r="D112" s="28">
        <v>18</v>
      </c>
      <c r="E112" s="40" t="str" cm="1">
        <f t="array" ref="E112">_xlfn.IFS(D112&gt;=21,"Night",D112&gt;=17,"Evening",D112&gt;=12,"Midday",D112&gt;=6,"Morning", TRUE, "Night")</f>
        <v>Evening</v>
      </c>
      <c r="F112" s="28">
        <v>1</v>
      </c>
      <c r="G112" s="28">
        <v>0</v>
      </c>
      <c r="H112" s="28">
        <v>1</v>
      </c>
      <c r="I112" s="28">
        <v>3</v>
      </c>
      <c r="J112" s="40" t="str">
        <f t="shared" si="10"/>
        <v>Weekday</v>
      </c>
      <c r="K112" s="28" t="b">
        <v>0</v>
      </c>
      <c r="L112" s="28">
        <v>1</v>
      </c>
      <c r="M112" s="40" t="str" cm="1">
        <f t="array" ref="M112">_xlfn.IFS(L112=1,"Clear / Partly Cloudy",L112=2,"Mist / Cloudy",L112=3,"Light Snow / Rain",L112=4,"Heavy Precipitation")</f>
        <v>Clear / Partly Cloudy</v>
      </c>
      <c r="N112" s="28">
        <v>0.24</v>
      </c>
      <c r="O112" s="28" t="str">
        <f t="shared" si="11"/>
        <v>Mild</v>
      </c>
      <c r="P112" s="28">
        <v>0.2424</v>
      </c>
      <c r="Q112" s="38">
        <f t="shared" si="7"/>
        <v>0.2424</v>
      </c>
      <c r="R112" s="28">
        <v>0.38</v>
      </c>
      <c r="S112" s="28">
        <v>0.1343</v>
      </c>
      <c r="T112" s="40" t="str" cm="1">
        <f t="array" ref="T112">_xlfn.IFS(S112*18.6&lt;2,"Calm",S112*18.6&lt;6,"Light Breeze",S112*18.6&lt;14,"Gale",TRUE,"Extreme Storm")</f>
        <v>Light Breeze</v>
      </c>
      <c r="U112" s="28">
        <v>3</v>
      </c>
      <c r="V112" s="28">
        <v>166</v>
      </c>
      <c r="W112" s="28">
        <v>169</v>
      </c>
      <c r="X112" s="44">
        <f>AVERAGE(INDEX($W:$W,MAX(ROW($W$3),ROW()-23)):INDEX($W:$W,ROW()))</f>
        <v>71.541666666666671</v>
      </c>
      <c r="Y112" s="44">
        <f>_xlfn.STDEV.S(INDEX($W:$W,MAX(ROW($W$3),ROW()-23)):INDEX($W:$W,ROW()))</f>
        <v>61.320951215477848</v>
      </c>
      <c r="Z112" s="44">
        <f t="shared" si="8"/>
        <v>1.5893154199593391</v>
      </c>
      <c r="AA112" s="40" t="b">
        <f t="shared" si="6"/>
        <v>0</v>
      </c>
    </row>
    <row r="113" spans="1:27" x14ac:dyDescent="0.3">
      <c r="A113" s="32">
        <v>111</v>
      </c>
      <c r="B113" s="33">
        <v>40548</v>
      </c>
      <c r="C113" s="40" t="str">
        <f t="shared" si="9"/>
        <v>Wednesday</v>
      </c>
      <c r="D113" s="28">
        <v>19</v>
      </c>
      <c r="E113" s="40" t="str" cm="1">
        <f t="array" ref="E113">_xlfn.IFS(D113&gt;=21,"Night",D113&gt;=17,"Evening",D113&gt;=12,"Midday",D113&gt;=6,"Morning", TRUE, "Night")</f>
        <v>Evening</v>
      </c>
      <c r="F113" s="28">
        <v>1</v>
      </c>
      <c r="G113" s="28">
        <v>0</v>
      </c>
      <c r="H113" s="28">
        <v>1</v>
      </c>
      <c r="I113" s="28">
        <v>3</v>
      </c>
      <c r="J113" s="40" t="str">
        <f t="shared" si="10"/>
        <v>Weekday</v>
      </c>
      <c r="K113" s="28" t="b">
        <v>0</v>
      </c>
      <c r="L113" s="28">
        <v>1</v>
      </c>
      <c r="M113" s="40" t="str" cm="1">
        <f t="array" ref="M113">_xlfn.IFS(L113=1,"Clear / Partly Cloudy",L113=2,"Mist / Cloudy",L113=3,"Light Snow / Rain",L113=4,"Heavy Precipitation")</f>
        <v>Clear / Partly Cloudy</v>
      </c>
      <c r="N113" s="28">
        <v>0.24</v>
      </c>
      <c r="O113" s="28" t="str">
        <f t="shared" si="11"/>
        <v>Mild</v>
      </c>
      <c r="P113" s="28">
        <v>0.2576</v>
      </c>
      <c r="Q113" s="38">
        <f t="shared" si="7"/>
        <v>0.2576</v>
      </c>
      <c r="R113" s="28">
        <v>0.38</v>
      </c>
      <c r="S113" s="28">
        <v>0.1045</v>
      </c>
      <c r="T113" s="40" t="str" cm="1">
        <f t="array" ref="T113">_xlfn.IFS(S113*18.6&lt;2,"Calm",S113*18.6&lt;6,"Light Breeze",S113*18.6&lt;14,"Gale",TRUE,"Extreme Storm")</f>
        <v>Calm</v>
      </c>
      <c r="U113" s="28">
        <v>5</v>
      </c>
      <c r="V113" s="28">
        <v>127</v>
      </c>
      <c r="W113" s="28">
        <v>132</v>
      </c>
      <c r="X113" s="44">
        <f>AVERAGE(INDEX($W:$W,MAX(ROW($W$3),ROW()-23)):INDEX($W:$W,ROW()))</f>
        <v>69.458333333333329</v>
      </c>
      <c r="Y113" s="44">
        <f>_xlfn.STDEV.S(INDEX($W:$W,MAX(ROW($W$3),ROW()-23)):INDEX($W:$W,ROW()))</f>
        <v>58.173637512616274</v>
      </c>
      <c r="Z113" s="44">
        <f t="shared" si="8"/>
        <v>1.0750860585794226</v>
      </c>
      <c r="AA113" s="40" t="b">
        <f t="shared" si="6"/>
        <v>0</v>
      </c>
    </row>
    <row r="114" spans="1:27" x14ac:dyDescent="0.3">
      <c r="A114" s="32">
        <v>112</v>
      </c>
      <c r="B114" s="33">
        <v>40548</v>
      </c>
      <c r="C114" s="40" t="str">
        <f t="shared" si="9"/>
        <v>Wednesday</v>
      </c>
      <c r="D114" s="28">
        <v>20</v>
      </c>
      <c r="E114" s="40" t="str" cm="1">
        <f t="array" ref="E114">_xlfn.IFS(D114&gt;=21,"Night",D114&gt;=17,"Evening",D114&gt;=12,"Midday",D114&gt;=6,"Morning", TRUE, "Night")</f>
        <v>Evening</v>
      </c>
      <c r="F114" s="28">
        <v>1</v>
      </c>
      <c r="G114" s="28">
        <v>0</v>
      </c>
      <c r="H114" s="28">
        <v>1</v>
      </c>
      <c r="I114" s="28">
        <v>3</v>
      </c>
      <c r="J114" s="40" t="str">
        <f t="shared" si="10"/>
        <v>Weekday</v>
      </c>
      <c r="K114" s="28" t="b">
        <v>0</v>
      </c>
      <c r="L114" s="28">
        <v>1</v>
      </c>
      <c r="M114" s="40" t="str" cm="1">
        <f t="array" ref="M114">_xlfn.IFS(L114=1,"Clear / Partly Cloudy",L114=2,"Mist / Cloudy",L114=3,"Light Snow / Rain",L114=4,"Heavy Precipitation")</f>
        <v>Clear / Partly Cloudy</v>
      </c>
      <c r="N114" s="28">
        <v>0.22</v>
      </c>
      <c r="O114" s="28" t="str">
        <f t="shared" si="11"/>
        <v>Mild</v>
      </c>
      <c r="P114" s="28">
        <v>0.2273</v>
      </c>
      <c r="Q114" s="38">
        <f t="shared" si="7"/>
        <v>0.2273</v>
      </c>
      <c r="R114" s="28">
        <v>0.47</v>
      </c>
      <c r="S114" s="28">
        <v>0.16420000000000001</v>
      </c>
      <c r="T114" s="40" t="str" cm="1">
        <f t="array" ref="T114">_xlfn.IFS(S114*18.6&lt;2,"Calm",S114*18.6&lt;6,"Light Breeze",S114*18.6&lt;14,"Gale",TRUE,"Extreme Storm")</f>
        <v>Light Breeze</v>
      </c>
      <c r="U114" s="28">
        <v>7</v>
      </c>
      <c r="V114" s="28">
        <v>82</v>
      </c>
      <c r="W114" s="28">
        <v>89</v>
      </c>
      <c r="X114" s="44">
        <f>AVERAGE(INDEX($W:$W,MAX(ROW($W$3),ROW()-23)):INDEX($W:$W,ROW()))</f>
        <v>68.5</v>
      </c>
      <c r="Y114" s="44">
        <f>_xlfn.STDEV.S(INDEX($W:$W,MAX(ROW($W$3),ROW()-23)):INDEX($W:$W,ROW()))</f>
        <v>57.629249819710552</v>
      </c>
      <c r="Z114" s="44">
        <f t="shared" si="8"/>
        <v>0.35572213874261677</v>
      </c>
      <c r="AA114" s="40" t="b">
        <f t="shared" si="6"/>
        <v>0</v>
      </c>
    </row>
    <row r="115" spans="1:27" x14ac:dyDescent="0.3">
      <c r="A115" s="32">
        <v>113</v>
      </c>
      <c r="B115" s="33">
        <v>40548</v>
      </c>
      <c r="C115" s="40" t="str">
        <f t="shared" si="9"/>
        <v>Wednesday</v>
      </c>
      <c r="D115" s="28">
        <v>21</v>
      </c>
      <c r="E115" s="40" t="str" cm="1">
        <f t="array" ref="E115">_xlfn.IFS(D115&gt;=21,"Night",D115&gt;=17,"Evening",D115&gt;=12,"Midday",D115&gt;=6,"Morning", TRUE, "Night")</f>
        <v>Night</v>
      </c>
      <c r="F115" s="28">
        <v>1</v>
      </c>
      <c r="G115" s="28">
        <v>0</v>
      </c>
      <c r="H115" s="28">
        <v>1</v>
      </c>
      <c r="I115" s="28">
        <v>3</v>
      </c>
      <c r="J115" s="40" t="str">
        <f t="shared" si="10"/>
        <v>Weekday</v>
      </c>
      <c r="K115" s="28" t="b">
        <v>0</v>
      </c>
      <c r="L115" s="28">
        <v>1</v>
      </c>
      <c r="M115" s="40" t="str" cm="1">
        <f t="array" ref="M115">_xlfn.IFS(L115=1,"Clear / Partly Cloudy",L115=2,"Mist / Cloudy",L115=3,"Light Snow / Rain",L115=4,"Heavy Precipitation")</f>
        <v>Clear / Partly Cloudy</v>
      </c>
      <c r="N115" s="28">
        <v>0.2</v>
      </c>
      <c r="O115" s="28" t="str">
        <f t="shared" si="11"/>
        <v>Mild</v>
      </c>
      <c r="P115" s="28">
        <v>0.19700000000000001</v>
      </c>
      <c r="Q115" s="38">
        <f t="shared" si="7"/>
        <v>0.19700000000000001</v>
      </c>
      <c r="R115" s="28">
        <v>0.51</v>
      </c>
      <c r="S115" s="28">
        <v>0.19400000000000001</v>
      </c>
      <c r="T115" s="40" t="str" cm="1">
        <f t="array" ref="T115">_xlfn.IFS(S115*18.6&lt;2,"Calm",S115*18.6&lt;6,"Light Breeze",S115*18.6&lt;14,"Gale",TRUE,"Extreme Storm")</f>
        <v>Light Breeze</v>
      </c>
      <c r="U115" s="28">
        <v>3</v>
      </c>
      <c r="V115" s="28">
        <v>40</v>
      </c>
      <c r="W115" s="28">
        <v>43</v>
      </c>
      <c r="X115" s="44">
        <f>AVERAGE(INDEX($W:$W,MAX(ROW($W$3),ROW()-23)):INDEX($W:$W,ROW()))</f>
        <v>68.041666666666671</v>
      </c>
      <c r="Y115" s="44">
        <f>_xlfn.STDEV.S(INDEX($W:$W,MAX(ROW($W$3),ROW()-23)):INDEX($W:$W,ROW()))</f>
        <v>57.793093589689995</v>
      </c>
      <c r="Z115" s="44">
        <f t="shared" si="8"/>
        <v>-0.43329860215570781</v>
      </c>
      <c r="AA115" s="40" t="b">
        <f t="shared" si="6"/>
        <v>0</v>
      </c>
    </row>
    <row r="116" spans="1:27" x14ac:dyDescent="0.3">
      <c r="A116" s="32">
        <v>114</v>
      </c>
      <c r="B116" s="33">
        <v>40548</v>
      </c>
      <c r="C116" s="40" t="str">
        <f t="shared" si="9"/>
        <v>Wednesday</v>
      </c>
      <c r="D116" s="28">
        <v>22</v>
      </c>
      <c r="E116" s="40" t="str" cm="1">
        <f t="array" ref="E116">_xlfn.IFS(D116&gt;=21,"Night",D116&gt;=17,"Evening",D116&gt;=12,"Midday",D116&gt;=6,"Morning", TRUE, "Night")</f>
        <v>Night</v>
      </c>
      <c r="F116" s="28">
        <v>1</v>
      </c>
      <c r="G116" s="28">
        <v>0</v>
      </c>
      <c r="H116" s="28">
        <v>1</v>
      </c>
      <c r="I116" s="28">
        <v>3</v>
      </c>
      <c r="J116" s="40" t="str">
        <f t="shared" si="10"/>
        <v>Weekday</v>
      </c>
      <c r="K116" s="28" t="b">
        <v>0</v>
      </c>
      <c r="L116" s="28">
        <v>1</v>
      </c>
      <c r="M116" s="40" t="str" cm="1">
        <f t="array" ref="M116">_xlfn.IFS(L116=1,"Clear / Partly Cloudy",L116=2,"Mist / Cloudy",L116=3,"Light Snow / Rain",L116=4,"Heavy Precipitation")</f>
        <v>Clear / Partly Cloudy</v>
      </c>
      <c r="N116" s="28">
        <v>0.18</v>
      </c>
      <c r="O116" s="28" t="str">
        <f t="shared" si="11"/>
        <v>Cold</v>
      </c>
      <c r="P116" s="28">
        <v>0.19700000000000001</v>
      </c>
      <c r="Q116" s="38">
        <f t="shared" si="7"/>
        <v>0.19700000000000001</v>
      </c>
      <c r="R116" s="28">
        <v>0.55000000000000004</v>
      </c>
      <c r="S116" s="28">
        <v>0.1343</v>
      </c>
      <c r="T116" s="40" t="str" cm="1">
        <f t="array" ref="T116">_xlfn.IFS(S116*18.6&lt;2,"Calm",S116*18.6&lt;6,"Light Breeze",S116*18.6&lt;14,"Gale",TRUE,"Extreme Storm")</f>
        <v>Light Breeze</v>
      </c>
      <c r="U116" s="28">
        <v>1</v>
      </c>
      <c r="V116" s="28">
        <v>41</v>
      </c>
      <c r="W116" s="28">
        <v>42</v>
      </c>
      <c r="X116" s="44">
        <f>AVERAGE(INDEX($W:$W,MAX(ROW($W$3),ROW()-23)):INDEX($W:$W,ROW()))</f>
        <v>67.791666666666671</v>
      </c>
      <c r="Y116" s="44">
        <f>_xlfn.STDEV.S(INDEX($W:$W,MAX(ROW($W$3),ROW()-23)):INDEX($W:$W,ROW()))</f>
        <v>57.896443659397569</v>
      </c>
      <c r="Z116" s="44">
        <f t="shared" si="8"/>
        <v>-0.44547929089389326</v>
      </c>
      <c r="AA116" s="40" t="b">
        <f t="shared" si="6"/>
        <v>0</v>
      </c>
    </row>
    <row r="117" spans="1:27" x14ac:dyDescent="0.3">
      <c r="A117" s="32">
        <v>115</v>
      </c>
      <c r="B117" s="33">
        <v>40548</v>
      </c>
      <c r="C117" s="40" t="str">
        <f t="shared" si="9"/>
        <v>Wednesday</v>
      </c>
      <c r="D117" s="28">
        <v>23</v>
      </c>
      <c r="E117" s="40" t="str" cm="1">
        <f t="array" ref="E117">_xlfn.IFS(D117&gt;=21,"Night",D117&gt;=17,"Evening",D117&gt;=12,"Midday",D117&gt;=6,"Morning", TRUE, "Night")</f>
        <v>Night</v>
      </c>
      <c r="F117" s="28">
        <v>1</v>
      </c>
      <c r="G117" s="28">
        <v>0</v>
      </c>
      <c r="H117" s="28">
        <v>1</v>
      </c>
      <c r="I117" s="28">
        <v>3</v>
      </c>
      <c r="J117" s="40" t="str">
        <f t="shared" si="10"/>
        <v>Weekday</v>
      </c>
      <c r="K117" s="28" t="b">
        <v>0</v>
      </c>
      <c r="L117" s="28">
        <v>1</v>
      </c>
      <c r="M117" s="40" t="str" cm="1">
        <f t="array" ref="M117">_xlfn.IFS(L117=1,"Clear / Partly Cloudy",L117=2,"Mist / Cloudy",L117=3,"Light Snow / Rain",L117=4,"Heavy Precipitation")</f>
        <v>Clear / Partly Cloudy</v>
      </c>
      <c r="N117" s="28">
        <v>0.2</v>
      </c>
      <c r="O117" s="28" t="str">
        <f t="shared" si="11"/>
        <v>Mild</v>
      </c>
      <c r="P117" s="28">
        <v>0.2576</v>
      </c>
      <c r="Q117" s="38">
        <f t="shared" si="7"/>
        <v>0.2576</v>
      </c>
      <c r="R117" s="28">
        <v>0.47</v>
      </c>
      <c r="S117" s="28">
        <v>0</v>
      </c>
      <c r="T117" s="40" t="str" cm="1">
        <f t="array" ref="T117">_xlfn.IFS(S117*18.6&lt;2,"Calm",S117*18.6&lt;6,"Light Breeze",S117*18.6&lt;14,"Gale",TRUE,"Extreme Storm")</f>
        <v>Calm</v>
      </c>
      <c r="U117" s="28">
        <v>1</v>
      </c>
      <c r="V117" s="28">
        <v>18</v>
      </c>
      <c r="W117" s="28">
        <v>19</v>
      </c>
      <c r="X117" s="44">
        <f>AVERAGE(INDEX($W:$W,MAX(ROW($W$3),ROW()-23)):INDEX($W:$W,ROW()))</f>
        <v>67.125</v>
      </c>
      <c r="Y117" s="44">
        <f>_xlfn.STDEV.S(INDEX($W:$W,MAX(ROW($W$3),ROW()-23)):INDEX($W:$W,ROW()))</f>
        <v>58.380545076919766</v>
      </c>
      <c r="Z117" s="44">
        <f t="shared" si="8"/>
        <v>-0.82433283102431665</v>
      </c>
      <c r="AA117" s="40" t="b">
        <f t="shared" si="6"/>
        <v>0</v>
      </c>
    </row>
    <row r="118" spans="1:27" x14ac:dyDescent="0.3">
      <c r="A118" s="32">
        <v>116</v>
      </c>
      <c r="B118" s="33">
        <v>40549</v>
      </c>
      <c r="C118" s="40" t="str">
        <f t="shared" si="9"/>
        <v>Thursday</v>
      </c>
      <c r="D118" s="28">
        <v>0</v>
      </c>
      <c r="E118" s="40" t="str" cm="1">
        <f t="array" ref="E118">_xlfn.IFS(D118&gt;=21,"Night",D118&gt;=17,"Evening",D118&gt;=12,"Midday",D118&gt;=6,"Morning", TRUE, "Night")</f>
        <v>Night</v>
      </c>
      <c r="F118" s="28">
        <v>1</v>
      </c>
      <c r="G118" s="28">
        <v>0</v>
      </c>
      <c r="H118" s="28">
        <v>1</v>
      </c>
      <c r="I118" s="28">
        <v>4</v>
      </c>
      <c r="J118" s="40" t="str">
        <f t="shared" si="10"/>
        <v>Weekday</v>
      </c>
      <c r="K118" s="28" t="b">
        <v>0</v>
      </c>
      <c r="L118" s="28">
        <v>1</v>
      </c>
      <c r="M118" s="40" t="str" cm="1">
        <f t="array" ref="M118">_xlfn.IFS(L118=1,"Clear / Partly Cloudy",L118=2,"Mist / Cloudy",L118=3,"Light Snow / Rain",L118=4,"Heavy Precipitation")</f>
        <v>Clear / Partly Cloudy</v>
      </c>
      <c r="N118" s="28">
        <v>0.18</v>
      </c>
      <c r="O118" s="28" t="str">
        <f t="shared" si="11"/>
        <v>Cold</v>
      </c>
      <c r="P118" s="28">
        <v>0.2424</v>
      </c>
      <c r="Q118" s="38">
        <f t="shared" si="7"/>
        <v>0.2424</v>
      </c>
      <c r="R118" s="28">
        <v>0.55000000000000004</v>
      </c>
      <c r="S118" s="28">
        <v>0</v>
      </c>
      <c r="T118" s="40" t="str" cm="1">
        <f t="array" ref="T118">_xlfn.IFS(S118*18.6&lt;2,"Calm",S118*18.6&lt;6,"Light Breeze",S118*18.6&lt;14,"Gale",TRUE,"Extreme Storm")</f>
        <v>Calm</v>
      </c>
      <c r="U118" s="28">
        <v>0</v>
      </c>
      <c r="V118" s="28">
        <v>11</v>
      </c>
      <c r="W118" s="28">
        <v>11</v>
      </c>
      <c r="X118" s="44">
        <f>AVERAGE(INDEX($W:$W,MAX(ROW($W$3),ROW()-23)):INDEX($W:$W,ROW()))</f>
        <v>67.125</v>
      </c>
      <c r="Y118" s="44">
        <f>_xlfn.STDEV.S(INDEX($W:$W,MAX(ROW($W$3),ROW()-23)):INDEX($W:$W,ROW()))</f>
        <v>58.380545076919766</v>
      </c>
      <c r="Z118" s="44">
        <f t="shared" si="8"/>
        <v>-0.96136478215563159</v>
      </c>
      <c r="AA118" s="40" t="b">
        <f t="shared" si="6"/>
        <v>0</v>
      </c>
    </row>
    <row r="119" spans="1:27" x14ac:dyDescent="0.3">
      <c r="A119" s="32">
        <v>117</v>
      </c>
      <c r="B119" s="33">
        <v>40549</v>
      </c>
      <c r="C119" s="40" t="str">
        <f t="shared" si="9"/>
        <v>Thursday</v>
      </c>
      <c r="D119" s="28">
        <v>1</v>
      </c>
      <c r="E119" s="40" t="str" cm="1">
        <f t="array" ref="E119">_xlfn.IFS(D119&gt;=21,"Night",D119&gt;=17,"Evening",D119&gt;=12,"Midday",D119&gt;=6,"Morning", TRUE, "Night")</f>
        <v>Night</v>
      </c>
      <c r="F119" s="28">
        <v>1</v>
      </c>
      <c r="G119" s="28">
        <v>0</v>
      </c>
      <c r="H119" s="28">
        <v>1</v>
      </c>
      <c r="I119" s="28">
        <v>4</v>
      </c>
      <c r="J119" s="40" t="str">
        <f t="shared" si="10"/>
        <v>Weekday</v>
      </c>
      <c r="K119" s="28" t="b">
        <v>0</v>
      </c>
      <c r="L119" s="28">
        <v>1</v>
      </c>
      <c r="M119" s="40" t="str" cm="1">
        <f t="array" ref="M119">_xlfn.IFS(L119=1,"Clear / Partly Cloudy",L119=2,"Mist / Cloudy",L119=3,"Light Snow / Rain",L119=4,"Heavy Precipitation")</f>
        <v>Clear / Partly Cloudy</v>
      </c>
      <c r="N119" s="28">
        <v>0.16</v>
      </c>
      <c r="O119" s="28" t="str">
        <f t="shared" si="11"/>
        <v>Cold</v>
      </c>
      <c r="P119" s="28">
        <v>0.2273</v>
      </c>
      <c r="Q119" s="38">
        <f t="shared" si="7"/>
        <v>0.2273</v>
      </c>
      <c r="R119" s="28">
        <v>0.64</v>
      </c>
      <c r="S119" s="28">
        <v>0</v>
      </c>
      <c r="T119" s="40" t="str" cm="1">
        <f t="array" ref="T119">_xlfn.IFS(S119*18.6&lt;2,"Calm",S119*18.6&lt;6,"Light Breeze",S119*18.6&lt;14,"Gale",TRUE,"Extreme Storm")</f>
        <v>Calm</v>
      </c>
      <c r="U119" s="28">
        <v>0</v>
      </c>
      <c r="V119" s="28">
        <v>4</v>
      </c>
      <c r="W119" s="28">
        <v>4</v>
      </c>
      <c r="X119" s="44">
        <f>AVERAGE(INDEX($W:$W,MAX(ROW($W$3),ROW()-23)):INDEX($W:$W,ROW()))</f>
        <v>67.041666666666671</v>
      </c>
      <c r="Y119" s="44">
        <f>_xlfn.STDEV.S(INDEX($W:$W,MAX(ROW($W$3),ROW()-23)):INDEX($W:$W,ROW()))</f>
        <v>58.472943699864608</v>
      </c>
      <c r="Z119" s="44">
        <f t="shared" si="8"/>
        <v>-1.0781339655183573</v>
      </c>
      <c r="AA119" s="40" t="b">
        <f t="shared" si="6"/>
        <v>0</v>
      </c>
    </row>
    <row r="120" spans="1:27" x14ac:dyDescent="0.3">
      <c r="A120" s="32">
        <v>118</v>
      </c>
      <c r="B120" s="33">
        <v>40549</v>
      </c>
      <c r="C120" s="40" t="str">
        <f t="shared" si="9"/>
        <v>Thursday</v>
      </c>
      <c r="D120" s="28">
        <v>2</v>
      </c>
      <c r="E120" s="40" t="str" cm="1">
        <f t="array" ref="E120">_xlfn.IFS(D120&gt;=21,"Night",D120&gt;=17,"Evening",D120&gt;=12,"Midday",D120&gt;=6,"Morning", TRUE, "Night")</f>
        <v>Night</v>
      </c>
      <c r="F120" s="28">
        <v>1</v>
      </c>
      <c r="G120" s="28">
        <v>0</v>
      </c>
      <c r="H120" s="28">
        <v>1</v>
      </c>
      <c r="I120" s="28">
        <v>4</v>
      </c>
      <c r="J120" s="40" t="str">
        <f t="shared" si="10"/>
        <v>Weekday</v>
      </c>
      <c r="K120" s="28" t="b">
        <v>0</v>
      </c>
      <c r="L120" s="28">
        <v>1</v>
      </c>
      <c r="M120" s="40" t="str" cm="1">
        <f t="array" ref="M120">_xlfn.IFS(L120=1,"Clear / Partly Cloudy",L120=2,"Mist / Cloudy",L120=3,"Light Snow / Rain",L120=4,"Heavy Precipitation")</f>
        <v>Clear / Partly Cloudy</v>
      </c>
      <c r="N120" s="28">
        <v>0.16</v>
      </c>
      <c r="O120" s="28" t="str">
        <f t="shared" si="11"/>
        <v>Cold</v>
      </c>
      <c r="P120" s="28">
        <v>0.2273</v>
      </c>
      <c r="Q120" s="38">
        <f t="shared" si="7"/>
        <v>0.2273</v>
      </c>
      <c r="R120" s="28">
        <v>0.64</v>
      </c>
      <c r="S120" s="28">
        <v>0</v>
      </c>
      <c r="T120" s="40" t="str" cm="1">
        <f t="array" ref="T120">_xlfn.IFS(S120*18.6&lt;2,"Calm",S120*18.6&lt;6,"Light Breeze",S120*18.6&lt;14,"Gale",TRUE,"Extreme Storm")</f>
        <v>Calm</v>
      </c>
      <c r="U120" s="28">
        <v>0</v>
      </c>
      <c r="V120" s="28">
        <v>2</v>
      </c>
      <c r="W120" s="28">
        <v>2</v>
      </c>
      <c r="X120" s="44">
        <f>AVERAGE(INDEX($W:$W,MAX(ROW($W$3),ROW()-23)):INDEX($W:$W,ROW()))</f>
        <v>66.875</v>
      </c>
      <c r="Y120" s="44">
        <f>_xlfn.STDEV.S(INDEX($W:$W,MAX(ROW($W$3),ROW()-23)):INDEX($W:$W,ROW()))</f>
        <v>58.659898530871786</v>
      </c>
      <c r="Z120" s="44">
        <f t="shared" si="8"/>
        <v>-1.1059514527775274</v>
      </c>
      <c r="AA120" s="40" t="b">
        <f t="shared" si="6"/>
        <v>0</v>
      </c>
    </row>
    <row r="121" spans="1:27" x14ac:dyDescent="0.3">
      <c r="A121" s="32">
        <v>119</v>
      </c>
      <c r="B121" s="33">
        <v>40549</v>
      </c>
      <c r="C121" s="40" t="str">
        <f t="shared" si="9"/>
        <v>Thursday</v>
      </c>
      <c r="D121" s="28">
        <v>4</v>
      </c>
      <c r="E121" s="40" t="str" cm="1">
        <f t="array" ref="E121">_xlfn.IFS(D121&gt;=21,"Night",D121&gt;=17,"Evening",D121&gt;=12,"Midday",D121&gt;=6,"Morning", TRUE, "Night")</f>
        <v>Night</v>
      </c>
      <c r="F121" s="28">
        <v>1</v>
      </c>
      <c r="G121" s="28">
        <v>0</v>
      </c>
      <c r="H121" s="28">
        <v>1</v>
      </c>
      <c r="I121" s="28">
        <v>4</v>
      </c>
      <c r="J121" s="40" t="str">
        <f t="shared" si="10"/>
        <v>Weekday</v>
      </c>
      <c r="K121" s="28" t="b">
        <v>0</v>
      </c>
      <c r="L121" s="28">
        <v>2</v>
      </c>
      <c r="M121" s="40" t="str" cm="1">
        <f t="array" ref="M121">_xlfn.IFS(L121=1,"Clear / Partly Cloudy",L121=2,"Mist / Cloudy",L121=3,"Light Snow / Rain",L121=4,"Heavy Precipitation")</f>
        <v>Mist / Cloudy</v>
      </c>
      <c r="N121" s="28">
        <v>0.16</v>
      </c>
      <c r="O121" s="28" t="str">
        <f t="shared" si="11"/>
        <v>Cold</v>
      </c>
      <c r="P121" s="28">
        <v>0.19700000000000001</v>
      </c>
      <c r="Q121" s="38">
        <f t="shared" si="7"/>
        <v>0.19700000000000001</v>
      </c>
      <c r="R121" s="28">
        <v>0.64</v>
      </c>
      <c r="S121" s="28">
        <v>8.9599999999999999E-2</v>
      </c>
      <c r="T121" s="40" t="str" cm="1">
        <f t="array" ref="T121">_xlfn.IFS(S121*18.6&lt;2,"Calm",S121*18.6&lt;6,"Light Breeze",S121*18.6&lt;14,"Gale",TRUE,"Extreme Storm")</f>
        <v>Calm</v>
      </c>
      <c r="U121" s="28">
        <v>0</v>
      </c>
      <c r="V121" s="28">
        <v>1</v>
      </c>
      <c r="W121" s="28">
        <v>1</v>
      </c>
      <c r="X121" s="44">
        <f>AVERAGE(INDEX($W:$W,MAX(ROW($W$3),ROW()-23)):INDEX($W:$W,ROW()))</f>
        <v>66.833333333333329</v>
      </c>
      <c r="Y121" s="44">
        <f>_xlfn.STDEV.S(INDEX($W:$W,MAX(ROW($W$3),ROW()-23)):INDEX($W:$W,ROW()))</f>
        <v>58.708318547431304</v>
      </c>
      <c r="Z121" s="44">
        <f t="shared" si="8"/>
        <v>-1.1213629509784993</v>
      </c>
      <c r="AA121" s="40" t="b">
        <f t="shared" si="6"/>
        <v>0</v>
      </c>
    </row>
    <row r="122" spans="1:27" x14ac:dyDescent="0.3">
      <c r="A122" s="32">
        <v>120</v>
      </c>
      <c r="B122" s="33">
        <v>40549</v>
      </c>
      <c r="C122" s="40" t="str">
        <f t="shared" si="9"/>
        <v>Thursday</v>
      </c>
      <c r="D122" s="28">
        <v>5</v>
      </c>
      <c r="E122" s="40" t="str" cm="1">
        <f t="array" ref="E122">_xlfn.IFS(D122&gt;=21,"Night",D122&gt;=17,"Evening",D122&gt;=12,"Midday",D122&gt;=6,"Morning", TRUE, "Night")</f>
        <v>Night</v>
      </c>
      <c r="F122" s="28">
        <v>1</v>
      </c>
      <c r="G122" s="28">
        <v>0</v>
      </c>
      <c r="H122" s="28">
        <v>1</v>
      </c>
      <c r="I122" s="28">
        <v>4</v>
      </c>
      <c r="J122" s="40" t="str">
        <f t="shared" si="10"/>
        <v>Weekday</v>
      </c>
      <c r="K122" s="28" t="b">
        <v>0</v>
      </c>
      <c r="L122" s="28">
        <v>2</v>
      </c>
      <c r="M122" s="40" t="str" cm="1">
        <f t="array" ref="M122">_xlfn.IFS(L122=1,"Clear / Partly Cloudy",L122=2,"Mist / Cloudy",L122=3,"Light Snow / Rain",L122=4,"Heavy Precipitation")</f>
        <v>Mist / Cloudy</v>
      </c>
      <c r="N122" s="28">
        <v>0.14000000000000001</v>
      </c>
      <c r="O122" s="28" t="str">
        <f t="shared" si="11"/>
        <v>Cold</v>
      </c>
      <c r="P122" s="28">
        <v>0.18179999999999999</v>
      </c>
      <c r="Q122" s="38">
        <f t="shared" si="7"/>
        <v>0.18179999999999999</v>
      </c>
      <c r="R122" s="28">
        <v>0.69</v>
      </c>
      <c r="S122" s="28">
        <v>8.9599999999999999E-2</v>
      </c>
      <c r="T122" s="40" t="str" cm="1">
        <f t="array" ref="T122">_xlfn.IFS(S122*18.6&lt;2,"Calm",S122*18.6&lt;6,"Light Breeze",S122*18.6&lt;14,"Gale",TRUE,"Extreme Storm")</f>
        <v>Calm</v>
      </c>
      <c r="U122" s="28">
        <v>0</v>
      </c>
      <c r="V122" s="28">
        <v>4</v>
      </c>
      <c r="W122" s="28">
        <v>4</v>
      </c>
      <c r="X122" s="44">
        <f>AVERAGE(INDEX($W:$W,MAX(ROW($W$3),ROW()-23)):INDEX($W:$W,ROW()))</f>
        <v>66.916666666666671</v>
      </c>
      <c r="Y122" s="44">
        <f>_xlfn.STDEV.S(INDEX($W:$W,MAX(ROW($W$3),ROW()-23)):INDEX($W:$W,ROW()))</f>
        <v>58.613632979149934</v>
      </c>
      <c r="Z122" s="44">
        <f t="shared" si="8"/>
        <v>-1.0734135297337295</v>
      </c>
      <c r="AA122" s="40" t="b">
        <f t="shared" si="6"/>
        <v>0</v>
      </c>
    </row>
    <row r="123" spans="1:27" x14ac:dyDescent="0.3">
      <c r="A123" s="32">
        <v>121</v>
      </c>
      <c r="B123" s="33">
        <v>40549</v>
      </c>
      <c r="C123" s="40" t="str">
        <f t="shared" si="9"/>
        <v>Thursday</v>
      </c>
      <c r="D123" s="28">
        <v>6</v>
      </c>
      <c r="E123" s="40" t="str" cm="1">
        <f t="array" ref="E123">_xlfn.IFS(D123&gt;=21,"Night",D123&gt;=17,"Evening",D123&gt;=12,"Midday",D123&gt;=6,"Morning", TRUE, "Night")</f>
        <v>Morning</v>
      </c>
      <c r="F123" s="28">
        <v>1</v>
      </c>
      <c r="G123" s="28">
        <v>0</v>
      </c>
      <c r="H123" s="28">
        <v>1</v>
      </c>
      <c r="I123" s="28">
        <v>4</v>
      </c>
      <c r="J123" s="40" t="str">
        <f t="shared" si="10"/>
        <v>Weekday</v>
      </c>
      <c r="K123" s="28" t="b">
        <v>0</v>
      </c>
      <c r="L123" s="28">
        <v>2</v>
      </c>
      <c r="M123" s="40" t="str" cm="1">
        <f t="array" ref="M123">_xlfn.IFS(L123=1,"Clear / Partly Cloudy",L123=2,"Mist / Cloudy",L123=3,"Light Snow / Rain",L123=4,"Heavy Precipitation")</f>
        <v>Mist / Cloudy</v>
      </c>
      <c r="N123" s="28">
        <v>0.14000000000000001</v>
      </c>
      <c r="O123" s="28" t="str">
        <f t="shared" si="11"/>
        <v>Cold</v>
      </c>
      <c r="P123" s="28">
        <v>0.16669999999999999</v>
      </c>
      <c r="Q123" s="38">
        <f t="shared" si="7"/>
        <v>0.16669999999999999</v>
      </c>
      <c r="R123" s="28">
        <v>0.63</v>
      </c>
      <c r="S123" s="28">
        <v>0.1045</v>
      </c>
      <c r="T123" s="40" t="str" cm="1">
        <f t="array" ref="T123">_xlfn.IFS(S123*18.6&lt;2,"Calm",S123*18.6&lt;6,"Light Breeze",S123*18.6&lt;14,"Gale",TRUE,"Extreme Storm")</f>
        <v>Calm</v>
      </c>
      <c r="U123" s="28">
        <v>0</v>
      </c>
      <c r="V123" s="28">
        <v>36</v>
      </c>
      <c r="W123" s="28">
        <v>36</v>
      </c>
      <c r="X123" s="44">
        <f>AVERAGE(INDEX($W:$W,MAX(ROW($W$3),ROW()-23)):INDEX($W:$W,ROW()))</f>
        <v>68.291666666666671</v>
      </c>
      <c r="Y123" s="44">
        <f>_xlfn.STDEV.S(INDEX($W:$W,MAX(ROW($W$3),ROW()-23)):INDEX($W:$W,ROW()))</f>
        <v>57.424036148082031</v>
      </c>
      <c r="Z123" s="44">
        <f t="shared" si="8"/>
        <v>-0.56233711234429162</v>
      </c>
      <c r="AA123" s="40" t="b">
        <f t="shared" si="6"/>
        <v>0</v>
      </c>
    </row>
    <row r="124" spans="1:27" x14ac:dyDescent="0.3">
      <c r="A124" s="32">
        <v>122</v>
      </c>
      <c r="B124" s="33">
        <v>40549</v>
      </c>
      <c r="C124" s="40" t="str">
        <f t="shared" si="9"/>
        <v>Thursday</v>
      </c>
      <c r="D124" s="28">
        <v>7</v>
      </c>
      <c r="E124" s="40" t="str" cm="1">
        <f t="array" ref="E124">_xlfn.IFS(D124&gt;=21,"Night",D124&gt;=17,"Evening",D124&gt;=12,"Midday",D124&gt;=6,"Morning", TRUE, "Night")</f>
        <v>Morning</v>
      </c>
      <c r="F124" s="28">
        <v>1</v>
      </c>
      <c r="G124" s="28">
        <v>0</v>
      </c>
      <c r="H124" s="28">
        <v>1</v>
      </c>
      <c r="I124" s="28">
        <v>4</v>
      </c>
      <c r="J124" s="40" t="str">
        <f t="shared" si="10"/>
        <v>Weekday</v>
      </c>
      <c r="K124" s="28" t="b">
        <v>0</v>
      </c>
      <c r="L124" s="28">
        <v>2</v>
      </c>
      <c r="M124" s="40" t="str" cm="1">
        <f t="array" ref="M124">_xlfn.IFS(L124=1,"Clear / Partly Cloudy",L124=2,"Mist / Cloudy",L124=3,"Light Snow / Rain",L124=4,"Heavy Precipitation")</f>
        <v>Mist / Cloudy</v>
      </c>
      <c r="N124" s="28">
        <v>0.16</v>
      </c>
      <c r="O124" s="28" t="str">
        <f t="shared" si="11"/>
        <v>Cold</v>
      </c>
      <c r="P124" s="28">
        <v>0.2273</v>
      </c>
      <c r="Q124" s="38">
        <f t="shared" si="7"/>
        <v>0.2273</v>
      </c>
      <c r="R124" s="28">
        <v>0.59</v>
      </c>
      <c r="S124" s="28">
        <v>0</v>
      </c>
      <c r="T124" s="40" t="str" cm="1">
        <f t="array" ref="T124">_xlfn.IFS(S124*18.6&lt;2,"Calm",S124*18.6&lt;6,"Light Breeze",S124*18.6&lt;14,"Gale",TRUE,"Extreme Storm")</f>
        <v>Calm</v>
      </c>
      <c r="U124" s="28">
        <v>0</v>
      </c>
      <c r="V124" s="28">
        <v>95</v>
      </c>
      <c r="W124" s="28">
        <v>95</v>
      </c>
      <c r="X124" s="44">
        <f>AVERAGE(INDEX($W:$W,MAX(ROW($W$3),ROW()-23)):INDEX($W:$W,ROW()))</f>
        <v>70.875</v>
      </c>
      <c r="Y124" s="44">
        <f>_xlfn.STDEV.S(INDEX($W:$W,MAX(ROW($W$3),ROW()-23)):INDEX($W:$W,ROW()))</f>
        <v>57.161337267954721</v>
      </c>
      <c r="Z124" s="44">
        <f t="shared" si="8"/>
        <v>0.42205100778012661</v>
      </c>
      <c r="AA124" s="40" t="b">
        <f t="shared" si="6"/>
        <v>0</v>
      </c>
    </row>
    <row r="125" spans="1:27" x14ac:dyDescent="0.3">
      <c r="A125" s="32">
        <v>123</v>
      </c>
      <c r="B125" s="33">
        <v>40549</v>
      </c>
      <c r="C125" s="40" t="str">
        <f t="shared" si="9"/>
        <v>Thursday</v>
      </c>
      <c r="D125" s="28">
        <v>8</v>
      </c>
      <c r="E125" s="40" t="str" cm="1">
        <f t="array" ref="E125">_xlfn.IFS(D125&gt;=21,"Night",D125&gt;=17,"Evening",D125&gt;=12,"Midday",D125&gt;=6,"Morning", TRUE, "Night")</f>
        <v>Morning</v>
      </c>
      <c r="F125" s="28">
        <v>1</v>
      </c>
      <c r="G125" s="28">
        <v>0</v>
      </c>
      <c r="H125" s="28">
        <v>1</v>
      </c>
      <c r="I125" s="28">
        <v>4</v>
      </c>
      <c r="J125" s="40" t="str">
        <f t="shared" si="10"/>
        <v>Weekday</v>
      </c>
      <c r="K125" s="28" t="b">
        <v>0</v>
      </c>
      <c r="L125" s="28">
        <v>1</v>
      </c>
      <c r="M125" s="40" t="str" cm="1">
        <f t="array" ref="M125">_xlfn.IFS(L125=1,"Clear / Partly Cloudy",L125=2,"Mist / Cloudy",L125=3,"Light Snow / Rain",L125=4,"Heavy Precipitation")</f>
        <v>Clear / Partly Cloudy</v>
      </c>
      <c r="N125" s="28">
        <v>0.16</v>
      </c>
      <c r="O125" s="28" t="str">
        <f t="shared" si="11"/>
        <v>Cold</v>
      </c>
      <c r="P125" s="28">
        <v>0.2273</v>
      </c>
      <c r="Q125" s="38">
        <f t="shared" si="7"/>
        <v>0.2273</v>
      </c>
      <c r="R125" s="28">
        <v>0.59</v>
      </c>
      <c r="S125" s="28">
        <v>0</v>
      </c>
      <c r="T125" s="40" t="str" cm="1">
        <f t="array" ref="T125">_xlfn.IFS(S125*18.6&lt;2,"Calm",S125*18.6&lt;6,"Light Breeze",S125*18.6&lt;14,"Gale",TRUE,"Extreme Storm")</f>
        <v>Calm</v>
      </c>
      <c r="U125" s="28">
        <v>3</v>
      </c>
      <c r="V125" s="28">
        <v>216</v>
      </c>
      <c r="W125" s="28">
        <v>219</v>
      </c>
      <c r="X125" s="44">
        <f>AVERAGE(INDEX($W:$W,MAX(ROW($W$3),ROW()-23)):INDEX($W:$W,ROW()))</f>
        <v>76.333333333333329</v>
      </c>
      <c r="Y125" s="44">
        <f>_xlfn.STDEV.S(INDEX($W:$W,MAX(ROW($W$3),ROW()-23)):INDEX($W:$W,ROW()))</f>
        <v>64.633862888458538</v>
      </c>
      <c r="Z125" s="44">
        <f t="shared" si="8"/>
        <v>2.2073052776200726</v>
      </c>
      <c r="AA125" s="40" t="b">
        <f t="shared" si="6"/>
        <v>0</v>
      </c>
    </row>
    <row r="126" spans="1:27" x14ac:dyDescent="0.3">
      <c r="A126" s="32">
        <v>124</v>
      </c>
      <c r="B126" s="33">
        <v>40549</v>
      </c>
      <c r="C126" s="40" t="str">
        <f t="shared" si="9"/>
        <v>Thursday</v>
      </c>
      <c r="D126" s="28">
        <v>9</v>
      </c>
      <c r="E126" s="40" t="str" cm="1">
        <f t="array" ref="E126">_xlfn.IFS(D126&gt;=21,"Night",D126&gt;=17,"Evening",D126&gt;=12,"Midday",D126&gt;=6,"Morning", TRUE, "Night")</f>
        <v>Morning</v>
      </c>
      <c r="F126" s="28">
        <v>1</v>
      </c>
      <c r="G126" s="28">
        <v>0</v>
      </c>
      <c r="H126" s="28">
        <v>1</v>
      </c>
      <c r="I126" s="28">
        <v>4</v>
      </c>
      <c r="J126" s="40" t="str">
        <f t="shared" si="10"/>
        <v>Weekday</v>
      </c>
      <c r="K126" s="28" t="b">
        <v>0</v>
      </c>
      <c r="L126" s="28">
        <v>2</v>
      </c>
      <c r="M126" s="40" t="str" cm="1">
        <f t="array" ref="M126">_xlfn.IFS(L126=1,"Clear / Partly Cloudy",L126=2,"Mist / Cloudy",L126=3,"Light Snow / Rain",L126=4,"Heavy Precipitation")</f>
        <v>Mist / Cloudy</v>
      </c>
      <c r="N126" s="28">
        <v>0.18</v>
      </c>
      <c r="O126" s="28" t="str">
        <f t="shared" si="11"/>
        <v>Cold</v>
      </c>
      <c r="P126" s="28">
        <v>0.2424</v>
      </c>
      <c r="Q126" s="38">
        <f t="shared" si="7"/>
        <v>0.2424</v>
      </c>
      <c r="R126" s="28">
        <v>0.51</v>
      </c>
      <c r="S126" s="28">
        <v>0</v>
      </c>
      <c r="T126" s="40" t="str" cm="1">
        <f t="array" ref="T126">_xlfn.IFS(S126*18.6&lt;2,"Calm",S126*18.6&lt;6,"Light Breeze",S126*18.6&lt;14,"Gale",TRUE,"Extreme Storm")</f>
        <v>Calm</v>
      </c>
      <c r="U126" s="28">
        <v>6</v>
      </c>
      <c r="V126" s="28">
        <v>116</v>
      </c>
      <c r="W126" s="28">
        <v>122</v>
      </c>
      <c r="X126" s="44">
        <f>AVERAGE(INDEX($W:$W,MAX(ROW($W$3),ROW()-23)):INDEX($W:$W,ROW()))</f>
        <v>73.291666666666671</v>
      </c>
      <c r="Y126" s="44">
        <f>_xlfn.STDEV.S(INDEX($W:$W,MAX(ROW($W$3),ROW()-23)):INDEX($W:$W,ROW()))</f>
        <v>60.384621686584111</v>
      </c>
      <c r="Z126" s="44">
        <f t="shared" si="8"/>
        <v>0.80663473534943164</v>
      </c>
      <c r="AA126" s="40" t="b">
        <f t="shared" si="6"/>
        <v>0</v>
      </c>
    </row>
    <row r="127" spans="1:27" x14ac:dyDescent="0.3">
      <c r="A127" s="32">
        <v>125</v>
      </c>
      <c r="B127" s="33">
        <v>40549</v>
      </c>
      <c r="C127" s="40" t="str">
        <f t="shared" si="9"/>
        <v>Thursday</v>
      </c>
      <c r="D127" s="28">
        <v>10</v>
      </c>
      <c r="E127" s="40" t="str" cm="1">
        <f t="array" ref="E127">_xlfn.IFS(D127&gt;=21,"Night",D127&gt;=17,"Evening",D127&gt;=12,"Midday",D127&gt;=6,"Morning", TRUE, "Night")</f>
        <v>Morning</v>
      </c>
      <c r="F127" s="28">
        <v>1</v>
      </c>
      <c r="G127" s="28">
        <v>0</v>
      </c>
      <c r="H127" s="28">
        <v>1</v>
      </c>
      <c r="I127" s="28">
        <v>4</v>
      </c>
      <c r="J127" s="40" t="str">
        <f t="shared" si="10"/>
        <v>Weekday</v>
      </c>
      <c r="K127" s="28" t="b">
        <v>0</v>
      </c>
      <c r="L127" s="28">
        <v>1</v>
      </c>
      <c r="M127" s="40" t="str" cm="1">
        <f t="array" ref="M127">_xlfn.IFS(L127=1,"Clear / Partly Cloudy",L127=2,"Mist / Cloudy",L127=3,"Light Snow / Rain",L127=4,"Heavy Precipitation")</f>
        <v>Clear / Partly Cloudy</v>
      </c>
      <c r="N127" s="28">
        <v>0.2</v>
      </c>
      <c r="O127" s="28" t="str">
        <f t="shared" si="11"/>
        <v>Mild</v>
      </c>
      <c r="P127" s="28">
        <v>0.2576</v>
      </c>
      <c r="Q127" s="38">
        <f t="shared" si="7"/>
        <v>0.2576</v>
      </c>
      <c r="R127" s="28">
        <v>0.47</v>
      </c>
      <c r="S127" s="28">
        <v>0</v>
      </c>
      <c r="T127" s="40" t="str" cm="1">
        <f t="array" ref="T127">_xlfn.IFS(S127*18.6&lt;2,"Calm",S127*18.6&lt;6,"Light Breeze",S127*18.6&lt;14,"Gale",TRUE,"Extreme Storm")</f>
        <v>Calm</v>
      </c>
      <c r="U127" s="28">
        <v>3</v>
      </c>
      <c r="V127" s="28">
        <v>42</v>
      </c>
      <c r="W127" s="28">
        <v>45</v>
      </c>
      <c r="X127" s="44">
        <f>AVERAGE(INDEX($W:$W,MAX(ROW($W$3),ROW()-23)):INDEX($W:$W,ROW()))</f>
        <v>70.375</v>
      </c>
      <c r="Y127" s="44">
        <f>_xlfn.STDEV.S(INDEX($W:$W,MAX(ROW($W$3),ROW()-23)):INDEX($W:$W,ROW()))</f>
        <v>59.971596537897405</v>
      </c>
      <c r="Z127" s="44">
        <f t="shared" si="8"/>
        <v>-0.42311696644535657</v>
      </c>
      <c r="AA127" s="40" t="b">
        <f t="shared" si="6"/>
        <v>0</v>
      </c>
    </row>
    <row r="128" spans="1:27" x14ac:dyDescent="0.3">
      <c r="A128" s="32">
        <v>126</v>
      </c>
      <c r="B128" s="33">
        <v>40549</v>
      </c>
      <c r="C128" s="40" t="str">
        <f t="shared" si="9"/>
        <v>Thursday</v>
      </c>
      <c r="D128" s="28">
        <v>11</v>
      </c>
      <c r="E128" s="40" t="str" cm="1">
        <f t="array" ref="E128">_xlfn.IFS(D128&gt;=21,"Night",D128&gt;=17,"Evening",D128&gt;=12,"Midday",D128&gt;=6,"Morning", TRUE, "Night")</f>
        <v>Morning</v>
      </c>
      <c r="F128" s="28">
        <v>1</v>
      </c>
      <c r="G128" s="28">
        <v>0</v>
      </c>
      <c r="H128" s="28">
        <v>1</v>
      </c>
      <c r="I128" s="28">
        <v>4</v>
      </c>
      <c r="J128" s="40" t="str">
        <f t="shared" si="10"/>
        <v>Weekday</v>
      </c>
      <c r="K128" s="28" t="b">
        <v>0</v>
      </c>
      <c r="L128" s="28">
        <v>1</v>
      </c>
      <c r="M128" s="40" t="str" cm="1">
        <f t="array" ref="M128">_xlfn.IFS(L128=1,"Clear / Partly Cloudy",L128=2,"Mist / Cloudy",L128=3,"Light Snow / Rain",L128=4,"Heavy Precipitation")</f>
        <v>Clear / Partly Cloudy</v>
      </c>
      <c r="N128" s="28">
        <v>0.22</v>
      </c>
      <c r="O128" s="28" t="str">
        <f t="shared" si="11"/>
        <v>Mild</v>
      </c>
      <c r="P128" s="28">
        <v>0.2576</v>
      </c>
      <c r="Q128" s="38">
        <f t="shared" si="7"/>
        <v>0.2576</v>
      </c>
      <c r="R128" s="28">
        <v>0.44</v>
      </c>
      <c r="S128" s="28">
        <v>8.9599999999999999E-2</v>
      </c>
      <c r="T128" s="40" t="str" cm="1">
        <f t="array" ref="T128">_xlfn.IFS(S128*18.6&lt;2,"Calm",S128*18.6&lt;6,"Light Breeze",S128*18.6&lt;14,"Gale",TRUE,"Extreme Storm")</f>
        <v>Calm</v>
      </c>
      <c r="U128" s="28">
        <v>2</v>
      </c>
      <c r="V128" s="28">
        <v>57</v>
      </c>
      <c r="W128" s="28">
        <v>59</v>
      </c>
      <c r="X128" s="44">
        <f>AVERAGE(INDEX($W:$W,MAX(ROW($W$3),ROW()-23)):INDEX($W:$W,ROW()))</f>
        <v>70.458333333333329</v>
      </c>
      <c r="Y128" s="44">
        <f>_xlfn.STDEV.S(INDEX($W:$W,MAX(ROW($W$3),ROW()-23)):INDEX($W:$W,ROW()))</f>
        <v>59.953590142830414</v>
      </c>
      <c r="Z128" s="44">
        <f t="shared" si="8"/>
        <v>-0.19112005312835431</v>
      </c>
      <c r="AA128" s="40" t="b">
        <f t="shared" si="6"/>
        <v>0</v>
      </c>
    </row>
    <row r="129" spans="1:27" x14ac:dyDescent="0.3">
      <c r="A129" s="32">
        <v>127</v>
      </c>
      <c r="B129" s="33">
        <v>40549</v>
      </c>
      <c r="C129" s="40" t="str">
        <f t="shared" si="9"/>
        <v>Thursday</v>
      </c>
      <c r="D129" s="28">
        <v>12</v>
      </c>
      <c r="E129" s="40" t="str" cm="1">
        <f t="array" ref="E129">_xlfn.IFS(D129&gt;=21,"Night",D129&gt;=17,"Evening",D129&gt;=12,"Midday",D129&gt;=6,"Morning", TRUE, "Night")</f>
        <v>Midday</v>
      </c>
      <c r="F129" s="28">
        <v>1</v>
      </c>
      <c r="G129" s="28">
        <v>0</v>
      </c>
      <c r="H129" s="28">
        <v>1</v>
      </c>
      <c r="I129" s="28">
        <v>4</v>
      </c>
      <c r="J129" s="40" t="str">
        <f t="shared" si="10"/>
        <v>Weekday</v>
      </c>
      <c r="K129" s="28" t="b">
        <v>0</v>
      </c>
      <c r="L129" s="28">
        <v>1</v>
      </c>
      <c r="M129" s="40" t="str" cm="1">
        <f t="array" ref="M129">_xlfn.IFS(L129=1,"Clear / Partly Cloudy",L129=2,"Mist / Cloudy",L129=3,"Light Snow / Rain",L129=4,"Heavy Precipitation")</f>
        <v>Clear / Partly Cloudy</v>
      </c>
      <c r="N129" s="28">
        <v>0.26</v>
      </c>
      <c r="O129" s="28" t="str">
        <f t="shared" si="11"/>
        <v>Mild</v>
      </c>
      <c r="P129" s="28">
        <v>0.28789999999999999</v>
      </c>
      <c r="Q129" s="38">
        <f t="shared" si="7"/>
        <v>0.28789999999999999</v>
      </c>
      <c r="R129" s="28">
        <v>0.35</v>
      </c>
      <c r="S129" s="28">
        <v>0</v>
      </c>
      <c r="T129" s="40" t="str" cm="1">
        <f t="array" ref="T129">_xlfn.IFS(S129*18.6&lt;2,"Calm",S129*18.6&lt;6,"Light Breeze",S129*18.6&lt;14,"Gale",TRUE,"Extreme Storm")</f>
        <v>Calm</v>
      </c>
      <c r="U129" s="28">
        <v>6</v>
      </c>
      <c r="V129" s="28">
        <v>78</v>
      </c>
      <c r="W129" s="28">
        <v>84</v>
      </c>
      <c r="X129" s="44">
        <f>AVERAGE(INDEX($W:$W,MAX(ROW($W$3),ROW()-23)):INDEX($W:$W,ROW()))</f>
        <v>72.041666666666671</v>
      </c>
      <c r="Y129" s="44">
        <f>_xlfn.STDEV.S(INDEX($W:$W,MAX(ROW($W$3),ROW()-23)):INDEX($W:$W,ROW()))</f>
        <v>59.781107359277385</v>
      </c>
      <c r="Z129" s="44">
        <f t="shared" si="8"/>
        <v>0.2000353265700677</v>
      </c>
      <c r="AA129" s="40" t="b">
        <f t="shared" si="6"/>
        <v>0</v>
      </c>
    </row>
    <row r="130" spans="1:27" x14ac:dyDescent="0.3">
      <c r="A130" s="32">
        <v>128</v>
      </c>
      <c r="B130" s="33">
        <v>40549</v>
      </c>
      <c r="C130" s="40" t="str">
        <f t="shared" si="9"/>
        <v>Thursday</v>
      </c>
      <c r="D130" s="28">
        <v>13</v>
      </c>
      <c r="E130" s="40" t="str" cm="1">
        <f t="array" ref="E130">_xlfn.IFS(D130&gt;=21,"Night",D130&gt;=17,"Evening",D130&gt;=12,"Midday",D130&gt;=6,"Morning", TRUE, "Night")</f>
        <v>Midday</v>
      </c>
      <c r="F130" s="28">
        <v>1</v>
      </c>
      <c r="G130" s="28">
        <v>0</v>
      </c>
      <c r="H130" s="28">
        <v>1</v>
      </c>
      <c r="I130" s="28">
        <v>4</v>
      </c>
      <c r="J130" s="40" t="str">
        <f t="shared" si="10"/>
        <v>Weekday</v>
      </c>
      <c r="K130" s="28" t="b">
        <v>0</v>
      </c>
      <c r="L130" s="28">
        <v>1</v>
      </c>
      <c r="M130" s="40" t="str" cm="1">
        <f t="array" ref="M130">_xlfn.IFS(L130=1,"Clear / Partly Cloudy",L130=2,"Mist / Cloudy",L130=3,"Light Snow / Rain",L130=4,"Heavy Precipitation")</f>
        <v>Clear / Partly Cloudy</v>
      </c>
      <c r="N130" s="28">
        <v>0.26</v>
      </c>
      <c r="O130" s="28" t="str">
        <f t="shared" si="11"/>
        <v>Mild</v>
      </c>
      <c r="P130" s="28">
        <v>0.2727</v>
      </c>
      <c r="Q130" s="38">
        <f t="shared" si="7"/>
        <v>0.2727</v>
      </c>
      <c r="R130" s="28">
        <v>0.35</v>
      </c>
      <c r="S130" s="28">
        <v>0.1045</v>
      </c>
      <c r="T130" s="40" t="str" cm="1">
        <f t="array" ref="T130">_xlfn.IFS(S130*18.6&lt;2,"Calm",S130*18.6&lt;6,"Light Breeze",S130*18.6&lt;14,"Gale",TRUE,"Extreme Storm")</f>
        <v>Calm</v>
      </c>
      <c r="U130" s="28">
        <v>12</v>
      </c>
      <c r="V130" s="28">
        <v>55</v>
      </c>
      <c r="W130" s="28">
        <v>67</v>
      </c>
      <c r="X130" s="44">
        <f>AVERAGE(INDEX($W:$W,MAX(ROW($W$3),ROW()-23)):INDEX($W:$W,ROW()))</f>
        <v>71.541666666666671</v>
      </c>
      <c r="Y130" s="44">
        <f>_xlfn.STDEV.S(INDEX($W:$W,MAX(ROW($W$3),ROW()-23)):INDEX($W:$W,ROW()))</f>
        <v>59.770560709568649</v>
      </c>
      <c r="Z130" s="44">
        <f t="shared" si="8"/>
        <v>-7.5985010224934993E-2</v>
      </c>
      <c r="AA130" s="40" t="b">
        <f t="shared" si="6"/>
        <v>0</v>
      </c>
    </row>
    <row r="131" spans="1:27" x14ac:dyDescent="0.3">
      <c r="A131" s="32">
        <v>129</v>
      </c>
      <c r="B131" s="33">
        <v>40549</v>
      </c>
      <c r="C131" s="40" t="str">
        <f t="shared" si="9"/>
        <v>Thursday</v>
      </c>
      <c r="D131" s="28">
        <v>14</v>
      </c>
      <c r="E131" s="40" t="str" cm="1">
        <f t="array" ref="E131">_xlfn.IFS(D131&gt;=21,"Night",D131&gt;=17,"Evening",D131&gt;=12,"Midday",D131&gt;=6,"Morning", TRUE, "Night")</f>
        <v>Midday</v>
      </c>
      <c r="F131" s="28">
        <v>1</v>
      </c>
      <c r="G131" s="28">
        <v>0</v>
      </c>
      <c r="H131" s="28">
        <v>1</v>
      </c>
      <c r="I131" s="28">
        <v>4</v>
      </c>
      <c r="J131" s="40" t="str">
        <f t="shared" si="10"/>
        <v>Weekday</v>
      </c>
      <c r="K131" s="28" t="b">
        <v>0</v>
      </c>
      <c r="L131" s="28">
        <v>1</v>
      </c>
      <c r="M131" s="40" t="str" cm="1">
        <f t="array" ref="M131">_xlfn.IFS(L131=1,"Clear / Partly Cloudy",L131=2,"Mist / Cloudy",L131=3,"Light Snow / Rain",L131=4,"Heavy Precipitation")</f>
        <v>Clear / Partly Cloudy</v>
      </c>
      <c r="N131" s="28">
        <v>0.28000000000000003</v>
      </c>
      <c r="O131" s="28" t="str">
        <f t="shared" si="11"/>
        <v>Mild</v>
      </c>
      <c r="P131" s="28">
        <v>0.2727</v>
      </c>
      <c r="Q131" s="38">
        <f t="shared" si="7"/>
        <v>0.2727</v>
      </c>
      <c r="R131" s="28">
        <v>0.36</v>
      </c>
      <c r="S131" s="28">
        <v>0.16420000000000001</v>
      </c>
      <c r="T131" s="40" t="str" cm="1">
        <f t="array" ref="T131">_xlfn.IFS(S131*18.6&lt;2,"Calm",S131*18.6&lt;6,"Light Breeze",S131*18.6&lt;14,"Gale",TRUE,"Extreme Storm")</f>
        <v>Light Breeze</v>
      </c>
      <c r="U131" s="28">
        <v>11</v>
      </c>
      <c r="V131" s="28">
        <v>59</v>
      </c>
      <c r="W131" s="28">
        <v>70</v>
      </c>
      <c r="X131" s="44">
        <f>AVERAGE(INDEX($W:$W,MAX(ROW($W$3),ROW()-23)):INDEX($W:$W,ROW()))</f>
        <v>71.5</v>
      </c>
      <c r="Y131" s="44">
        <f>_xlfn.STDEV.S(INDEX($W:$W,MAX(ROW($W$3),ROW()-23)):INDEX($W:$W,ROW()))</f>
        <v>59.771303278849238</v>
      </c>
      <c r="Z131" s="44">
        <f t="shared" si="8"/>
        <v>-2.5095654899845429E-2</v>
      </c>
      <c r="AA131" s="40" t="b">
        <f t="shared" ref="AA131:AA194" si="12">IF(ABS(Z131)&gt;=3,TRUE,FALSE)</f>
        <v>0</v>
      </c>
    </row>
    <row r="132" spans="1:27" x14ac:dyDescent="0.3">
      <c r="A132" s="32">
        <v>130</v>
      </c>
      <c r="B132" s="33">
        <v>40549</v>
      </c>
      <c r="C132" s="40" t="str">
        <f t="shared" si="9"/>
        <v>Thursday</v>
      </c>
      <c r="D132" s="28">
        <v>15</v>
      </c>
      <c r="E132" s="40" t="str" cm="1">
        <f t="array" ref="E132">_xlfn.IFS(D132&gt;=21,"Night",D132&gt;=17,"Evening",D132&gt;=12,"Midday",D132&gt;=6,"Morning", TRUE, "Night")</f>
        <v>Midday</v>
      </c>
      <c r="F132" s="28">
        <v>1</v>
      </c>
      <c r="G132" s="28">
        <v>0</v>
      </c>
      <c r="H132" s="28">
        <v>1</v>
      </c>
      <c r="I132" s="28">
        <v>4</v>
      </c>
      <c r="J132" s="40" t="str">
        <f t="shared" si="10"/>
        <v>Weekday</v>
      </c>
      <c r="K132" s="28" t="b">
        <v>0</v>
      </c>
      <c r="L132" s="28">
        <v>1</v>
      </c>
      <c r="M132" s="40" t="str" cm="1">
        <f t="array" ref="M132">_xlfn.IFS(L132=1,"Clear / Partly Cloudy",L132=2,"Mist / Cloudy",L132=3,"Light Snow / Rain",L132=4,"Heavy Precipitation")</f>
        <v>Clear / Partly Cloudy</v>
      </c>
      <c r="N132" s="28">
        <v>0.28000000000000003</v>
      </c>
      <c r="O132" s="28" t="str">
        <f t="shared" si="11"/>
        <v>Mild</v>
      </c>
      <c r="P132" s="28">
        <v>0.2727</v>
      </c>
      <c r="Q132" s="38">
        <f t="shared" ref="Q132:Q195" si="13">IF(P132="", AVERAGE($P$3:$P$1002), P132)</f>
        <v>0.2727</v>
      </c>
      <c r="R132" s="28">
        <v>0.36</v>
      </c>
      <c r="S132" s="28">
        <v>0</v>
      </c>
      <c r="T132" s="40" t="str" cm="1">
        <f t="array" ref="T132">_xlfn.IFS(S132*18.6&lt;2,"Calm",S132*18.6&lt;6,"Light Breeze",S132*18.6&lt;14,"Gale",TRUE,"Extreme Storm")</f>
        <v>Calm</v>
      </c>
      <c r="U132" s="28">
        <v>8</v>
      </c>
      <c r="V132" s="28">
        <v>54</v>
      </c>
      <c r="W132" s="28">
        <v>62</v>
      </c>
      <c r="X132" s="44">
        <f>AVERAGE(INDEX($W:$W,MAX(ROW($W$3),ROW()-23)):INDEX($W:$W,ROW()))</f>
        <v>71.5</v>
      </c>
      <c r="Y132" s="44">
        <f>_xlfn.STDEV.S(INDEX($W:$W,MAX(ROW($W$3),ROW()-23)):INDEX($W:$W,ROW()))</f>
        <v>59.771303278849238</v>
      </c>
      <c r="Z132" s="44">
        <f t="shared" ref="Z132:Z195" si="14">IFERROR((W132-X132)/Y132,0)</f>
        <v>-0.15893914769902104</v>
      </c>
      <c r="AA132" s="40" t="b">
        <f t="shared" si="12"/>
        <v>0</v>
      </c>
    </row>
    <row r="133" spans="1:27" x14ac:dyDescent="0.3">
      <c r="A133" s="32">
        <v>131</v>
      </c>
      <c r="B133" s="33">
        <v>40549</v>
      </c>
      <c r="C133" s="40" t="str">
        <f t="shared" ref="C133:C196" si="15">TEXT(B133,"dddd")</f>
        <v>Thursday</v>
      </c>
      <c r="D133" s="28">
        <v>16</v>
      </c>
      <c r="E133" s="40" t="str" cm="1">
        <f t="array" ref="E133">_xlfn.IFS(D133&gt;=21,"Night",D133&gt;=17,"Evening",D133&gt;=12,"Midday",D133&gt;=6,"Morning", TRUE, "Night")</f>
        <v>Midday</v>
      </c>
      <c r="F133" s="28">
        <v>1</v>
      </c>
      <c r="G133" s="28">
        <v>0</v>
      </c>
      <c r="H133" s="28">
        <v>1</v>
      </c>
      <c r="I133" s="28">
        <v>4</v>
      </c>
      <c r="J133" s="40" t="str">
        <f t="shared" ref="J133:J196" si="16">IF(OR(I133="Saturday", I133="Sunday"), "Weekend", "Weekday")</f>
        <v>Weekday</v>
      </c>
      <c r="K133" s="28" t="b">
        <v>0</v>
      </c>
      <c r="L133" s="28">
        <v>1</v>
      </c>
      <c r="M133" s="40" t="str" cm="1">
        <f t="array" ref="M133">_xlfn.IFS(L133=1,"Clear / Partly Cloudy",L133=2,"Mist / Cloudy",L133=3,"Light Snow / Rain",L133=4,"Heavy Precipitation")</f>
        <v>Clear / Partly Cloudy</v>
      </c>
      <c r="N133" s="28">
        <v>0.26</v>
      </c>
      <c r="O133" s="28" t="str">
        <f t="shared" ref="O133:O196" si="17">IF(N133&lt;0.2,"Cold",IF(N133&lt;0.6,"Mild","Hot"))</f>
        <v>Mild</v>
      </c>
      <c r="P133" s="28">
        <v>0.2576</v>
      </c>
      <c r="Q133" s="38">
        <f t="shared" si="13"/>
        <v>0.2576</v>
      </c>
      <c r="R133" s="28">
        <v>0.38</v>
      </c>
      <c r="S133" s="28">
        <v>0.16420000000000001</v>
      </c>
      <c r="T133" s="40" t="str" cm="1">
        <f t="array" ref="T133">_xlfn.IFS(S133*18.6&lt;2,"Calm",S133*18.6&lt;6,"Light Breeze",S133*18.6&lt;14,"Gale",TRUE,"Extreme Storm")</f>
        <v>Light Breeze</v>
      </c>
      <c r="U133" s="28">
        <v>12</v>
      </c>
      <c r="V133" s="28">
        <v>74</v>
      </c>
      <c r="W133" s="28">
        <v>86</v>
      </c>
      <c r="X133" s="44">
        <f>AVERAGE(INDEX($W:$W,MAX(ROW($W$3),ROW()-23)):INDEX($W:$W,ROW()))</f>
        <v>72.5</v>
      </c>
      <c r="Y133" s="44">
        <f>_xlfn.STDEV.S(INDEX($W:$W,MAX(ROW($W$3),ROW()-23)):INDEX($W:$W,ROW()))</f>
        <v>59.806208780490778</v>
      </c>
      <c r="Z133" s="44">
        <f t="shared" si="14"/>
        <v>0.22572907186860169</v>
      </c>
      <c r="AA133" s="40" t="b">
        <f t="shared" si="12"/>
        <v>0</v>
      </c>
    </row>
    <row r="134" spans="1:27" x14ac:dyDescent="0.3">
      <c r="A134" s="32">
        <v>132</v>
      </c>
      <c r="B134" s="33">
        <v>40549</v>
      </c>
      <c r="C134" s="40" t="str">
        <f t="shared" si="15"/>
        <v>Thursday</v>
      </c>
      <c r="D134" s="28">
        <v>17</v>
      </c>
      <c r="E134" s="40" t="str" cm="1">
        <f t="array" ref="E134">_xlfn.IFS(D134&gt;=21,"Night",D134&gt;=17,"Evening",D134&gt;=12,"Midday",D134&gt;=6,"Morning", TRUE, "Night")</f>
        <v>Evening</v>
      </c>
      <c r="F134" s="28">
        <v>1</v>
      </c>
      <c r="G134" s="28">
        <v>0</v>
      </c>
      <c r="H134" s="28">
        <v>1</v>
      </c>
      <c r="I134" s="28">
        <v>4</v>
      </c>
      <c r="J134" s="40" t="str">
        <f t="shared" si="16"/>
        <v>Weekday</v>
      </c>
      <c r="K134" s="28" t="b">
        <v>0</v>
      </c>
      <c r="L134" s="28">
        <v>1</v>
      </c>
      <c r="M134" s="40" t="str" cm="1">
        <f t="array" ref="M134">_xlfn.IFS(L134=1,"Clear / Partly Cloudy",L134=2,"Mist / Cloudy",L134=3,"Light Snow / Rain",L134=4,"Heavy Precipitation")</f>
        <v>Clear / Partly Cloudy</v>
      </c>
      <c r="N134" s="28">
        <v>0.22</v>
      </c>
      <c r="O134" s="28" t="str">
        <f t="shared" si="17"/>
        <v>Mild</v>
      </c>
      <c r="P134" s="28">
        <v>0.2273</v>
      </c>
      <c r="Q134" s="38">
        <f t="shared" si="13"/>
        <v>0.2273</v>
      </c>
      <c r="R134" s="28">
        <v>0.51</v>
      </c>
      <c r="S134" s="28">
        <v>0.16420000000000001</v>
      </c>
      <c r="T134" s="40" t="str" cm="1">
        <f t="array" ref="T134">_xlfn.IFS(S134*18.6&lt;2,"Calm",S134*18.6&lt;6,"Light Breeze",S134*18.6&lt;14,"Gale",TRUE,"Extreme Storm")</f>
        <v>Light Breeze</v>
      </c>
      <c r="U134" s="28">
        <v>9</v>
      </c>
      <c r="V134" s="28">
        <v>163</v>
      </c>
      <c r="W134" s="28">
        <v>172</v>
      </c>
      <c r="X134" s="44">
        <f>AVERAGE(INDEX($W:$W,MAX(ROW($W$3),ROW()-23)):INDEX($W:$W,ROW()))</f>
        <v>75.958333333333329</v>
      </c>
      <c r="Y134" s="44">
        <f>_xlfn.STDEV.S(INDEX($W:$W,MAX(ROW($W$3),ROW()-23)):INDEX($W:$W,ROW()))</f>
        <v>63.110310028426085</v>
      </c>
      <c r="Z134" s="44">
        <f t="shared" si="14"/>
        <v>1.5218062884401562</v>
      </c>
      <c r="AA134" s="40" t="b">
        <f t="shared" si="12"/>
        <v>0</v>
      </c>
    </row>
    <row r="135" spans="1:27" x14ac:dyDescent="0.3">
      <c r="A135" s="32">
        <v>133</v>
      </c>
      <c r="B135" s="33">
        <v>40549</v>
      </c>
      <c r="C135" s="40" t="str">
        <f t="shared" si="15"/>
        <v>Thursday</v>
      </c>
      <c r="D135" s="28">
        <v>18</v>
      </c>
      <c r="E135" s="40" t="str" cm="1">
        <f t="array" ref="E135">_xlfn.IFS(D135&gt;=21,"Night",D135&gt;=17,"Evening",D135&gt;=12,"Midday",D135&gt;=6,"Morning", TRUE, "Night")</f>
        <v>Evening</v>
      </c>
      <c r="F135" s="28">
        <v>1</v>
      </c>
      <c r="G135" s="28">
        <v>0</v>
      </c>
      <c r="H135" s="28">
        <v>1</v>
      </c>
      <c r="I135" s="28">
        <v>4</v>
      </c>
      <c r="J135" s="40" t="str">
        <f t="shared" si="16"/>
        <v>Weekday</v>
      </c>
      <c r="K135" s="28" t="b">
        <v>0</v>
      </c>
      <c r="L135" s="28">
        <v>1</v>
      </c>
      <c r="M135" s="40" t="str" cm="1">
        <f t="array" ref="M135">_xlfn.IFS(L135=1,"Clear / Partly Cloudy",L135=2,"Mist / Cloudy",L135=3,"Light Snow / Rain",L135=4,"Heavy Precipitation")</f>
        <v>Clear / Partly Cloudy</v>
      </c>
      <c r="N135" s="28">
        <v>0.22</v>
      </c>
      <c r="O135" s="28" t="str">
        <f t="shared" si="17"/>
        <v>Mild</v>
      </c>
      <c r="P135" s="28">
        <v>0.2273</v>
      </c>
      <c r="Q135" s="38">
        <f t="shared" si="13"/>
        <v>0.2273</v>
      </c>
      <c r="R135" s="28">
        <v>0.51</v>
      </c>
      <c r="S135" s="28">
        <v>0.1343</v>
      </c>
      <c r="T135" s="40" t="str" cm="1">
        <f t="array" ref="T135">_xlfn.IFS(S135*18.6&lt;2,"Calm",S135*18.6&lt;6,"Light Breeze",S135*18.6&lt;14,"Gale",TRUE,"Extreme Storm")</f>
        <v>Light Breeze</v>
      </c>
      <c r="U135" s="28">
        <v>5</v>
      </c>
      <c r="V135" s="28">
        <v>158</v>
      </c>
      <c r="W135" s="28">
        <v>163</v>
      </c>
      <c r="X135" s="44">
        <f>AVERAGE(INDEX($W:$W,MAX(ROW($W$3),ROW()-23)):INDEX($W:$W,ROW()))</f>
        <v>74.833333333333329</v>
      </c>
      <c r="Y135" s="44">
        <f>_xlfn.STDEV.S(INDEX($W:$W,MAX(ROW($W$3),ROW()-23)):INDEX($W:$W,ROW()))</f>
        <v>61.200786203153129</v>
      </c>
      <c r="Z135" s="44">
        <f t="shared" si="14"/>
        <v>1.4406133015023952</v>
      </c>
      <c r="AA135" s="40" t="b">
        <f t="shared" si="12"/>
        <v>0</v>
      </c>
    </row>
    <row r="136" spans="1:27" x14ac:dyDescent="0.3">
      <c r="A136" s="32">
        <v>134</v>
      </c>
      <c r="B136" s="33">
        <v>40549</v>
      </c>
      <c r="C136" s="40" t="str">
        <f t="shared" si="15"/>
        <v>Thursday</v>
      </c>
      <c r="D136" s="28">
        <v>19</v>
      </c>
      <c r="E136" s="40" t="str" cm="1">
        <f t="array" ref="E136">_xlfn.IFS(D136&gt;=21,"Night",D136&gt;=17,"Evening",D136&gt;=12,"Midday",D136&gt;=6,"Morning", TRUE, "Night")</f>
        <v>Evening</v>
      </c>
      <c r="F136" s="28">
        <v>1</v>
      </c>
      <c r="G136" s="28">
        <v>0</v>
      </c>
      <c r="H136" s="28">
        <v>1</v>
      </c>
      <c r="I136" s="28">
        <v>4</v>
      </c>
      <c r="J136" s="40" t="str">
        <f t="shared" si="16"/>
        <v>Weekday</v>
      </c>
      <c r="K136" s="28" t="b">
        <v>0</v>
      </c>
      <c r="L136" s="28">
        <v>1</v>
      </c>
      <c r="M136" s="40" t="str" cm="1">
        <f t="array" ref="M136">_xlfn.IFS(L136=1,"Clear / Partly Cloudy",L136=2,"Mist / Cloudy",L136=3,"Light Snow / Rain",L136=4,"Heavy Precipitation")</f>
        <v>Clear / Partly Cloudy</v>
      </c>
      <c r="N136" s="28">
        <v>0.22</v>
      </c>
      <c r="O136" s="28" t="str">
        <f t="shared" si="17"/>
        <v>Mild</v>
      </c>
      <c r="P136" s="28">
        <v>0.2576</v>
      </c>
      <c r="Q136" s="38">
        <f t="shared" si="13"/>
        <v>0.2576</v>
      </c>
      <c r="R136" s="28">
        <v>0.55000000000000004</v>
      </c>
      <c r="S136" s="28">
        <v>8.9599999999999999E-2</v>
      </c>
      <c r="T136" s="40" t="str" cm="1">
        <f t="array" ref="T136">_xlfn.IFS(S136*18.6&lt;2,"Calm",S136*18.6&lt;6,"Light Breeze",S136*18.6&lt;14,"Gale",TRUE,"Extreme Storm")</f>
        <v>Calm</v>
      </c>
      <c r="U136" s="28">
        <v>3</v>
      </c>
      <c r="V136" s="28">
        <v>109</v>
      </c>
      <c r="W136" s="28">
        <v>112</v>
      </c>
      <c r="X136" s="44">
        <f>AVERAGE(INDEX($W:$W,MAX(ROW($W$3),ROW()-23)):INDEX($W:$W,ROW()))</f>
        <v>72.458333333333329</v>
      </c>
      <c r="Y136" s="44">
        <f>_xlfn.STDEV.S(INDEX($W:$W,MAX(ROW($W$3),ROW()-23)):INDEX($W:$W,ROW()))</f>
        <v>58.430917342185168</v>
      </c>
      <c r="Z136" s="44">
        <f t="shared" si="14"/>
        <v>0.67672507065226084</v>
      </c>
      <c r="AA136" s="40" t="b">
        <f t="shared" si="12"/>
        <v>0</v>
      </c>
    </row>
    <row r="137" spans="1:27" x14ac:dyDescent="0.3">
      <c r="A137" s="32">
        <v>135</v>
      </c>
      <c r="B137" s="33">
        <v>40549</v>
      </c>
      <c r="C137" s="40" t="str">
        <f t="shared" si="15"/>
        <v>Thursday</v>
      </c>
      <c r="D137" s="28">
        <v>20</v>
      </c>
      <c r="E137" s="40" t="str" cm="1">
        <f t="array" ref="E137">_xlfn.IFS(D137&gt;=21,"Night",D137&gt;=17,"Evening",D137&gt;=12,"Midday",D137&gt;=6,"Morning", TRUE, "Night")</f>
        <v>Evening</v>
      </c>
      <c r="F137" s="28">
        <v>1</v>
      </c>
      <c r="G137" s="28">
        <v>0</v>
      </c>
      <c r="H137" s="28">
        <v>1</v>
      </c>
      <c r="I137" s="28">
        <v>4</v>
      </c>
      <c r="J137" s="40" t="str">
        <f t="shared" si="16"/>
        <v>Weekday</v>
      </c>
      <c r="K137" s="28" t="b">
        <v>0</v>
      </c>
      <c r="L137" s="28">
        <v>1</v>
      </c>
      <c r="M137" s="40" t="str" cm="1">
        <f t="array" ref="M137">_xlfn.IFS(L137=1,"Clear / Partly Cloudy",L137=2,"Mist / Cloudy",L137=3,"Light Snow / Rain",L137=4,"Heavy Precipitation")</f>
        <v>Clear / Partly Cloudy</v>
      </c>
      <c r="N137" s="28">
        <v>0.2</v>
      </c>
      <c r="O137" s="28" t="str">
        <f t="shared" si="17"/>
        <v>Mild</v>
      </c>
      <c r="P137" s="28">
        <v>0.21210000000000001</v>
      </c>
      <c r="Q137" s="38">
        <f t="shared" si="13"/>
        <v>0.21210000000000001</v>
      </c>
      <c r="R137" s="28">
        <v>0.51</v>
      </c>
      <c r="S137" s="28">
        <v>0.16420000000000001</v>
      </c>
      <c r="T137" s="40" t="str" cm="1">
        <f t="array" ref="T137">_xlfn.IFS(S137*18.6&lt;2,"Calm",S137*18.6&lt;6,"Light Breeze",S137*18.6&lt;14,"Gale",TRUE,"Extreme Storm")</f>
        <v>Light Breeze</v>
      </c>
      <c r="U137" s="28">
        <v>3</v>
      </c>
      <c r="V137" s="28">
        <v>66</v>
      </c>
      <c r="W137" s="28">
        <v>69</v>
      </c>
      <c r="X137" s="44">
        <f>AVERAGE(INDEX($W:$W,MAX(ROW($W$3),ROW()-23)):INDEX($W:$W,ROW()))</f>
        <v>69.833333333333329</v>
      </c>
      <c r="Y137" s="44">
        <f>_xlfn.STDEV.S(INDEX($W:$W,MAX(ROW($W$3),ROW()-23)):INDEX($W:$W,ROW()))</f>
        <v>57.038253118767408</v>
      </c>
      <c r="Z137" s="44">
        <f t="shared" si="14"/>
        <v>-1.4610078110178577E-2</v>
      </c>
      <c r="AA137" s="40" t="b">
        <f t="shared" si="12"/>
        <v>0</v>
      </c>
    </row>
    <row r="138" spans="1:27" x14ac:dyDescent="0.3">
      <c r="A138" s="32">
        <v>136</v>
      </c>
      <c r="B138" s="33">
        <v>40549</v>
      </c>
      <c r="C138" s="40" t="str">
        <f t="shared" si="15"/>
        <v>Thursday</v>
      </c>
      <c r="D138" s="28">
        <v>21</v>
      </c>
      <c r="E138" s="40" t="str" cm="1">
        <f t="array" ref="E138">_xlfn.IFS(D138&gt;=21,"Night",D138&gt;=17,"Evening",D138&gt;=12,"Midday",D138&gt;=6,"Morning", TRUE, "Night")</f>
        <v>Night</v>
      </c>
      <c r="F138" s="28">
        <v>1</v>
      </c>
      <c r="G138" s="28">
        <v>0</v>
      </c>
      <c r="H138" s="28">
        <v>1</v>
      </c>
      <c r="I138" s="28">
        <v>4</v>
      </c>
      <c r="J138" s="40" t="str">
        <f t="shared" si="16"/>
        <v>Weekday</v>
      </c>
      <c r="K138" s="28" t="b">
        <v>0</v>
      </c>
      <c r="L138" s="28">
        <v>2</v>
      </c>
      <c r="M138" s="40" t="str" cm="1">
        <f t="array" ref="M138">_xlfn.IFS(L138=1,"Clear / Partly Cloudy",L138=2,"Mist / Cloudy",L138=3,"Light Snow / Rain",L138=4,"Heavy Precipitation")</f>
        <v>Mist / Cloudy</v>
      </c>
      <c r="N138" s="28">
        <v>0.22</v>
      </c>
      <c r="O138" s="28" t="str">
        <f t="shared" si="17"/>
        <v>Mild</v>
      </c>
      <c r="P138" s="28">
        <v>0.21210000000000001</v>
      </c>
      <c r="Q138" s="38">
        <f t="shared" si="13"/>
        <v>0.21210000000000001</v>
      </c>
      <c r="R138" s="28">
        <v>0.55000000000000004</v>
      </c>
      <c r="S138" s="28">
        <v>0.22389999999999999</v>
      </c>
      <c r="T138" s="40" t="str" cm="1">
        <f t="array" ref="T138">_xlfn.IFS(S138*18.6&lt;2,"Calm",S138*18.6&lt;6,"Light Breeze",S138*18.6&lt;14,"Gale",TRUE,"Extreme Storm")</f>
        <v>Light Breeze</v>
      </c>
      <c r="U138" s="28">
        <v>0</v>
      </c>
      <c r="V138" s="28">
        <v>48</v>
      </c>
      <c r="W138" s="28">
        <v>48</v>
      </c>
      <c r="X138" s="44">
        <f>AVERAGE(INDEX($W:$W,MAX(ROW($W$3),ROW()-23)):INDEX($W:$W,ROW()))</f>
        <v>68.125</v>
      </c>
      <c r="Y138" s="44">
        <f>_xlfn.STDEV.S(INDEX($W:$W,MAX(ROW($W$3),ROW()-23)):INDEX($W:$W,ROW()))</f>
        <v>57.053226483468165</v>
      </c>
      <c r="Z138" s="44">
        <f t="shared" si="14"/>
        <v>-0.35274078681302018</v>
      </c>
      <c r="AA138" s="40" t="b">
        <f t="shared" si="12"/>
        <v>0</v>
      </c>
    </row>
    <row r="139" spans="1:27" x14ac:dyDescent="0.3">
      <c r="A139" s="32">
        <v>137</v>
      </c>
      <c r="B139" s="33">
        <v>40549</v>
      </c>
      <c r="C139" s="40" t="str">
        <f t="shared" si="15"/>
        <v>Thursday</v>
      </c>
      <c r="D139" s="28">
        <v>22</v>
      </c>
      <c r="E139" s="40" t="str" cm="1">
        <f t="array" ref="E139">_xlfn.IFS(D139&gt;=21,"Night",D139&gt;=17,"Evening",D139&gt;=12,"Midday",D139&gt;=6,"Morning", TRUE, "Night")</f>
        <v>Night</v>
      </c>
      <c r="F139" s="28">
        <v>1</v>
      </c>
      <c r="G139" s="28">
        <v>0</v>
      </c>
      <c r="H139" s="28">
        <v>1</v>
      </c>
      <c r="I139" s="28">
        <v>4</v>
      </c>
      <c r="J139" s="40" t="str">
        <f t="shared" si="16"/>
        <v>Weekday</v>
      </c>
      <c r="K139" s="28" t="b">
        <v>0</v>
      </c>
      <c r="L139" s="28">
        <v>2</v>
      </c>
      <c r="M139" s="40" t="str" cm="1">
        <f t="array" ref="M139">_xlfn.IFS(L139=1,"Clear / Partly Cloudy",L139=2,"Mist / Cloudy",L139=3,"Light Snow / Rain",L139=4,"Heavy Precipitation")</f>
        <v>Mist / Cloudy</v>
      </c>
      <c r="N139" s="28">
        <v>0.22</v>
      </c>
      <c r="O139" s="28" t="str">
        <f t="shared" si="17"/>
        <v>Mild</v>
      </c>
      <c r="P139" s="28">
        <v>0.21210000000000001</v>
      </c>
      <c r="Q139" s="38">
        <f t="shared" si="13"/>
        <v>0.21210000000000001</v>
      </c>
      <c r="R139" s="28">
        <v>0.51</v>
      </c>
      <c r="S139" s="28">
        <v>0.28360000000000002</v>
      </c>
      <c r="T139" s="40" t="str" cm="1">
        <f t="array" ref="T139">_xlfn.IFS(S139*18.6&lt;2,"Calm",S139*18.6&lt;6,"Light Breeze",S139*18.6&lt;14,"Gale",TRUE,"Extreme Storm")</f>
        <v>Light Breeze</v>
      </c>
      <c r="U139" s="28">
        <v>1</v>
      </c>
      <c r="V139" s="28">
        <v>51</v>
      </c>
      <c r="W139" s="28">
        <v>52</v>
      </c>
      <c r="X139" s="44">
        <f>AVERAGE(INDEX($W:$W,MAX(ROW($W$3),ROW()-23)):INDEX($W:$W,ROW()))</f>
        <v>68.5</v>
      </c>
      <c r="Y139" s="44">
        <f>_xlfn.STDEV.S(INDEX($W:$W,MAX(ROW($W$3),ROW()-23)):INDEX($W:$W,ROW()))</f>
        <v>56.910303185764633</v>
      </c>
      <c r="Z139" s="44">
        <f t="shared" si="14"/>
        <v>-0.2899299261531128</v>
      </c>
      <c r="AA139" s="40" t="b">
        <f t="shared" si="12"/>
        <v>0</v>
      </c>
    </row>
    <row r="140" spans="1:27" x14ac:dyDescent="0.3">
      <c r="A140" s="32">
        <v>138</v>
      </c>
      <c r="B140" s="33">
        <v>40549</v>
      </c>
      <c r="C140" s="40" t="str">
        <f t="shared" si="15"/>
        <v>Thursday</v>
      </c>
      <c r="D140" s="28">
        <v>23</v>
      </c>
      <c r="E140" s="40" t="str" cm="1">
        <f t="array" ref="E140">_xlfn.IFS(D140&gt;=21,"Night",D140&gt;=17,"Evening",D140&gt;=12,"Midday",D140&gt;=6,"Morning", TRUE, "Night")</f>
        <v>Night</v>
      </c>
      <c r="F140" s="28">
        <v>1</v>
      </c>
      <c r="G140" s="28">
        <v>0</v>
      </c>
      <c r="H140" s="28">
        <v>1</v>
      </c>
      <c r="I140" s="28">
        <v>4</v>
      </c>
      <c r="J140" s="40" t="str">
        <f t="shared" si="16"/>
        <v>Weekday</v>
      </c>
      <c r="K140" s="28" t="b">
        <v>0</v>
      </c>
      <c r="L140" s="28">
        <v>2</v>
      </c>
      <c r="M140" s="40" t="str" cm="1">
        <f t="array" ref="M140">_xlfn.IFS(L140=1,"Clear / Partly Cloudy",L140=2,"Mist / Cloudy",L140=3,"Light Snow / Rain",L140=4,"Heavy Precipitation")</f>
        <v>Mist / Cloudy</v>
      </c>
      <c r="N140" s="28">
        <v>0.2</v>
      </c>
      <c r="O140" s="28" t="str">
        <f t="shared" si="17"/>
        <v>Mild</v>
      </c>
      <c r="P140" s="28">
        <v>0.19700000000000001</v>
      </c>
      <c r="Q140" s="38">
        <f t="shared" si="13"/>
        <v>0.19700000000000001</v>
      </c>
      <c r="R140" s="28">
        <v>0.59</v>
      </c>
      <c r="S140" s="28">
        <v>0.19400000000000001</v>
      </c>
      <c r="T140" s="40" t="str" cm="1">
        <f t="array" ref="T140">_xlfn.IFS(S140*18.6&lt;2,"Calm",S140*18.6&lt;6,"Light Breeze",S140*18.6&lt;14,"Gale",TRUE,"Extreme Storm")</f>
        <v>Light Breeze</v>
      </c>
      <c r="U140" s="28">
        <v>4</v>
      </c>
      <c r="V140" s="28">
        <v>19</v>
      </c>
      <c r="W140" s="28">
        <v>23</v>
      </c>
      <c r="X140" s="44">
        <f>AVERAGE(INDEX($W:$W,MAX(ROW($W$3),ROW()-23)):INDEX($W:$W,ROW()))</f>
        <v>67.708333333333329</v>
      </c>
      <c r="Y140" s="44">
        <f>_xlfn.STDEV.S(INDEX($W:$W,MAX(ROW($W$3),ROW()-23)):INDEX($W:$W,ROW()))</f>
        <v>57.424793287028649</v>
      </c>
      <c r="Z140" s="44">
        <f t="shared" si="14"/>
        <v>-0.77855453671144925</v>
      </c>
      <c r="AA140" s="40" t="b">
        <f t="shared" si="12"/>
        <v>0</v>
      </c>
    </row>
    <row r="141" spans="1:27" x14ac:dyDescent="0.3">
      <c r="A141" s="32">
        <v>139</v>
      </c>
      <c r="B141" s="33">
        <v>40550</v>
      </c>
      <c r="C141" s="40" t="str">
        <f t="shared" si="15"/>
        <v>Friday</v>
      </c>
      <c r="D141" s="28">
        <v>0</v>
      </c>
      <c r="E141" s="40" t="str" cm="1">
        <f t="array" ref="E141">_xlfn.IFS(D141&gt;=21,"Night",D141&gt;=17,"Evening",D141&gt;=12,"Midday",D141&gt;=6,"Morning", TRUE, "Night")</f>
        <v>Night</v>
      </c>
      <c r="F141" s="28">
        <v>1</v>
      </c>
      <c r="G141" s="28">
        <v>0</v>
      </c>
      <c r="H141" s="28">
        <v>1</v>
      </c>
      <c r="I141" s="28">
        <v>5</v>
      </c>
      <c r="J141" s="40" t="str">
        <f t="shared" si="16"/>
        <v>Weekday</v>
      </c>
      <c r="K141" s="28" t="b">
        <v>0</v>
      </c>
      <c r="L141" s="28">
        <v>2</v>
      </c>
      <c r="M141" s="40" t="str" cm="1">
        <f t="array" ref="M141">_xlfn.IFS(L141=1,"Clear / Partly Cloudy",L141=2,"Mist / Cloudy",L141=3,"Light Snow / Rain",L141=4,"Heavy Precipitation")</f>
        <v>Mist / Cloudy</v>
      </c>
      <c r="N141" s="28">
        <v>0.2</v>
      </c>
      <c r="O141" s="28" t="str">
        <f t="shared" si="17"/>
        <v>Mild</v>
      </c>
      <c r="P141" s="28">
        <v>0.19700000000000001</v>
      </c>
      <c r="Q141" s="38">
        <f t="shared" si="13"/>
        <v>0.19700000000000001</v>
      </c>
      <c r="R141" s="28">
        <v>0.64</v>
      </c>
      <c r="S141" s="28">
        <v>0.19400000000000001</v>
      </c>
      <c r="T141" s="40" t="str" cm="1">
        <f t="array" ref="T141">_xlfn.IFS(S141*18.6&lt;2,"Calm",S141*18.6&lt;6,"Light Breeze",S141*18.6&lt;14,"Gale",TRUE,"Extreme Storm")</f>
        <v>Light Breeze</v>
      </c>
      <c r="U141" s="28">
        <v>4</v>
      </c>
      <c r="V141" s="28">
        <v>13</v>
      </c>
      <c r="W141" s="28">
        <v>17</v>
      </c>
      <c r="X141" s="44">
        <f>AVERAGE(INDEX($W:$W,MAX(ROW($W$3),ROW()-23)):INDEX($W:$W,ROW()))</f>
        <v>67.625</v>
      </c>
      <c r="Y141" s="44">
        <f>_xlfn.STDEV.S(INDEX($W:$W,MAX(ROW($W$3),ROW()-23)):INDEX($W:$W,ROW()))</f>
        <v>57.499952741001373</v>
      </c>
      <c r="Z141" s="44">
        <f t="shared" si="14"/>
        <v>-0.88043550623478928</v>
      </c>
      <c r="AA141" s="40" t="b">
        <f t="shared" si="12"/>
        <v>0</v>
      </c>
    </row>
    <row r="142" spans="1:27" x14ac:dyDescent="0.3">
      <c r="A142" s="32">
        <v>140</v>
      </c>
      <c r="B142" s="33">
        <v>40550</v>
      </c>
      <c r="C142" s="40" t="str">
        <f t="shared" si="15"/>
        <v>Friday</v>
      </c>
      <c r="D142" s="28">
        <v>1</v>
      </c>
      <c r="E142" s="40" t="str" cm="1">
        <f t="array" ref="E142">_xlfn.IFS(D142&gt;=21,"Night",D142&gt;=17,"Evening",D142&gt;=12,"Midday",D142&gt;=6,"Morning", TRUE, "Night")</f>
        <v>Night</v>
      </c>
      <c r="F142" s="28">
        <v>1</v>
      </c>
      <c r="G142" s="28">
        <v>0</v>
      </c>
      <c r="H142" s="28">
        <v>1</v>
      </c>
      <c r="I142" s="28">
        <v>5</v>
      </c>
      <c r="J142" s="40" t="str">
        <f t="shared" si="16"/>
        <v>Weekday</v>
      </c>
      <c r="K142" s="28" t="b">
        <v>0</v>
      </c>
      <c r="L142" s="28">
        <v>2</v>
      </c>
      <c r="M142" s="40" t="str" cm="1">
        <f t="array" ref="M142">_xlfn.IFS(L142=1,"Clear / Partly Cloudy",L142=2,"Mist / Cloudy",L142=3,"Light Snow / Rain",L142=4,"Heavy Precipitation")</f>
        <v>Mist / Cloudy</v>
      </c>
      <c r="N142" s="28">
        <v>0.2</v>
      </c>
      <c r="O142" s="28" t="str">
        <f t="shared" si="17"/>
        <v>Mild</v>
      </c>
      <c r="P142" s="28">
        <v>0.19700000000000001</v>
      </c>
      <c r="Q142" s="38">
        <f t="shared" si="13"/>
        <v>0.19700000000000001</v>
      </c>
      <c r="R142" s="28">
        <v>0.69</v>
      </c>
      <c r="S142" s="28">
        <v>0.22389999999999999</v>
      </c>
      <c r="T142" s="40" t="str" cm="1">
        <f t="array" ref="T142">_xlfn.IFS(S142*18.6&lt;2,"Calm",S142*18.6&lt;6,"Light Breeze",S142*18.6&lt;14,"Gale",TRUE,"Extreme Storm")</f>
        <v>Light Breeze</v>
      </c>
      <c r="U142" s="28">
        <v>2</v>
      </c>
      <c r="V142" s="28">
        <v>5</v>
      </c>
      <c r="W142" s="28">
        <v>7</v>
      </c>
      <c r="X142" s="44">
        <f>AVERAGE(INDEX($W:$W,MAX(ROW($W$3),ROW()-23)):INDEX($W:$W,ROW()))</f>
        <v>67.458333333333329</v>
      </c>
      <c r="Y142" s="44">
        <f>_xlfn.STDEV.S(INDEX($W:$W,MAX(ROW($W$3),ROW()-23)):INDEX($W:$W,ROW()))</f>
        <v>57.676744742209323</v>
      </c>
      <c r="Z142" s="44">
        <f t="shared" si="14"/>
        <v>-1.0482272119128173</v>
      </c>
      <c r="AA142" s="40" t="b">
        <f t="shared" si="12"/>
        <v>0</v>
      </c>
    </row>
    <row r="143" spans="1:27" x14ac:dyDescent="0.3">
      <c r="A143" s="32">
        <v>141</v>
      </c>
      <c r="B143" s="33">
        <v>40550</v>
      </c>
      <c r="C143" s="40" t="str">
        <f t="shared" si="15"/>
        <v>Friday</v>
      </c>
      <c r="D143" s="28">
        <v>2</v>
      </c>
      <c r="E143" s="40" t="str" cm="1">
        <f t="array" ref="E143">_xlfn.IFS(D143&gt;=21,"Night",D143&gt;=17,"Evening",D143&gt;=12,"Midday",D143&gt;=6,"Morning", TRUE, "Night")</f>
        <v>Night</v>
      </c>
      <c r="F143" s="28">
        <v>1</v>
      </c>
      <c r="G143" s="28">
        <v>0</v>
      </c>
      <c r="H143" s="28">
        <v>1</v>
      </c>
      <c r="I143" s="28">
        <v>5</v>
      </c>
      <c r="J143" s="40" t="str">
        <f t="shared" si="16"/>
        <v>Weekday</v>
      </c>
      <c r="K143" s="28" t="b">
        <v>0</v>
      </c>
      <c r="L143" s="28">
        <v>2</v>
      </c>
      <c r="M143" s="40" t="str" cm="1">
        <f t="array" ref="M143">_xlfn.IFS(L143=1,"Clear / Partly Cloudy",L143=2,"Mist / Cloudy",L143=3,"Light Snow / Rain",L143=4,"Heavy Precipitation")</f>
        <v>Mist / Cloudy</v>
      </c>
      <c r="N143" s="28">
        <v>0.2</v>
      </c>
      <c r="O143" s="28" t="str">
        <f t="shared" si="17"/>
        <v>Mild</v>
      </c>
      <c r="P143" s="28">
        <v>0.19700000000000001</v>
      </c>
      <c r="Q143" s="38">
        <f t="shared" si="13"/>
        <v>0.19700000000000001</v>
      </c>
      <c r="R143" s="28">
        <v>0.69</v>
      </c>
      <c r="S143" s="28">
        <v>0.22389999999999999</v>
      </c>
      <c r="T143" s="40" t="str" cm="1">
        <f t="array" ref="T143">_xlfn.IFS(S143*18.6&lt;2,"Calm",S143*18.6&lt;6,"Light Breeze",S143*18.6&lt;14,"Gale",TRUE,"Extreme Storm")</f>
        <v>Light Breeze</v>
      </c>
      <c r="U143" s="28">
        <v>0</v>
      </c>
      <c r="V143" s="28">
        <v>1</v>
      </c>
      <c r="W143" s="28">
        <v>1</v>
      </c>
      <c r="X143" s="44">
        <f>AVERAGE(INDEX($W:$W,MAX(ROW($W$3),ROW()-23)):INDEX($W:$W,ROW()))</f>
        <v>67.333333333333329</v>
      </c>
      <c r="Y143" s="44">
        <f>_xlfn.STDEV.S(INDEX($W:$W,MAX(ROW($W$3),ROW()-23)):INDEX($W:$W,ROW()))</f>
        <v>57.823319101241999</v>
      </c>
      <c r="Z143" s="44">
        <f t="shared" si="14"/>
        <v>-1.1471727040986919</v>
      </c>
      <c r="AA143" s="40" t="b">
        <f t="shared" si="12"/>
        <v>0</v>
      </c>
    </row>
    <row r="144" spans="1:27" x14ac:dyDescent="0.3">
      <c r="A144" s="32">
        <v>142</v>
      </c>
      <c r="B144" s="33">
        <v>40550</v>
      </c>
      <c r="C144" s="40" t="str">
        <f t="shared" si="15"/>
        <v>Friday</v>
      </c>
      <c r="D144" s="28">
        <v>4</v>
      </c>
      <c r="E144" s="40" t="str" cm="1">
        <f t="array" ref="E144">_xlfn.IFS(D144&gt;=21,"Night",D144&gt;=17,"Evening",D144&gt;=12,"Midday",D144&gt;=6,"Morning", TRUE, "Night")</f>
        <v>Night</v>
      </c>
      <c r="F144" s="28">
        <v>1</v>
      </c>
      <c r="G144" s="28">
        <v>0</v>
      </c>
      <c r="H144" s="28">
        <v>1</v>
      </c>
      <c r="I144" s="28">
        <v>5</v>
      </c>
      <c r="J144" s="40" t="str">
        <f t="shared" si="16"/>
        <v>Weekday</v>
      </c>
      <c r="K144" s="28" t="b">
        <v>0</v>
      </c>
      <c r="L144" s="28">
        <v>2</v>
      </c>
      <c r="M144" s="40" t="str" cm="1">
        <f t="array" ref="M144">_xlfn.IFS(L144=1,"Clear / Partly Cloudy",L144=2,"Mist / Cloudy",L144=3,"Light Snow / Rain",L144=4,"Heavy Precipitation")</f>
        <v>Mist / Cloudy</v>
      </c>
      <c r="N144" s="28">
        <v>0.2</v>
      </c>
      <c r="O144" s="28" t="str">
        <f t="shared" si="17"/>
        <v>Mild</v>
      </c>
      <c r="P144" s="28">
        <v>0.21210000000000001</v>
      </c>
      <c r="Q144" s="38">
        <f t="shared" si="13"/>
        <v>0.21210000000000001</v>
      </c>
      <c r="R144" s="28">
        <v>0.69</v>
      </c>
      <c r="S144" s="28">
        <v>0.1343</v>
      </c>
      <c r="T144" s="40" t="str" cm="1">
        <f t="array" ref="T144">_xlfn.IFS(S144*18.6&lt;2,"Calm",S144*18.6&lt;6,"Light Breeze",S144*18.6&lt;14,"Gale",TRUE,"Extreme Storm")</f>
        <v>Light Breeze</v>
      </c>
      <c r="U144" s="28">
        <v>0</v>
      </c>
      <c r="V144" s="28">
        <v>1</v>
      </c>
      <c r="W144" s="28">
        <v>1</v>
      </c>
      <c r="X144" s="44">
        <f>AVERAGE(INDEX($W:$W,MAX(ROW($W$3),ROW()-23)):INDEX($W:$W,ROW()))</f>
        <v>67.291666666666671</v>
      </c>
      <c r="Y144" s="44">
        <f>_xlfn.STDEV.S(INDEX($W:$W,MAX(ROW($W$3),ROW()-23)):INDEX($W:$W,ROW()))</f>
        <v>57.872783395746694</v>
      </c>
      <c r="Z144" s="44">
        <f t="shared" si="14"/>
        <v>-1.1454722371542045</v>
      </c>
      <c r="AA144" s="40" t="b">
        <f t="shared" si="12"/>
        <v>0</v>
      </c>
    </row>
    <row r="145" spans="1:27" x14ac:dyDescent="0.3">
      <c r="A145" s="32">
        <v>143</v>
      </c>
      <c r="B145" s="33">
        <v>40550</v>
      </c>
      <c r="C145" s="40" t="str">
        <f t="shared" si="15"/>
        <v>Friday</v>
      </c>
      <c r="D145" s="28">
        <v>5</v>
      </c>
      <c r="E145" s="40" t="str" cm="1">
        <f t="array" ref="E145">_xlfn.IFS(D145&gt;=21,"Night",D145&gt;=17,"Evening",D145&gt;=12,"Midday",D145&gt;=6,"Morning", TRUE, "Night")</f>
        <v>Night</v>
      </c>
      <c r="F145" s="28">
        <v>1</v>
      </c>
      <c r="G145" s="28">
        <v>0</v>
      </c>
      <c r="H145" s="28">
        <v>1</v>
      </c>
      <c r="I145" s="28">
        <v>5</v>
      </c>
      <c r="J145" s="40" t="str">
        <f t="shared" si="16"/>
        <v>Weekday</v>
      </c>
      <c r="K145" s="28" t="b">
        <v>0</v>
      </c>
      <c r="L145" s="28">
        <v>3</v>
      </c>
      <c r="M145" s="40" t="str" cm="1">
        <f t="array" ref="M145">_xlfn.IFS(L145=1,"Clear / Partly Cloudy",L145=2,"Mist / Cloudy",L145=3,"Light Snow / Rain",L145=4,"Heavy Precipitation")</f>
        <v>Light Snow / Rain</v>
      </c>
      <c r="N145" s="28">
        <v>0.22</v>
      </c>
      <c r="O145" s="28" t="str">
        <f t="shared" si="17"/>
        <v>Mild</v>
      </c>
      <c r="P145" s="28">
        <v>0.2727</v>
      </c>
      <c r="Q145" s="38">
        <f t="shared" si="13"/>
        <v>0.2727</v>
      </c>
      <c r="R145" s="28">
        <v>0.55000000000000004</v>
      </c>
      <c r="S145" s="28">
        <v>0</v>
      </c>
      <c r="T145" s="40" t="str" cm="1">
        <f t="array" ref="T145">_xlfn.IFS(S145*18.6&lt;2,"Calm",S145*18.6&lt;6,"Light Breeze",S145*18.6&lt;14,"Gale",TRUE,"Extreme Storm")</f>
        <v>Calm</v>
      </c>
      <c r="U145" s="28">
        <v>0</v>
      </c>
      <c r="V145" s="28">
        <v>5</v>
      </c>
      <c r="W145" s="28">
        <v>5</v>
      </c>
      <c r="X145" s="44">
        <f>AVERAGE(INDEX($W:$W,MAX(ROW($W$3),ROW()-23)):INDEX($W:$W,ROW()))</f>
        <v>67.458333333333329</v>
      </c>
      <c r="Y145" s="44">
        <f>_xlfn.STDEV.S(INDEX($W:$W,MAX(ROW($W$3),ROW()-23)):INDEX($W:$W,ROW()))</f>
        <v>57.679006177492241</v>
      </c>
      <c r="Z145" s="44">
        <f t="shared" si="14"/>
        <v>-1.0828607750475787</v>
      </c>
      <c r="AA145" s="40" t="b">
        <f t="shared" si="12"/>
        <v>0</v>
      </c>
    </row>
    <row r="146" spans="1:27" x14ac:dyDescent="0.3">
      <c r="A146" s="32">
        <v>144</v>
      </c>
      <c r="B146" s="33">
        <v>40550</v>
      </c>
      <c r="C146" s="40" t="str">
        <f t="shared" si="15"/>
        <v>Friday</v>
      </c>
      <c r="D146" s="28">
        <v>6</v>
      </c>
      <c r="E146" s="40" t="str" cm="1">
        <f t="array" ref="E146">_xlfn.IFS(D146&gt;=21,"Night",D146&gt;=17,"Evening",D146&gt;=12,"Midday",D146&gt;=6,"Morning", TRUE, "Night")</f>
        <v>Morning</v>
      </c>
      <c r="F146" s="28">
        <v>1</v>
      </c>
      <c r="G146" s="28">
        <v>0</v>
      </c>
      <c r="H146" s="28">
        <v>1</v>
      </c>
      <c r="I146" s="28">
        <v>5</v>
      </c>
      <c r="J146" s="40" t="str">
        <f t="shared" si="16"/>
        <v>Weekday</v>
      </c>
      <c r="K146" s="28" t="b">
        <v>0</v>
      </c>
      <c r="L146" s="28">
        <v>2</v>
      </c>
      <c r="M146" s="40" t="str" cm="1">
        <f t="array" ref="M146">_xlfn.IFS(L146=1,"Clear / Partly Cloudy",L146=2,"Mist / Cloudy",L146=3,"Light Snow / Rain",L146=4,"Heavy Precipitation")</f>
        <v>Mist / Cloudy</v>
      </c>
      <c r="N146" s="28">
        <v>0.2</v>
      </c>
      <c r="O146" s="28" t="str">
        <f t="shared" si="17"/>
        <v>Mild</v>
      </c>
      <c r="P146" s="28">
        <v>0.2576</v>
      </c>
      <c r="Q146" s="38">
        <f t="shared" si="13"/>
        <v>0.2576</v>
      </c>
      <c r="R146" s="28">
        <v>0.69</v>
      </c>
      <c r="S146" s="28">
        <v>0</v>
      </c>
      <c r="T146" s="40" t="str" cm="1">
        <f t="array" ref="T146">_xlfn.IFS(S146*18.6&lt;2,"Calm",S146*18.6&lt;6,"Light Breeze",S146*18.6&lt;14,"Gale",TRUE,"Extreme Storm")</f>
        <v>Calm</v>
      </c>
      <c r="U146" s="28">
        <v>8</v>
      </c>
      <c r="V146" s="28">
        <v>26</v>
      </c>
      <c r="W146" s="28">
        <v>34</v>
      </c>
      <c r="X146" s="44">
        <f>AVERAGE(INDEX($W:$W,MAX(ROW($W$3),ROW()-23)):INDEX($W:$W,ROW()))</f>
        <v>68.708333333333329</v>
      </c>
      <c r="Y146" s="44">
        <f>_xlfn.STDEV.S(INDEX($W:$W,MAX(ROW($W$3),ROW()-23)):INDEX($W:$W,ROW()))</f>
        <v>56.558149504402266</v>
      </c>
      <c r="Z146" s="44">
        <f t="shared" si="14"/>
        <v>-0.6136751933623954</v>
      </c>
      <c r="AA146" s="40" t="b">
        <f t="shared" si="12"/>
        <v>0</v>
      </c>
    </row>
    <row r="147" spans="1:27" x14ac:dyDescent="0.3">
      <c r="A147" s="32">
        <v>145</v>
      </c>
      <c r="B147" s="33">
        <v>40550</v>
      </c>
      <c r="C147" s="40" t="str">
        <f t="shared" si="15"/>
        <v>Friday</v>
      </c>
      <c r="D147" s="28">
        <v>7</v>
      </c>
      <c r="E147" s="40" t="str" cm="1">
        <f t="array" ref="E147">_xlfn.IFS(D147&gt;=21,"Night",D147&gt;=17,"Evening",D147&gt;=12,"Midday",D147&gt;=6,"Morning", TRUE, "Night")</f>
        <v>Morning</v>
      </c>
      <c r="F147" s="28">
        <v>1</v>
      </c>
      <c r="G147" s="28">
        <v>0</v>
      </c>
      <c r="H147" s="28">
        <v>1</v>
      </c>
      <c r="I147" s="28">
        <v>5</v>
      </c>
      <c r="J147" s="40" t="str">
        <f t="shared" si="16"/>
        <v>Weekday</v>
      </c>
      <c r="K147" s="28" t="b">
        <v>0</v>
      </c>
      <c r="L147" s="28">
        <v>1</v>
      </c>
      <c r="M147" s="40" t="str" cm="1">
        <f t="array" ref="M147">_xlfn.IFS(L147=1,"Clear / Partly Cloudy",L147=2,"Mist / Cloudy",L147=3,"Light Snow / Rain",L147=4,"Heavy Precipitation")</f>
        <v>Clear / Partly Cloudy</v>
      </c>
      <c r="N147" s="28">
        <v>0.2</v>
      </c>
      <c r="O147" s="28" t="str">
        <f t="shared" si="17"/>
        <v>Mild</v>
      </c>
      <c r="P147" s="28">
        <v>0.21210000000000001</v>
      </c>
      <c r="Q147" s="38">
        <f t="shared" si="13"/>
        <v>0.21210000000000001</v>
      </c>
      <c r="R147" s="28">
        <v>0.69</v>
      </c>
      <c r="S147" s="28">
        <v>0.1343</v>
      </c>
      <c r="T147" s="40" t="str" cm="1">
        <f t="array" ref="T147">_xlfn.IFS(S147*18.6&lt;2,"Calm",S147*18.6&lt;6,"Light Breeze",S147*18.6&lt;14,"Gale",TRUE,"Extreme Storm")</f>
        <v>Light Breeze</v>
      </c>
      <c r="U147" s="28">
        <v>8</v>
      </c>
      <c r="V147" s="28">
        <v>76</v>
      </c>
      <c r="W147" s="28">
        <v>84</v>
      </c>
      <c r="X147" s="44">
        <f>AVERAGE(INDEX($W:$W,MAX(ROW($W$3),ROW()-23)):INDEX($W:$W,ROW()))</f>
        <v>70.708333333333329</v>
      </c>
      <c r="Y147" s="44">
        <f>_xlfn.STDEV.S(INDEX($W:$W,MAX(ROW($W$3),ROW()-23)):INDEX($W:$W,ROW()))</f>
        <v>56.198776999431971</v>
      </c>
      <c r="Z147" s="44">
        <f t="shared" si="14"/>
        <v>0.23651167118460634</v>
      </c>
      <c r="AA147" s="40" t="b">
        <f t="shared" si="12"/>
        <v>0</v>
      </c>
    </row>
    <row r="148" spans="1:27" x14ac:dyDescent="0.3">
      <c r="A148" s="32">
        <v>146</v>
      </c>
      <c r="B148" s="33">
        <v>40550</v>
      </c>
      <c r="C148" s="40" t="str">
        <f t="shared" si="15"/>
        <v>Friday</v>
      </c>
      <c r="D148" s="28">
        <v>8</v>
      </c>
      <c r="E148" s="40" t="str" cm="1">
        <f t="array" ref="E148">_xlfn.IFS(D148&gt;=21,"Night",D148&gt;=17,"Evening",D148&gt;=12,"Midday",D148&gt;=6,"Morning", TRUE, "Night")</f>
        <v>Morning</v>
      </c>
      <c r="F148" s="28">
        <v>1</v>
      </c>
      <c r="G148" s="28">
        <v>0</v>
      </c>
      <c r="H148" s="28">
        <v>1</v>
      </c>
      <c r="I148" s="28">
        <v>5</v>
      </c>
      <c r="J148" s="40" t="str">
        <f t="shared" si="16"/>
        <v>Weekday</v>
      </c>
      <c r="K148" s="28" t="b">
        <v>0</v>
      </c>
      <c r="L148" s="28">
        <v>1</v>
      </c>
      <c r="M148" s="40" t="str" cm="1">
        <f t="array" ref="M148">_xlfn.IFS(L148=1,"Clear / Partly Cloudy",L148=2,"Mist / Cloudy",L148=3,"Light Snow / Rain",L148=4,"Heavy Precipitation")</f>
        <v>Clear / Partly Cloudy</v>
      </c>
      <c r="N148" s="28">
        <v>0.2</v>
      </c>
      <c r="O148" s="28" t="str">
        <f t="shared" si="17"/>
        <v>Mild</v>
      </c>
      <c r="P148" s="28">
        <v>0.19700000000000001</v>
      </c>
      <c r="Q148" s="38">
        <f t="shared" si="13"/>
        <v>0.19700000000000001</v>
      </c>
      <c r="R148" s="28">
        <v>0.51</v>
      </c>
      <c r="S148" s="28">
        <v>0.25369999999999998</v>
      </c>
      <c r="T148" s="40" t="str" cm="1">
        <f t="array" ref="T148">_xlfn.IFS(S148*18.6&lt;2,"Calm",S148*18.6&lt;6,"Light Breeze",S148*18.6&lt;14,"Gale",TRUE,"Extreme Storm")</f>
        <v>Light Breeze</v>
      </c>
      <c r="U148" s="28">
        <v>20</v>
      </c>
      <c r="V148" s="28">
        <v>190</v>
      </c>
      <c r="W148" s="28">
        <v>210</v>
      </c>
      <c r="X148" s="44">
        <f>AVERAGE(INDEX($W:$W,MAX(ROW($W$3),ROW()-23)):INDEX($W:$W,ROW()))</f>
        <v>75.5</v>
      </c>
      <c r="Y148" s="44">
        <f>_xlfn.STDEV.S(INDEX($W:$W,MAX(ROW($W$3),ROW()-23)):INDEX($W:$W,ROW()))</f>
        <v>62.86700938938656</v>
      </c>
      <c r="Z148" s="44">
        <f t="shared" si="14"/>
        <v>2.1394369050853368</v>
      </c>
      <c r="AA148" s="40" t="b">
        <f t="shared" si="12"/>
        <v>0</v>
      </c>
    </row>
    <row r="149" spans="1:27" x14ac:dyDescent="0.3">
      <c r="A149" s="32">
        <v>147</v>
      </c>
      <c r="B149" s="33">
        <v>40550</v>
      </c>
      <c r="C149" s="40" t="str">
        <f t="shared" si="15"/>
        <v>Friday</v>
      </c>
      <c r="D149" s="28">
        <v>9</v>
      </c>
      <c r="E149" s="40" t="str" cm="1">
        <f t="array" ref="E149">_xlfn.IFS(D149&gt;=21,"Night",D149&gt;=17,"Evening",D149&gt;=12,"Midday",D149&gt;=6,"Morning", TRUE, "Night")</f>
        <v>Morning</v>
      </c>
      <c r="F149" s="28">
        <v>1</v>
      </c>
      <c r="G149" s="28">
        <v>0</v>
      </c>
      <c r="H149" s="28">
        <v>1</v>
      </c>
      <c r="I149" s="28">
        <v>5</v>
      </c>
      <c r="J149" s="40" t="str">
        <f t="shared" si="16"/>
        <v>Weekday</v>
      </c>
      <c r="K149" s="28" t="b">
        <v>0</v>
      </c>
      <c r="L149" s="28">
        <v>1</v>
      </c>
      <c r="M149" s="40" t="str" cm="1">
        <f t="array" ref="M149">_xlfn.IFS(L149=1,"Clear / Partly Cloudy",L149=2,"Mist / Cloudy",L149=3,"Light Snow / Rain",L149=4,"Heavy Precipitation")</f>
        <v>Clear / Partly Cloudy</v>
      </c>
      <c r="N149" s="28">
        <v>0.2</v>
      </c>
      <c r="O149" s="28" t="str">
        <f t="shared" si="17"/>
        <v>Mild</v>
      </c>
      <c r="P149" s="28">
        <v>0.18179999999999999</v>
      </c>
      <c r="Q149" s="38">
        <f t="shared" si="13"/>
        <v>0.18179999999999999</v>
      </c>
      <c r="R149" s="28">
        <v>0.47</v>
      </c>
      <c r="S149" s="28">
        <v>0.29849999999999999</v>
      </c>
      <c r="T149" s="40" t="str" cm="1">
        <f t="array" ref="T149">_xlfn.IFS(S149*18.6&lt;2,"Calm",S149*18.6&lt;6,"Light Breeze",S149*18.6&lt;14,"Gale",TRUE,"Extreme Storm")</f>
        <v>Light Breeze</v>
      </c>
      <c r="U149" s="28">
        <v>9</v>
      </c>
      <c r="V149" s="28">
        <v>125</v>
      </c>
      <c r="W149" s="28">
        <v>134</v>
      </c>
      <c r="X149" s="44">
        <f>AVERAGE(INDEX($W:$W,MAX(ROW($W$3),ROW()-23)):INDEX($W:$W,ROW()))</f>
        <v>71.958333333333329</v>
      </c>
      <c r="Y149" s="44">
        <f>_xlfn.STDEV.S(INDEX($W:$W,MAX(ROW($W$3),ROW()-23)):INDEX($W:$W,ROW()))</f>
        <v>56.503542918288232</v>
      </c>
      <c r="Z149" s="44">
        <f t="shared" si="14"/>
        <v>1.0980137432512385</v>
      </c>
      <c r="AA149" s="40" t="b">
        <f t="shared" si="12"/>
        <v>0</v>
      </c>
    </row>
    <row r="150" spans="1:27" x14ac:dyDescent="0.3">
      <c r="A150" s="32">
        <v>148</v>
      </c>
      <c r="B150" s="33">
        <v>40550</v>
      </c>
      <c r="C150" s="40" t="str">
        <f t="shared" si="15"/>
        <v>Friday</v>
      </c>
      <c r="D150" s="28">
        <v>10</v>
      </c>
      <c r="E150" s="40" t="str" cm="1">
        <f t="array" ref="E150">_xlfn.IFS(D150&gt;=21,"Night",D150&gt;=17,"Evening",D150&gt;=12,"Midday",D150&gt;=6,"Morning", TRUE, "Night")</f>
        <v>Morning</v>
      </c>
      <c r="F150" s="28">
        <v>1</v>
      </c>
      <c r="G150" s="28">
        <v>0</v>
      </c>
      <c r="H150" s="28">
        <v>1</v>
      </c>
      <c r="I150" s="28">
        <v>5</v>
      </c>
      <c r="J150" s="40" t="str">
        <f t="shared" si="16"/>
        <v>Weekday</v>
      </c>
      <c r="K150" s="28" t="b">
        <v>0</v>
      </c>
      <c r="L150" s="28">
        <v>1</v>
      </c>
      <c r="M150" s="40" t="str" cm="1">
        <f t="array" ref="M150">_xlfn.IFS(L150=1,"Clear / Partly Cloudy",L150=2,"Mist / Cloudy",L150=3,"Light Snow / Rain",L150=4,"Heavy Precipitation")</f>
        <v>Clear / Partly Cloudy</v>
      </c>
      <c r="N150" s="28">
        <v>0.22</v>
      </c>
      <c r="O150" s="28" t="str">
        <f t="shared" si="17"/>
        <v>Mild</v>
      </c>
      <c r="P150" s="28">
        <v>0.19700000000000001</v>
      </c>
      <c r="Q150" s="38">
        <f t="shared" si="13"/>
        <v>0.19700000000000001</v>
      </c>
      <c r="R150" s="28">
        <v>0.37</v>
      </c>
      <c r="S150" s="28">
        <v>0.32840000000000003</v>
      </c>
      <c r="T150" s="40" t="str" cm="1">
        <f t="array" ref="T150">_xlfn.IFS(S150*18.6&lt;2,"Calm",S150*18.6&lt;6,"Light Breeze",S150*18.6&lt;14,"Gale",TRUE,"Extreme Storm")</f>
        <v>Gale</v>
      </c>
      <c r="U150" s="28">
        <v>16</v>
      </c>
      <c r="V150" s="28">
        <v>47</v>
      </c>
      <c r="W150" s="28">
        <v>63</v>
      </c>
      <c r="X150" s="44">
        <f>AVERAGE(INDEX($W:$W,MAX(ROW($W$3),ROW()-23)):INDEX($W:$W,ROW()))</f>
        <v>69.5</v>
      </c>
      <c r="Y150" s="44">
        <f>_xlfn.STDEV.S(INDEX($W:$W,MAX(ROW($W$3),ROW()-23)):INDEX($W:$W,ROW()))</f>
        <v>55.506364695763772</v>
      </c>
      <c r="Z150" s="44">
        <f t="shared" si="14"/>
        <v>-0.11710368775954225</v>
      </c>
      <c r="AA150" s="40" t="b">
        <f t="shared" si="12"/>
        <v>0</v>
      </c>
    </row>
    <row r="151" spans="1:27" x14ac:dyDescent="0.3">
      <c r="A151" s="32">
        <v>149</v>
      </c>
      <c r="B151" s="33">
        <v>40550</v>
      </c>
      <c r="C151" s="40" t="str">
        <f t="shared" si="15"/>
        <v>Friday</v>
      </c>
      <c r="D151" s="28">
        <v>11</v>
      </c>
      <c r="E151" s="40" t="str" cm="1">
        <f t="array" ref="E151">_xlfn.IFS(D151&gt;=21,"Night",D151&gt;=17,"Evening",D151&gt;=12,"Midday",D151&gt;=6,"Morning", TRUE, "Night")</f>
        <v>Morning</v>
      </c>
      <c r="F151" s="28">
        <v>1</v>
      </c>
      <c r="G151" s="28">
        <v>0</v>
      </c>
      <c r="H151" s="28">
        <v>1</v>
      </c>
      <c r="I151" s="28">
        <v>5</v>
      </c>
      <c r="J151" s="40" t="str">
        <f t="shared" si="16"/>
        <v>Weekday</v>
      </c>
      <c r="K151" s="28" t="b">
        <v>0</v>
      </c>
      <c r="L151" s="28">
        <v>2</v>
      </c>
      <c r="M151" s="40" t="str" cm="1">
        <f t="array" ref="M151">_xlfn.IFS(L151=1,"Clear / Partly Cloudy",L151=2,"Mist / Cloudy",L151=3,"Light Snow / Rain",L151=4,"Heavy Precipitation")</f>
        <v>Mist / Cloudy</v>
      </c>
      <c r="N151" s="28">
        <v>0.2</v>
      </c>
      <c r="O151" s="28" t="str">
        <f t="shared" si="17"/>
        <v>Mild</v>
      </c>
      <c r="P151" s="28">
        <v>0.19700000000000001</v>
      </c>
      <c r="Q151" s="38">
        <f t="shared" si="13"/>
        <v>0.19700000000000001</v>
      </c>
      <c r="R151" s="28">
        <v>0.4</v>
      </c>
      <c r="S151" s="28">
        <v>0.22389999999999999</v>
      </c>
      <c r="T151" s="40" t="str" cm="1">
        <f t="array" ref="T151">_xlfn.IFS(S151*18.6&lt;2,"Calm",S151*18.6&lt;6,"Light Breeze",S151*18.6&lt;14,"Gale",TRUE,"Extreme Storm")</f>
        <v>Light Breeze</v>
      </c>
      <c r="U151" s="28">
        <v>19</v>
      </c>
      <c r="V151" s="28">
        <v>48</v>
      </c>
      <c r="W151" s="28">
        <v>67</v>
      </c>
      <c r="X151" s="44">
        <f>AVERAGE(INDEX($W:$W,MAX(ROW($W$3),ROW()-23)):INDEX($W:$W,ROW()))</f>
        <v>70.416666666666671</v>
      </c>
      <c r="Y151" s="44">
        <f>_xlfn.STDEV.S(INDEX($W:$W,MAX(ROW($W$3),ROW()-23)):INDEX($W:$W,ROW()))</f>
        <v>55.2653021631874</v>
      </c>
      <c r="Z151" s="44">
        <f t="shared" si="14"/>
        <v>-6.1822998028273457E-2</v>
      </c>
      <c r="AA151" s="40" t="b">
        <f t="shared" si="12"/>
        <v>0</v>
      </c>
    </row>
    <row r="152" spans="1:27" x14ac:dyDescent="0.3">
      <c r="A152" s="32">
        <v>150</v>
      </c>
      <c r="B152" s="33">
        <v>40550</v>
      </c>
      <c r="C152" s="40" t="str">
        <f t="shared" si="15"/>
        <v>Friday</v>
      </c>
      <c r="D152" s="28">
        <v>12</v>
      </c>
      <c r="E152" s="40" t="str" cm="1">
        <f t="array" ref="E152">_xlfn.IFS(D152&gt;=21,"Night",D152&gt;=17,"Evening",D152&gt;=12,"Midday",D152&gt;=6,"Morning", TRUE, "Night")</f>
        <v>Midday</v>
      </c>
      <c r="F152" s="28">
        <v>1</v>
      </c>
      <c r="G152" s="28">
        <v>0</v>
      </c>
      <c r="H152" s="28">
        <v>1</v>
      </c>
      <c r="I152" s="28">
        <v>5</v>
      </c>
      <c r="J152" s="40" t="str">
        <f t="shared" si="16"/>
        <v>Weekday</v>
      </c>
      <c r="K152" s="28" t="b">
        <v>0</v>
      </c>
      <c r="L152" s="28">
        <v>2</v>
      </c>
      <c r="M152" s="40" t="str" cm="1">
        <f t="array" ref="M152">_xlfn.IFS(L152=1,"Clear / Partly Cloudy",L152=2,"Mist / Cloudy",L152=3,"Light Snow / Rain",L152=4,"Heavy Precipitation")</f>
        <v>Mist / Cloudy</v>
      </c>
      <c r="N152" s="28">
        <v>0.2</v>
      </c>
      <c r="O152" s="28" t="str">
        <f t="shared" si="17"/>
        <v>Mild</v>
      </c>
      <c r="P152" s="28">
        <v>0.19700000000000001</v>
      </c>
      <c r="Q152" s="38">
        <f t="shared" si="13"/>
        <v>0.19700000000000001</v>
      </c>
      <c r="R152" s="28">
        <v>0.37</v>
      </c>
      <c r="S152" s="28">
        <v>0.25369999999999998</v>
      </c>
      <c r="T152" s="40" t="str" cm="1">
        <f t="array" ref="T152">_xlfn.IFS(S152*18.6&lt;2,"Calm",S152*18.6&lt;6,"Light Breeze",S152*18.6&lt;14,"Gale",TRUE,"Extreme Storm")</f>
        <v>Light Breeze</v>
      </c>
      <c r="U152" s="28">
        <v>9</v>
      </c>
      <c r="V152" s="28">
        <v>50</v>
      </c>
      <c r="W152" s="28">
        <v>59</v>
      </c>
      <c r="X152" s="44">
        <f>AVERAGE(INDEX($W:$W,MAX(ROW($W$3),ROW()-23)):INDEX($W:$W,ROW()))</f>
        <v>70.416666666666671</v>
      </c>
      <c r="Y152" s="44">
        <f>_xlfn.STDEV.S(INDEX($W:$W,MAX(ROW($W$3),ROW()-23)):INDEX($W:$W,ROW()))</f>
        <v>55.2653021631874</v>
      </c>
      <c r="Z152" s="44">
        <f t="shared" si="14"/>
        <v>-0.20657928609447451</v>
      </c>
      <c r="AA152" s="40" t="b">
        <f t="shared" si="12"/>
        <v>0</v>
      </c>
    </row>
    <row r="153" spans="1:27" x14ac:dyDescent="0.3">
      <c r="A153" s="32">
        <v>151</v>
      </c>
      <c r="B153" s="33">
        <v>40550</v>
      </c>
      <c r="C153" s="40" t="str">
        <f t="shared" si="15"/>
        <v>Friday</v>
      </c>
      <c r="D153" s="28">
        <v>13</v>
      </c>
      <c r="E153" s="40" t="str" cm="1">
        <f t="array" ref="E153">_xlfn.IFS(D153&gt;=21,"Night",D153&gt;=17,"Evening",D153&gt;=12,"Midday",D153&gt;=6,"Morning", TRUE, "Night")</f>
        <v>Midday</v>
      </c>
      <c r="F153" s="28">
        <v>1</v>
      </c>
      <c r="G153" s="28">
        <v>0</v>
      </c>
      <c r="H153" s="28">
        <v>1</v>
      </c>
      <c r="I153" s="28">
        <v>5</v>
      </c>
      <c r="J153" s="40" t="str">
        <f t="shared" si="16"/>
        <v>Weekday</v>
      </c>
      <c r="K153" s="28" t="b">
        <v>0</v>
      </c>
      <c r="L153" s="28">
        <v>2</v>
      </c>
      <c r="M153" s="40" t="str" cm="1">
        <f t="array" ref="M153">_xlfn.IFS(L153=1,"Clear / Partly Cloudy",L153=2,"Mist / Cloudy",L153=3,"Light Snow / Rain",L153=4,"Heavy Precipitation")</f>
        <v>Mist / Cloudy</v>
      </c>
      <c r="N153" s="28">
        <v>0.2</v>
      </c>
      <c r="O153" s="28" t="str">
        <f t="shared" si="17"/>
        <v>Mild</v>
      </c>
      <c r="P153" s="28">
        <v>0.18179999999999999</v>
      </c>
      <c r="Q153" s="38">
        <f t="shared" si="13"/>
        <v>0.18179999999999999</v>
      </c>
      <c r="R153" s="28">
        <v>0.37</v>
      </c>
      <c r="S153" s="28">
        <v>0.28360000000000002</v>
      </c>
      <c r="T153" s="40" t="str" cm="1">
        <f t="array" ref="T153">_xlfn.IFS(S153*18.6&lt;2,"Calm",S153*18.6&lt;6,"Light Breeze",S153*18.6&lt;14,"Gale",TRUE,"Extreme Storm")</f>
        <v>Light Breeze</v>
      </c>
      <c r="U153" s="28">
        <v>9</v>
      </c>
      <c r="V153" s="28">
        <v>64</v>
      </c>
      <c r="W153" s="28">
        <v>73</v>
      </c>
      <c r="X153" s="44">
        <f>AVERAGE(INDEX($W:$W,MAX(ROW($W$3),ROW()-23)):INDEX($W:$W,ROW()))</f>
        <v>69.958333333333329</v>
      </c>
      <c r="Y153" s="44">
        <f>_xlfn.STDEV.S(INDEX($W:$W,MAX(ROW($W$3),ROW()-23)):INDEX($W:$W,ROW()))</f>
        <v>55.193319670335867</v>
      </c>
      <c r="Z153" s="44">
        <f t="shared" si="14"/>
        <v>5.5109326361129203E-2</v>
      </c>
      <c r="AA153" s="40" t="b">
        <f t="shared" si="12"/>
        <v>0</v>
      </c>
    </row>
    <row r="154" spans="1:27" x14ac:dyDescent="0.3">
      <c r="A154" s="32">
        <v>152</v>
      </c>
      <c r="B154" s="33">
        <v>40550</v>
      </c>
      <c r="C154" s="40" t="str">
        <f t="shared" si="15"/>
        <v>Friday</v>
      </c>
      <c r="D154" s="28">
        <v>14</v>
      </c>
      <c r="E154" s="40" t="str" cm="1">
        <f t="array" ref="E154">_xlfn.IFS(D154&gt;=21,"Night",D154&gt;=17,"Evening",D154&gt;=12,"Midday",D154&gt;=6,"Morning", TRUE, "Night")</f>
        <v>Midday</v>
      </c>
      <c r="F154" s="28">
        <v>1</v>
      </c>
      <c r="G154" s="28">
        <v>0</v>
      </c>
      <c r="H154" s="28">
        <v>1</v>
      </c>
      <c r="I154" s="28">
        <v>5</v>
      </c>
      <c r="J154" s="40" t="str">
        <f t="shared" si="16"/>
        <v>Weekday</v>
      </c>
      <c r="K154" s="28" t="b">
        <v>0</v>
      </c>
      <c r="L154" s="28">
        <v>2</v>
      </c>
      <c r="M154" s="40" t="str" cm="1">
        <f t="array" ref="M154">_xlfn.IFS(L154=1,"Clear / Partly Cloudy",L154=2,"Mist / Cloudy",L154=3,"Light Snow / Rain",L154=4,"Heavy Precipitation")</f>
        <v>Mist / Cloudy</v>
      </c>
      <c r="N154" s="28">
        <v>0.2</v>
      </c>
      <c r="O154" s="28" t="str">
        <f t="shared" si="17"/>
        <v>Mild</v>
      </c>
      <c r="P154" s="28">
        <v>0.19700000000000001</v>
      </c>
      <c r="Q154" s="38">
        <f t="shared" si="13"/>
        <v>0.19700000000000001</v>
      </c>
      <c r="R154" s="28">
        <v>0.4</v>
      </c>
      <c r="S154" s="28">
        <v>0.25369999999999998</v>
      </c>
      <c r="T154" s="40" t="str" cm="1">
        <f t="array" ref="T154">_xlfn.IFS(S154*18.6&lt;2,"Calm",S154*18.6&lt;6,"Light Breeze",S154*18.6&lt;14,"Gale",TRUE,"Extreme Storm")</f>
        <v>Light Breeze</v>
      </c>
      <c r="U154" s="28">
        <v>7</v>
      </c>
      <c r="V154" s="28">
        <v>43</v>
      </c>
      <c r="W154" s="28">
        <v>50</v>
      </c>
      <c r="X154" s="44">
        <f>AVERAGE(INDEX($W:$W,MAX(ROW($W$3),ROW()-23)):INDEX($W:$W,ROW()))</f>
        <v>69.25</v>
      </c>
      <c r="Y154" s="44">
        <f>_xlfn.STDEV.S(INDEX($W:$W,MAX(ROW($W$3),ROW()-23)):INDEX($W:$W,ROW()))</f>
        <v>55.341823165706678</v>
      </c>
      <c r="Z154" s="44">
        <f t="shared" si="14"/>
        <v>-0.34783819720504849</v>
      </c>
      <c r="AA154" s="40" t="b">
        <f t="shared" si="12"/>
        <v>0</v>
      </c>
    </row>
    <row r="155" spans="1:27" x14ac:dyDescent="0.3">
      <c r="A155" s="32">
        <v>153</v>
      </c>
      <c r="B155" s="33">
        <v>40550</v>
      </c>
      <c r="C155" s="40" t="str">
        <f t="shared" si="15"/>
        <v>Friday</v>
      </c>
      <c r="D155" s="28">
        <v>15</v>
      </c>
      <c r="E155" s="40" t="str" cm="1">
        <f t="array" ref="E155">_xlfn.IFS(D155&gt;=21,"Night",D155&gt;=17,"Evening",D155&gt;=12,"Midday",D155&gt;=6,"Morning", TRUE, "Night")</f>
        <v>Midday</v>
      </c>
      <c r="F155" s="28">
        <v>1</v>
      </c>
      <c r="G155" s="28">
        <v>0</v>
      </c>
      <c r="H155" s="28">
        <v>1</v>
      </c>
      <c r="I155" s="28">
        <v>5</v>
      </c>
      <c r="J155" s="40" t="str">
        <f t="shared" si="16"/>
        <v>Weekday</v>
      </c>
      <c r="K155" s="28" t="b">
        <v>0</v>
      </c>
      <c r="L155" s="28">
        <v>2</v>
      </c>
      <c r="M155" s="40" t="str" cm="1">
        <f t="array" ref="M155">_xlfn.IFS(L155=1,"Clear / Partly Cloudy",L155=2,"Mist / Cloudy",L155=3,"Light Snow / Rain",L155=4,"Heavy Precipitation")</f>
        <v>Mist / Cloudy</v>
      </c>
      <c r="N155" s="28">
        <v>0.2</v>
      </c>
      <c r="O155" s="28" t="str">
        <f t="shared" si="17"/>
        <v>Mild</v>
      </c>
      <c r="P155" s="28">
        <v>0.21210000000000001</v>
      </c>
      <c r="Q155" s="38">
        <f t="shared" si="13"/>
        <v>0.21210000000000001</v>
      </c>
      <c r="R155" s="28">
        <v>0.37</v>
      </c>
      <c r="S155" s="28">
        <v>0.16420000000000001</v>
      </c>
      <c r="T155" s="40" t="str" cm="1">
        <f t="array" ref="T155">_xlfn.IFS(S155*18.6&lt;2,"Calm",S155*18.6&lt;6,"Light Breeze",S155*18.6&lt;14,"Gale",TRUE,"Extreme Storm")</f>
        <v>Light Breeze</v>
      </c>
      <c r="U155" s="28">
        <v>9</v>
      </c>
      <c r="V155" s="28">
        <v>63</v>
      </c>
      <c r="W155" s="28">
        <v>72</v>
      </c>
      <c r="X155" s="44">
        <f>AVERAGE(INDEX($W:$W,MAX(ROW($W$3),ROW()-23)):INDEX($W:$W,ROW()))</f>
        <v>69.333333333333329</v>
      </c>
      <c r="Y155" s="44">
        <f>_xlfn.STDEV.S(INDEX($W:$W,MAX(ROW($W$3),ROW()-23)):INDEX($W:$W,ROW()))</f>
        <v>55.344507340418374</v>
      </c>
      <c r="Z155" s="44">
        <f t="shared" si="14"/>
        <v>4.818304100647746E-2</v>
      </c>
      <c r="AA155" s="40" t="b">
        <f t="shared" si="12"/>
        <v>0</v>
      </c>
    </row>
    <row r="156" spans="1:27" x14ac:dyDescent="0.3">
      <c r="A156" s="32">
        <v>154</v>
      </c>
      <c r="B156" s="33">
        <v>40550</v>
      </c>
      <c r="C156" s="40" t="str">
        <f t="shared" si="15"/>
        <v>Friday</v>
      </c>
      <c r="D156" s="28">
        <v>16</v>
      </c>
      <c r="E156" s="40" t="str" cm="1">
        <f t="array" ref="E156">_xlfn.IFS(D156&gt;=21,"Night",D156&gt;=17,"Evening",D156&gt;=12,"Midday",D156&gt;=6,"Morning", TRUE, "Night")</f>
        <v>Midday</v>
      </c>
      <c r="F156" s="28">
        <v>1</v>
      </c>
      <c r="G156" s="28">
        <v>0</v>
      </c>
      <c r="H156" s="28">
        <v>1</v>
      </c>
      <c r="I156" s="28">
        <v>5</v>
      </c>
      <c r="J156" s="40" t="str">
        <f t="shared" si="16"/>
        <v>Weekday</v>
      </c>
      <c r="K156" s="28" t="b">
        <v>0</v>
      </c>
      <c r="L156" s="28">
        <v>2</v>
      </c>
      <c r="M156" s="40" t="str" cm="1">
        <f t="array" ref="M156">_xlfn.IFS(L156=1,"Clear / Partly Cloudy",L156=2,"Mist / Cloudy",L156=3,"Light Snow / Rain",L156=4,"Heavy Precipitation")</f>
        <v>Mist / Cloudy</v>
      </c>
      <c r="N156" s="28">
        <v>0.2</v>
      </c>
      <c r="O156" s="28" t="str">
        <f t="shared" si="17"/>
        <v>Mild</v>
      </c>
      <c r="P156" s="28">
        <v>0.21210000000000001</v>
      </c>
      <c r="Q156" s="38">
        <f t="shared" si="13"/>
        <v>0.21210000000000001</v>
      </c>
      <c r="R156" s="28">
        <v>0.37</v>
      </c>
      <c r="S156" s="28">
        <v>0.16420000000000001</v>
      </c>
      <c r="T156" s="40" t="str" cm="1">
        <f t="array" ref="T156">_xlfn.IFS(S156*18.6&lt;2,"Calm",S156*18.6&lt;6,"Light Breeze",S156*18.6&lt;14,"Gale",TRUE,"Extreme Storm")</f>
        <v>Light Breeze</v>
      </c>
      <c r="U156" s="28">
        <v>5</v>
      </c>
      <c r="V156" s="28">
        <v>82</v>
      </c>
      <c r="W156" s="28">
        <v>87</v>
      </c>
      <c r="X156" s="44">
        <f>AVERAGE(INDEX($W:$W,MAX(ROW($W$3),ROW()-23)):INDEX($W:$W,ROW()))</f>
        <v>70.375</v>
      </c>
      <c r="Y156" s="44">
        <f>_xlfn.STDEV.S(INDEX($W:$W,MAX(ROW($W$3),ROW()-23)):INDEX($W:$W,ROW()))</f>
        <v>55.435675610880601</v>
      </c>
      <c r="Z156" s="44">
        <f t="shared" si="14"/>
        <v>0.29989712972375032</v>
      </c>
      <c r="AA156" s="40" t="b">
        <f t="shared" si="12"/>
        <v>0</v>
      </c>
    </row>
    <row r="157" spans="1:27" x14ac:dyDescent="0.3">
      <c r="A157" s="32">
        <v>155</v>
      </c>
      <c r="B157" s="33">
        <v>40550</v>
      </c>
      <c r="C157" s="40" t="str">
        <f t="shared" si="15"/>
        <v>Friday</v>
      </c>
      <c r="D157" s="28">
        <v>17</v>
      </c>
      <c r="E157" s="40" t="str" cm="1">
        <f t="array" ref="E157">_xlfn.IFS(D157&gt;=21,"Night",D157&gt;=17,"Evening",D157&gt;=12,"Midday",D157&gt;=6,"Morning", TRUE, "Night")</f>
        <v>Evening</v>
      </c>
      <c r="F157" s="28">
        <v>1</v>
      </c>
      <c r="G157" s="28">
        <v>0</v>
      </c>
      <c r="H157" s="28">
        <v>1</v>
      </c>
      <c r="I157" s="28">
        <v>5</v>
      </c>
      <c r="J157" s="40" t="str">
        <f t="shared" si="16"/>
        <v>Weekday</v>
      </c>
      <c r="K157" s="28" t="b">
        <v>0</v>
      </c>
      <c r="L157" s="28">
        <v>2</v>
      </c>
      <c r="M157" s="40" t="str" cm="1">
        <f t="array" ref="M157">_xlfn.IFS(L157=1,"Clear / Partly Cloudy",L157=2,"Mist / Cloudy",L157=3,"Light Snow / Rain",L157=4,"Heavy Precipitation")</f>
        <v>Mist / Cloudy</v>
      </c>
      <c r="N157" s="28">
        <v>0.2</v>
      </c>
      <c r="O157" s="28" t="str">
        <f t="shared" si="17"/>
        <v>Mild</v>
      </c>
      <c r="P157" s="28">
        <v>0.2576</v>
      </c>
      <c r="Q157" s="38">
        <f t="shared" si="13"/>
        <v>0.2576</v>
      </c>
      <c r="R157" s="28">
        <v>0.37</v>
      </c>
      <c r="S157" s="28">
        <v>0</v>
      </c>
      <c r="T157" s="40" t="str" cm="1">
        <f t="array" ref="T157">_xlfn.IFS(S157*18.6&lt;2,"Calm",S157*18.6&lt;6,"Light Breeze",S157*18.6&lt;14,"Gale",TRUE,"Extreme Storm")</f>
        <v>Calm</v>
      </c>
      <c r="U157" s="28">
        <v>9</v>
      </c>
      <c r="V157" s="28">
        <v>178</v>
      </c>
      <c r="W157" s="28">
        <v>187</v>
      </c>
      <c r="X157" s="44">
        <f>AVERAGE(INDEX($W:$W,MAX(ROW($W$3),ROW()-23)):INDEX($W:$W,ROW()))</f>
        <v>74.583333333333329</v>
      </c>
      <c r="Y157" s="44">
        <f>_xlfn.STDEV.S(INDEX($W:$W,MAX(ROW($W$3),ROW()-23)):INDEX($W:$W,ROW()))</f>
        <v>60.294146133526219</v>
      </c>
      <c r="Z157" s="44">
        <f t="shared" si="14"/>
        <v>1.8644706638304647</v>
      </c>
      <c r="AA157" s="40" t="b">
        <f t="shared" si="12"/>
        <v>0</v>
      </c>
    </row>
    <row r="158" spans="1:27" x14ac:dyDescent="0.3">
      <c r="A158" s="32">
        <v>156</v>
      </c>
      <c r="B158" s="33">
        <v>40550</v>
      </c>
      <c r="C158" s="40" t="str">
        <f t="shared" si="15"/>
        <v>Friday</v>
      </c>
      <c r="D158" s="28">
        <v>18</v>
      </c>
      <c r="E158" s="40" t="str" cm="1">
        <f t="array" ref="E158">_xlfn.IFS(D158&gt;=21,"Night",D158&gt;=17,"Evening",D158&gt;=12,"Midday",D158&gt;=6,"Morning", TRUE, "Night")</f>
        <v>Evening</v>
      </c>
      <c r="F158" s="28">
        <v>1</v>
      </c>
      <c r="G158" s="28">
        <v>0</v>
      </c>
      <c r="H158" s="28">
        <v>1</v>
      </c>
      <c r="I158" s="28">
        <v>5</v>
      </c>
      <c r="J158" s="40" t="str">
        <f t="shared" si="16"/>
        <v>Weekday</v>
      </c>
      <c r="K158" s="28" t="b">
        <v>0</v>
      </c>
      <c r="L158" s="28">
        <v>1</v>
      </c>
      <c r="M158" s="40" t="str" cm="1">
        <f t="array" ref="M158">_xlfn.IFS(L158=1,"Clear / Partly Cloudy",L158=2,"Mist / Cloudy",L158=3,"Light Snow / Rain",L158=4,"Heavy Precipitation")</f>
        <v>Clear / Partly Cloudy</v>
      </c>
      <c r="N158" s="28">
        <v>0.2</v>
      </c>
      <c r="O158" s="28" t="str">
        <f t="shared" si="17"/>
        <v>Mild</v>
      </c>
      <c r="P158" s="28">
        <v>0.2273</v>
      </c>
      <c r="Q158" s="38">
        <f t="shared" si="13"/>
        <v>0.2273</v>
      </c>
      <c r="R158" s="28">
        <v>0.4</v>
      </c>
      <c r="S158" s="28">
        <v>8.9599999999999999E-2</v>
      </c>
      <c r="T158" s="40" t="str" cm="1">
        <f t="array" ref="T158">_xlfn.IFS(S158*18.6&lt;2,"Calm",S158*18.6&lt;6,"Light Breeze",S158*18.6&lt;14,"Gale",TRUE,"Extreme Storm")</f>
        <v>Calm</v>
      </c>
      <c r="U158" s="28">
        <v>7</v>
      </c>
      <c r="V158" s="28">
        <v>116</v>
      </c>
      <c r="W158" s="28">
        <v>123</v>
      </c>
      <c r="X158" s="44">
        <f>AVERAGE(INDEX($W:$W,MAX(ROW($W$3),ROW()-23)):INDEX($W:$W,ROW()))</f>
        <v>72.541666666666671</v>
      </c>
      <c r="Y158" s="44">
        <f>_xlfn.STDEV.S(INDEX($W:$W,MAX(ROW($W$3),ROW()-23)):INDEX($W:$W,ROW()))</f>
        <v>57.622443669916962</v>
      </c>
      <c r="Z158" s="44">
        <f t="shared" si="14"/>
        <v>0.87567152865605025</v>
      </c>
      <c r="AA158" s="40" t="b">
        <f t="shared" si="12"/>
        <v>0</v>
      </c>
    </row>
    <row r="159" spans="1:27" x14ac:dyDescent="0.3">
      <c r="A159" s="32">
        <v>157</v>
      </c>
      <c r="B159" s="33">
        <v>40550</v>
      </c>
      <c r="C159" s="40" t="str">
        <f t="shared" si="15"/>
        <v>Friday</v>
      </c>
      <c r="D159" s="28">
        <v>19</v>
      </c>
      <c r="E159" s="40" t="str" cm="1">
        <f t="array" ref="E159">_xlfn.IFS(D159&gt;=21,"Night",D159&gt;=17,"Evening",D159&gt;=12,"Midday",D159&gt;=6,"Morning", TRUE, "Night")</f>
        <v>Evening</v>
      </c>
      <c r="F159" s="28">
        <v>1</v>
      </c>
      <c r="G159" s="28">
        <v>0</v>
      </c>
      <c r="H159" s="28">
        <v>1</v>
      </c>
      <c r="I159" s="28">
        <v>5</v>
      </c>
      <c r="J159" s="40" t="str">
        <f t="shared" si="16"/>
        <v>Weekday</v>
      </c>
      <c r="K159" s="28" t="b">
        <v>0</v>
      </c>
      <c r="L159" s="28">
        <v>1</v>
      </c>
      <c r="M159" s="40" t="str" cm="1">
        <f t="array" ref="M159">_xlfn.IFS(L159=1,"Clear / Partly Cloudy",L159=2,"Mist / Cloudy",L159=3,"Light Snow / Rain",L159=4,"Heavy Precipitation")</f>
        <v>Clear / Partly Cloudy</v>
      </c>
      <c r="N159" s="28">
        <v>0.16</v>
      </c>
      <c r="O159" s="28" t="str">
        <f t="shared" si="17"/>
        <v>Cold</v>
      </c>
      <c r="P159" s="28">
        <v>0.19700000000000001</v>
      </c>
      <c r="Q159" s="38">
        <f t="shared" si="13"/>
        <v>0.19700000000000001</v>
      </c>
      <c r="R159" s="28">
        <v>0.55000000000000004</v>
      </c>
      <c r="S159" s="28">
        <v>8.9599999999999999E-2</v>
      </c>
      <c r="T159" s="40" t="str" cm="1">
        <f t="array" ref="T159">_xlfn.IFS(S159*18.6&lt;2,"Calm",S159*18.6&lt;6,"Light Breeze",S159*18.6&lt;14,"Gale",TRUE,"Extreme Storm")</f>
        <v>Calm</v>
      </c>
      <c r="U159" s="28">
        <v>3</v>
      </c>
      <c r="V159" s="28">
        <v>92</v>
      </c>
      <c r="W159" s="28">
        <v>95</v>
      </c>
      <c r="X159" s="44">
        <f>AVERAGE(INDEX($W:$W,MAX(ROW($W$3),ROW()-23)):INDEX($W:$W,ROW()))</f>
        <v>69.708333333333329</v>
      </c>
      <c r="Y159" s="44">
        <f>_xlfn.STDEV.S(INDEX($W:$W,MAX(ROW($W$3),ROW()-23)):INDEX($W:$W,ROW()))</f>
        <v>54.572233078630802</v>
      </c>
      <c r="Z159" s="44">
        <f t="shared" si="14"/>
        <v>0.46345302803029864</v>
      </c>
      <c r="AA159" s="40" t="b">
        <f t="shared" si="12"/>
        <v>0</v>
      </c>
    </row>
    <row r="160" spans="1:27" x14ac:dyDescent="0.3">
      <c r="A160" s="32">
        <v>158</v>
      </c>
      <c r="B160" s="33">
        <v>40550</v>
      </c>
      <c r="C160" s="40" t="str">
        <f t="shared" si="15"/>
        <v>Friday</v>
      </c>
      <c r="D160" s="28">
        <v>20</v>
      </c>
      <c r="E160" s="40" t="str" cm="1">
        <f t="array" ref="E160">_xlfn.IFS(D160&gt;=21,"Night",D160&gt;=17,"Evening",D160&gt;=12,"Midday",D160&gt;=6,"Morning", TRUE, "Night")</f>
        <v>Evening</v>
      </c>
      <c r="F160" s="28">
        <v>1</v>
      </c>
      <c r="G160" s="28">
        <v>0</v>
      </c>
      <c r="H160" s="28">
        <v>1</v>
      </c>
      <c r="I160" s="28">
        <v>5</v>
      </c>
      <c r="J160" s="40" t="str">
        <f t="shared" si="16"/>
        <v>Weekday</v>
      </c>
      <c r="K160" s="28" t="b">
        <v>0</v>
      </c>
      <c r="L160" s="28">
        <v>1</v>
      </c>
      <c r="M160" s="40" t="str" cm="1">
        <f t="array" ref="M160">_xlfn.IFS(L160=1,"Clear / Partly Cloudy",L160=2,"Mist / Cloudy",L160=3,"Light Snow / Rain",L160=4,"Heavy Precipitation")</f>
        <v>Clear / Partly Cloudy</v>
      </c>
      <c r="N160" s="28">
        <v>0.18</v>
      </c>
      <c r="O160" s="28" t="str">
        <f t="shared" si="17"/>
        <v>Cold</v>
      </c>
      <c r="P160" s="28">
        <v>0.21210000000000001</v>
      </c>
      <c r="Q160" s="38">
        <f t="shared" si="13"/>
        <v>0.21210000000000001</v>
      </c>
      <c r="R160" s="28">
        <v>0.47</v>
      </c>
      <c r="S160" s="28">
        <v>0.1045</v>
      </c>
      <c r="T160" s="40" t="str" cm="1">
        <f t="array" ref="T160">_xlfn.IFS(S160*18.6&lt;2,"Calm",S160*18.6&lt;6,"Light Breeze",S160*18.6&lt;14,"Gale",TRUE,"Extreme Storm")</f>
        <v>Calm</v>
      </c>
      <c r="U160" s="28">
        <v>1</v>
      </c>
      <c r="V160" s="28">
        <v>50</v>
      </c>
      <c r="W160" s="28">
        <v>51</v>
      </c>
      <c r="X160" s="44">
        <f>AVERAGE(INDEX($W:$W,MAX(ROW($W$3),ROW()-23)):INDEX($W:$W,ROW()))</f>
        <v>67.166666666666671</v>
      </c>
      <c r="Y160" s="44">
        <f>_xlfn.STDEV.S(INDEX($W:$W,MAX(ROW($W$3),ROW()-23)):INDEX($W:$W,ROW()))</f>
        <v>53.933668331665928</v>
      </c>
      <c r="Z160" s="44">
        <f t="shared" si="14"/>
        <v>-0.29975091935615256</v>
      </c>
      <c r="AA160" s="40" t="b">
        <f t="shared" si="12"/>
        <v>0</v>
      </c>
    </row>
    <row r="161" spans="1:27" x14ac:dyDescent="0.3">
      <c r="A161" s="32">
        <v>159</v>
      </c>
      <c r="B161" s="33">
        <v>40550</v>
      </c>
      <c r="C161" s="40" t="str">
        <f t="shared" si="15"/>
        <v>Friday</v>
      </c>
      <c r="D161" s="28">
        <v>21</v>
      </c>
      <c r="E161" s="40" t="str" cm="1">
        <f t="array" ref="E161">_xlfn.IFS(D161&gt;=21,"Night",D161&gt;=17,"Evening",D161&gt;=12,"Midday",D161&gt;=6,"Morning", TRUE, "Night")</f>
        <v>Night</v>
      </c>
      <c r="F161" s="28">
        <v>1</v>
      </c>
      <c r="G161" s="28">
        <v>0</v>
      </c>
      <c r="H161" s="28">
        <v>1</v>
      </c>
      <c r="I161" s="28">
        <v>5</v>
      </c>
      <c r="J161" s="40" t="str">
        <f t="shared" si="16"/>
        <v>Weekday</v>
      </c>
      <c r="K161" s="28" t="b">
        <v>0</v>
      </c>
      <c r="L161" s="28">
        <v>1</v>
      </c>
      <c r="M161" s="40" t="str" cm="1">
        <f t="array" ref="M161">_xlfn.IFS(L161=1,"Clear / Partly Cloudy",L161=2,"Mist / Cloudy",L161=3,"Light Snow / Rain",L161=4,"Heavy Precipitation")</f>
        <v>Clear / Partly Cloudy</v>
      </c>
      <c r="N161" s="28">
        <v>0.18</v>
      </c>
      <c r="O161" s="28" t="str">
        <f t="shared" si="17"/>
        <v>Cold</v>
      </c>
      <c r="P161" s="28">
        <v>0.19700000000000001</v>
      </c>
      <c r="Q161" s="38">
        <f t="shared" si="13"/>
        <v>0.19700000000000001</v>
      </c>
      <c r="R161" s="28">
        <v>0.47</v>
      </c>
      <c r="S161" s="28">
        <v>0.1343</v>
      </c>
      <c r="T161" s="40" t="str" cm="1">
        <f t="array" ref="T161">_xlfn.IFS(S161*18.6&lt;2,"Calm",S161*18.6&lt;6,"Light Breeze",S161*18.6&lt;14,"Gale",TRUE,"Extreme Storm")</f>
        <v>Light Breeze</v>
      </c>
      <c r="U161" s="28">
        <v>0</v>
      </c>
      <c r="V161" s="28">
        <v>39</v>
      </c>
      <c r="W161" s="28">
        <v>39</v>
      </c>
      <c r="X161" s="44">
        <f>AVERAGE(INDEX($W:$W,MAX(ROW($W$3),ROW()-23)):INDEX($W:$W,ROW()))</f>
        <v>65.916666666666671</v>
      </c>
      <c r="Y161" s="44">
        <f>_xlfn.STDEV.S(INDEX($W:$W,MAX(ROW($W$3),ROW()-23)):INDEX($W:$W,ROW()))</f>
        <v>54.236131600755712</v>
      </c>
      <c r="Z161" s="44">
        <f t="shared" si="14"/>
        <v>-0.49628662428962061</v>
      </c>
      <c r="AA161" s="40" t="b">
        <f t="shared" si="12"/>
        <v>0</v>
      </c>
    </row>
    <row r="162" spans="1:27" x14ac:dyDescent="0.3">
      <c r="A162" s="32">
        <v>160</v>
      </c>
      <c r="B162" s="33">
        <v>40550</v>
      </c>
      <c r="C162" s="40" t="str">
        <f t="shared" si="15"/>
        <v>Friday</v>
      </c>
      <c r="D162" s="28">
        <v>22</v>
      </c>
      <c r="E162" s="40" t="str" cm="1">
        <f t="array" ref="E162">_xlfn.IFS(D162&gt;=21,"Night",D162&gt;=17,"Evening",D162&gt;=12,"Midday",D162&gt;=6,"Morning", TRUE, "Night")</f>
        <v>Night</v>
      </c>
      <c r="F162" s="28">
        <v>1</v>
      </c>
      <c r="G162" s="28">
        <v>0</v>
      </c>
      <c r="H162" s="28">
        <v>1</v>
      </c>
      <c r="I162" s="28">
        <v>5</v>
      </c>
      <c r="J162" s="40" t="str">
        <f t="shared" si="16"/>
        <v>Weekday</v>
      </c>
      <c r="K162" s="28" t="b">
        <v>0</v>
      </c>
      <c r="L162" s="28">
        <v>2</v>
      </c>
      <c r="M162" s="40" t="str" cm="1">
        <f t="array" ref="M162">_xlfn.IFS(L162=1,"Clear / Partly Cloudy",L162=2,"Mist / Cloudy",L162=3,"Light Snow / Rain",L162=4,"Heavy Precipitation")</f>
        <v>Mist / Cloudy</v>
      </c>
      <c r="N162" s="28">
        <v>0.18</v>
      </c>
      <c r="O162" s="28" t="str">
        <f t="shared" si="17"/>
        <v>Cold</v>
      </c>
      <c r="P162" s="28">
        <v>0.19700000000000001</v>
      </c>
      <c r="Q162" s="38">
        <f t="shared" si="13"/>
        <v>0.19700000000000001</v>
      </c>
      <c r="R162" s="28">
        <v>0.43</v>
      </c>
      <c r="S162" s="28">
        <v>0.16420000000000001</v>
      </c>
      <c r="T162" s="40" t="str" cm="1">
        <f t="array" ref="T162">_xlfn.IFS(S162*18.6&lt;2,"Calm",S162*18.6&lt;6,"Light Breeze",S162*18.6&lt;14,"Gale",TRUE,"Extreme Storm")</f>
        <v>Light Breeze</v>
      </c>
      <c r="U162" s="28">
        <v>2</v>
      </c>
      <c r="V162" s="28">
        <v>34</v>
      </c>
      <c r="W162" s="28">
        <v>36</v>
      </c>
      <c r="X162" s="44">
        <f>AVERAGE(INDEX($W:$W,MAX(ROW($W$3),ROW()-23)):INDEX($W:$W,ROW()))</f>
        <v>65.416666666666671</v>
      </c>
      <c r="Y162" s="44">
        <f>_xlfn.STDEV.S(INDEX($W:$W,MAX(ROW($W$3),ROW()-23)):INDEX($W:$W,ROW()))</f>
        <v>54.46332365168697</v>
      </c>
      <c r="Z162" s="44">
        <f t="shared" si="14"/>
        <v>-0.54011883033061103</v>
      </c>
      <c r="AA162" s="40" t="b">
        <f t="shared" si="12"/>
        <v>0</v>
      </c>
    </row>
    <row r="163" spans="1:27" x14ac:dyDescent="0.3">
      <c r="A163" s="32">
        <v>161</v>
      </c>
      <c r="B163" s="33">
        <v>40550</v>
      </c>
      <c r="C163" s="40" t="str">
        <f t="shared" si="15"/>
        <v>Friday</v>
      </c>
      <c r="D163" s="28">
        <v>23</v>
      </c>
      <c r="E163" s="40" t="str" cm="1">
        <f t="array" ref="E163">_xlfn.IFS(D163&gt;=21,"Night",D163&gt;=17,"Evening",D163&gt;=12,"Midday",D163&gt;=6,"Morning", TRUE, "Night")</f>
        <v>Night</v>
      </c>
      <c r="F163" s="28">
        <v>1</v>
      </c>
      <c r="G163" s="28">
        <v>0</v>
      </c>
      <c r="H163" s="28">
        <v>1</v>
      </c>
      <c r="I163" s="28">
        <v>5</v>
      </c>
      <c r="J163" s="40" t="str">
        <f t="shared" si="16"/>
        <v>Weekday</v>
      </c>
      <c r="K163" s="28" t="b">
        <v>0</v>
      </c>
      <c r="L163" s="28">
        <v>2</v>
      </c>
      <c r="M163" s="40" t="str" cm="1">
        <f t="array" ref="M163">_xlfn.IFS(L163=1,"Clear / Partly Cloudy",L163=2,"Mist / Cloudy",L163=3,"Light Snow / Rain",L163=4,"Heavy Precipitation")</f>
        <v>Mist / Cloudy</v>
      </c>
      <c r="N163" s="28">
        <v>0.18</v>
      </c>
      <c r="O163" s="28" t="str">
        <f t="shared" si="17"/>
        <v>Cold</v>
      </c>
      <c r="P163" s="28">
        <v>0.19700000000000001</v>
      </c>
      <c r="Q163" s="38">
        <f t="shared" si="13"/>
        <v>0.19700000000000001</v>
      </c>
      <c r="R163" s="28">
        <v>0.51</v>
      </c>
      <c r="S163" s="28">
        <v>0.16420000000000001</v>
      </c>
      <c r="T163" s="40" t="str" cm="1">
        <f t="array" ref="T163">_xlfn.IFS(S163*18.6&lt;2,"Calm",S163*18.6&lt;6,"Light Breeze",S163*18.6&lt;14,"Gale",TRUE,"Extreme Storm")</f>
        <v>Light Breeze</v>
      </c>
      <c r="U163" s="28">
        <v>1</v>
      </c>
      <c r="V163" s="28">
        <v>14</v>
      </c>
      <c r="W163" s="28">
        <v>15</v>
      </c>
      <c r="X163" s="44">
        <f>AVERAGE(INDEX($W:$W,MAX(ROW($W$3),ROW()-23)):INDEX($W:$W,ROW()))</f>
        <v>63.875</v>
      </c>
      <c r="Y163" s="44">
        <f>_xlfn.STDEV.S(INDEX($W:$W,MAX(ROW($W$3),ROW()-23)):INDEX($W:$W,ROW()))</f>
        <v>55.375644073200078</v>
      </c>
      <c r="Z163" s="44">
        <f t="shared" si="14"/>
        <v>-0.88260824443672392</v>
      </c>
      <c r="AA163" s="40" t="b">
        <f t="shared" si="12"/>
        <v>0</v>
      </c>
    </row>
    <row r="164" spans="1:27" x14ac:dyDescent="0.3">
      <c r="A164" s="32">
        <v>162</v>
      </c>
      <c r="B164" s="33">
        <v>40551</v>
      </c>
      <c r="C164" s="40" t="str">
        <f t="shared" si="15"/>
        <v>Saturday</v>
      </c>
      <c r="D164" s="28">
        <v>0</v>
      </c>
      <c r="E164" s="40" t="str" cm="1">
        <f t="array" ref="E164">_xlfn.IFS(D164&gt;=21,"Night",D164&gt;=17,"Evening",D164&gt;=12,"Midday",D164&gt;=6,"Morning", TRUE, "Night")</f>
        <v>Night</v>
      </c>
      <c r="F164" s="28">
        <v>1</v>
      </c>
      <c r="G164" s="28">
        <v>0</v>
      </c>
      <c r="H164" s="28">
        <v>1</v>
      </c>
      <c r="I164" s="28">
        <v>6</v>
      </c>
      <c r="J164" s="40" t="str">
        <f t="shared" si="16"/>
        <v>Weekday</v>
      </c>
      <c r="K164" s="28" t="b">
        <v>0</v>
      </c>
      <c r="L164" s="28">
        <v>2</v>
      </c>
      <c r="M164" s="40" t="str" cm="1">
        <f t="array" ref="M164">_xlfn.IFS(L164=1,"Clear / Partly Cloudy",L164=2,"Mist / Cloudy",L164=3,"Light Snow / Rain",L164=4,"Heavy Precipitation")</f>
        <v>Mist / Cloudy</v>
      </c>
      <c r="N164" s="28">
        <v>0.18</v>
      </c>
      <c r="O164" s="28" t="str">
        <f t="shared" si="17"/>
        <v>Cold</v>
      </c>
      <c r="P164" s="28">
        <v>0.19700000000000001</v>
      </c>
      <c r="Q164" s="38">
        <f t="shared" si="13"/>
        <v>0.19700000000000001</v>
      </c>
      <c r="R164" s="28">
        <v>0.51</v>
      </c>
      <c r="S164" s="28">
        <v>0.16420000000000001</v>
      </c>
      <c r="T164" s="40" t="str" cm="1">
        <f t="array" ref="T164">_xlfn.IFS(S164*18.6&lt;2,"Calm",S164*18.6&lt;6,"Light Breeze",S164*18.6&lt;14,"Gale",TRUE,"Extreme Storm")</f>
        <v>Light Breeze</v>
      </c>
      <c r="U164" s="28">
        <v>1</v>
      </c>
      <c r="V164" s="28">
        <v>24</v>
      </c>
      <c r="W164" s="28">
        <v>25</v>
      </c>
      <c r="X164" s="44">
        <f>AVERAGE(INDEX($W:$W,MAX(ROW($W$3),ROW()-23)):INDEX($W:$W,ROW()))</f>
        <v>63.958333333333336</v>
      </c>
      <c r="Y164" s="44">
        <f>_xlfn.STDEV.S(INDEX($W:$W,MAX(ROW($W$3),ROW()-23)):INDEX($W:$W,ROW()))</f>
        <v>55.312927309411421</v>
      </c>
      <c r="Z164" s="44">
        <f t="shared" si="14"/>
        <v>-0.70432600891662855</v>
      </c>
      <c r="AA164" s="40" t="b">
        <f t="shared" si="12"/>
        <v>0</v>
      </c>
    </row>
    <row r="165" spans="1:27" x14ac:dyDescent="0.3">
      <c r="A165" s="32">
        <v>163</v>
      </c>
      <c r="B165" s="33">
        <v>40551</v>
      </c>
      <c r="C165" s="40" t="str">
        <f t="shared" si="15"/>
        <v>Saturday</v>
      </c>
      <c r="D165" s="28">
        <v>1</v>
      </c>
      <c r="E165" s="40" t="str" cm="1">
        <f t="array" ref="E165">_xlfn.IFS(D165&gt;=21,"Night",D165&gt;=17,"Evening",D165&gt;=12,"Midday",D165&gt;=6,"Morning", TRUE, "Night")</f>
        <v>Night</v>
      </c>
      <c r="F165" s="28">
        <v>1</v>
      </c>
      <c r="G165" s="28">
        <v>0</v>
      </c>
      <c r="H165" s="28">
        <v>1</v>
      </c>
      <c r="I165" s="28">
        <v>6</v>
      </c>
      <c r="J165" s="40" t="str">
        <f t="shared" si="16"/>
        <v>Weekday</v>
      </c>
      <c r="K165" s="28" t="b">
        <v>0</v>
      </c>
      <c r="L165" s="28">
        <v>2</v>
      </c>
      <c r="M165" s="40" t="str" cm="1">
        <f t="array" ref="M165">_xlfn.IFS(L165=1,"Clear / Partly Cloudy",L165=2,"Mist / Cloudy",L165=3,"Light Snow / Rain",L165=4,"Heavy Precipitation")</f>
        <v>Mist / Cloudy</v>
      </c>
      <c r="N165" s="28">
        <v>0.18</v>
      </c>
      <c r="O165" s="28" t="str">
        <f t="shared" si="17"/>
        <v>Cold</v>
      </c>
      <c r="P165" s="28">
        <v>0.21210000000000001</v>
      </c>
      <c r="Q165" s="38">
        <f t="shared" si="13"/>
        <v>0.21210000000000001</v>
      </c>
      <c r="R165" s="28">
        <v>0.55000000000000004</v>
      </c>
      <c r="S165" s="28">
        <v>8.9599999999999999E-2</v>
      </c>
      <c r="T165" s="40" t="str" cm="1">
        <f t="array" ref="T165">_xlfn.IFS(S165*18.6&lt;2,"Calm",S165*18.6&lt;6,"Light Breeze",S165*18.6&lt;14,"Gale",TRUE,"Extreme Storm")</f>
        <v>Calm</v>
      </c>
      <c r="U165" s="28">
        <v>1</v>
      </c>
      <c r="V165" s="28">
        <v>15</v>
      </c>
      <c r="W165" s="28">
        <v>16</v>
      </c>
      <c r="X165" s="44">
        <f>AVERAGE(INDEX($W:$W,MAX(ROW($W$3),ROW()-23)):INDEX($W:$W,ROW()))</f>
        <v>63.916666666666664</v>
      </c>
      <c r="Y165" s="44">
        <f>_xlfn.STDEV.S(INDEX($W:$W,MAX(ROW($W$3),ROW()-23)):INDEX($W:$W,ROW()))</f>
        <v>55.350202597065817</v>
      </c>
      <c r="Z165" s="44">
        <f t="shared" si="14"/>
        <v>-0.86569993276242829</v>
      </c>
      <c r="AA165" s="40" t="b">
        <f t="shared" si="12"/>
        <v>0</v>
      </c>
    </row>
    <row r="166" spans="1:27" x14ac:dyDescent="0.3">
      <c r="A166" s="32">
        <v>164</v>
      </c>
      <c r="B166" s="33">
        <v>40551</v>
      </c>
      <c r="C166" s="40" t="str">
        <f t="shared" si="15"/>
        <v>Saturday</v>
      </c>
      <c r="D166" s="28">
        <v>2</v>
      </c>
      <c r="E166" s="40" t="str" cm="1">
        <f t="array" ref="E166">_xlfn.IFS(D166&gt;=21,"Night",D166&gt;=17,"Evening",D166&gt;=12,"Midday",D166&gt;=6,"Morning", TRUE, "Night")</f>
        <v>Night</v>
      </c>
      <c r="F166" s="28">
        <v>1</v>
      </c>
      <c r="G166" s="28">
        <v>0</v>
      </c>
      <c r="H166" s="28">
        <v>1</v>
      </c>
      <c r="I166" s="28">
        <v>6</v>
      </c>
      <c r="J166" s="40" t="str">
        <f t="shared" si="16"/>
        <v>Weekday</v>
      </c>
      <c r="K166" s="28" t="b">
        <v>0</v>
      </c>
      <c r="L166" s="28">
        <v>2</v>
      </c>
      <c r="M166" s="40" t="str" cm="1">
        <f t="array" ref="M166">_xlfn.IFS(L166=1,"Clear / Partly Cloudy",L166=2,"Mist / Cloudy",L166=3,"Light Snow / Rain",L166=4,"Heavy Precipitation")</f>
        <v>Mist / Cloudy</v>
      </c>
      <c r="N166" s="28">
        <v>0.18</v>
      </c>
      <c r="O166" s="28" t="str">
        <f t="shared" si="17"/>
        <v>Cold</v>
      </c>
      <c r="P166" s="28">
        <v>0.2424</v>
      </c>
      <c r="Q166" s="38">
        <f t="shared" si="13"/>
        <v>0.2424</v>
      </c>
      <c r="R166" s="28">
        <v>0.55000000000000004</v>
      </c>
      <c r="S166" s="28">
        <v>0</v>
      </c>
      <c r="T166" s="40" t="str" cm="1">
        <f t="array" ref="T166">_xlfn.IFS(S166*18.6&lt;2,"Calm",S166*18.6&lt;6,"Light Breeze",S166*18.6&lt;14,"Gale",TRUE,"Extreme Storm")</f>
        <v>Calm</v>
      </c>
      <c r="U166" s="28">
        <v>3</v>
      </c>
      <c r="V166" s="28">
        <v>13</v>
      </c>
      <c r="W166" s="28">
        <v>16</v>
      </c>
      <c r="X166" s="44">
        <f>AVERAGE(INDEX($W:$W,MAX(ROW($W$3),ROW()-23)):INDEX($W:$W,ROW()))</f>
        <v>64.291666666666671</v>
      </c>
      <c r="Y166" s="44">
        <f>_xlfn.STDEV.S(INDEX($W:$W,MAX(ROW($W$3),ROW()-23)):INDEX($W:$W,ROW()))</f>
        <v>54.977053843174993</v>
      </c>
      <c r="Z166" s="44">
        <f t="shared" si="14"/>
        <v>-0.87839677266848915</v>
      </c>
      <c r="AA166" s="40" t="b">
        <f t="shared" si="12"/>
        <v>0</v>
      </c>
    </row>
    <row r="167" spans="1:27" x14ac:dyDescent="0.3">
      <c r="A167" s="32">
        <v>165</v>
      </c>
      <c r="B167" s="33">
        <v>40551</v>
      </c>
      <c r="C167" s="40" t="str">
        <f t="shared" si="15"/>
        <v>Saturday</v>
      </c>
      <c r="D167" s="28">
        <v>3</v>
      </c>
      <c r="E167" s="40" t="str" cm="1">
        <f t="array" ref="E167">_xlfn.IFS(D167&gt;=21,"Night",D167&gt;=17,"Evening",D167&gt;=12,"Midday",D167&gt;=6,"Morning", TRUE, "Night")</f>
        <v>Night</v>
      </c>
      <c r="F167" s="28">
        <v>1</v>
      </c>
      <c r="G167" s="28">
        <v>0</v>
      </c>
      <c r="H167" s="28">
        <v>1</v>
      </c>
      <c r="I167" s="28">
        <v>6</v>
      </c>
      <c r="J167" s="40" t="str">
        <f t="shared" si="16"/>
        <v>Weekday</v>
      </c>
      <c r="K167" s="28" t="b">
        <v>0</v>
      </c>
      <c r="L167" s="28">
        <v>3</v>
      </c>
      <c r="M167" s="40" t="str" cm="1">
        <f t="array" ref="M167">_xlfn.IFS(L167=1,"Clear / Partly Cloudy",L167=2,"Mist / Cloudy",L167=3,"Light Snow / Rain",L167=4,"Heavy Precipitation")</f>
        <v>Light Snow / Rain</v>
      </c>
      <c r="N167" s="28">
        <v>0.18</v>
      </c>
      <c r="O167" s="28" t="str">
        <f t="shared" si="17"/>
        <v>Cold</v>
      </c>
      <c r="P167" s="28">
        <v>0.19700000000000001</v>
      </c>
      <c r="Q167" s="38">
        <f t="shared" si="13"/>
        <v>0.19700000000000001</v>
      </c>
      <c r="R167" s="28">
        <v>0.55000000000000004</v>
      </c>
      <c r="S167" s="28">
        <v>0.16420000000000001</v>
      </c>
      <c r="T167" s="40" t="str" cm="1">
        <f t="array" ref="T167">_xlfn.IFS(S167*18.6&lt;2,"Calm",S167*18.6&lt;6,"Light Breeze",S167*18.6&lt;14,"Gale",TRUE,"Extreme Storm")</f>
        <v>Light Breeze</v>
      </c>
      <c r="U167" s="28">
        <v>0</v>
      </c>
      <c r="V167" s="28">
        <v>7</v>
      </c>
      <c r="W167" s="28">
        <v>7</v>
      </c>
      <c r="X167" s="44">
        <f>AVERAGE(INDEX($W:$W,MAX(ROW($W$3),ROW()-23)):INDEX($W:$W,ROW()))</f>
        <v>64.541666666666671</v>
      </c>
      <c r="Y167" s="44">
        <f>_xlfn.STDEV.S(INDEX($W:$W,MAX(ROW($W$3),ROW()-23)):INDEX($W:$W,ROW()))</f>
        <v>54.689621594457272</v>
      </c>
      <c r="Z167" s="44">
        <f t="shared" si="14"/>
        <v>-1.0521496581811869</v>
      </c>
      <c r="AA167" s="40" t="b">
        <f t="shared" si="12"/>
        <v>0</v>
      </c>
    </row>
    <row r="168" spans="1:27" x14ac:dyDescent="0.3">
      <c r="A168" s="32">
        <v>166</v>
      </c>
      <c r="B168" s="33">
        <v>40551</v>
      </c>
      <c r="C168" s="40" t="str">
        <f t="shared" si="15"/>
        <v>Saturday</v>
      </c>
      <c r="D168" s="28">
        <v>4</v>
      </c>
      <c r="E168" s="40" t="str" cm="1">
        <f t="array" ref="E168">_xlfn.IFS(D168&gt;=21,"Night",D168&gt;=17,"Evening",D168&gt;=12,"Midday",D168&gt;=6,"Morning", TRUE, "Night")</f>
        <v>Night</v>
      </c>
      <c r="F168" s="28">
        <v>1</v>
      </c>
      <c r="G168" s="28">
        <v>0</v>
      </c>
      <c r="H168" s="28">
        <v>1</v>
      </c>
      <c r="I168" s="28">
        <v>6</v>
      </c>
      <c r="J168" s="40" t="str">
        <f t="shared" si="16"/>
        <v>Weekday</v>
      </c>
      <c r="K168" s="28" t="b">
        <v>0</v>
      </c>
      <c r="L168" s="28">
        <v>3</v>
      </c>
      <c r="M168" s="40" t="str" cm="1">
        <f t="array" ref="M168">_xlfn.IFS(L168=1,"Clear / Partly Cloudy",L168=2,"Mist / Cloudy",L168=3,"Light Snow / Rain",L168=4,"Heavy Precipitation")</f>
        <v>Light Snow / Rain</v>
      </c>
      <c r="N168" s="28">
        <v>0.18</v>
      </c>
      <c r="O168" s="28" t="str">
        <f t="shared" si="17"/>
        <v>Cold</v>
      </c>
      <c r="P168" s="28">
        <v>0.19700000000000001</v>
      </c>
      <c r="Q168" s="38">
        <f t="shared" si="13"/>
        <v>0.19700000000000001</v>
      </c>
      <c r="R168" s="28">
        <v>0.55000000000000004</v>
      </c>
      <c r="S168" s="28">
        <v>0.16420000000000001</v>
      </c>
      <c r="T168" s="40" t="str" cm="1">
        <f t="array" ref="T168">_xlfn.IFS(S168*18.6&lt;2,"Calm",S168*18.6&lt;6,"Light Breeze",S168*18.6&lt;14,"Gale",TRUE,"Extreme Storm")</f>
        <v>Light Breeze</v>
      </c>
      <c r="U168" s="28">
        <v>0</v>
      </c>
      <c r="V168" s="28">
        <v>1</v>
      </c>
      <c r="W168" s="28">
        <v>1</v>
      </c>
      <c r="X168" s="44">
        <f>AVERAGE(INDEX($W:$W,MAX(ROW($W$3),ROW()-23)):INDEX($W:$W,ROW()))</f>
        <v>64.541666666666671</v>
      </c>
      <c r="Y168" s="44">
        <f>_xlfn.STDEV.S(INDEX($W:$W,MAX(ROW($W$3),ROW()-23)):INDEX($W:$W,ROW()))</f>
        <v>54.689621594457272</v>
      </c>
      <c r="Z168" s="44">
        <f t="shared" si="14"/>
        <v>-1.161859687709131</v>
      </c>
      <c r="AA168" s="40" t="b">
        <f t="shared" si="12"/>
        <v>0</v>
      </c>
    </row>
    <row r="169" spans="1:27" x14ac:dyDescent="0.3">
      <c r="A169" s="32">
        <v>167</v>
      </c>
      <c r="B169" s="33">
        <v>40551</v>
      </c>
      <c r="C169" s="40" t="str">
        <f t="shared" si="15"/>
        <v>Saturday</v>
      </c>
      <c r="D169" s="28">
        <v>5</v>
      </c>
      <c r="E169" s="40" t="str" cm="1">
        <f t="array" ref="E169">_xlfn.IFS(D169&gt;=21,"Night",D169&gt;=17,"Evening",D169&gt;=12,"Midday",D169&gt;=6,"Morning", TRUE, "Night")</f>
        <v>Night</v>
      </c>
      <c r="F169" s="28">
        <v>1</v>
      </c>
      <c r="G169" s="28">
        <v>0</v>
      </c>
      <c r="H169" s="28">
        <v>1</v>
      </c>
      <c r="I169" s="28">
        <v>6</v>
      </c>
      <c r="J169" s="40" t="str">
        <f t="shared" si="16"/>
        <v>Weekday</v>
      </c>
      <c r="K169" s="28" t="b">
        <v>0</v>
      </c>
      <c r="L169" s="28">
        <v>2</v>
      </c>
      <c r="M169" s="40" t="str" cm="1">
        <f t="array" ref="M169">_xlfn.IFS(L169=1,"Clear / Partly Cloudy",L169=2,"Mist / Cloudy",L169=3,"Light Snow / Rain",L169=4,"Heavy Precipitation")</f>
        <v>Mist / Cloudy</v>
      </c>
      <c r="N169" s="28">
        <v>0.16</v>
      </c>
      <c r="O169" s="28" t="str">
        <f t="shared" si="17"/>
        <v>Cold</v>
      </c>
      <c r="P169" s="28">
        <v>0.16669999999999999</v>
      </c>
      <c r="Q169" s="38">
        <f t="shared" si="13"/>
        <v>0.16669999999999999</v>
      </c>
      <c r="R169" s="28">
        <v>0.74</v>
      </c>
      <c r="S169" s="28">
        <v>0.16420000000000001</v>
      </c>
      <c r="T169" s="40" t="str" cm="1">
        <f t="array" ref="T169">_xlfn.IFS(S169*18.6&lt;2,"Calm",S169*18.6&lt;6,"Light Breeze",S169*18.6&lt;14,"Gale",TRUE,"Extreme Storm")</f>
        <v>Light Breeze</v>
      </c>
      <c r="U169" s="28">
        <v>0</v>
      </c>
      <c r="V169" s="28">
        <v>5</v>
      </c>
      <c r="W169" s="28">
        <v>5</v>
      </c>
      <c r="X169" s="44">
        <f>AVERAGE(INDEX($W:$W,MAX(ROW($W$3),ROW()-23)):INDEX($W:$W,ROW()))</f>
        <v>64.541666666666671</v>
      </c>
      <c r="Y169" s="44">
        <f>_xlfn.STDEV.S(INDEX($W:$W,MAX(ROW($W$3),ROW()-23)):INDEX($W:$W,ROW()))</f>
        <v>54.689621594457272</v>
      </c>
      <c r="Z169" s="44">
        <f t="shared" si="14"/>
        <v>-1.0887196680238349</v>
      </c>
      <c r="AA169" s="40" t="b">
        <f t="shared" si="12"/>
        <v>0</v>
      </c>
    </row>
    <row r="170" spans="1:27" x14ac:dyDescent="0.3">
      <c r="A170" s="32">
        <v>168</v>
      </c>
      <c r="B170" s="33">
        <v>40551</v>
      </c>
      <c r="C170" s="40" t="str">
        <f t="shared" si="15"/>
        <v>Saturday</v>
      </c>
      <c r="D170" s="28">
        <v>6</v>
      </c>
      <c r="E170" s="40" t="str" cm="1">
        <f t="array" ref="E170">_xlfn.IFS(D170&gt;=21,"Night",D170&gt;=17,"Evening",D170&gt;=12,"Midday",D170&gt;=6,"Morning", TRUE, "Night")</f>
        <v>Morning</v>
      </c>
      <c r="F170" s="28">
        <v>1</v>
      </c>
      <c r="G170" s="28">
        <v>0</v>
      </c>
      <c r="H170" s="28">
        <v>1</v>
      </c>
      <c r="I170" s="28">
        <v>6</v>
      </c>
      <c r="J170" s="40" t="str">
        <f t="shared" si="16"/>
        <v>Weekday</v>
      </c>
      <c r="K170" s="28" t="b">
        <v>0</v>
      </c>
      <c r="L170" s="28">
        <v>2</v>
      </c>
      <c r="M170" s="40" t="str" cm="1">
        <f t="array" ref="M170">_xlfn.IFS(L170=1,"Clear / Partly Cloudy",L170=2,"Mist / Cloudy",L170=3,"Light Snow / Rain",L170=4,"Heavy Precipitation")</f>
        <v>Mist / Cloudy</v>
      </c>
      <c r="N170" s="28">
        <v>0.16</v>
      </c>
      <c r="O170" s="28" t="str">
        <f t="shared" si="17"/>
        <v>Cold</v>
      </c>
      <c r="P170" s="28">
        <v>0.16669999999999999</v>
      </c>
      <c r="Q170" s="38">
        <f t="shared" si="13"/>
        <v>0.16669999999999999</v>
      </c>
      <c r="R170" s="28">
        <v>0.74</v>
      </c>
      <c r="S170" s="28">
        <v>0.16420000000000001</v>
      </c>
      <c r="T170" s="40" t="str" cm="1">
        <f t="array" ref="T170">_xlfn.IFS(S170*18.6&lt;2,"Calm",S170*18.6&lt;6,"Light Breeze",S170*18.6&lt;14,"Gale",TRUE,"Extreme Storm")</f>
        <v>Light Breeze</v>
      </c>
      <c r="U170" s="28">
        <v>0</v>
      </c>
      <c r="V170" s="28">
        <v>2</v>
      </c>
      <c r="W170" s="28">
        <v>2</v>
      </c>
      <c r="X170" s="44">
        <f>AVERAGE(INDEX($W:$W,MAX(ROW($W$3),ROW()-23)):INDEX($W:$W,ROW()))</f>
        <v>63.208333333333336</v>
      </c>
      <c r="Y170" s="44">
        <f>_xlfn.STDEV.S(INDEX($W:$W,MAX(ROW($W$3),ROW()-23)):INDEX($W:$W,ROW()))</f>
        <v>55.844488394630055</v>
      </c>
      <c r="Z170" s="44">
        <f t="shared" si="14"/>
        <v>-1.0960496746035024</v>
      </c>
      <c r="AA170" s="40" t="b">
        <f t="shared" si="12"/>
        <v>0</v>
      </c>
    </row>
    <row r="171" spans="1:27" x14ac:dyDescent="0.3">
      <c r="A171" s="32">
        <v>169</v>
      </c>
      <c r="B171" s="33">
        <v>40551</v>
      </c>
      <c r="C171" s="40" t="str">
        <f t="shared" si="15"/>
        <v>Saturday</v>
      </c>
      <c r="D171" s="28">
        <v>7</v>
      </c>
      <c r="E171" s="40" t="str" cm="1">
        <f t="array" ref="E171">_xlfn.IFS(D171&gt;=21,"Night",D171&gt;=17,"Evening",D171&gt;=12,"Midday",D171&gt;=6,"Morning", TRUE, "Night")</f>
        <v>Morning</v>
      </c>
      <c r="F171" s="28">
        <v>1</v>
      </c>
      <c r="G171" s="28">
        <v>0</v>
      </c>
      <c r="H171" s="28">
        <v>1</v>
      </c>
      <c r="I171" s="28">
        <v>6</v>
      </c>
      <c r="J171" s="40" t="str">
        <f t="shared" si="16"/>
        <v>Weekday</v>
      </c>
      <c r="K171" s="28" t="b">
        <v>0</v>
      </c>
      <c r="L171" s="28">
        <v>2</v>
      </c>
      <c r="M171" s="40" t="str" cm="1">
        <f t="array" ref="M171">_xlfn.IFS(L171=1,"Clear / Partly Cloudy",L171=2,"Mist / Cloudy",L171=3,"Light Snow / Rain",L171=4,"Heavy Precipitation")</f>
        <v>Mist / Cloudy</v>
      </c>
      <c r="N171" s="28">
        <v>0.16</v>
      </c>
      <c r="O171" s="28" t="str">
        <f t="shared" si="17"/>
        <v>Cold</v>
      </c>
      <c r="P171" s="28">
        <v>0.18179999999999999</v>
      </c>
      <c r="Q171" s="38">
        <f t="shared" si="13"/>
        <v>0.18179999999999999</v>
      </c>
      <c r="R171" s="28">
        <v>0.74</v>
      </c>
      <c r="S171" s="28">
        <v>0.1045</v>
      </c>
      <c r="T171" s="40" t="str" cm="1">
        <f t="array" ref="T171">_xlfn.IFS(S171*18.6&lt;2,"Calm",S171*18.6&lt;6,"Light Breeze",S171*18.6&lt;14,"Gale",TRUE,"Extreme Storm")</f>
        <v>Calm</v>
      </c>
      <c r="U171" s="28">
        <v>1</v>
      </c>
      <c r="V171" s="28">
        <v>8</v>
      </c>
      <c r="W171" s="28">
        <v>9</v>
      </c>
      <c r="X171" s="44">
        <f>AVERAGE(INDEX($W:$W,MAX(ROW($W$3),ROW()-23)):INDEX($W:$W,ROW()))</f>
        <v>60.083333333333336</v>
      </c>
      <c r="Y171" s="44">
        <f>_xlfn.STDEV.S(INDEX($W:$W,MAX(ROW($W$3),ROW()-23)):INDEX($W:$W,ROW()))</f>
        <v>56.721989192649218</v>
      </c>
      <c r="Z171" s="44">
        <f t="shared" si="14"/>
        <v>-0.90059135902013443</v>
      </c>
      <c r="AA171" s="40" t="b">
        <f t="shared" si="12"/>
        <v>0</v>
      </c>
    </row>
    <row r="172" spans="1:27" x14ac:dyDescent="0.3">
      <c r="A172" s="32">
        <v>170</v>
      </c>
      <c r="B172" s="33">
        <v>40551</v>
      </c>
      <c r="C172" s="40" t="str">
        <f t="shared" si="15"/>
        <v>Saturday</v>
      </c>
      <c r="D172" s="28">
        <v>8</v>
      </c>
      <c r="E172" s="40" t="str" cm="1">
        <f t="array" ref="E172">_xlfn.IFS(D172&gt;=21,"Night",D172&gt;=17,"Evening",D172&gt;=12,"Midday",D172&gt;=6,"Morning", TRUE, "Night")</f>
        <v>Morning</v>
      </c>
      <c r="F172" s="28">
        <v>1</v>
      </c>
      <c r="G172" s="28">
        <v>0</v>
      </c>
      <c r="H172" s="28">
        <v>1</v>
      </c>
      <c r="I172" s="28">
        <v>6</v>
      </c>
      <c r="J172" s="40" t="str">
        <f t="shared" si="16"/>
        <v>Weekday</v>
      </c>
      <c r="K172" s="28" t="b">
        <v>0</v>
      </c>
      <c r="L172" s="28">
        <v>3</v>
      </c>
      <c r="M172" s="40" t="str" cm="1">
        <f t="array" ref="M172">_xlfn.IFS(L172=1,"Clear / Partly Cloudy",L172=2,"Mist / Cloudy",L172=3,"Light Snow / Rain",L172=4,"Heavy Precipitation")</f>
        <v>Light Snow / Rain</v>
      </c>
      <c r="N172" s="28">
        <v>0.16</v>
      </c>
      <c r="O172" s="28" t="str">
        <f t="shared" si="17"/>
        <v>Cold</v>
      </c>
      <c r="P172" s="28">
        <v>0.18179999999999999</v>
      </c>
      <c r="Q172" s="38">
        <f t="shared" si="13"/>
        <v>0.18179999999999999</v>
      </c>
      <c r="R172" s="28">
        <v>0.93</v>
      </c>
      <c r="S172" s="28">
        <v>0.1045</v>
      </c>
      <c r="T172" s="40" t="str" cm="1">
        <f t="array" ref="T172">_xlfn.IFS(S172*18.6&lt;2,"Calm",S172*18.6&lt;6,"Light Breeze",S172*18.6&lt;14,"Gale",TRUE,"Extreme Storm")</f>
        <v>Calm</v>
      </c>
      <c r="U172" s="28">
        <v>0</v>
      </c>
      <c r="V172" s="28">
        <v>15</v>
      </c>
      <c r="W172" s="28">
        <v>15</v>
      </c>
      <c r="X172" s="44">
        <f>AVERAGE(INDEX($W:$W,MAX(ROW($W$3),ROW()-23)):INDEX($W:$W,ROW()))</f>
        <v>51.958333333333336</v>
      </c>
      <c r="Y172" s="44">
        <f>_xlfn.STDEV.S(INDEX($W:$W,MAX(ROW($W$3),ROW()-23)):INDEX($W:$W,ROW()))</f>
        <v>47.536237131053092</v>
      </c>
      <c r="Z172" s="44">
        <f t="shared" si="14"/>
        <v>-0.77747704832931064</v>
      </c>
      <c r="AA172" s="40" t="b">
        <f t="shared" si="12"/>
        <v>0</v>
      </c>
    </row>
    <row r="173" spans="1:27" x14ac:dyDescent="0.3">
      <c r="A173" s="32">
        <v>171</v>
      </c>
      <c r="B173" s="33">
        <v>40551</v>
      </c>
      <c r="C173" s="40" t="str">
        <f t="shared" si="15"/>
        <v>Saturday</v>
      </c>
      <c r="D173" s="28">
        <v>9</v>
      </c>
      <c r="E173" s="40" t="str" cm="1">
        <f t="array" ref="E173">_xlfn.IFS(D173&gt;=21,"Night",D173&gt;=17,"Evening",D173&gt;=12,"Midday",D173&gt;=6,"Morning", TRUE, "Night")</f>
        <v>Morning</v>
      </c>
      <c r="F173" s="28">
        <v>1</v>
      </c>
      <c r="G173" s="28">
        <v>0</v>
      </c>
      <c r="H173" s="28">
        <v>1</v>
      </c>
      <c r="I173" s="28">
        <v>6</v>
      </c>
      <c r="J173" s="40" t="str">
        <f t="shared" si="16"/>
        <v>Weekday</v>
      </c>
      <c r="K173" s="28" t="b">
        <v>0</v>
      </c>
      <c r="L173" s="28">
        <v>3</v>
      </c>
      <c r="M173" s="40" t="str" cm="1">
        <f t="array" ref="M173">_xlfn.IFS(L173=1,"Clear / Partly Cloudy",L173=2,"Mist / Cloudy",L173=3,"Light Snow / Rain",L173=4,"Heavy Precipitation")</f>
        <v>Light Snow / Rain</v>
      </c>
      <c r="N173" s="28">
        <v>0.16</v>
      </c>
      <c r="O173" s="28" t="str">
        <f t="shared" si="17"/>
        <v>Cold</v>
      </c>
      <c r="P173" s="28">
        <v>0.18179999999999999</v>
      </c>
      <c r="Q173" s="38">
        <f t="shared" si="13"/>
        <v>0.18179999999999999</v>
      </c>
      <c r="R173" s="28">
        <v>0.93</v>
      </c>
      <c r="S173" s="28">
        <v>0.1045</v>
      </c>
      <c r="T173" s="40" t="str" cm="1">
        <f t="array" ref="T173">_xlfn.IFS(S173*18.6&lt;2,"Calm",S173*18.6&lt;6,"Light Breeze",S173*18.6&lt;14,"Gale",TRUE,"Extreme Storm")</f>
        <v>Calm</v>
      </c>
      <c r="U173" s="28">
        <v>0</v>
      </c>
      <c r="V173" s="28">
        <v>20</v>
      </c>
      <c r="W173" s="28">
        <v>20</v>
      </c>
      <c r="X173" s="44">
        <f>AVERAGE(INDEX($W:$W,MAX(ROW($W$3),ROW()-23)):INDEX($W:$W,ROW()))</f>
        <v>47.208333333333336</v>
      </c>
      <c r="Y173" s="44">
        <f>_xlfn.STDEV.S(INDEX($W:$W,MAX(ROW($W$3),ROW()-23)):INDEX($W:$W,ROW()))</f>
        <v>44.585998159557427</v>
      </c>
      <c r="Z173" s="44">
        <f t="shared" si="14"/>
        <v>-0.6102438984535995</v>
      </c>
      <c r="AA173" s="40" t="b">
        <f t="shared" si="12"/>
        <v>0</v>
      </c>
    </row>
    <row r="174" spans="1:27" x14ac:dyDescent="0.3">
      <c r="A174" s="32">
        <v>172</v>
      </c>
      <c r="B174" s="33">
        <v>40551</v>
      </c>
      <c r="C174" s="40" t="str">
        <f t="shared" si="15"/>
        <v>Saturday</v>
      </c>
      <c r="D174" s="28">
        <v>10</v>
      </c>
      <c r="E174" s="40" t="str" cm="1">
        <f t="array" ref="E174">_xlfn.IFS(D174&gt;=21,"Night",D174&gt;=17,"Evening",D174&gt;=12,"Midday",D174&gt;=6,"Morning", TRUE, "Night")</f>
        <v>Morning</v>
      </c>
      <c r="F174" s="28">
        <v>1</v>
      </c>
      <c r="G174" s="28">
        <v>0</v>
      </c>
      <c r="H174" s="28">
        <v>1</v>
      </c>
      <c r="I174" s="28">
        <v>6</v>
      </c>
      <c r="J174" s="40" t="str">
        <f t="shared" si="16"/>
        <v>Weekday</v>
      </c>
      <c r="K174" s="28" t="b">
        <v>0</v>
      </c>
      <c r="L174" s="28">
        <v>2</v>
      </c>
      <c r="M174" s="40" t="str" cm="1">
        <f t="array" ref="M174">_xlfn.IFS(L174=1,"Clear / Partly Cloudy",L174=2,"Mist / Cloudy",L174=3,"Light Snow / Rain",L174=4,"Heavy Precipitation")</f>
        <v>Mist / Cloudy</v>
      </c>
      <c r="N174" s="28">
        <v>0.18</v>
      </c>
      <c r="O174" s="28" t="str">
        <f t="shared" si="17"/>
        <v>Cold</v>
      </c>
      <c r="P174" s="28">
        <v>0.19700000000000001</v>
      </c>
      <c r="Q174" s="38">
        <f t="shared" si="13"/>
        <v>0.19700000000000001</v>
      </c>
      <c r="R174" s="28">
        <v>0.8</v>
      </c>
      <c r="S174" s="28">
        <v>0.16420000000000001</v>
      </c>
      <c r="T174" s="40" t="str" cm="1">
        <f t="array" ref="T174">_xlfn.IFS(S174*18.6&lt;2,"Calm",S174*18.6&lt;6,"Light Breeze",S174*18.6&lt;14,"Gale",TRUE,"Extreme Storm")</f>
        <v>Light Breeze</v>
      </c>
      <c r="U174" s="28">
        <v>5</v>
      </c>
      <c r="V174" s="28">
        <v>56</v>
      </c>
      <c r="W174" s="28">
        <v>61</v>
      </c>
      <c r="X174" s="44">
        <f>AVERAGE(INDEX($W:$W,MAX(ROW($W$3),ROW()-23)):INDEX($W:$W,ROW()))</f>
        <v>47.125</v>
      </c>
      <c r="Y174" s="44">
        <f>_xlfn.STDEV.S(INDEX($W:$W,MAX(ROW($W$3),ROW()-23)):INDEX($W:$W,ROW()))</f>
        <v>44.557059168431778</v>
      </c>
      <c r="Z174" s="44">
        <f t="shared" si="14"/>
        <v>0.3113984688161443</v>
      </c>
      <c r="AA174" s="40" t="b">
        <f t="shared" si="12"/>
        <v>0</v>
      </c>
    </row>
    <row r="175" spans="1:27" x14ac:dyDescent="0.3">
      <c r="A175" s="32">
        <v>173</v>
      </c>
      <c r="B175" s="33">
        <v>40551</v>
      </c>
      <c r="C175" s="40" t="str">
        <f t="shared" si="15"/>
        <v>Saturday</v>
      </c>
      <c r="D175" s="28">
        <v>11</v>
      </c>
      <c r="E175" s="40" t="str" cm="1">
        <f t="array" ref="E175">_xlfn.IFS(D175&gt;=21,"Night",D175&gt;=17,"Evening",D175&gt;=12,"Midday",D175&gt;=6,"Morning", TRUE, "Night")</f>
        <v>Morning</v>
      </c>
      <c r="F175" s="28">
        <v>1</v>
      </c>
      <c r="G175" s="28">
        <v>0</v>
      </c>
      <c r="H175" s="28">
        <v>1</v>
      </c>
      <c r="I175" s="28">
        <v>6</v>
      </c>
      <c r="J175" s="40" t="str">
        <f t="shared" si="16"/>
        <v>Weekday</v>
      </c>
      <c r="K175" s="28" t="b">
        <v>0</v>
      </c>
      <c r="L175" s="28">
        <v>2</v>
      </c>
      <c r="M175" s="40" t="str" cm="1">
        <f t="array" ref="M175">_xlfn.IFS(L175=1,"Clear / Partly Cloudy",L175=2,"Mist / Cloudy",L175=3,"Light Snow / Rain",L175=4,"Heavy Precipitation")</f>
        <v>Mist / Cloudy</v>
      </c>
      <c r="N175" s="28">
        <v>0.2</v>
      </c>
      <c r="O175" s="28" t="str">
        <f t="shared" si="17"/>
        <v>Mild</v>
      </c>
      <c r="P175" s="28">
        <v>0.18179999999999999</v>
      </c>
      <c r="Q175" s="38">
        <f t="shared" si="13"/>
        <v>0.18179999999999999</v>
      </c>
      <c r="R175" s="28">
        <v>0.69</v>
      </c>
      <c r="S175" s="28">
        <v>0.3881</v>
      </c>
      <c r="T175" s="40" t="str" cm="1">
        <f t="array" ref="T175">_xlfn.IFS(S175*18.6&lt;2,"Calm",S175*18.6&lt;6,"Light Breeze",S175*18.6&lt;14,"Gale",TRUE,"Extreme Storm")</f>
        <v>Gale</v>
      </c>
      <c r="U175" s="28">
        <v>2</v>
      </c>
      <c r="V175" s="28">
        <v>60</v>
      </c>
      <c r="W175" s="28">
        <v>62</v>
      </c>
      <c r="X175" s="44">
        <f>AVERAGE(INDEX($W:$W,MAX(ROW($W$3),ROW()-23)):INDEX($W:$W,ROW()))</f>
        <v>46.916666666666664</v>
      </c>
      <c r="Y175" s="44">
        <f>_xlfn.STDEV.S(INDEX($W:$W,MAX(ROW($W$3),ROW()-23)):INDEX($W:$W,ROW()))</f>
        <v>44.471697562134629</v>
      </c>
      <c r="Z175" s="44">
        <f t="shared" si="14"/>
        <v>0.33916702442625041</v>
      </c>
      <c r="AA175" s="40" t="b">
        <f t="shared" si="12"/>
        <v>0</v>
      </c>
    </row>
    <row r="176" spans="1:27" x14ac:dyDescent="0.3">
      <c r="A176" s="32">
        <v>174</v>
      </c>
      <c r="B176" s="33">
        <v>40551</v>
      </c>
      <c r="C176" s="40" t="str">
        <f t="shared" si="15"/>
        <v>Saturday</v>
      </c>
      <c r="D176" s="28">
        <v>12</v>
      </c>
      <c r="E176" s="40" t="str" cm="1">
        <f t="array" ref="E176">_xlfn.IFS(D176&gt;=21,"Night",D176&gt;=17,"Evening",D176&gt;=12,"Midday",D176&gt;=6,"Morning", TRUE, "Night")</f>
        <v>Midday</v>
      </c>
      <c r="F176" s="28">
        <v>1</v>
      </c>
      <c r="G176" s="28">
        <v>0</v>
      </c>
      <c r="H176" s="28">
        <v>1</v>
      </c>
      <c r="I176" s="28">
        <v>6</v>
      </c>
      <c r="J176" s="40" t="str">
        <f t="shared" si="16"/>
        <v>Weekday</v>
      </c>
      <c r="K176" s="28" t="b">
        <v>0</v>
      </c>
      <c r="L176" s="28">
        <v>2</v>
      </c>
      <c r="M176" s="40" t="str" cm="1">
        <f t="array" ref="M176">_xlfn.IFS(L176=1,"Clear / Partly Cloudy",L176=2,"Mist / Cloudy",L176=3,"Light Snow / Rain",L176=4,"Heavy Precipitation")</f>
        <v>Mist / Cloudy</v>
      </c>
      <c r="N176" s="28">
        <v>0.2</v>
      </c>
      <c r="O176" s="28" t="str">
        <f t="shared" si="17"/>
        <v>Mild</v>
      </c>
      <c r="P176" s="28">
        <v>0.18179999999999999</v>
      </c>
      <c r="Q176" s="38">
        <f t="shared" si="13"/>
        <v>0.18179999999999999</v>
      </c>
      <c r="R176" s="28">
        <v>0.59</v>
      </c>
      <c r="S176" s="28">
        <v>0.35820000000000002</v>
      </c>
      <c r="T176" s="40" t="str" cm="1">
        <f t="array" ref="T176">_xlfn.IFS(S176*18.6&lt;2,"Calm",S176*18.6&lt;6,"Light Breeze",S176*18.6&lt;14,"Gale",TRUE,"Extreme Storm")</f>
        <v>Gale</v>
      </c>
      <c r="U176" s="28">
        <v>8</v>
      </c>
      <c r="V176" s="28">
        <v>90</v>
      </c>
      <c r="W176" s="28">
        <v>98</v>
      </c>
      <c r="X176" s="44">
        <f>AVERAGE(INDEX($W:$W,MAX(ROW($W$3),ROW()-23)):INDEX($W:$W,ROW()))</f>
        <v>48.541666666666664</v>
      </c>
      <c r="Y176" s="44">
        <f>_xlfn.STDEV.S(INDEX($W:$W,MAX(ROW($W$3),ROW()-23)):INDEX($W:$W,ROW()))</f>
        <v>45.629871191222271</v>
      </c>
      <c r="Z176" s="44">
        <f t="shared" si="14"/>
        <v>1.0839025410803163</v>
      </c>
      <c r="AA176" s="40" t="b">
        <f t="shared" si="12"/>
        <v>0</v>
      </c>
    </row>
    <row r="177" spans="1:27" x14ac:dyDescent="0.3">
      <c r="A177" s="32">
        <v>175</v>
      </c>
      <c r="B177" s="33">
        <v>40551</v>
      </c>
      <c r="C177" s="40" t="str">
        <f t="shared" si="15"/>
        <v>Saturday</v>
      </c>
      <c r="D177" s="28">
        <v>13</v>
      </c>
      <c r="E177" s="40" t="str" cm="1">
        <f t="array" ref="E177">_xlfn.IFS(D177&gt;=21,"Night",D177&gt;=17,"Evening",D177&gt;=12,"Midday",D177&gt;=6,"Morning", TRUE, "Night")</f>
        <v>Midday</v>
      </c>
      <c r="F177" s="28">
        <v>1</v>
      </c>
      <c r="G177" s="28">
        <v>0</v>
      </c>
      <c r="H177" s="28">
        <v>1</v>
      </c>
      <c r="I177" s="28">
        <v>6</v>
      </c>
      <c r="J177" s="40" t="str">
        <f t="shared" si="16"/>
        <v>Weekday</v>
      </c>
      <c r="K177" s="28" t="b">
        <v>0</v>
      </c>
      <c r="L177" s="28">
        <v>1</v>
      </c>
      <c r="M177" s="40" t="str" cm="1">
        <f t="array" ref="M177">_xlfn.IFS(L177=1,"Clear / Partly Cloudy",L177=2,"Mist / Cloudy",L177=3,"Light Snow / Rain",L177=4,"Heavy Precipitation")</f>
        <v>Clear / Partly Cloudy</v>
      </c>
      <c r="N177" s="28">
        <v>0.2</v>
      </c>
      <c r="O177" s="28" t="str">
        <f t="shared" si="17"/>
        <v>Mild</v>
      </c>
      <c r="P177" s="28">
        <v>0.18179999999999999</v>
      </c>
      <c r="Q177" s="38">
        <f t="shared" si="13"/>
        <v>0.18179999999999999</v>
      </c>
      <c r="R177" s="28">
        <v>0.44</v>
      </c>
      <c r="S177" s="28">
        <v>0.32840000000000003</v>
      </c>
      <c r="T177" s="40" t="str" cm="1">
        <f t="array" ref="T177">_xlfn.IFS(S177*18.6&lt;2,"Calm",S177*18.6&lt;6,"Light Breeze",S177*18.6&lt;14,"Gale",TRUE,"Extreme Storm")</f>
        <v>Gale</v>
      </c>
      <c r="U177" s="28">
        <v>7</v>
      </c>
      <c r="V177" s="28">
        <v>95</v>
      </c>
      <c r="W177" s="28">
        <v>102</v>
      </c>
      <c r="X177" s="44">
        <f>AVERAGE(INDEX($W:$W,MAX(ROW($W$3),ROW()-23)):INDEX($W:$W,ROW()))</f>
        <v>49.75</v>
      </c>
      <c r="Y177" s="44">
        <f>_xlfn.STDEV.S(INDEX($W:$W,MAX(ROW($W$3),ROW()-23)):INDEX($W:$W,ROW()))</f>
        <v>46.677664335590819</v>
      </c>
      <c r="Z177" s="44">
        <f t="shared" si="14"/>
        <v>1.1193790594222253</v>
      </c>
      <c r="AA177" s="40" t="b">
        <f t="shared" si="12"/>
        <v>0</v>
      </c>
    </row>
    <row r="178" spans="1:27" x14ac:dyDescent="0.3">
      <c r="A178" s="32">
        <v>176</v>
      </c>
      <c r="B178" s="33">
        <v>40551</v>
      </c>
      <c r="C178" s="40" t="str">
        <f t="shared" si="15"/>
        <v>Saturday</v>
      </c>
      <c r="D178" s="28">
        <v>14</v>
      </c>
      <c r="E178" s="40" t="str" cm="1">
        <f t="array" ref="E178">_xlfn.IFS(D178&gt;=21,"Night",D178&gt;=17,"Evening",D178&gt;=12,"Midday",D178&gt;=6,"Morning", TRUE, "Night")</f>
        <v>Midday</v>
      </c>
      <c r="F178" s="28">
        <v>1</v>
      </c>
      <c r="G178" s="28">
        <v>0</v>
      </c>
      <c r="H178" s="28">
        <v>1</v>
      </c>
      <c r="I178" s="28">
        <v>6</v>
      </c>
      <c r="J178" s="40" t="str">
        <f t="shared" si="16"/>
        <v>Weekday</v>
      </c>
      <c r="K178" s="28" t="b">
        <v>0</v>
      </c>
      <c r="L178" s="28">
        <v>1</v>
      </c>
      <c r="M178" s="40" t="str" cm="1">
        <f t="array" ref="M178">_xlfn.IFS(L178=1,"Clear / Partly Cloudy",L178=2,"Mist / Cloudy",L178=3,"Light Snow / Rain",L178=4,"Heavy Precipitation")</f>
        <v>Clear / Partly Cloudy</v>
      </c>
      <c r="N178" s="28">
        <v>0.2</v>
      </c>
      <c r="O178" s="28" t="str">
        <f t="shared" si="17"/>
        <v>Mild</v>
      </c>
      <c r="P178" s="28">
        <v>0.16669999999999999</v>
      </c>
      <c r="Q178" s="38">
        <f t="shared" si="13"/>
        <v>0.16669999999999999</v>
      </c>
      <c r="R178" s="28">
        <v>0.32</v>
      </c>
      <c r="S178" s="28">
        <v>0.49249999999999999</v>
      </c>
      <c r="T178" s="40" t="str" cm="1">
        <f t="array" ref="T178">_xlfn.IFS(S178*18.6&lt;2,"Calm",S178*18.6&lt;6,"Light Breeze",S178*18.6&lt;14,"Gale",TRUE,"Extreme Storm")</f>
        <v>Gale</v>
      </c>
      <c r="U178" s="28">
        <v>12</v>
      </c>
      <c r="V178" s="28">
        <v>83</v>
      </c>
      <c r="W178" s="28">
        <v>95</v>
      </c>
      <c r="X178" s="44">
        <f>AVERAGE(INDEX($W:$W,MAX(ROW($W$3),ROW()-23)):INDEX($W:$W,ROW()))</f>
        <v>51.625</v>
      </c>
      <c r="Y178" s="44">
        <f>_xlfn.STDEV.S(INDEX($W:$W,MAX(ROW($W$3),ROW()-23)):INDEX($W:$W,ROW()))</f>
        <v>47.583165181560297</v>
      </c>
      <c r="Z178" s="44">
        <f t="shared" si="14"/>
        <v>0.91156189031344492</v>
      </c>
      <c r="AA178" s="40" t="b">
        <f t="shared" si="12"/>
        <v>0</v>
      </c>
    </row>
    <row r="179" spans="1:27" x14ac:dyDescent="0.3">
      <c r="A179" s="32">
        <v>177</v>
      </c>
      <c r="B179" s="33">
        <v>40551</v>
      </c>
      <c r="C179" s="40" t="str">
        <f t="shared" si="15"/>
        <v>Saturday</v>
      </c>
      <c r="D179" s="28">
        <v>15</v>
      </c>
      <c r="E179" s="40" t="str" cm="1">
        <f t="array" ref="E179">_xlfn.IFS(D179&gt;=21,"Night",D179&gt;=17,"Evening",D179&gt;=12,"Midday",D179&gt;=6,"Morning", TRUE, "Night")</f>
        <v>Midday</v>
      </c>
      <c r="F179" s="28">
        <v>1</v>
      </c>
      <c r="G179" s="28">
        <v>0</v>
      </c>
      <c r="H179" s="28">
        <v>1</v>
      </c>
      <c r="I179" s="28">
        <v>6</v>
      </c>
      <c r="J179" s="40" t="str">
        <f t="shared" si="16"/>
        <v>Weekday</v>
      </c>
      <c r="K179" s="28" t="b">
        <v>0</v>
      </c>
      <c r="L179" s="28">
        <v>1</v>
      </c>
      <c r="M179" s="40" t="str" cm="1">
        <f t="array" ref="M179">_xlfn.IFS(L179=1,"Clear / Partly Cloudy",L179=2,"Mist / Cloudy",L179=3,"Light Snow / Rain",L179=4,"Heavy Precipitation")</f>
        <v>Clear / Partly Cloudy</v>
      </c>
      <c r="N179" s="28">
        <v>0.2</v>
      </c>
      <c r="O179" s="28" t="str">
        <f t="shared" si="17"/>
        <v>Mild</v>
      </c>
      <c r="P179" s="28">
        <v>0.16669999999999999</v>
      </c>
      <c r="Q179" s="38">
        <f t="shared" si="13"/>
        <v>0.16669999999999999</v>
      </c>
      <c r="R179" s="28">
        <v>0.32</v>
      </c>
      <c r="S179" s="28">
        <v>0.44779999999999998</v>
      </c>
      <c r="T179" s="40" t="str" cm="1">
        <f t="array" ref="T179">_xlfn.IFS(S179*18.6&lt;2,"Calm",S179*18.6&lt;6,"Light Breeze",S179*18.6&lt;14,"Gale",TRUE,"Extreme Storm")</f>
        <v>Gale</v>
      </c>
      <c r="U179" s="28">
        <v>5</v>
      </c>
      <c r="V179" s="28">
        <v>69</v>
      </c>
      <c r="W179" s="28">
        <v>74</v>
      </c>
      <c r="X179" s="44">
        <f>AVERAGE(INDEX($W:$W,MAX(ROW($W$3),ROW()-23)):INDEX($W:$W,ROW()))</f>
        <v>51.708333333333336</v>
      </c>
      <c r="Y179" s="44">
        <f>_xlfn.STDEV.S(INDEX($W:$W,MAX(ROW($W$3),ROW()-23)):INDEX($W:$W,ROW()))</f>
        <v>47.622135122474177</v>
      </c>
      <c r="Z179" s="44">
        <f t="shared" si="14"/>
        <v>0.46809464987945537</v>
      </c>
      <c r="AA179" s="40" t="b">
        <f t="shared" si="12"/>
        <v>0</v>
      </c>
    </row>
    <row r="180" spans="1:27" x14ac:dyDescent="0.3">
      <c r="A180" s="32">
        <v>178</v>
      </c>
      <c r="B180" s="33">
        <v>40551</v>
      </c>
      <c r="C180" s="40" t="str">
        <f t="shared" si="15"/>
        <v>Saturday</v>
      </c>
      <c r="D180" s="28">
        <v>16</v>
      </c>
      <c r="E180" s="40" t="str" cm="1">
        <f t="array" ref="E180">_xlfn.IFS(D180&gt;=21,"Night",D180&gt;=17,"Evening",D180&gt;=12,"Midday",D180&gt;=6,"Morning", TRUE, "Night")</f>
        <v>Midday</v>
      </c>
      <c r="F180" s="28">
        <v>1</v>
      </c>
      <c r="G180" s="28">
        <v>0</v>
      </c>
      <c r="H180" s="28">
        <v>1</v>
      </c>
      <c r="I180" s="28">
        <v>6</v>
      </c>
      <c r="J180" s="40" t="str">
        <f t="shared" si="16"/>
        <v>Weekday</v>
      </c>
      <c r="K180" s="28" t="b">
        <v>0</v>
      </c>
      <c r="L180" s="28">
        <v>1</v>
      </c>
      <c r="M180" s="40" t="str" cm="1">
        <f t="array" ref="M180">_xlfn.IFS(L180=1,"Clear / Partly Cloudy",L180=2,"Mist / Cloudy",L180=3,"Light Snow / Rain",L180=4,"Heavy Precipitation")</f>
        <v>Clear / Partly Cloudy</v>
      </c>
      <c r="N180" s="28">
        <v>0.18</v>
      </c>
      <c r="O180" s="28" t="str">
        <f t="shared" si="17"/>
        <v>Cold</v>
      </c>
      <c r="P180" s="28">
        <v>0.13639999999999999</v>
      </c>
      <c r="Q180" s="38">
        <f t="shared" si="13"/>
        <v>0.13639999999999999</v>
      </c>
      <c r="R180" s="28">
        <v>0.28999999999999998</v>
      </c>
      <c r="S180" s="28">
        <v>0.44779999999999998</v>
      </c>
      <c r="T180" s="40" t="str" cm="1">
        <f t="array" ref="T180">_xlfn.IFS(S180*18.6&lt;2,"Calm",S180*18.6&lt;6,"Light Breeze",S180*18.6&lt;14,"Gale",TRUE,"Extreme Storm")</f>
        <v>Gale</v>
      </c>
      <c r="U180" s="28">
        <v>8</v>
      </c>
      <c r="V180" s="28">
        <v>68</v>
      </c>
      <c r="W180" s="28">
        <v>76</v>
      </c>
      <c r="X180" s="44">
        <f>AVERAGE(INDEX($W:$W,MAX(ROW($W$3),ROW()-23)):INDEX($W:$W,ROW()))</f>
        <v>51.25</v>
      </c>
      <c r="Y180" s="44">
        <f>_xlfn.STDEV.S(INDEX($W:$W,MAX(ROW($W$3),ROW()-23)):INDEX($W:$W,ROW()))</f>
        <v>47.319680619305153</v>
      </c>
      <c r="Z180" s="44">
        <f t="shared" si="14"/>
        <v>0.523038187833894</v>
      </c>
      <c r="AA180" s="40" t="b">
        <f t="shared" si="12"/>
        <v>0</v>
      </c>
    </row>
    <row r="181" spans="1:27" x14ac:dyDescent="0.3">
      <c r="A181" s="32">
        <v>179</v>
      </c>
      <c r="B181" s="33">
        <v>40551</v>
      </c>
      <c r="C181" s="40" t="str">
        <f t="shared" si="15"/>
        <v>Saturday</v>
      </c>
      <c r="D181" s="28">
        <v>17</v>
      </c>
      <c r="E181" s="40" t="str" cm="1">
        <f t="array" ref="E181">_xlfn.IFS(D181&gt;=21,"Night",D181&gt;=17,"Evening",D181&gt;=12,"Midday",D181&gt;=6,"Morning", TRUE, "Night")</f>
        <v>Evening</v>
      </c>
      <c r="F181" s="28">
        <v>1</v>
      </c>
      <c r="G181" s="28">
        <v>0</v>
      </c>
      <c r="H181" s="28">
        <v>1</v>
      </c>
      <c r="I181" s="28">
        <v>6</v>
      </c>
      <c r="J181" s="40" t="str">
        <f t="shared" si="16"/>
        <v>Weekday</v>
      </c>
      <c r="K181" s="28" t="b">
        <v>0</v>
      </c>
      <c r="L181" s="28">
        <v>1</v>
      </c>
      <c r="M181" s="40" t="str" cm="1">
        <f t="array" ref="M181">_xlfn.IFS(L181=1,"Clear / Partly Cloudy",L181=2,"Mist / Cloudy",L181=3,"Light Snow / Rain",L181=4,"Heavy Precipitation")</f>
        <v>Clear / Partly Cloudy</v>
      </c>
      <c r="N181" s="28">
        <v>0.16</v>
      </c>
      <c r="O181" s="28" t="str">
        <f t="shared" si="17"/>
        <v>Cold</v>
      </c>
      <c r="P181" s="28">
        <v>0.1212</v>
      </c>
      <c r="Q181" s="38">
        <f t="shared" si="13"/>
        <v>0.1212</v>
      </c>
      <c r="R181" s="28">
        <v>0.37</v>
      </c>
      <c r="S181" s="28">
        <v>0.55220000000000002</v>
      </c>
      <c r="T181" s="40" t="str" cm="1">
        <f t="array" ref="T181">_xlfn.IFS(S181*18.6&lt;2,"Calm",S181*18.6&lt;6,"Light Breeze",S181*18.6&lt;14,"Gale",TRUE,"Extreme Storm")</f>
        <v>Gale</v>
      </c>
      <c r="U181" s="28">
        <v>5</v>
      </c>
      <c r="V181" s="28">
        <v>64</v>
      </c>
      <c r="W181" s="28">
        <v>69</v>
      </c>
      <c r="X181" s="44">
        <f>AVERAGE(INDEX($W:$W,MAX(ROW($W$3),ROW()-23)):INDEX($W:$W,ROW()))</f>
        <v>46.333333333333336</v>
      </c>
      <c r="Y181" s="44">
        <f>_xlfn.STDEV.S(INDEX($W:$W,MAX(ROW($W$3),ROW()-23)):INDEX($W:$W,ROW()))</f>
        <v>37.767787823771855</v>
      </c>
      <c r="Z181" s="44">
        <f t="shared" si="14"/>
        <v>0.60015870594358134</v>
      </c>
      <c r="AA181" s="40" t="b">
        <f t="shared" si="12"/>
        <v>0</v>
      </c>
    </row>
    <row r="182" spans="1:27" x14ac:dyDescent="0.3">
      <c r="A182" s="32">
        <v>180</v>
      </c>
      <c r="B182" s="33">
        <v>40551</v>
      </c>
      <c r="C182" s="40" t="str">
        <f t="shared" si="15"/>
        <v>Saturday</v>
      </c>
      <c r="D182" s="28">
        <v>18</v>
      </c>
      <c r="E182" s="40" t="str" cm="1">
        <f t="array" ref="E182">_xlfn.IFS(D182&gt;=21,"Night",D182&gt;=17,"Evening",D182&gt;=12,"Midday",D182&gt;=6,"Morning", TRUE, "Night")</f>
        <v>Evening</v>
      </c>
      <c r="F182" s="28">
        <v>1</v>
      </c>
      <c r="G182" s="28">
        <v>0</v>
      </c>
      <c r="H182" s="28">
        <v>1</v>
      </c>
      <c r="I182" s="28">
        <v>6</v>
      </c>
      <c r="J182" s="40" t="str">
        <f t="shared" si="16"/>
        <v>Weekday</v>
      </c>
      <c r="K182" s="28" t="b">
        <v>0</v>
      </c>
      <c r="L182" s="28">
        <v>1</v>
      </c>
      <c r="M182" s="40" t="str" cm="1">
        <f t="array" ref="M182">_xlfn.IFS(L182=1,"Clear / Partly Cloudy",L182=2,"Mist / Cloudy",L182=3,"Light Snow / Rain",L182=4,"Heavy Precipitation")</f>
        <v>Clear / Partly Cloudy</v>
      </c>
      <c r="N182" s="28">
        <v>0.14000000000000001</v>
      </c>
      <c r="O182" s="28" t="str">
        <f t="shared" si="17"/>
        <v>Cold</v>
      </c>
      <c r="P182" s="28">
        <v>0.1212</v>
      </c>
      <c r="Q182" s="38">
        <f t="shared" si="13"/>
        <v>0.1212</v>
      </c>
      <c r="R182" s="28">
        <v>0.39</v>
      </c>
      <c r="S182" s="28">
        <v>0.29849999999999999</v>
      </c>
      <c r="T182" s="40" t="str" cm="1">
        <f t="array" ref="T182">_xlfn.IFS(S182*18.6&lt;2,"Calm",S182*18.6&lt;6,"Light Breeze",S182*18.6&lt;14,"Gale",TRUE,"Extreme Storm")</f>
        <v>Light Breeze</v>
      </c>
      <c r="U182" s="28">
        <v>3</v>
      </c>
      <c r="V182" s="28">
        <v>52</v>
      </c>
      <c r="W182" s="28">
        <v>55</v>
      </c>
      <c r="X182" s="44">
        <f>AVERAGE(INDEX($W:$W,MAX(ROW($W$3),ROW()-23)):INDEX($W:$W,ROW()))</f>
        <v>43.5</v>
      </c>
      <c r="Y182" s="44">
        <f>_xlfn.STDEV.S(INDEX($W:$W,MAX(ROW($W$3),ROW()-23)):INDEX($W:$W,ROW()))</f>
        <v>34.142922113298717</v>
      </c>
      <c r="Z182" s="44">
        <f t="shared" si="14"/>
        <v>0.33681944274830344</v>
      </c>
      <c r="AA182" s="40" t="b">
        <f t="shared" si="12"/>
        <v>0</v>
      </c>
    </row>
    <row r="183" spans="1:27" x14ac:dyDescent="0.3">
      <c r="A183" s="32">
        <v>181</v>
      </c>
      <c r="B183" s="33">
        <v>40551</v>
      </c>
      <c r="C183" s="40" t="str">
        <f t="shared" si="15"/>
        <v>Saturday</v>
      </c>
      <c r="D183" s="28">
        <v>19</v>
      </c>
      <c r="E183" s="40" t="str" cm="1">
        <f t="array" ref="E183">_xlfn.IFS(D183&gt;=21,"Night",D183&gt;=17,"Evening",D183&gt;=12,"Midday",D183&gt;=6,"Morning", TRUE, "Night")</f>
        <v>Evening</v>
      </c>
      <c r="F183" s="28">
        <v>1</v>
      </c>
      <c r="G183" s="28">
        <v>0</v>
      </c>
      <c r="H183" s="28">
        <v>1</v>
      </c>
      <c r="I183" s="28">
        <v>6</v>
      </c>
      <c r="J183" s="40" t="str">
        <f t="shared" si="16"/>
        <v>Weekday</v>
      </c>
      <c r="K183" s="28" t="b">
        <v>0</v>
      </c>
      <c r="L183" s="28">
        <v>1</v>
      </c>
      <c r="M183" s="40" t="str" cm="1">
        <f t="array" ref="M183">_xlfn.IFS(L183=1,"Clear / Partly Cloudy",L183=2,"Mist / Cloudy",L183=3,"Light Snow / Rain",L183=4,"Heavy Precipitation")</f>
        <v>Clear / Partly Cloudy</v>
      </c>
      <c r="N183" s="28">
        <v>0.14000000000000001</v>
      </c>
      <c r="O183" s="28" t="str">
        <f t="shared" si="17"/>
        <v>Cold</v>
      </c>
      <c r="P183" s="28">
        <v>0.1212</v>
      </c>
      <c r="Q183" s="38">
        <f t="shared" si="13"/>
        <v>0.1212</v>
      </c>
      <c r="R183" s="28">
        <v>0.36</v>
      </c>
      <c r="S183" s="28">
        <v>0.25369999999999998</v>
      </c>
      <c r="T183" s="40" t="str" cm="1">
        <f t="array" ref="T183">_xlfn.IFS(S183*18.6&lt;2,"Calm",S183*18.6&lt;6,"Light Breeze",S183*18.6&lt;14,"Gale",TRUE,"Extreme Storm")</f>
        <v>Light Breeze</v>
      </c>
      <c r="U183" s="28">
        <v>4</v>
      </c>
      <c r="V183" s="28">
        <v>26</v>
      </c>
      <c r="W183" s="28">
        <v>30</v>
      </c>
      <c r="X183" s="44">
        <f>AVERAGE(INDEX($W:$W,MAX(ROW($W$3),ROW()-23)):INDEX($W:$W,ROW()))</f>
        <v>40.791666666666664</v>
      </c>
      <c r="Y183" s="44">
        <f>_xlfn.STDEV.S(INDEX($W:$W,MAX(ROW($W$3),ROW()-23)):INDEX($W:$W,ROW()))</f>
        <v>32.414407916537826</v>
      </c>
      <c r="Z183" s="44">
        <f t="shared" si="14"/>
        <v>-0.33292808230381893</v>
      </c>
      <c r="AA183" s="40" t="b">
        <f t="shared" si="12"/>
        <v>0</v>
      </c>
    </row>
    <row r="184" spans="1:27" x14ac:dyDescent="0.3">
      <c r="A184" s="32">
        <v>182</v>
      </c>
      <c r="B184" s="33">
        <v>40551</v>
      </c>
      <c r="C184" s="40" t="str">
        <f t="shared" si="15"/>
        <v>Saturday</v>
      </c>
      <c r="D184" s="28">
        <v>20</v>
      </c>
      <c r="E184" s="40" t="str" cm="1">
        <f t="array" ref="E184">_xlfn.IFS(D184&gt;=21,"Night",D184&gt;=17,"Evening",D184&gt;=12,"Midday",D184&gt;=6,"Morning", TRUE, "Night")</f>
        <v>Evening</v>
      </c>
      <c r="F184" s="28">
        <v>1</v>
      </c>
      <c r="G184" s="28">
        <v>0</v>
      </c>
      <c r="H184" s="28">
        <v>1</v>
      </c>
      <c r="I184" s="28">
        <v>6</v>
      </c>
      <c r="J184" s="40" t="str">
        <f t="shared" si="16"/>
        <v>Weekday</v>
      </c>
      <c r="K184" s="28" t="b">
        <v>0</v>
      </c>
      <c r="L184" s="28">
        <v>1</v>
      </c>
      <c r="M184" s="40" t="str" cm="1">
        <f t="array" ref="M184">_xlfn.IFS(L184=1,"Clear / Partly Cloudy",L184=2,"Mist / Cloudy",L184=3,"Light Snow / Rain",L184=4,"Heavy Precipitation")</f>
        <v>Clear / Partly Cloudy</v>
      </c>
      <c r="N184" s="28">
        <v>0.12</v>
      </c>
      <c r="O184" s="28" t="str">
        <f t="shared" si="17"/>
        <v>Cold</v>
      </c>
      <c r="P184" s="28">
        <v>0.1212</v>
      </c>
      <c r="Q184" s="38">
        <f t="shared" si="13"/>
        <v>0.1212</v>
      </c>
      <c r="R184" s="28">
        <v>0.36</v>
      </c>
      <c r="S184" s="28">
        <v>0.25369999999999998</v>
      </c>
      <c r="T184" s="40" t="str" cm="1">
        <f t="array" ref="T184">_xlfn.IFS(S184*18.6&lt;2,"Calm",S184*18.6&lt;6,"Light Breeze",S184*18.6&lt;14,"Gale",TRUE,"Extreme Storm")</f>
        <v>Light Breeze</v>
      </c>
      <c r="U184" s="28">
        <v>0</v>
      </c>
      <c r="V184" s="28">
        <v>28</v>
      </c>
      <c r="W184" s="28">
        <v>28</v>
      </c>
      <c r="X184" s="44">
        <f>AVERAGE(INDEX($W:$W,MAX(ROW($W$3),ROW()-23)):INDEX($W:$W,ROW()))</f>
        <v>39.833333333333336</v>
      </c>
      <c r="Y184" s="44">
        <f>_xlfn.STDEV.S(INDEX($W:$W,MAX(ROW($W$3),ROW()-23)):INDEX($W:$W,ROW()))</f>
        <v>32.43946424618801</v>
      </c>
      <c r="Z184" s="44">
        <f t="shared" si="14"/>
        <v>-0.36478202116805553</v>
      </c>
      <c r="AA184" s="40" t="b">
        <f t="shared" si="12"/>
        <v>0</v>
      </c>
    </row>
    <row r="185" spans="1:27" x14ac:dyDescent="0.3">
      <c r="A185" s="32">
        <v>183</v>
      </c>
      <c r="B185" s="33">
        <v>40551</v>
      </c>
      <c r="C185" s="40" t="str">
        <f t="shared" si="15"/>
        <v>Saturday</v>
      </c>
      <c r="D185" s="28">
        <v>21</v>
      </c>
      <c r="E185" s="40" t="str" cm="1">
        <f t="array" ref="E185">_xlfn.IFS(D185&gt;=21,"Night",D185&gt;=17,"Evening",D185&gt;=12,"Midday",D185&gt;=6,"Morning", TRUE, "Night")</f>
        <v>Night</v>
      </c>
      <c r="F185" s="28">
        <v>1</v>
      </c>
      <c r="G185" s="28">
        <v>0</v>
      </c>
      <c r="H185" s="28">
        <v>1</v>
      </c>
      <c r="I185" s="28">
        <v>6</v>
      </c>
      <c r="J185" s="40" t="str">
        <f t="shared" si="16"/>
        <v>Weekday</v>
      </c>
      <c r="K185" s="28" t="b">
        <v>0</v>
      </c>
      <c r="L185" s="28">
        <v>1</v>
      </c>
      <c r="M185" s="40" t="str" cm="1">
        <f t="array" ref="M185">_xlfn.IFS(L185=1,"Clear / Partly Cloudy",L185=2,"Mist / Cloudy",L185=3,"Light Snow / Rain",L185=4,"Heavy Precipitation")</f>
        <v>Clear / Partly Cloudy</v>
      </c>
      <c r="N185" s="28">
        <v>0.12</v>
      </c>
      <c r="O185" s="28" t="str">
        <f t="shared" si="17"/>
        <v>Cold</v>
      </c>
      <c r="P185" s="28">
        <v>0.1061</v>
      </c>
      <c r="Q185" s="38">
        <f t="shared" si="13"/>
        <v>0.1061</v>
      </c>
      <c r="R185" s="28">
        <v>0.39</v>
      </c>
      <c r="S185" s="28">
        <v>0.35820000000000002</v>
      </c>
      <c r="T185" s="40" t="str" cm="1">
        <f t="array" ref="T185">_xlfn.IFS(S185*18.6&lt;2,"Calm",S185*18.6&lt;6,"Light Breeze",S185*18.6&lt;14,"Gale",TRUE,"Extreme Storm")</f>
        <v>Gale</v>
      </c>
      <c r="U185" s="28">
        <v>2</v>
      </c>
      <c r="V185" s="28">
        <v>35</v>
      </c>
      <c r="W185" s="28">
        <v>37</v>
      </c>
      <c r="X185" s="44">
        <f>AVERAGE(INDEX($W:$W,MAX(ROW($W$3),ROW()-23)):INDEX($W:$W,ROW()))</f>
        <v>39.75</v>
      </c>
      <c r="Y185" s="44">
        <f>_xlfn.STDEV.S(INDEX($W:$W,MAX(ROW($W$3),ROW()-23)):INDEX($W:$W,ROW()))</f>
        <v>32.444266593384548</v>
      </c>
      <c r="Z185" s="44">
        <f t="shared" si="14"/>
        <v>-8.4760738606454764E-2</v>
      </c>
      <c r="AA185" s="40" t="b">
        <f t="shared" si="12"/>
        <v>0</v>
      </c>
    </row>
    <row r="186" spans="1:27" x14ac:dyDescent="0.3">
      <c r="A186" s="32">
        <v>184</v>
      </c>
      <c r="B186" s="33">
        <v>40551</v>
      </c>
      <c r="C186" s="40" t="str">
        <f t="shared" si="15"/>
        <v>Saturday</v>
      </c>
      <c r="D186" s="28">
        <v>22</v>
      </c>
      <c r="E186" s="40" t="str" cm="1">
        <f t="array" ref="E186">_xlfn.IFS(D186&gt;=21,"Night",D186&gt;=17,"Evening",D186&gt;=12,"Midday",D186&gt;=6,"Morning", TRUE, "Night")</f>
        <v>Night</v>
      </c>
      <c r="F186" s="28">
        <v>1</v>
      </c>
      <c r="G186" s="28">
        <v>0</v>
      </c>
      <c r="H186" s="28">
        <v>1</v>
      </c>
      <c r="I186" s="28">
        <v>6</v>
      </c>
      <c r="J186" s="40" t="str">
        <f t="shared" si="16"/>
        <v>Weekday</v>
      </c>
      <c r="K186" s="28" t="b">
        <v>0</v>
      </c>
      <c r="L186" s="28">
        <v>1</v>
      </c>
      <c r="M186" s="40" t="str" cm="1">
        <f t="array" ref="M186">_xlfn.IFS(L186=1,"Clear / Partly Cloudy",L186=2,"Mist / Cloudy",L186=3,"Light Snow / Rain",L186=4,"Heavy Precipitation")</f>
        <v>Clear / Partly Cloudy</v>
      </c>
      <c r="N186" s="28">
        <v>0.12</v>
      </c>
      <c r="O186" s="28" t="str">
        <f t="shared" si="17"/>
        <v>Cold</v>
      </c>
      <c r="P186" s="28">
        <v>0.1061</v>
      </c>
      <c r="Q186" s="38">
        <f t="shared" si="13"/>
        <v>0.1061</v>
      </c>
      <c r="R186" s="28">
        <v>0.36</v>
      </c>
      <c r="S186" s="28">
        <v>0.3881</v>
      </c>
      <c r="T186" s="40" t="str" cm="1">
        <f t="array" ref="T186">_xlfn.IFS(S186*18.6&lt;2,"Calm",S186*18.6&lt;6,"Light Breeze",S186*18.6&lt;14,"Gale",TRUE,"Extreme Storm")</f>
        <v>Gale</v>
      </c>
      <c r="U186" s="28">
        <v>1</v>
      </c>
      <c r="V186" s="28">
        <v>33</v>
      </c>
      <c r="W186" s="28">
        <v>34</v>
      </c>
      <c r="X186" s="44">
        <f>AVERAGE(INDEX($W:$W,MAX(ROW($W$3),ROW()-23)):INDEX($W:$W,ROW()))</f>
        <v>39.666666666666664</v>
      </c>
      <c r="Y186" s="44">
        <f>_xlfn.STDEV.S(INDEX($W:$W,MAX(ROW($W$3),ROW()-23)):INDEX($W:$W,ROW()))</f>
        <v>32.456883327921659</v>
      </c>
      <c r="Z186" s="44">
        <f t="shared" si="14"/>
        <v>-0.17459059791461262</v>
      </c>
      <c r="AA186" s="40" t="b">
        <f t="shared" si="12"/>
        <v>0</v>
      </c>
    </row>
    <row r="187" spans="1:27" x14ac:dyDescent="0.3">
      <c r="A187" s="32">
        <v>185</v>
      </c>
      <c r="B187" s="33">
        <v>40551</v>
      </c>
      <c r="C187" s="40" t="str">
        <f t="shared" si="15"/>
        <v>Saturday</v>
      </c>
      <c r="D187" s="28">
        <v>23</v>
      </c>
      <c r="E187" s="40" t="str" cm="1">
        <f t="array" ref="E187">_xlfn.IFS(D187&gt;=21,"Night",D187&gt;=17,"Evening",D187&gt;=12,"Midday",D187&gt;=6,"Morning", TRUE, "Night")</f>
        <v>Night</v>
      </c>
      <c r="F187" s="28">
        <v>1</v>
      </c>
      <c r="G187" s="28">
        <v>0</v>
      </c>
      <c r="H187" s="28">
        <v>1</v>
      </c>
      <c r="I187" s="28">
        <v>6</v>
      </c>
      <c r="J187" s="40" t="str">
        <f t="shared" si="16"/>
        <v>Weekday</v>
      </c>
      <c r="K187" s="28" t="b">
        <v>0</v>
      </c>
      <c r="L187" s="28">
        <v>1</v>
      </c>
      <c r="M187" s="40" t="str" cm="1">
        <f t="array" ref="M187">_xlfn.IFS(L187=1,"Clear / Partly Cloudy",L187=2,"Mist / Cloudy",L187=3,"Light Snow / Rain",L187=4,"Heavy Precipitation")</f>
        <v>Clear / Partly Cloudy</v>
      </c>
      <c r="N187" s="28">
        <v>0.1</v>
      </c>
      <c r="O187" s="28" t="str">
        <f t="shared" si="17"/>
        <v>Cold</v>
      </c>
      <c r="P187" s="28">
        <v>6.0600000000000001E-2</v>
      </c>
      <c r="Q187" s="38">
        <f t="shared" si="13"/>
        <v>6.0600000000000001E-2</v>
      </c>
      <c r="R187" s="28">
        <v>0.39</v>
      </c>
      <c r="S187" s="28">
        <v>0.44779999999999998</v>
      </c>
      <c r="T187" s="40" t="str" cm="1">
        <f t="array" ref="T187">_xlfn.IFS(S187*18.6&lt;2,"Calm",S187*18.6&lt;6,"Light Breeze",S187*18.6&lt;14,"Gale",TRUE,"Extreme Storm")</f>
        <v>Gale</v>
      </c>
      <c r="U187" s="28">
        <v>0</v>
      </c>
      <c r="V187" s="28">
        <v>22</v>
      </c>
      <c r="W187" s="28">
        <v>22</v>
      </c>
      <c r="X187" s="44">
        <f>AVERAGE(INDEX($W:$W,MAX(ROW($W$3),ROW()-23)):INDEX($W:$W,ROW()))</f>
        <v>39.958333333333336</v>
      </c>
      <c r="Y187" s="44">
        <f>_xlfn.STDEV.S(INDEX($W:$W,MAX(ROW($W$3),ROW()-23)):INDEX($W:$W,ROW()))</f>
        <v>32.256417179770018</v>
      </c>
      <c r="Z187" s="44">
        <f t="shared" si="14"/>
        <v>-0.5567367644474821</v>
      </c>
      <c r="AA187" s="40" t="b">
        <f t="shared" si="12"/>
        <v>0</v>
      </c>
    </row>
    <row r="188" spans="1:27" x14ac:dyDescent="0.3">
      <c r="A188" s="32">
        <v>186</v>
      </c>
      <c r="B188" s="33">
        <v>40552</v>
      </c>
      <c r="C188" s="40" t="str">
        <f t="shared" si="15"/>
        <v>Sunday</v>
      </c>
      <c r="D188" s="28">
        <v>0</v>
      </c>
      <c r="E188" s="40" t="str" cm="1">
        <f t="array" ref="E188">_xlfn.IFS(D188&gt;=21,"Night",D188&gt;=17,"Evening",D188&gt;=12,"Midday",D188&gt;=6,"Morning", TRUE, "Night")</f>
        <v>Night</v>
      </c>
      <c r="F188" s="28">
        <v>1</v>
      </c>
      <c r="G188" s="28">
        <v>0</v>
      </c>
      <c r="H188" s="28">
        <v>1</v>
      </c>
      <c r="I188" s="28">
        <v>0</v>
      </c>
      <c r="J188" s="40" t="str">
        <f t="shared" si="16"/>
        <v>Weekday</v>
      </c>
      <c r="K188" s="28" t="b">
        <v>0</v>
      </c>
      <c r="L188" s="28">
        <v>1</v>
      </c>
      <c r="M188" s="40" t="str" cm="1">
        <f t="array" ref="M188">_xlfn.IFS(L188=1,"Clear / Partly Cloudy",L188=2,"Mist / Cloudy",L188=3,"Light Snow / Rain",L188=4,"Heavy Precipitation")</f>
        <v>Clear / Partly Cloudy</v>
      </c>
      <c r="N188" s="28">
        <v>0.1</v>
      </c>
      <c r="O188" s="28" t="str">
        <f t="shared" si="17"/>
        <v>Cold</v>
      </c>
      <c r="P188" s="28">
        <v>7.5800000000000006E-2</v>
      </c>
      <c r="Q188" s="38">
        <f t="shared" si="13"/>
        <v>7.5800000000000006E-2</v>
      </c>
      <c r="R188" s="28">
        <v>0.42</v>
      </c>
      <c r="S188" s="28">
        <v>0.3881</v>
      </c>
      <c r="T188" s="40" t="str" cm="1">
        <f t="array" ref="T188">_xlfn.IFS(S188*18.6&lt;2,"Calm",S188*18.6&lt;6,"Light Breeze",S188*18.6&lt;14,"Gale",TRUE,"Extreme Storm")</f>
        <v>Gale</v>
      </c>
      <c r="U188" s="28">
        <v>1</v>
      </c>
      <c r="V188" s="28">
        <v>24</v>
      </c>
      <c r="W188" s="28">
        <v>25</v>
      </c>
      <c r="X188" s="44">
        <f>AVERAGE(INDEX($W:$W,MAX(ROW($W$3),ROW()-23)):INDEX($W:$W,ROW()))</f>
        <v>39.958333333333336</v>
      </c>
      <c r="Y188" s="44">
        <f>_xlfn.STDEV.S(INDEX($W:$W,MAX(ROW($W$3),ROW()-23)):INDEX($W:$W,ROW()))</f>
        <v>32.256417179770018</v>
      </c>
      <c r="Z188" s="44">
        <f t="shared" si="14"/>
        <v>-0.46373201493421362</v>
      </c>
      <c r="AA188" s="40" t="b">
        <f t="shared" si="12"/>
        <v>0</v>
      </c>
    </row>
    <row r="189" spans="1:27" x14ac:dyDescent="0.3">
      <c r="A189" s="32">
        <v>187</v>
      </c>
      <c r="B189" s="33">
        <v>40552</v>
      </c>
      <c r="C189" s="40" t="str">
        <f t="shared" si="15"/>
        <v>Sunday</v>
      </c>
      <c r="D189" s="28">
        <v>1</v>
      </c>
      <c r="E189" s="40" t="str" cm="1">
        <f t="array" ref="E189">_xlfn.IFS(D189&gt;=21,"Night",D189&gt;=17,"Evening",D189&gt;=12,"Midday",D189&gt;=6,"Morning", TRUE, "Night")</f>
        <v>Night</v>
      </c>
      <c r="F189" s="28">
        <v>1</v>
      </c>
      <c r="G189" s="28">
        <v>0</v>
      </c>
      <c r="H189" s="28">
        <v>1</v>
      </c>
      <c r="I189" s="28">
        <v>0</v>
      </c>
      <c r="J189" s="40" t="str">
        <f t="shared" si="16"/>
        <v>Weekday</v>
      </c>
      <c r="K189" s="28" t="b">
        <v>0</v>
      </c>
      <c r="L189" s="28">
        <v>1</v>
      </c>
      <c r="M189" s="40" t="str" cm="1">
        <f t="array" ref="M189">_xlfn.IFS(L189=1,"Clear / Partly Cloudy",L189=2,"Mist / Cloudy",L189=3,"Light Snow / Rain",L189=4,"Heavy Precipitation")</f>
        <v>Clear / Partly Cloudy</v>
      </c>
      <c r="N189" s="28">
        <v>0.1</v>
      </c>
      <c r="O189" s="28" t="str">
        <f t="shared" si="17"/>
        <v>Cold</v>
      </c>
      <c r="P189" s="28">
        <v>6.0600000000000001E-2</v>
      </c>
      <c r="Q189" s="38">
        <f t="shared" si="13"/>
        <v>6.0600000000000001E-2</v>
      </c>
      <c r="R189" s="28">
        <v>0.42</v>
      </c>
      <c r="S189" s="28">
        <v>0.4627</v>
      </c>
      <c r="T189" s="40" t="str" cm="1">
        <f t="array" ref="T189">_xlfn.IFS(S189*18.6&lt;2,"Calm",S189*18.6&lt;6,"Light Breeze",S189*18.6&lt;14,"Gale",TRUE,"Extreme Storm")</f>
        <v>Gale</v>
      </c>
      <c r="U189" s="28">
        <v>0</v>
      </c>
      <c r="V189" s="28">
        <v>12</v>
      </c>
      <c r="W189" s="28">
        <v>12</v>
      </c>
      <c r="X189" s="44">
        <f>AVERAGE(INDEX($W:$W,MAX(ROW($W$3),ROW()-23)):INDEX($W:$W,ROW()))</f>
        <v>39.791666666666664</v>
      </c>
      <c r="Y189" s="44">
        <f>_xlfn.STDEV.S(INDEX($W:$W,MAX(ROW($W$3),ROW()-23)):INDEX($W:$W,ROW()))</f>
        <v>32.395623921686742</v>
      </c>
      <c r="Z189" s="44">
        <f t="shared" si="14"/>
        <v>-0.85788335899473045</v>
      </c>
      <c r="AA189" s="40" t="b">
        <f t="shared" si="12"/>
        <v>0</v>
      </c>
    </row>
    <row r="190" spans="1:27" x14ac:dyDescent="0.3">
      <c r="A190" s="32">
        <v>188</v>
      </c>
      <c r="B190" s="33">
        <v>40552</v>
      </c>
      <c r="C190" s="40" t="str">
        <f t="shared" si="15"/>
        <v>Sunday</v>
      </c>
      <c r="D190" s="28">
        <v>2</v>
      </c>
      <c r="E190" s="40" t="str" cm="1">
        <f t="array" ref="E190">_xlfn.IFS(D190&gt;=21,"Night",D190&gt;=17,"Evening",D190&gt;=12,"Midday",D190&gt;=6,"Morning", TRUE, "Night")</f>
        <v>Night</v>
      </c>
      <c r="F190" s="28">
        <v>1</v>
      </c>
      <c r="G190" s="28">
        <v>0</v>
      </c>
      <c r="H190" s="28">
        <v>1</v>
      </c>
      <c r="I190" s="28">
        <v>0</v>
      </c>
      <c r="J190" s="40" t="str">
        <f t="shared" si="16"/>
        <v>Weekday</v>
      </c>
      <c r="K190" s="28" t="b">
        <v>0</v>
      </c>
      <c r="L190" s="28">
        <v>1</v>
      </c>
      <c r="M190" s="40" t="str" cm="1">
        <f t="array" ref="M190">_xlfn.IFS(L190=1,"Clear / Partly Cloudy",L190=2,"Mist / Cloudy",L190=3,"Light Snow / Rain",L190=4,"Heavy Precipitation")</f>
        <v>Clear / Partly Cloudy</v>
      </c>
      <c r="N190" s="28">
        <v>0.1</v>
      </c>
      <c r="O190" s="28" t="str">
        <f t="shared" si="17"/>
        <v>Cold</v>
      </c>
      <c r="P190" s="28">
        <v>6.0600000000000001E-2</v>
      </c>
      <c r="Q190" s="38">
        <f t="shared" si="13"/>
        <v>6.0600000000000001E-2</v>
      </c>
      <c r="R190" s="28">
        <v>0.46</v>
      </c>
      <c r="S190" s="28">
        <v>0.4627</v>
      </c>
      <c r="T190" s="40" t="str" cm="1">
        <f t="array" ref="T190">_xlfn.IFS(S190*18.6&lt;2,"Calm",S190*18.6&lt;6,"Light Breeze",S190*18.6&lt;14,"Gale",TRUE,"Extreme Storm")</f>
        <v>Gale</v>
      </c>
      <c r="U190" s="28">
        <v>0</v>
      </c>
      <c r="V190" s="28">
        <v>11</v>
      </c>
      <c r="W190" s="28">
        <v>11</v>
      </c>
      <c r="X190" s="44">
        <f>AVERAGE(INDEX($W:$W,MAX(ROW($W$3),ROW()-23)):INDEX($W:$W,ROW()))</f>
        <v>39.583333333333336</v>
      </c>
      <c r="Y190" s="44">
        <f>_xlfn.STDEV.S(INDEX($W:$W,MAX(ROW($W$3),ROW()-23)):INDEX($W:$W,ROW()))</f>
        <v>32.570881456303567</v>
      </c>
      <c r="Z190" s="44">
        <f t="shared" si="14"/>
        <v>-0.87757322047547759</v>
      </c>
      <c r="AA190" s="40" t="b">
        <f t="shared" si="12"/>
        <v>0</v>
      </c>
    </row>
    <row r="191" spans="1:27" x14ac:dyDescent="0.3">
      <c r="A191" s="32">
        <v>189</v>
      </c>
      <c r="B191" s="33">
        <v>40552</v>
      </c>
      <c r="C191" s="40" t="str">
        <f t="shared" si="15"/>
        <v>Sunday</v>
      </c>
      <c r="D191" s="28">
        <v>3</v>
      </c>
      <c r="E191" s="40" t="str" cm="1">
        <f t="array" ref="E191">_xlfn.IFS(D191&gt;=21,"Night",D191&gt;=17,"Evening",D191&gt;=12,"Midday",D191&gt;=6,"Morning", TRUE, "Night")</f>
        <v>Night</v>
      </c>
      <c r="F191" s="28">
        <v>1</v>
      </c>
      <c r="G191" s="28">
        <v>0</v>
      </c>
      <c r="H191" s="28">
        <v>1</v>
      </c>
      <c r="I191" s="28">
        <v>0</v>
      </c>
      <c r="J191" s="40" t="str">
        <f t="shared" si="16"/>
        <v>Weekday</v>
      </c>
      <c r="K191" s="28" t="b">
        <v>0</v>
      </c>
      <c r="L191" s="28">
        <v>1</v>
      </c>
      <c r="M191" s="40" t="str" cm="1">
        <f t="array" ref="M191">_xlfn.IFS(L191=1,"Clear / Partly Cloudy",L191=2,"Mist / Cloudy",L191=3,"Light Snow / Rain",L191=4,"Heavy Precipitation")</f>
        <v>Clear / Partly Cloudy</v>
      </c>
      <c r="N191" s="28">
        <v>0.1</v>
      </c>
      <c r="O191" s="28" t="str">
        <f t="shared" si="17"/>
        <v>Cold</v>
      </c>
      <c r="P191" s="28">
        <v>7.5800000000000006E-2</v>
      </c>
      <c r="Q191" s="38">
        <f t="shared" si="13"/>
        <v>7.5800000000000006E-2</v>
      </c>
      <c r="R191" s="28">
        <v>0.46</v>
      </c>
      <c r="S191" s="28">
        <v>0.41789999999999999</v>
      </c>
      <c r="T191" s="40" t="str" cm="1">
        <f t="array" ref="T191">_xlfn.IFS(S191*18.6&lt;2,"Calm",S191*18.6&lt;6,"Light Breeze",S191*18.6&lt;14,"Gale",TRUE,"Extreme Storm")</f>
        <v>Gale</v>
      </c>
      <c r="U191" s="28">
        <v>0</v>
      </c>
      <c r="V191" s="28">
        <v>4</v>
      </c>
      <c r="W191" s="28">
        <v>4</v>
      </c>
      <c r="X191" s="44">
        <f>AVERAGE(INDEX($W:$W,MAX(ROW($W$3),ROW()-23)):INDEX($W:$W,ROW()))</f>
        <v>39.458333333333336</v>
      </c>
      <c r="Y191" s="44">
        <f>_xlfn.STDEV.S(INDEX($W:$W,MAX(ROW($W$3),ROW()-23)):INDEX($W:$W,ROW()))</f>
        <v>32.706839022451859</v>
      </c>
      <c r="Z191" s="44">
        <f t="shared" si="14"/>
        <v>-1.0841259624322819</v>
      </c>
      <c r="AA191" s="40" t="b">
        <f t="shared" si="12"/>
        <v>0</v>
      </c>
    </row>
    <row r="192" spans="1:27" x14ac:dyDescent="0.3">
      <c r="A192" s="32">
        <v>190</v>
      </c>
      <c r="B192" s="33">
        <v>40552</v>
      </c>
      <c r="C192" s="40" t="str">
        <f t="shared" si="15"/>
        <v>Sunday</v>
      </c>
      <c r="D192" s="28">
        <v>4</v>
      </c>
      <c r="E192" s="40" t="str" cm="1">
        <f t="array" ref="E192">_xlfn.IFS(D192&gt;=21,"Night",D192&gt;=17,"Evening",D192&gt;=12,"Midday",D192&gt;=6,"Morning", TRUE, "Night")</f>
        <v>Night</v>
      </c>
      <c r="F192" s="28">
        <v>1</v>
      </c>
      <c r="G192" s="28">
        <v>0</v>
      </c>
      <c r="H192" s="28">
        <v>1</v>
      </c>
      <c r="I192" s="28">
        <v>0</v>
      </c>
      <c r="J192" s="40" t="str">
        <f t="shared" si="16"/>
        <v>Weekday</v>
      </c>
      <c r="K192" s="28" t="b">
        <v>0</v>
      </c>
      <c r="L192" s="28">
        <v>1</v>
      </c>
      <c r="M192" s="40" t="str" cm="1">
        <f t="array" ref="M192">_xlfn.IFS(L192=1,"Clear / Partly Cloudy",L192=2,"Mist / Cloudy",L192=3,"Light Snow / Rain",L192=4,"Heavy Precipitation")</f>
        <v>Clear / Partly Cloudy</v>
      </c>
      <c r="N192" s="28">
        <v>0.08</v>
      </c>
      <c r="O192" s="28" t="str">
        <f t="shared" si="17"/>
        <v>Cold</v>
      </c>
      <c r="P192" s="28">
        <v>9.0899999999999995E-2</v>
      </c>
      <c r="Q192" s="38">
        <f t="shared" si="13"/>
        <v>9.0899999999999995E-2</v>
      </c>
      <c r="R192" s="28">
        <v>0.53</v>
      </c>
      <c r="S192" s="28">
        <v>0.19400000000000001</v>
      </c>
      <c r="T192" s="40" t="str" cm="1">
        <f t="array" ref="T192">_xlfn.IFS(S192*18.6&lt;2,"Calm",S192*18.6&lt;6,"Light Breeze",S192*18.6&lt;14,"Gale",TRUE,"Extreme Storm")</f>
        <v>Light Breeze</v>
      </c>
      <c r="U192" s="28">
        <v>0</v>
      </c>
      <c r="V192" s="28">
        <v>1</v>
      </c>
      <c r="W192" s="28">
        <v>1</v>
      </c>
      <c r="X192" s="44">
        <f>AVERAGE(INDEX($W:$W,MAX(ROW($W$3),ROW()-23)):INDEX($W:$W,ROW()))</f>
        <v>39.458333333333336</v>
      </c>
      <c r="Y192" s="44">
        <f>_xlfn.STDEV.S(INDEX($W:$W,MAX(ROW($W$3),ROW()-23)):INDEX($W:$W,ROW()))</f>
        <v>32.706839022451859</v>
      </c>
      <c r="Z192" s="44">
        <f t="shared" si="14"/>
        <v>-1.1758498981492318</v>
      </c>
      <c r="AA192" s="40" t="b">
        <f t="shared" si="12"/>
        <v>0</v>
      </c>
    </row>
    <row r="193" spans="1:27" x14ac:dyDescent="0.3">
      <c r="A193" s="32">
        <v>191</v>
      </c>
      <c r="B193" s="33">
        <v>40552</v>
      </c>
      <c r="C193" s="40" t="str">
        <f t="shared" si="15"/>
        <v>Sunday</v>
      </c>
      <c r="D193" s="28">
        <v>5</v>
      </c>
      <c r="E193" s="40" t="str" cm="1">
        <f t="array" ref="E193">_xlfn.IFS(D193&gt;=21,"Night",D193&gt;=17,"Evening",D193&gt;=12,"Midday",D193&gt;=6,"Morning", TRUE, "Night")</f>
        <v>Night</v>
      </c>
      <c r="F193" s="28">
        <v>1</v>
      </c>
      <c r="G193" s="28">
        <v>0</v>
      </c>
      <c r="H193" s="28">
        <v>1</v>
      </c>
      <c r="I193" s="28">
        <v>0</v>
      </c>
      <c r="J193" s="40" t="str">
        <f t="shared" si="16"/>
        <v>Weekday</v>
      </c>
      <c r="K193" s="28" t="b">
        <v>0</v>
      </c>
      <c r="L193" s="28">
        <v>1</v>
      </c>
      <c r="M193" s="40" t="str" cm="1">
        <f t="array" ref="M193">_xlfn.IFS(L193=1,"Clear / Partly Cloudy",L193=2,"Mist / Cloudy",L193=3,"Light Snow / Rain",L193=4,"Heavy Precipitation")</f>
        <v>Clear / Partly Cloudy</v>
      </c>
      <c r="N193" s="28">
        <v>0.08</v>
      </c>
      <c r="O193" s="28" t="str">
        <f t="shared" si="17"/>
        <v>Cold</v>
      </c>
      <c r="P193" s="28">
        <v>9.0899999999999995E-2</v>
      </c>
      <c r="Q193" s="38">
        <f t="shared" si="13"/>
        <v>9.0899999999999995E-2</v>
      </c>
      <c r="R193" s="28">
        <v>0.53</v>
      </c>
      <c r="S193" s="28">
        <v>0.19400000000000001</v>
      </c>
      <c r="T193" s="40" t="str" cm="1">
        <f t="array" ref="T193">_xlfn.IFS(S193*18.6&lt;2,"Calm",S193*18.6&lt;6,"Light Breeze",S193*18.6&lt;14,"Gale",TRUE,"Extreme Storm")</f>
        <v>Light Breeze</v>
      </c>
      <c r="U193" s="28">
        <v>0</v>
      </c>
      <c r="V193" s="28">
        <v>1</v>
      </c>
      <c r="W193" s="28">
        <v>1</v>
      </c>
      <c r="X193" s="44">
        <f>AVERAGE(INDEX($W:$W,MAX(ROW($W$3),ROW()-23)):INDEX($W:$W,ROW()))</f>
        <v>39.291666666666664</v>
      </c>
      <c r="Y193" s="44">
        <f>_xlfn.STDEV.S(INDEX($W:$W,MAX(ROW($W$3),ROW()-23)):INDEX($W:$W,ROW()))</f>
        <v>32.89968833824453</v>
      </c>
      <c r="Z193" s="44">
        <f t="shared" si="14"/>
        <v>-1.1638914713412096</v>
      </c>
      <c r="AA193" s="40" t="b">
        <f t="shared" si="12"/>
        <v>0</v>
      </c>
    </row>
    <row r="194" spans="1:27" x14ac:dyDescent="0.3">
      <c r="A194" s="32">
        <v>192</v>
      </c>
      <c r="B194" s="33">
        <v>40552</v>
      </c>
      <c r="C194" s="40" t="str">
        <f t="shared" si="15"/>
        <v>Sunday</v>
      </c>
      <c r="D194" s="28">
        <v>6</v>
      </c>
      <c r="E194" s="40" t="str" cm="1">
        <f t="array" ref="E194">_xlfn.IFS(D194&gt;=21,"Night",D194&gt;=17,"Evening",D194&gt;=12,"Midday",D194&gt;=6,"Morning", TRUE, "Night")</f>
        <v>Morning</v>
      </c>
      <c r="F194" s="28">
        <v>1</v>
      </c>
      <c r="G194" s="28">
        <v>0</v>
      </c>
      <c r="H194" s="28">
        <v>1</v>
      </c>
      <c r="I194" s="28">
        <v>0</v>
      </c>
      <c r="J194" s="40" t="str">
        <f t="shared" si="16"/>
        <v>Weekday</v>
      </c>
      <c r="K194" s="28" t="b">
        <v>0</v>
      </c>
      <c r="L194" s="28">
        <v>1</v>
      </c>
      <c r="M194" s="40" t="str" cm="1">
        <f t="array" ref="M194">_xlfn.IFS(L194=1,"Clear / Partly Cloudy",L194=2,"Mist / Cloudy",L194=3,"Light Snow / Rain",L194=4,"Heavy Precipitation")</f>
        <v>Clear / Partly Cloudy</v>
      </c>
      <c r="N194" s="28">
        <v>0.1</v>
      </c>
      <c r="O194" s="28" t="str">
        <f t="shared" si="17"/>
        <v>Cold</v>
      </c>
      <c r="P194" s="28">
        <v>9.0899999999999995E-2</v>
      </c>
      <c r="Q194" s="38">
        <f t="shared" si="13"/>
        <v>9.0899999999999995E-2</v>
      </c>
      <c r="R194" s="28">
        <v>0.49</v>
      </c>
      <c r="S194" s="28">
        <v>0.28360000000000002</v>
      </c>
      <c r="T194" s="40" t="str" cm="1">
        <f t="array" ref="T194">_xlfn.IFS(S194*18.6&lt;2,"Calm",S194*18.6&lt;6,"Light Breeze",S194*18.6&lt;14,"Gale",TRUE,"Extreme Storm")</f>
        <v>Light Breeze</v>
      </c>
      <c r="U194" s="28">
        <v>0</v>
      </c>
      <c r="V194" s="28">
        <v>1</v>
      </c>
      <c r="W194" s="28">
        <v>1</v>
      </c>
      <c r="X194" s="44">
        <f>AVERAGE(INDEX($W:$W,MAX(ROW($W$3),ROW()-23)):INDEX($W:$W,ROW()))</f>
        <v>39.25</v>
      </c>
      <c r="Y194" s="44">
        <f>_xlfn.STDEV.S(INDEX($W:$W,MAX(ROW($W$3),ROW()-23)):INDEX($W:$W,ROW()))</f>
        <v>32.949566204177536</v>
      </c>
      <c r="Z194" s="44">
        <f t="shared" si="14"/>
        <v>-1.160865055490486</v>
      </c>
      <c r="AA194" s="40" t="b">
        <f t="shared" si="12"/>
        <v>0</v>
      </c>
    </row>
    <row r="195" spans="1:27" x14ac:dyDescent="0.3">
      <c r="A195" s="32">
        <v>193</v>
      </c>
      <c r="B195" s="33">
        <v>40552</v>
      </c>
      <c r="C195" s="40" t="str">
        <f t="shared" si="15"/>
        <v>Sunday</v>
      </c>
      <c r="D195" s="28">
        <v>7</v>
      </c>
      <c r="E195" s="40" t="str" cm="1">
        <f t="array" ref="E195">_xlfn.IFS(D195&gt;=21,"Night",D195&gt;=17,"Evening",D195&gt;=12,"Midday",D195&gt;=6,"Morning", TRUE, "Night")</f>
        <v>Morning</v>
      </c>
      <c r="F195" s="28">
        <v>1</v>
      </c>
      <c r="G195" s="28">
        <v>0</v>
      </c>
      <c r="H195" s="28">
        <v>1</v>
      </c>
      <c r="I195" s="28">
        <v>0</v>
      </c>
      <c r="J195" s="40" t="str">
        <f t="shared" si="16"/>
        <v>Weekday</v>
      </c>
      <c r="K195" s="28" t="b">
        <v>0</v>
      </c>
      <c r="L195" s="28">
        <v>1</v>
      </c>
      <c r="M195" s="40" t="str" cm="1">
        <f t="array" ref="M195">_xlfn.IFS(L195=1,"Clear / Partly Cloudy",L195=2,"Mist / Cloudy",L195=3,"Light Snow / Rain",L195=4,"Heavy Precipitation")</f>
        <v>Clear / Partly Cloudy</v>
      </c>
      <c r="N195" s="28">
        <v>0.08</v>
      </c>
      <c r="O195" s="28" t="str">
        <f t="shared" si="17"/>
        <v>Cold</v>
      </c>
      <c r="P195" s="28">
        <v>9.0899999999999995E-2</v>
      </c>
      <c r="Q195" s="38">
        <f t="shared" si="13"/>
        <v>9.0899999999999995E-2</v>
      </c>
      <c r="R195" s="28">
        <v>0.53</v>
      </c>
      <c r="S195" s="28">
        <v>0.19400000000000001</v>
      </c>
      <c r="T195" s="40" t="str" cm="1">
        <f t="array" ref="T195">_xlfn.IFS(S195*18.6&lt;2,"Calm",S195*18.6&lt;6,"Light Breeze",S195*18.6&lt;14,"Gale",TRUE,"Extreme Storm")</f>
        <v>Light Breeze</v>
      </c>
      <c r="U195" s="28">
        <v>1</v>
      </c>
      <c r="V195" s="28">
        <v>5</v>
      </c>
      <c r="W195" s="28">
        <v>6</v>
      </c>
      <c r="X195" s="44">
        <f>AVERAGE(INDEX($W:$W,MAX(ROW($W$3),ROW()-23)):INDEX($W:$W,ROW()))</f>
        <v>39.125</v>
      </c>
      <c r="Y195" s="44">
        <f>_xlfn.STDEV.S(INDEX($W:$W,MAX(ROW($W$3),ROW()-23)):INDEX($W:$W,ROW()))</f>
        <v>33.074767079925209</v>
      </c>
      <c r="Z195" s="44">
        <f t="shared" si="14"/>
        <v>-1.0015187686720031</v>
      </c>
      <c r="AA195" s="40" t="b">
        <f t="shared" ref="AA195:AA258" si="18">IF(ABS(Z195)&gt;=3,TRUE,FALSE)</f>
        <v>0</v>
      </c>
    </row>
    <row r="196" spans="1:27" x14ac:dyDescent="0.3">
      <c r="A196" s="32">
        <v>194</v>
      </c>
      <c r="B196" s="33">
        <v>40552</v>
      </c>
      <c r="C196" s="40" t="str">
        <f t="shared" si="15"/>
        <v>Sunday</v>
      </c>
      <c r="D196" s="28">
        <v>8</v>
      </c>
      <c r="E196" s="40" t="str" cm="1">
        <f t="array" ref="E196">_xlfn.IFS(D196&gt;=21,"Night",D196&gt;=17,"Evening",D196&gt;=12,"Midday",D196&gt;=6,"Morning", TRUE, "Night")</f>
        <v>Morning</v>
      </c>
      <c r="F196" s="28">
        <v>1</v>
      </c>
      <c r="G196" s="28">
        <v>0</v>
      </c>
      <c r="H196" s="28">
        <v>1</v>
      </c>
      <c r="I196" s="28">
        <v>0</v>
      </c>
      <c r="J196" s="40" t="str">
        <f t="shared" si="16"/>
        <v>Weekday</v>
      </c>
      <c r="K196" s="28" t="b">
        <v>0</v>
      </c>
      <c r="L196" s="28">
        <v>1</v>
      </c>
      <c r="M196" s="40" t="str" cm="1">
        <f t="array" ref="M196">_xlfn.IFS(L196=1,"Clear / Partly Cloudy",L196=2,"Mist / Cloudy",L196=3,"Light Snow / Rain",L196=4,"Heavy Precipitation")</f>
        <v>Clear / Partly Cloudy</v>
      </c>
      <c r="N196" s="28">
        <v>0.1</v>
      </c>
      <c r="O196" s="28" t="str">
        <f t="shared" si="17"/>
        <v>Cold</v>
      </c>
      <c r="P196" s="28">
        <v>9.0899999999999995E-2</v>
      </c>
      <c r="Q196" s="38">
        <f t="shared" ref="Q196:Q259" si="19">IF(P196="", AVERAGE($P$3:$P$1002), P196)</f>
        <v>9.0899999999999995E-2</v>
      </c>
      <c r="R196" s="28">
        <v>0.49</v>
      </c>
      <c r="S196" s="28">
        <v>0.28360000000000002</v>
      </c>
      <c r="T196" s="40" t="str" cm="1">
        <f t="array" ref="T196">_xlfn.IFS(S196*18.6&lt;2,"Calm",S196*18.6&lt;6,"Light Breeze",S196*18.6&lt;14,"Gale",TRUE,"Extreme Storm")</f>
        <v>Light Breeze</v>
      </c>
      <c r="U196" s="28">
        <v>0</v>
      </c>
      <c r="V196" s="28">
        <v>10</v>
      </c>
      <c r="W196" s="28">
        <v>10</v>
      </c>
      <c r="X196" s="44">
        <f>AVERAGE(INDEX($W:$W,MAX(ROW($W$3),ROW()-23)):INDEX($W:$W,ROW()))</f>
        <v>38.916666666666664</v>
      </c>
      <c r="Y196" s="44">
        <f>_xlfn.STDEV.S(INDEX($W:$W,MAX(ROW($W$3),ROW()-23)):INDEX($W:$W,ROW()))</f>
        <v>33.248624249625031</v>
      </c>
      <c r="Z196" s="44">
        <f t="shared" ref="Z196:Z259" si="20">IFERROR((W196-X196)/Y196,0)</f>
        <v>-0.86971017054917021</v>
      </c>
      <c r="AA196" s="40" t="b">
        <f t="shared" si="18"/>
        <v>0</v>
      </c>
    </row>
    <row r="197" spans="1:27" x14ac:dyDescent="0.3">
      <c r="A197" s="32">
        <v>195</v>
      </c>
      <c r="B197" s="33">
        <v>40552</v>
      </c>
      <c r="C197" s="40" t="str">
        <f t="shared" ref="C197:C260" si="21">TEXT(B197,"dddd")</f>
        <v>Sunday</v>
      </c>
      <c r="D197" s="28">
        <v>9</v>
      </c>
      <c r="E197" s="40" t="str" cm="1">
        <f t="array" ref="E197">_xlfn.IFS(D197&gt;=21,"Night",D197&gt;=17,"Evening",D197&gt;=12,"Midday",D197&gt;=6,"Morning", TRUE, "Night")</f>
        <v>Morning</v>
      </c>
      <c r="F197" s="28">
        <v>1</v>
      </c>
      <c r="G197" s="28">
        <v>0</v>
      </c>
      <c r="H197" s="28">
        <v>1</v>
      </c>
      <c r="I197" s="28">
        <v>0</v>
      </c>
      <c r="J197" s="40" t="str">
        <f t="shared" ref="J197:J260" si="22">IF(OR(I197="Saturday", I197="Sunday"), "Weekend", "Weekday")</f>
        <v>Weekday</v>
      </c>
      <c r="K197" s="28" t="b">
        <v>0</v>
      </c>
      <c r="L197" s="28">
        <v>1</v>
      </c>
      <c r="M197" s="40" t="str" cm="1">
        <f t="array" ref="M197">_xlfn.IFS(L197=1,"Clear / Partly Cloudy",L197=2,"Mist / Cloudy",L197=3,"Light Snow / Rain",L197=4,"Heavy Precipitation")</f>
        <v>Clear / Partly Cloudy</v>
      </c>
      <c r="N197" s="28">
        <v>0.12</v>
      </c>
      <c r="O197" s="28" t="str">
        <f t="shared" ref="O197:O260" si="23">IF(N197&lt;0.2,"Cold",IF(N197&lt;0.6,"Mild","Hot"))</f>
        <v>Cold</v>
      </c>
      <c r="P197" s="28">
        <v>7.5800000000000006E-2</v>
      </c>
      <c r="Q197" s="38">
        <f t="shared" si="19"/>
        <v>7.5800000000000006E-2</v>
      </c>
      <c r="R197" s="28">
        <v>0.46</v>
      </c>
      <c r="S197" s="28">
        <v>0.52239999999999998</v>
      </c>
      <c r="T197" s="40" t="str" cm="1">
        <f t="array" ref="T197">_xlfn.IFS(S197*18.6&lt;2,"Calm",S197*18.6&lt;6,"Light Breeze",S197*18.6&lt;14,"Gale",TRUE,"Extreme Storm")</f>
        <v>Gale</v>
      </c>
      <c r="U197" s="28">
        <v>0</v>
      </c>
      <c r="V197" s="28">
        <v>19</v>
      </c>
      <c r="W197" s="28">
        <v>19</v>
      </c>
      <c r="X197" s="44">
        <f>AVERAGE(INDEX($W:$W,MAX(ROW($W$3),ROW()-23)):INDEX($W:$W,ROW()))</f>
        <v>38.875</v>
      </c>
      <c r="Y197" s="44">
        <f>_xlfn.STDEV.S(INDEX($W:$W,MAX(ROW($W$3),ROW()-23)):INDEX($W:$W,ROW()))</f>
        <v>33.273977951180591</v>
      </c>
      <c r="Z197" s="44">
        <f t="shared" si="20"/>
        <v>-0.59731361333353339</v>
      </c>
      <c r="AA197" s="40" t="b">
        <f t="shared" si="18"/>
        <v>0</v>
      </c>
    </row>
    <row r="198" spans="1:27" x14ac:dyDescent="0.3">
      <c r="A198" s="32">
        <v>196</v>
      </c>
      <c r="B198" s="33">
        <v>40552</v>
      </c>
      <c r="C198" s="40" t="str">
        <f t="shared" si="21"/>
        <v>Sunday</v>
      </c>
      <c r="D198" s="28">
        <v>10</v>
      </c>
      <c r="E198" s="40" t="str" cm="1">
        <f t="array" ref="E198">_xlfn.IFS(D198&gt;=21,"Night",D198&gt;=17,"Evening",D198&gt;=12,"Midday",D198&gt;=6,"Morning", TRUE, "Night")</f>
        <v>Morning</v>
      </c>
      <c r="F198" s="28">
        <v>1</v>
      </c>
      <c r="G198" s="28">
        <v>0</v>
      </c>
      <c r="H198" s="28">
        <v>1</v>
      </c>
      <c r="I198" s="28">
        <v>0</v>
      </c>
      <c r="J198" s="40" t="str">
        <f t="shared" si="22"/>
        <v>Weekday</v>
      </c>
      <c r="K198" s="28" t="b">
        <v>0</v>
      </c>
      <c r="L198" s="28">
        <v>1</v>
      </c>
      <c r="M198" s="40" t="str" cm="1">
        <f t="array" ref="M198">_xlfn.IFS(L198=1,"Clear / Partly Cloudy",L198=2,"Mist / Cloudy",L198=3,"Light Snow / Rain",L198=4,"Heavy Precipitation")</f>
        <v>Clear / Partly Cloudy</v>
      </c>
      <c r="N198" s="28">
        <v>0.14000000000000001</v>
      </c>
      <c r="O198" s="28" t="str">
        <f t="shared" si="23"/>
        <v>Cold</v>
      </c>
      <c r="P198" s="28">
        <v>0.1061</v>
      </c>
      <c r="Q198" s="38">
        <f t="shared" si="19"/>
        <v>0.1061</v>
      </c>
      <c r="R198" s="28">
        <v>0.43</v>
      </c>
      <c r="S198" s="28">
        <v>0.3881</v>
      </c>
      <c r="T198" s="40" t="str" cm="1">
        <f t="array" ref="T198">_xlfn.IFS(S198*18.6&lt;2,"Calm",S198*18.6&lt;6,"Light Breeze",S198*18.6&lt;14,"Gale",TRUE,"Extreme Storm")</f>
        <v>Gale</v>
      </c>
      <c r="U198" s="28">
        <v>0</v>
      </c>
      <c r="V198" s="28">
        <v>49</v>
      </c>
      <c r="W198" s="28">
        <v>49</v>
      </c>
      <c r="X198" s="44">
        <f>AVERAGE(INDEX($W:$W,MAX(ROW($W$3),ROW()-23)):INDEX($W:$W,ROW()))</f>
        <v>38.375</v>
      </c>
      <c r="Y198" s="44">
        <f>_xlfn.STDEV.S(INDEX($W:$W,MAX(ROW($W$3),ROW()-23)):INDEX($W:$W,ROW()))</f>
        <v>33.016218017421572</v>
      </c>
      <c r="Z198" s="44">
        <f t="shared" si="20"/>
        <v>0.32181154105517285</v>
      </c>
      <c r="AA198" s="40" t="b">
        <f t="shared" si="18"/>
        <v>0</v>
      </c>
    </row>
    <row r="199" spans="1:27" x14ac:dyDescent="0.3">
      <c r="A199" s="32">
        <v>197</v>
      </c>
      <c r="B199" s="33">
        <v>40552</v>
      </c>
      <c r="C199" s="40" t="str">
        <f t="shared" si="21"/>
        <v>Sunday</v>
      </c>
      <c r="D199" s="28">
        <v>11</v>
      </c>
      <c r="E199" s="40" t="str" cm="1">
        <f t="array" ref="E199">_xlfn.IFS(D199&gt;=21,"Night",D199&gt;=17,"Evening",D199&gt;=12,"Midday",D199&gt;=6,"Morning", TRUE, "Night")</f>
        <v>Morning</v>
      </c>
      <c r="F199" s="28">
        <v>1</v>
      </c>
      <c r="G199" s="28">
        <v>0</v>
      </c>
      <c r="H199" s="28">
        <v>1</v>
      </c>
      <c r="I199" s="28">
        <v>0</v>
      </c>
      <c r="J199" s="40" t="str">
        <f t="shared" si="22"/>
        <v>Weekday</v>
      </c>
      <c r="K199" s="28" t="b">
        <v>0</v>
      </c>
      <c r="L199" s="28">
        <v>1</v>
      </c>
      <c r="M199" s="40" t="str" cm="1">
        <f t="array" ref="M199">_xlfn.IFS(L199=1,"Clear / Partly Cloudy",L199=2,"Mist / Cloudy",L199=3,"Light Snow / Rain",L199=4,"Heavy Precipitation")</f>
        <v>Clear / Partly Cloudy</v>
      </c>
      <c r="N199" s="28">
        <v>0.16</v>
      </c>
      <c r="O199" s="28" t="str">
        <f t="shared" si="23"/>
        <v>Cold</v>
      </c>
      <c r="P199" s="28">
        <v>0.1212</v>
      </c>
      <c r="Q199" s="38">
        <f t="shared" si="19"/>
        <v>0.1212</v>
      </c>
      <c r="R199" s="28">
        <v>0.4</v>
      </c>
      <c r="S199" s="28">
        <v>0.52239999999999998</v>
      </c>
      <c r="T199" s="40" t="str" cm="1">
        <f t="array" ref="T199">_xlfn.IFS(S199*18.6&lt;2,"Calm",S199*18.6&lt;6,"Light Breeze",S199*18.6&lt;14,"Gale",TRUE,"Extreme Storm")</f>
        <v>Gale</v>
      </c>
      <c r="U199" s="28">
        <v>2</v>
      </c>
      <c r="V199" s="28">
        <v>47</v>
      </c>
      <c r="W199" s="28">
        <v>49</v>
      </c>
      <c r="X199" s="44">
        <f>AVERAGE(INDEX($W:$W,MAX(ROW($W$3),ROW()-23)):INDEX($W:$W,ROW()))</f>
        <v>37.833333333333336</v>
      </c>
      <c r="Y199" s="44">
        <f>_xlfn.STDEV.S(INDEX($W:$W,MAX(ROW($W$3),ROW()-23)):INDEX($W:$W,ROW()))</f>
        <v>32.717056669288716</v>
      </c>
      <c r="Z199" s="44">
        <f t="shared" si="20"/>
        <v>0.34131024619793321</v>
      </c>
      <c r="AA199" s="40" t="b">
        <f t="shared" si="18"/>
        <v>0</v>
      </c>
    </row>
    <row r="200" spans="1:27" x14ac:dyDescent="0.3">
      <c r="A200" s="32">
        <v>198</v>
      </c>
      <c r="B200" s="33">
        <v>40552</v>
      </c>
      <c r="C200" s="40" t="str">
        <f t="shared" si="21"/>
        <v>Sunday</v>
      </c>
      <c r="D200" s="28">
        <v>12</v>
      </c>
      <c r="E200" s="40" t="str" cm="1">
        <f t="array" ref="E200">_xlfn.IFS(D200&gt;=21,"Night",D200&gt;=17,"Evening",D200&gt;=12,"Midday",D200&gt;=6,"Morning", TRUE, "Night")</f>
        <v>Midday</v>
      </c>
      <c r="F200" s="28">
        <v>1</v>
      </c>
      <c r="G200" s="28">
        <v>0</v>
      </c>
      <c r="H200" s="28">
        <v>1</v>
      </c>
      <c r="I200" s="28">
        <v>0</v>
      </c>
      <c r="J200" s="40" t="str">
        <f t="shared" si="22"/>
        <v>Weekday</v>
      </c>
      <c r="K200" s="28" t="b">
        <v>0</v>
      </c>
      <c r="L200" s="28">
        <v>1</v>
      </c>
      <c r="M200" s="40" t="str" cm="1">
        <f t="array" ref="M200">_xlfn.IFS(L200=1,"Clear / Partly Cloudy",L200=2,"Mist / Cloudy",L200=3,"Light Snow / Rain",L200=4,"Heavy Precipitation")</f>
        <v>Clear / Partly Cloudy</v>
      </c>
      <c r="N200" s="28">
        <v>0.18</v>
      </c>
      <c r="O200" s="28" t="str">
        <f t="shared" si="23"/>
        <v>Cold</v>
      </c>
      <c r="P200" s="28">
        <v>0.13639999999999999</v>
      </c>
      <c r="Q200" s="38">
        <f t="shared" si="19"/>
        <v>0.13639999999999999</v>
      </c>
      <c r="R200" s="28">
        <v>0.37</v>
      </c>
      <c r="S200" s="28">
        <v>0.44779999999999998</v>
      </c>
      <c r="T200" s="40" t="str" cm="1">
        <f t="array" ref="T200">_xlfn.IFS(S200*18.6&lt;2,"Calm",S200*18.6&lt;6,"Light Breeze",S200*18.6&lt;14,"Gale",TRUE,"Extreme Storm")</f>
        <v>Gale</v>
      </c>
      <c r="U200" s="28">
        <v>4</v>
      </c>
      <c r="V200" s="28">
        <v>79</v>
      </c>
      <c r="W200" s="28">
        <v>83</v>
      </c>
      <c r="X200" s="44">
        <f>AVERAGE(INDEX($W:$W,MAX(ROW($W$3),ROW()-23)):INDEX($W:$W,ROW()))</f>
        <v>37.208333333333336</v>
      </c>
      <c r="Y200" s="44">
        <f>_xlfn.STDEV.S(INDEX($W:$W,MAX(ROW($W$3),ROW()-23)):INDEX($W:$W,ROW()))</f>
        <v>31.643364805783282</v>
      </c>
      <c r="Z200" s="44">
        <f t="shared" si="20"/>
        <v>1.4471174904350745</v>
      </c>
      <c r="AA200" s="40" t="b">
        <f t="shared" si="18"/>
        <v>0</v>
      </c>
    </row>
    <row r="201" spans="1:27" x14ac:dyDescent="0.3">
      <c r="A201" s="32">
        <v>199</v>
      </c>
      <c r="B201" s="33">
        <v>40552</v>
      </c>
      <c r="C201" s="40" t="str">
        <f t="shared" si="21"/>
        <v>Sunday</v>
      </c>
      <c r="D201" s="28">
        <v>13</v>
      </c>
      <c r="E201" s="40" t="str" cm="1">
        <f t="array" ref="E201">_xlfn.IFS(D201&gt;=21,"Night",D201&gt;=17,"Evening",D201&gt;=12,"Midday",D201&gt;=6,"Morning", TRUE, "Night")</f>
        <v>Midday</v>
      </c>
      <c r="F201" s="28">
        <v>1</v>
      </c>
      <c r="G201" s="28">
        <v>0</v>
      </c>
      <c r="H201" s="28">
        <v>1</v>
      </c>
      <c r="I201" s="28">
        <v>0</v>
      </c>
      <c r="J201" s="40" t="str">
        <f t="shared" si="22"/>
        <v>Weekday</v>
      </c>
      <c r="K201" s="28" t="b">
        <v>0</v>
      </c>
      <c r="L201" s="28">
        <v>1</v>
      </c>
      <c r="M201" s="40" t="str" cm="1">
        <f t="array" ref="M201">_xlfn.IFS(L201=1,"Clear / Partly Cloudy",L201=2,"Mist / Cloudy",L201=3,"Light Snow / Rain",L201=4,"Heavy Precipitation")</f>
        <v>Clear / Partly Cloudy</v>
      </c>
      <c r="N201" s="28">
        <v>0.2</v>
      </c>
      <c r="O201" s="28" t="str">
        <f t="shared" si="23"/>
        <v>Mild</v>
      </c>
      <c r="P201" s="28">
        <v>0.16669999999999999</v>
      </c>
      <c r="Q201" s="38">
        <f t="shared" si="19"/>
        <v>0.16669999999999999</v>
      </c>
      <c r="R201" s="28">
        <v>0.34</v>
      </c>
      <c r="S201" s="28">
        <v>0.44779999999999998</v>
      </c>
      <c r="T201" s="40" t="str" cm="1">
        <f t="array" ref="T201">_xlfn.IFS(S201*18.6&lt;2,"Calm",S201*18.6&lt;6,"Light Breeze",S201*18.6&lt;14,"Gale",TRUE,"Extreme Storm")</f>
        <v>Gale</v>
      </c>
      <c r="U201" s="28">
        <v>6</v>
      </c>
      <c r="V201" s="28">
        <v>69</v>
      </c>
      <c r="W201" s="28">
        <v>75</v>
      </c>
      <c r="X201" s="44">
        <f>AVERAGE(INDEX($W:$W,MAX(ROW($W$3),ROW()-23)):INDEX($W:$W,ROW()))</f>
        <v>36.083333333333336</v>
      </c>
      <c r="Y201" s="44">
        <f>_xlfn.STDEV.S(INDEX($W:$W,MAX(ROW($W$3),ROW()-23)):INDEX($W:$W,ROW()))</f>
        <v>29.657342615522598</v>
      </c>
      <c r="Z201" s="44">
        <f t="shared" si="20"/>
        <v>1.3122101724076167</v>
      </c>
      <c r="AA201" s="40" t="b">
        <f t="shared" si="18"/>
        <v>0</v>
      </c>
    </row>
    <row r="202" spans="1:27" x14ac:dyDescent="0.3">
      <c r="A202" s="32">
        <v>200</v>
      </c>
      <c r="B202" s="33">
        <v>40552</v>
      </c>
      <c r="C202" s="40" t="str">
        <f t="shared" si="21"/>
        <v>Sunday</v>
      </c>
      <c r="D202" s="28">
        <v>14</v>
      </c>
      <c r="E202" s="40" t="str" cm="1">
        <f t="array" ref="E202">_xlfn.IFS(D202&gt;=21,"Night",D202&gt;=17,"Evening",D202&gt;=12,"Midday",D202&gt;=6,"Morning", TRUE, "Night")</f>
        <v>Midday</v>
      </c>
      <c r="F202" s="28">
        <v>1</v>
      </c>
      <c r="G202" s="28">
        <v>0</v>
      </c>
      <c r="H202" s="28">
        <v>1</v>
      </c>
      <c r="I202" s="28">
        <v>0</v>
      </c>
      <c r="J202" s="40" t="str">
        <f t="shared" si="22"/>
        <v>Weekday</v>
      </c>
      <c r="K202" s="28" t="b">
        <v>0</v>
      </c>
      <c r="L202" s="28">
        <v>1</v>
      </c>
      <c r="M202" s="40" t="str" cm="1">
        <f t="array" ref="M202">_xlfn.IFS(L202=1,"Clear / Partly Cloudy",L202=2,"Mist / Cloudy",L202=3,"Light Snow / Rain",L202=4,"Heavy Precipitation")</f>
        <v>Clear / Partly Cloudy</v>
      </c>
      <c r="N202" s="28">
        <v>0.22</v>
      </c>
      <c r="O202" s="28" t="str">
        <f t="shared" si="23"/>
        <v>Mild</v>
      </c>
      <c r="P202" s="28">
        <v>0.18179999999999999</v>
      </c>
      <c r="Q202" s="38">
        <f t="shared" si="19"/>
        <v>0.18179999999999999</v>
      </c>
      <c r="R202" s="28">
        <v>0.32</v>
      </c>
      <c r="S202" s="28">
        <v>0.4627</v>
      </c>
      <c r="T202" s="40" t="str" cm="1">
        <f t="array" ref="T202">_xlfn.IFS(S202*18.6&lt;2,"Calm",S202*18.6&lt;6,"Light Breeze",S202*18.6&lt;14,"Gale",TRUE,"Extreme Storm")</f>
        <v>Gale</v>
      </c>
      <c r="U202" s="28">
        <v>8</v>
      </c>
      <c r="V202" s="28">
        <v>64</v>
      </c>
      <c r="W202" s="28">
        <v>72</v>
      </c>
      <c r="X202" s="44">
        <f>AVERAGE(INDEX($W:$W,MAX(ROW($W$3),ROW()-23)):INDEX($W:$W,ROW()))</f>
        <v>35.125</v>
      </c>
      <c r="Y202" s="44">
        <f>_xlfn.STDEV.S(INDEX($W:$W,MAX(ROW($W$3),ROW()-23)):INDEX($W:$W,ROW()))</f>
        <v>27.995826552324296</v>
      </c>
      <c r="Z202" s="44">
        <f t="shared" si="20"/>
        <v>1.3171606107460516</v>
      </c>
      <c r="AA202" s="40" t="b">
        <f t="shared" si="18"/>
        <v>0</v>
      </c>
    </row>
    <row r="203" spans="1:27" x14ac:dyDescent="0.3">
      <c r="A203" s="32">
        <v>201</v>
      </c>
      <c r="B203" s="33">
        <v>40552</v>
      </c>
      <c r="C203" s="40" t="str">
        <f t="shared" si="21"/>
        <v>Sunday</v>
      </c>
      <c r="D203" s="28">
        <v>15</v>
      </c>
      <c r="E203" s="40" t="str" cm="1">
        <f t="array" ref="E203">_xlfn.IFS(D203&gt;=21,"Night",D203&gt;=17,"Evening",D203&gt;=12,"Midday",D203&gt;=6,"Morning", TRUE, "Night")</f>
        <v>Midday</v>
      </c>
      <c r="F203" s="28">
        <v>1</v>
      </c>
      <c r="G203" s="28">
        <v>0</v>
      </c>
      <c r="H203" s="28">
        <v>1</v>
      </c>
      <c r="I203" s="28">
        <v>0</v>
      </c>
      <c r="J203" s="40" t="str">
        <f t="shared" si="22"/>
        <v>Weekday</v>
      </c>
      <c r="K203" s="28" t="b">
        <v>0</v>
      </c>
      <c r="L203" s="28">
        <v>1</v>
      </c>
      <c r="M203" s="40" t="str" cm="1">
        <f t="array" ref="M203">_xlfn.IFS(L203=1,"Clear / Partly Cloudy",L203=2,"Mist / Cloudy",L203=3,"Light Snow / Rain",L203=4,"Heavy Precipitation")</f>
        <v>Clear / Partly Cloudy</v>
      </c>
      <c r="N203" s="28">
        <v>0.22</v>
      </c>
      <c r="O203" s="28" t="str">
        <f t="shared" si="23"/>
        <v>Mild</v>
      </c>
      <c r="P203" s="28">
        <v>0.19700000000000001</v>
      </c>
      <c r="Q203" s="38">
        <f t="shared" si="19"/>
        <v>0.19700000000000001</v>
      </c>
      <c r="R203" s="28">
        <v>0.35</v>
      </c>
      <c r="S203" s="28">
        <v>0.35820000000000002</v>
      </c>
      <c r="T203" s="40" t="str" cm="1">
        <f t="array" ref="T203">_xlfn.IFS(S203*18.6&lt;2,"Calm",S203*18.6&lt;6,"Light Breeze",S203*18.6&lt;14,"Gale",TRUE,"Extreme Storm")</f>
        <v>Gale</v>
      </c>
      <c r="U203" s="28">
        <v>5</v>
      </c>
      <c r="V203" s="28">
        <v>77</v>
      </c>
      <c r="W203" s="28">
        <v>82</v>
      </c>
      <c r="X203" s="44">
        <f>AVERAGE(INDEX($W:$W,MAX(ROW($W$3),ROW()-23)):INDEX($W:$W,ROW()))</f>
        <v>35.458333333333336</v>
      </c>
      <c r="Y203" s="44">
        <f>_xlfn.STDEV.S(INDEX($W:$W,MAX(ROW($W$3),ROW()-23)):INDEX($W:$W,ROW()))</f>
        <v>28.521508537862477</v>
      </c>
      <c r="Z203" s="44">
        <f t="shared" si="20"/>
        <v>1.6318094326912027</v>
      </c>
      <c r="AA203" s="40" t="b">
        <f t="shared" si="18"/>
        <v>0</v>
      </c>
    </row>
    <row r="204" spans="1:27" x14ac:dyDescent="0.3">
      <c r="A204" s="32">
        <v>202</v>
      </c>
      <c r="B204" s="33">
        <v>40552</v>
      </c>
      <c r="C204" s="40" t="str">
        <f t="shared" si="21"/>
        <v>Sunday</v>
      </c>
      <c r="D204" s="28">
        <v>16</v>
      </c>
      <c r="E204" s="40" t="str" cm="1">
        <f t="array" ref="E204">_xlfn.IFS(D204&gt;=21,"Night",D204&gt;=17,"Evening",D204&gt;=12,"Midday",D204&gt;=6,"Morning", TRUE, "Night")</f>
        <v>Midday</v>
      </c>
      <c r="F204" s="28">
        <v>1</v>
      </c>
      <c r="G204" s="28">
        <v>0</v>
      </c>
      <c r="H204" s="28">
        <v>1</v>
      </c>
      <c r="I204" s="28">
        <v>0</v>
      </c>
      <c r="J204" s="40" t="str">
        <f t="shared" si="22"/>
        <v>Weekday</v>
      </c>
      <c r="K204" s="28" t="b">
        <v>0</v>
      </c>
      <c r="L204" s="28">
        <v>1</v>
      </c>
      <c r="M204" s="40" t="str" cm="1">
        <f t="array" ref="M204">_xlfn.IFS(L204=1,"Clear / Partly Cloudy",L204=2,"Mist / Cloudy",L204=3,"Light Snow / Rain",L204=4,"Heavy Precipitation")</f>
        <v>Clear / Partly Cloudy</v>
      </c>
      <c r="N204" s="28">
        <v>0.2</v>
      </c>
      <c r="O204" s="28" t="str">
        <f t="shared" si="23"/>
        <v>Mild</v>
      </c>
      <c r="P204" s="28">
        <v>0.16669999999999999</v>
      </c>
      <c r="Q204" s="38">
        <f t="shared" si="19"/>
        <v>0.16669999999999999</v>
      </c>
      <c r="R204" s="28">
        <v>0.34</v>
      </c>
      <c r="S204" s="28">
        <v>0.44779999999999998</v>
      </c>
      <c r="T204" s="40" t="str" cm="1">
        <f t="array" ref="T204">_xlfn.IFS(S204*18.6&lt;2,"Calm",S204*18.6&lt;6,"Light Breeze",S204*18.6&lt;14,"Gale",TRUE,"Extreme Storm")</f>
        <v>Gale</v>
      </c>
      <c r="U204" s="28">
        <v>13</v>
      </c>
      <c r="V204" s="28">
        <v>79</v>
      </c>
      <c r="W204" s="28">
        <v>92</v>
      </c>
      <c r="X204" s="44">
        <f>AVERAGE(INDEX($W:$W,MAX(ROW($W$3),ROW()-23)):INDEX($W:$W,ROW()))</f>
        <v>36.125</v>
      </c>
      <c r="Y204" s="44">
        <f>_xlfn.STDEV.S(INDEX($W:$W,MAX(ROW($W$3),ROW()-23)):INDEX($W:$W,ROW()))</f>
        <v>29.674044433536157</v>
      </c>
      <c r="Z204" s="44">
        <f t="shared" si="20"/>
        <v>1.8829586956085029</v>
      </c>
      <c r="AA204" s="40" t="b">
        <f t="shared" si="18"/>
        <v>0</v>
      </c>
    </row>
    <row r="205" spans="1:27" x14ac:dyDescent="0.3">
      <c r="A205" s="32">
        <v>203</v>
      </c>
      <c r="B205" s="33">
        <v>40552</v>
      </c>
      <c r="C205" s="40" t="str">
        <f t="shared" si="21"/>
        <v>Sunday</v>
      </c>
      <c r="D205" s="28">
        <v>17</v>
      </c>
      <c r="E205" s="40" t="str" cm="1">
        <f t="array" ref="E205">_xlfn.IFS(D205&gt;=21,"Night",D205&gt;=17,"Evening",D205&gt;=12,"Midday",D205&gt;=6,"Morning", TRUE, "Night")</f>
        <v>Evening</v>
      </c>
      <c r="F205" s="28">
        <v>1</v>
      </c>
      <c r="G205" s="28">
        <v>0</v>
      </c>
      <c r="H205" s="28">
        <v>1</v>
      </c>
      <c r="I205" s="28">
        <v>0</v>
      </c>
      <c r="J205" s="40" t="str">
        <f t="shared" si="22"/>
        <v>Weekday</v>
      </c>
      <c r="K205" s="28" t="b">
        <v>0</v>
      </c>
      <c r="L205" s="28">
        <v>1</v>
      </c>
      <c r="M205" s="40" t="str" cm="1">
        <f t="array" ref="M205">_xlfn.IFS(L205=1,"Clear / Partly Cloudy",L205=2,"Mist / Cloudy",L205=3,"Light Snow / Rain",L205=4,"Heavy Precipitation")</f>
        <v>Clear / Partly Cloudy</v>
      </c>
      <c r="N205" s="28">
        <v>0.18</v>
      </c>
      <c r="O205" s="28" t="str">
        <f t="shared" si="23"/>
        <v>Cold</v>
      </c>
      <c r="P205" s="28">
        <v>0.1515</v>
      </c>
      <c r="Q205" s="38">
        <f t="shared" si="19"/>
        <v>0.1515</v>
      </c>
      <c r="R205" s="28">
        <v>0.37</v>
      </c>
      <c r="S205" s="28">
        <v>0.3881</v>
      </c>
      <c r="T205" s="40" t="str" cm="1">
        <f t="array" ref="T205">_xlfn.IFS(S205*18.6&lt;2,"Calm",S205*18.6&lt;6,"Light Breeze",S205*18.6&lt;14,"Gale",TRUE,"Extreme Storm")</f>
        <v>Gale</v>
      </c>
      <c r="U205" s="28">
        <v>3</v>
      </c>
      <c r="V205" s="28">
        <v>59</v>
      </c>
      <c r="W205" s="28">
        <v>62</v>
      </c>
      <c r="X205" s="44">
        <f>AVERAGE(INDEX($W:$W,MAX(ROW($W$3),ROW()-23)):INDEX($W:$W,ROW()))</f>
        <v>35.833333333333336</v>
      </c>
      <c r="Y205" s="44">
        <f>_xlfn.STDEV.S(INDEX($W:$W,MAX(ROW($W$3),ROW()-23)):INDEX($W:$W,ROW()))</f>
        <v>29.369707355452615</v>
      </c>
      <c r="Z205" s="44">
        <f t="shared" si="20"/>
        <v>0.89094066719764942</v>
      </c>
      <c r="AA205" s="40" t="b">
        <f t="shared" si="18"/>
        <v>0</v>
      </c>
    </row>
    <row r="206" spans="1:27" x14ac:dyDescent="0.3">
      <c r="A206" s="32">
        <v>204</v>
      </c>
      <c r="B206" s="33">
        <v>40552</v>
      </c>
      <c r="C206" s="40" t="str">
        <f t="shared" si="21"/>
        <v>Sunday</v>
      </c>
      <c r="D206" s="28">
        <v>18</v>
      </c>
      <c r="E206" s="40" t="str" cm="1">
        <f t="array" ref="E206">_xlfn.IFS(D206&gt;=21,"Night",D206&gt;=17,"Evening",D206&gt;=12,"Midday",D206&gt;=6,"Morning", TRUE, "Night")</f>
        <v>Evening</v>
      </c>
      <c r="F206" s="28">
        <v>1</v>
      </c>
      <c r="G206" s="28">
        <v>0</v>
      </c>
      <c r="H206" s="28">
        <v>1</v>
      </c>
      <c r="I206" s="28">
        <v>0</v>
      </c>
      <c r="J206" s="40" t="str">
        <f t="shared" si="22"/>
        <v>Weekday</v>
      </c>
      <c r="K206" s="28" t="b">
        <v>0</v>
      </c>
      <c r="L206" s="28">
        <v>1</v>
      </c>
      <c r="M206" s="40" t="str" cm="1">
        <f t="array" ref="M206">_xlfn.IFS(L206=1,"Clear / Partly Cloudy",L206=2,"Mist / Cloudy",L206=3,"Light Snow / Rain",L206=4,"Heavy Precipitation")</f>
        <v>Clear / Partly Cloudy</v>
      </c>
      <c r="N206" s="28">
        <v>0.16</v>
      </c>
      <c r="O206" s="28" t="str">
        <f t="shared" si="23"/>
        <v>Cold</v>
      </c>
      <c r="P206" s="28">
        <v>0.13639999999999999</v>
      </c>
      <c r="Q206" s="38">
        <f t="shared" si="19"/>
        <v>0.13639999999999999</v>
      </c>
      <c r="R206" s="28">
        <v>0.4</v>
      </c>
      <c r="S206" s="28">
        <v>0.32840000000000003</v>
      </c>
      <c r="T206" s="40" t="str" cm="1">
        <f t="array" ref="T206">_xlfn.IFS(S206*18.6&lt;2,"Calm",S206*18.6&lt;6,"Light Breeze",S206*18.6&lt;14,"Gale",TRUE,"Extreme Storm")</f>
        <v>Gale</v>
      </c>
      <c r="U206" s="28">
        <v>4</v>
      </c>
      <c r="V206" s="28">
        <v>44</v>
      </c>
      <c r="W206" s="28">
        <v>48</v>
      </c>
      <c r="X206" s="44">
        <f>AVERAGE(INDEX($W:$W,MAX(ROW($W$3),ROW()-23)):INDEX($W:$W,ROW()))</f>
        <v>35.541666666666664</v>
      </c>
      <c r="Y206" s="44">
        <f>_xlfn.STDEV.S(INDEX($W:$W,MAX(ROW($W$3),ROW()-23)):INDEX($W:$W,ROW()))</f>
        <v>29.205388375177062</v>
      </c>
      <c r="Z206" s="44">
        <f t="shared" si="20"/>
        <v>0.42657653352496483</v>
      </c>
      <c r="AA206" s="40" t="b">
        <f t="shared" si="18"/>
        <v>0</v>
      </c>
    </row>
    <row r="207" spans="1:27" x14ac:dyDescent="0.3">
      <c r="A207" s="32">
        <v>205</v>
      </c>
      <c r="B207" s="33">
        <v>40552</v>
      </c>
      <c r="C207" s="40" t="str">
        <f t="shared" si="21"/>
        <v>Sunday</v>
      </c>
      <c r="D207" s="28">
        <v>19</v>
      </c>
      <c r="E207" s="40" t="str" cm="1">
        <f t="array" ref="E207">_xlfn.IFS(D207&gt;=21,"Night",D207&gt;=17,"Evening",D207&gt;=12,"Midday",D207&gt;=6,"Morning", TRUE, "Night")</f>
        <v>Evening</v>
      </c>
      <c r="F207" s="28">
        <v>1</v>
      </c>
      <c r="G207" s="28">
        <v>0</v>
      </c>
      <c r="H207" s="28">
        <v>1</v>
      </c>
      <c r="I207" s="28">
        <v>0</v>
      </c>
      <c r="J207" s="40" t="str">
        <f t="shared" si="22"/>
        <v>Weekday</v>
      </c>
      <c r="K207" s="28" t="b">
        <v>0</v>
      </c>
      <c r="L207" s="28">
        <v>1</v>
      </c>
      <c r="M207" s="40" t="str" cm="1">
        <f t="array" ref="M207">_xlfn.IFS(L207=1,"Clear / Partly Cloudy",L207=2,"Mist / Cloudy",L207=3,"Light Snow / Rain",L207=4,"Heavy Precipitation")</f>
        <v>Clear / Partly Cloudy</v>
      </c>
      <c r="N207" s="28">
        <v>0.16</v>
      </c>
      <c r="O207" s="28" t="str">
        <f t="shared" si="23"/>
        <v>Cold</v>
      </c>
      <c r="P207" s="28">
        <v>0.13639999999999999</v>
      </c>
      <c r="Q207" s="38">
        <f t="shared" si="19"/>
        <v>0.13639999999999999</v>
      </c>
      <c r="R207" s="28">
        <v>0.43</v>
      </c>
      <c r="S207" s="28">
        <v>0.32840000000000003</v>
      </c>
      <c r="T207" s="40" t="str" cm="1">
        <f t="array" ref="T207">_xlfn.IFS(S207*18.6&lt;2,"Calm",S207*18.6&lt;6,"Light Breeze",S207*18.6&lt;14,"Gale",TRUE,"Extreme Storm")</f>
        <v>Gale</v>
      </c>
      <c r="U207" s="28">
        <v>1</v>
      </c>
      <c r="V207" s="28">
        <v>40</v>
      </c>
      <c r="W207" s="28">
        <v>41</v>
      </c>
      <c r="X207" s="44">
        <f>AVERAGE(INDEX($W:$W,MAX(ROW($W$3),ROW()-23)):INDEX($W:$W,ROW()))</f>
        <v>36</v>
      </c>
      <c r="Y207" s="44">
        <f>_xlfn.STDEV.S(INDEX($W:$W,MAX(ROW($W$3),ROW()-23)):INDEX($W:$W,ROW()))</f>
        <v>29.200952932634117</v>
      </c>
      <c r="Z207" s="44">
        <f t="shared" si="20"/>
        <v>0.17122728876468099</v>
      </c>
      <c r="AA207" s="40" t="b">
        <f t="shared" si="18"/>
        <v>0</v>
      </c>
    </row>
    <row r="208" spans="1:27" x14ac:dyDescent="0.3">
      <c r="A208" s="32">
        <v>206</v>
      </c>
      <c r="B208" s="33">
        <v>40552</v>
      </c>
      <c r="C208" s="40" t="str">
        <f t="shared" si="21"/>
        <v>Sunday</v>
      </c>
      <c r="D208" s="28">
        <v>20</v>
      </c>
      <c r="E208" s="40" t="str" cm="1">
        <f t="array" ref="E208">_xlfn.IFS(D208&gt;=21,"Night",D208&gt;=17,"Evening",D208&gt;=12,"Midday",D208&gt;=6,"Morning", TRUE, "Night")</f>
        <v>Evening</v>
      </c>
      <c r="F208" s="28">
        <v>1</v>
      </c>
      <c r="G208" s="28">
        <v>0</v>
      </c>
      <c r="H208" s="28">
        <v>1</v>
      </c>
      <c r="I208" s="28">
        <v>0</v>
      </c>
      <c r="J208" s="40" t="str">
        <f t="shared" si="22"/>
        <v>Weekday</v>
      </c>
      <c r="K208" s="28" t="b">
        <v>0</v>
      </c>
      <c r="L208" s="28">
        <v>1</v>
      </c>
      <c r="M208" s="40" t="str" cm="1">
        <f t="array" ref="M208">_xlfn.IFS(L208=1,"Clear / Partly Cloudy",L208=2,"Mist / Cloudy",L208=3,"Light Snow / Rain",L208=4,"Heavy Precipitation")</f>
        <v>Clear / Partly Cloudy</v>
      </c>
      <c r="N208" s="28">
        <v>0.14000000000000001</v>
      </c>
      <c r="O208" s="28" t="str">
        <f t="shared" si="23"/>
        <v>Cold</v>
      </c>
      <c r="P208" s="28">
        <v>0.1212</v>
      </c>
      <c r="Q208" s="38">
        <f t="shared" si="19"/>
        <v>0.1212</v>
      </c>
      <c r="R208" s="28">
        <v>0.46</v>
      </c>
      <c r="S208" s="28">
        <v>0.25369999999999998</v>
      </c>
      <c r="T208" s="40" t="str" cm="1">
        <f t="array" ref="T208">_xlfn.IFS(S208*18.6&lt;2,"Calm",S208*18.6&lt;6,"Light Breeze",S208*18.6&lt;14,"Gale",TRUE,"Extreme Storm")</f>
        <v>Light Breeze</v>
      </c>
      <c r="U208" s="28">
        <v>0</v>
      </c>
      <c r="V208" s="28">
        <v>38</v>
      </c>
      <c r="W208" s="28">
        <v>38</v>
      </c>
      <c r="X208" s="44">
        <f>AVERAGE(INDEX($W:$W,MAX(ROW($W$3),ROW()-23)):INDEX($W:$W,ROW()))</f>
        <v>36.416666666666664</v>
      </c>
      <c r="Y208" s="44">
        <f>_xlfn.STDEV.S(INDEX($W:$W,MAX(ROW($W$3),ROW()-23)):INDEX($W:$W,ROW()))</f>
        <v>29.153143863080174</v>
      </c>
      <c r="Z208" s="44">
        <f t="shared" si="20"/>
        <v>5.4310894933650176E-2</v>
      </c>
      <c r="AA208" s="40" t="b">
        <f t="shared" si="18"/>
        <v>0</v>
      </c>
    </row>
    <row r="209" spans="1:27" x14ac:dyDescent="0.3">
      <c r="A209" s="32">
        <v>207</v>
      </c>
      <c r="B209" s="33">
        <v>40552</v>
      </c>
      <c r="C209" s="40" t="str">
        <f t="shared" si="21"/>
        <v>Sunday</v>
      </c>
      <c r="D209" s="28">
        <v>21</v>
      </c>
      <c r="E209" s="40" t="str" cm="1">
        <f t="array" ref="E209">_xlfn.IFS(D209&gt;=21,"Night",D209&gt;=17,"Evening",D209&gt;=12,"Midday",D209&gt;=6,"Morning", TRUE, "Night")</f>
        <v>Night</v>
      </c>
      <c r="F209" s="28">
        <v>1</v>
      </c>
      <c r="G209" s="28">
        <v>0</v>
      </c>
      <c r="H209" s="28">
        <v>1</v>
      </c>
      <c r="I209" s="28">
        <v>0</v>
      </c>
      <c r="J209" s="40" t="str">
        <f t="shared" si="22"/>
        <v>Weekday</v>
      </c>
      <c r="K209" s="28" t="b">
        <v>0</v>
      </c>
      <c r="L209" s="28">
        <v>1</v>
      </c>
      <c r="M209" s="40" t="str" cm="1">
        <f t="array" ref="M209">_xlfn.IFS(L209=1,"Clear / Partly Cloudy",L209=2,"Mist / Cloudy",L209=3,"Light Snow / Rain",L209=4,"Heavy Precipitation")</f>
        <v>Clear / Partly Cloudy</v>
      </c>
      <c r="N209" s="28">
        <v>0.14000000000000001</v>
      </c>
      <c r="O209" s="28" t="str">
        <f t="shared" si="23"/>
        <v>Cold</v>
      </c>
      <c r="P209" s="28">
        <v>0.1061</v>
      </c>
      <c r="Q209" s="38">
        <f t="shared" si="19"/>
        <v>0.1061</v>
      </c>
      <c r="R209" s="28">
        <v>0.46</v>
      </c>
      <c r="S209" s="28">
        <v>0.41789999999999999</v>
      </c>
      <c r="T209" s="40" t="str" cm="1">
        <f t="array" ref="T209">_xlfn.IFS(S209*18.6&lt;2,"Calm",S209*18.6&lt;6,"Light Breeze",S209*18.6&lt;14,"Gale",TRUE,"Extreme Storm")</f>
        <v>Gale</v>
      </c>
      <c r="U209" s="28">
        <v>1</v>
      </c>
      <c r="V209" s="28">
        <v>19</v>
      </c>
      <c r="W209" s="28">
        <v>20</v>
      </c>
      <c r="X209" s="44">
        <f>AVERAGE(INDEX($W:$W,MAX(ROW($W$3),ROW()-23)):INDEX($W:$W,ROW()))</f>
        <v>35.708333333333336</v>
      </c>
      <c r="Y209" s="44">
        <f>_xlfn.STDEV.S(INDEX($W:$W,MAX(ROW($W$3),ROW()-23)):INDEX($W:$W,ROW()))</f>
        <v>29.344252332058762</v>
      </c>
      <c r="Z209" s="44">
        <f t="shared" si="20"/>
        <v>-0.5353120998135602</v>
      </c>
      <c r="AA209" s="40" t="b">
        <f t="shared" si="18"/>
        <v>0</v>
      </c>
    </row>
    <row r="210" spans="1:27" x14ac:dyDescent="0.3">
      <c r="A210" s="32">
        <v>208</v>
      </c>
      <c r="B210" s="33">
        <v>40552</v>
      </c>
      <c r="C210" s="40" t="str">
        <f t="shared" si="21"/>
        <v>Sunday</v>
      </c>
      <c r="D210" s="28">
        <v>22</v>
      </c>
      <c r="E210" s="40" t="str" cm="1">
        <f t="array" ref="E210">_xlfn.IFS(D210&gt;=21,"Night",D210&gt;=17,"Evening",D210&gt;=12,"Midday",D210&gt;=6,"Morning", TRUE, "Night")</f>
        <v>Night</v>
      </c>
      <c r="F210" s="28">
        <v>1</v>
      </c>
      <c r="G210" s="28">
        <v>0</v>
      </c>
      <c r="H210" s="28">
        <v>1</v>
      </c>
      <c r="I210" s="28">
        <v>0</v>
      </c>
      <c r="J210" s="40" t="str">
        <f t="shared" si="22"/>
        <v>Weekday</v>
      </c>
      <c r="K210" s="28" t="b">
        <v>0</v>
      </c>
      <c r="L210" s="28">
        <v>1</v>
      </c>
      <c r="M210" s="40" t="str" cm="1">
        <f t="array" ref="M210">_xlfn.IFS(L210=1,"Clear / Partly Cloudy",L210=2,"Mist / Cloudy",L210=3,"Light Snow / Rain",L210=4,"Heavy Precipitation")</f>
        <v>Clear / Partly Cloudy</v>
      </c>
      <c r="N210" s="28">
        <v>0.14000000000000001</v>
      </c>
      <c r="O210" s="28" t="str">
        <f t="shared" si="23"/>
        <v>Cold</v>
      </c>
      <c r="P210" s="28">
        <v>0.1212</v>
      </c>
      <c r="Q210" s="38">
        <f t="shared" si="19"/>
        <v>0.1212</v>
      </c>
      <c r="R210" s="28">
        <v>0.46</v>
      </c>
      <c r="S210" s="28">
        <v>0.29849999999999999</v>
      </c>
      <c r="T210" s="40" t="str" cm="1">
        <f t="array" ref="T210">_xlfn.IFS(S210*18.6&lt;2,"Calm",S210*18.6&lt;6,"Light Breeze",S210*18.6&lt;14,"Gale",TRUE,"Extreme Storm")</f>
        <v>Light Breeze</v>
      </c>
      <c r="U210" s="28">
        <v>5</v>
      </c>
      <c r="V210" s="28">
        <v>10</v>
      </c>
      <c r="W210" s="28">
        <v>15</v>
      </c>
      <c r="X210" s="44">
        <f>AVERAGE(INDEX($W:$W,MAX(ROW($W$3),ROW()-23)):INDEX($W:$W,ROW()))</f>
        <v>34.916666666666664</v>
      </c>
      <c r="Y210" s="44">
        <f>_xlfn.STDEV.S(INDEX($W:$W,MAX(ROW($W$3),ROW()-23)):INDEX($W:$W,ROW()))</f>
        <v>29.647078698622547</v>
      </c>
      <c r="Z210" s="44">
        <f t="shared" si="20"/>
        <v>-0.67179187767974002</v>
      </c>
      <c r="AA210" s="40" t="b">
        <f t="shared" si="18"/>
        <v>0</v>
      </c>
    </row>
    <row r="211" spans="1:27" x14ac:dyDescent="0.3">
      <c r="A211" s="32">
        <v>209</v>
      </c>
      <c r="B211" s="33">
        <v>40552</v>
      </c>
      <c r="C211" s="40" t="str">
        <f t="shared" si="21"/>
        <v>Sunday</v>
      </c>
      <c r="D211" s="28">
        <v>23</v>
      </c>
      <c r="E211" s="40" t="str" cm="1">
        <f t="array" ref="E211">_xlfn.IFS(D211&gt;=21,"Night",D211&gt;=17,"Evening",D211&gt;=12,"Midday",D211&gt;=6,"Morning", TRUE, "Night")</f>
        <v>Night</v>
      </c>
      <c r="F211" s="28">
        <v>1</v>
      </c>
      <c r="G211" s="28">
        <v>0</v>
      </c>
      <c r="H211" s="28">
        <v>1</v>
      </c>
      <c r="I211" s="28">
        <v>0</v>
      </c>
      <c r="J211" s="40" t="str">
        <f t="shared" si="22"/>
        <v>Weekday</v>
      </c>
      <c r="K211" s="28" t="b">
        <v>0</v>
      </c>
      <c r="L211" s="28">
        <v>1</v>
      </c>
      <c r="M211" s="40" t="str" cm="1">
        <f t="array" ref="M211">_xlfn.IFS(L211=1,"Clear / Partly Cloudy",L211=2,"Mist / Cloudy",L211=3,"Light Snow / Rain",L211=4,"Heavy Precipitation")</f>
        <v>Clear / Partly Cloudy</v>
      </c>
      <c r="N211" s="28">
        <v>0.12</v>
      </c>
      <c r="O211" s="28" t="str">
        <f t="shared" si="23"/>
        <v>Cold</v>
      </c>
      <c r="P211" s="28">
        <v>0.13639999999999999</v>
      </c>
      <c r="Q211" s="38">
        <f t="shared" si="19"/>
        <v>0.13639999999999999</v>
      </c>
      <c r="R211" s="28">
        <v>0.5</v>
      </c>
      <c r="S211" s="28">
        <v>0.19400000000000001</v>
      </c>
      <c r="T211" s="40" t="str" cm="1">
        <f t="array" ref="T211">_xlfn.IFS(S211*18.6&lt;2,"Calm",S211*18.6&lt;6,"Light Breeze",S211*18.6&lt;14,"Gale",TRUE,"Extreme Storm")</f>
        <v>Light Breeze</v>
      </c>
      <c r="U211" s="28">
        <v>0</v>
      </c>
      <c r="V211" s="28">
        <v>6</v>
      </c>
      <c r="W211" s="28">
        <v>6</v>
      </c>
      <c r="X211" s="44">
        <f>AVERAGE(INDEX($W:$W,MAX(ROW($W$3),ROW()-23)):INDEX($W:$W,ROW()))</f>
        <v>34.25</v>
      </c>
      <c r="Y211" s="44">
        <f>_xlfn.STDEV.S(INDEX($W:$W,MAX(ROW($W$3),ROW()-23)):INDEX($W:$W,ROW()))</f>
        <v>30.126183902408535</v>
      </c>
      <c r="Z211" s="44">
        <f t="shared" si="20"/>
        <v>-0.93772248392009128</v>
      </c>
      <c r="AA211" s="40" t="b">
        <f t="shared" si="18"/>
        <v>0</v>
      </c>
    </row>
    <row r="212" spans="1:27" x14ac:dyDescent="0.3">
      <c r="A212" s="32">
        <v>210</v>
      </c>
      <c r="B212" s="33">
        <v>40553</v>
      </c>
      <c r="C212" s="40" t="str">
        <f t="shared" si="21"/>
        <v>Monday</v>
      </c>
      <c r="D212" s="28">
        <v>0</v>
      </c>
      <c r="E212" s="40" t="str" cm="1">
        <f t="array" ref="E212">_xlfn.IFS(D212&gt;=21,"Night",D212&gt;=17,"Evening",D212&gt;=12,"Midday",D212&gt;=6,"Morning", TRUE, "Night")</f>
        <v>Night</v>
      </c>
      <c r="F212" s="28">
        <v>1</v>
      </c>
      <c r="G212" s="28">
        <v>0</v>
      </c>
      <c r="H212" s="28">
        <v>1</v>
      </c>
      <c r="I212" s="28">
        <v>1</v>
      </c>
      <c r="J212" s="40" t="str">
        <f t="shared" si="22"/>
        <v>Weekday</v>
      </c>
      <c r="K212" s="28" t="b">
        <v>0</v>
      </c>
      <c r="L212" s="28">
        <v>1</v>
      </c>
      <c r="M212" s="40" t="str" cm="1">
        <f t="array" ref="M212">_xlfn.IFS(L212=1,"Clear / Partly Cloudy",L212=2,"Mist / Cloudy",L212=3,"Light Snow / Rain",L212=4,"Heavy Precipitation")</f>
        <v>Clear / Partly Cloudy</v>
      </c>
      <c r="N212" s="28">
        <v>0.12</v>
      </c>
      <c r="O212" s="28" t="str">
        <f t="shared" si="23"/>
        <v>Cold</v>
      </c>
      <c r="P212" s="28">
        <v>0.1212</v>
      </c>
      <c r="Q212" s="38">
        <f t="shared" si="19"/>
        <v>0.1212</v>
      </c>
      <c r="R212" s="28">
        <v>0.5</v>
      </c>
      <c r="S212" s="28">
        <v>0.28360000000000002</v>
      </c>
      <c r="T212" s="40" t="str" cm="1">
        <f t="array" ref="T212">_xlfn.IFS(S212*18.6&lt;2,"Calm",S212*18.6&lt;6,"Light Breeze",S212*18.6&lt;14,"Gale",TRUE,"Extreme Storm")</f>
        <v>Light Breeze</v>
      </c>
      <c r="U212" s="28">
        <v>2</v>
      </c>
      <c r="V212" s="28">
        <v>3</v>
      </c>
      <c r="W212" s="28">
        <v>5</v>
      </c>
      <c r="X212" s="44">
        <f>AVERAGE(INDEX($W:$W,MAX(ROW($W$3),ROW()-23)):INDEX($W:$W,ROW()))</f>
        <v>33.416666666666664</v>
      </c>
      <c r="Y212" s="44">
        <f>_xlfn.STDEV.S(INDEX($W:$W,MAX(ROW($W$3),ROW()-23)):INDEX($W:$W,ROW()))</f>
        <v>30.664973173152212</v>
      </c>
      <c r="Z212" s="44">
        <f t="shared" si="20"/>
        <v>-0.92668160856393689</v>
      </c>
      <c r="AA212" s="40" t="b">
        <f t="shared" si="18"/>
        <v>0</v>
      </c>
    </row>
    <row r="213" spans="1:27" x14ac:dyDescent="0.3">
      <c r="A213" s="32">
        <v>211</v>
      </c>
      <c r="B213" s="33">
        <v>40553</v>
      </c>
      <c r="C213" s="40" t="str">
        <f t="shared" si="21"/>
        <v>Monday</v>
      </c>
      <c r="D213" s="28">
        <v>1</v>
      </c>
      <c r="E213" s="40" t="str" cm="1">
        <f t="array" ref="E213">_xlfn.IFS(D213&gt;=21,"Night",D213&gt;=17,"Evening",D213&gt;=12,"Midday",D213&gt;=6,"Morning", TRUE, "Night")</f>
        <v>Night</v>
      </c>
      <c r="F213" s="28">
        <v>1</v>
      </c>
      <c r="G213" s="28">
        <v>0</v>
      </c>
      <c r="H213" s="28">
        <v>1</v>
      </c>
      <c r="I213" s="28">
        <v>1</v>
      </c>
      <c r="J213" s="40" t="str">
        <f t="shared" si="22"/>
        <v>Weekday</v>
      </c>
      <c r="K213" s="28" t="b">
        <v>0</v>
      </c>
      <c r="L213" s="28">
        <v>1</v>
      </c>
      <c r="M213" s="40" t="str" cm="1">
        <f t="array" ref="M213">_xlfn.IFS(L213=1,"Clear / Partly Cloudy",L213=2,"Mist / Cloudy",L213=3,"Light Snow / Rain",L213=4,"Heavy Precipitation")</f>
        <v>Clear / Partly Cloudy</v>
      </c>
      <c r="N213" s="28">
        <v>0.12</v>
      </c>
      <c r="O213" s="28" t="str">
        <f t="shared" si="23"/>
        <v>Cold</v>
      </c>
      <c r="P213" s="28">
        <v>0.1212</v>
      </c>
      <c r="Q213" s="38">
        <f t="shared" si="19"/>
        <v>0.1212</v>
      </c>
      <c r="R213" s="28">
        <v>0.5</v>
      </c>
      <c r="S213" s="28">
        <v>0.28360000000000002</v>
      </c>
      <c r="T213" s="40" t="str" cm="1">
        <f t="array" ref="T213">_xlfn.IFS(S213*18.6&lt;2,"Calm",S213*18.6&lt;6,"Light Breeze",S213*18.6&lt;14,"Gale",TRUE,"Extreme Storm")</f>
        <v>Light Breeze</v>
      </c>
      <c r="U213" s="28">
        <v>1</v>
      </c>
      <c r="V213" s="28">
        <v>0</v>
      </c>
      <c r="W213" s="28">
        <v>1</v>
      </c>
      <c r="X213" s="44">
        <f>AVERAGE(INDEX($W:$W,MAX(ROW($W$3),ROW()-23)):INDEX($W:$W,ROW()))</f>
        <v>32.958333333333336</v>
      </c>
      <c r="Y213" s="44">
        <f>_xlfn.STDEV.S(INDEX($W:$W,MAX(ROW($W$3),ROW()-23)):INDEX($W:$W,ROW()))</f>
        <v>31.078412984307747</v>
      </c>
      <c r="Z213" s="44">
        <f t="shared" si="20"/>
        <v>-1.0283129112631937</v>
      </c>
      <c r="AA213" s="40" t="b">
        <f t="shared" si="18"/>
        <v>0</v>
      </c>
    </row>
    <row r="214" spans="1:27" x14ac:dyDescent="0.3">
      <c r="A214" s="32">
        <v>212</v>
      </c>
      <c r="B214" s="33">
        <v>40553</v>
      </c>
      <c r="C214" s="40" t="str">
        <f t="shared" si="21"/>
        <v>Monday</v>
      </c>
      <c r="D214" s="28">
        <v>2</v>
      </c>
      <c r="E214" s="40" t="str" cm="1">
        <f t="array" ref="E214">_xlfn.IFS(D214&gt;=21,"Night",D214&gt;=17,"Evening",D214&gt;=12,"Midday",D214&gt;=6,"Morning", TRUE, "Night")</f>
        <v>Night</v>
      </c>
      <c r="F214" s="28">
        <v>1</v>
      </c>
      <c r="G214" s="28">
        <v>0</v>
      </c>
      <c r="H214" s="28">
        <v>1</v>
      </c>
      <c r="I214" s="28">
        <v>1</v>
      </c>
      <c r="J214" s="40" t="str">
        <f t="shared" si="22"/>
        <v>Weekday</v>
      </c>
      <c r="K214" s="28" t="b">
        <v>0</v>
      </c>
      <c r="L214" s="28">
        <v>1</v>
      </c>
      <c r="M214" s="40" t="str" cm="1">
        <f t="array" ref="M214">_xlfn.IFS(L214=1,"Clear / Partly Cloudy",L214=2,"Mist / Cloudy",L214=3,"Light Snow / Rain",L214=4,"Heavy Precipitation")</f>
        <v>Clear / Partly Cloudy</v>
      </c>
      <c r="N214" s="28">
        <v>0.12</v>
      </c>
      <c r="O214" s="28" t="str">
        <f t="shared" si="23"/>
        <v>Cold</v>
      </c>
      <c r="P214" s="28">
        <v>0.1212</v>
      </c>
      <c r="Q214" s="38">
        <f t="shared" si="19"/>
        <v>0.1212</v>
      </c>
      <c r="R214" s="28">
        <v>0.5</v>
      </c>
      <c r="S214" s="28">
        <v>0.22389999999999999</v>
      </c>
      <c r="T214" s="40" t="str" cm="1">
        <f t="array" ref="T214">_xlfn.IFS(S214*18.6&lt;2,"Calm",S214*18.6&lt;6,"Light Breeze",S214*18.6&lt;14,"Gale",TRUE,"Extreme Storm")</f>
        <v>Light Breeze</v>
      </c>
      <c r="U214" s="28">
        <v>0</v>
      </c>
      <c r="V214" s="28">
        <v>3</v>
      </c>
      <c r="W214" s="28">
        <v>3</v>
      </c>
      <c r="X214" s="44">
        <f>AVERAGE(INDEX($W:$W,MAX(ROW($W$3),ROW()-23)):INDEX($W:$W,ROW()))</f>
        <v>32.625</v>
      </c>
      <c r="Y214" s="44">
        <f>_xlfn.STDEV.S(INDEX($W:$W,MAX(ROW($W$3),ROW()-23)):INDEX($W:$W,ROW()))</f>
        <v>31.365742181697147</v>
      </c>
      <c r="Z214" s="44">
        <f t="shared" si="20"/>
        <v>-0.94450180162760755</v>
      </c>
      <c r="AA214" s="40" t="b">
        <f t="shared" si="18"/>
        <v>0</v>
      </c>
    </row>
    <row r="215" spans="1:27" x14ac:dyDescent="0.3">
      <c r="A215" s="32">
        <v>213</v>
      </c>
      <c r="B215" s="33">
        <v>40553</v>
      </c>
      <c r="C215" s="40" t="str">
        <f t="shared" si="21"/>
        <v>Monday</v>
      </c>
      <c r="D215" s="28">
        <v>3</v>
      </c>
      <c r="E215" s="40" t="str" cm="1">
        <f t="array" ref="E215">_xlfn.IFS(D215&gt;=21,"Night",D215&gt;=17,"Evening",D215&gt;=12,"Midday",D215&gt;=6,"Morning", TRUE, "Night")</f>
        <v>Night</v>
      </c>
      <c r="F215" s="28">
        <v>1</v>
      </c>
      <c r="G215" s="28">
        <v>0</v>
      </c>
      <c r="H215" s="28">
        <v>1</v>
      </c>
      <c r="I215" s="28">
        <v>1</v>
      </c>
      <c r="J215" s="40" t="str">
        <f t="shared" si="22"/>
        <v>Weekday</v>
      </c>
      <c r="K215" s="28" t="b">
        <v>0</v>
      </c>
      <c r="L215" s="28">
        <v>1</v>
      </c>
      <c r="M215" s="40" t="str" cm="1">
        <f t="array" ref="M215">_xlfn.IFS(L215=1,"Clear / Partly Cloudy",L215=2,"Mist / Cloudy",L215=3,"Light Snow / Rain",L215=4,"Heavy Precipitation")</f>
        <v>Clear / Partly Cloudy</v>
      </c>
      <c r="N215" s="28">
        <v>0.12</v>
      </c>
      <c r="O215" s="28" t="str">
        <f t="shared" si="23"/>
        <v>Cold</v>
      </c>
      <c r="P215" s="28">
        <v>0.1212</v>
      </c>
      <c r="Q215" s="38">
        <f t="shared" si="19"/>
        <v>0.1212</v>
      </c>
      <c r="R215" s="28">
        <v>0.5</v>
      </c>
      <c r="S215" s="28">
        <v>0.22389999999999999</v>
      </c>
      <c r="T215" s="40" t="str" cm="1">
        <f t="array" ref="T215">_xlfn.IFS(S215*18.6&lt;2,"Calm",S215*18.6&lt;6,"Light Breeze",S215*18.6&lt;14,"Gale",TRUE,"Extreme Storm")</f>
        <v>Light Breeze</v>
      </c>
      <c r="U215" s="28">
        <v>0</v>
      </c>
      <c r="V215" s="28">
        <v>1</v>
      </c>
      <c r="W215" s="28">
        <v>1</v>
      </c>
      <c r="X215" s="44">
        <f>AVERAGE(INDEX($W:$W,MAX(ROW($W$3),ROW()-23)):INDEX($W:$W,ROW()))</f>
        <v>32.5</v>
      </c>
      <c r="Y215" s="44">
        <f>_xlfn.STDEV.S(INDEX($W:$W,MAX(ROW($W$3),ROW()-23)):INDEX($W:$W,ROW()))</f>
        <v>31.490509267286285</v>
      </c>
      <c r="Z215" s="44">
        <f t="shared" si="20"/>
        <v>-1.0003013839069148</v>
      </c>
      <c r="AA215" s="40" t="b">
        <f t="shared" si="18"/>
        <v>0</v>
      </c>
    </row>
    <row r="216" spans="1:27" x14ac:dyDescent="0.3">
      <c r="A216" s="32">
        <v>214</v>
      </c>
      <c r="B216" s="33">
        <v>40553</v>
      </c>
      <c r="C216" s="40" t="str">
        <f t="shared" si="21"/>
        <v>Monday</v>
      </c>
      <c r="D216" s="28">
        <v>4</v>
      </c>
      <c r="E216" s="40" t="str" cm="1">
        <f t="array" ref="E216">_xlfn.IFS(D216&gt;=21,"Night",D216&gt;=17,"Evening",D216&gt;=12,"Midday",D216&gt;=6,"Morning", TRUE, "Night")</f>
        <v>Night</v>
      </c>
      <c r="F216" s="28">
        <v>1</v>
      </c>
      <c r="G216" s="28">
        <v>0</v>
      </c>
      <c r="H216" s="28">
        <v>1</v>
      </c>
      <c r="I216" s="28">
        <v>1</v>
      </c>
      <c r="J216" s="40" t="str">
        <f t="shared" si="22"/>
        <v>Weekday</v>
      </c>
      <c r="K216" s="28" t="b">
        <v>0</v>
      </c>
      <c r="L216" s="28">
        <v>1</v>
      </c>
      <c r="M216" s="40" t="str" cm="1">
        <f t="array" ref="M216">_xlfn.IFS(L216=1,"Clear / Partly Cloudy",L216=2,"Mist / Cloudy",L216=3,"Light Snow / Rain",L216=4,"Heavy Precipitation")</f>
        <v>Clear / Partly Cloudy</v>
      </c>
      <c r="N216" s="28">
        <v>0.1</v>
      </c>
      <c r="O216" s="28" t="str">
        <f t="shared" si="23"/>
        <v>Cold</v>
      </c>
      <c r="P216" s="28">
        <v>0.1212</v>
      </c>
      <c r="Q216" s="38">
        <f t="shared" si="19"/>
        <v>0.1212</v>
      </c>
      <c r="R216" s="28">
        <v>0.54</v>
      </c>
      <c r="S216" s="28">
        <v>0.1343</v>
      </c>
      <c r="T216" s="40" t="str" cm="1">
        <f t="array" ref="T216">_xlfn.IFS(S216*18.6&lt;2,"Calm",S216*18.6&lt;6,"Light Breeze",S216*18.6&lt;14,"Gale",TRUE,"Extreme Storm")</f>
        <v>Light Breeze</v>
      </c>
      <c r="U216" s="28">
        <v>1</v>
      </c>
      <c r="V216" s="28">
        <v>2</v>
      </c>
      <c r="W216" s="28">
        <v>3</v>
      </c>
      <c r="X216" s="44">
        <f>AVERAGE(INDEX($W:$W,MAX(ROW($W$3),ROW()-23)):INDEX($W:$W,ROW()))</f>
        <v>32.583333333333336</v>
      </c>
      <c r="Y216" s="44">
        <f>_xlfn.STDEV.S(INDEX($W:$W,MAX(ROW($W$3),ROW()-23)):INDEX($W:$W,ROW()))</f>
        <v>31.406059601773428</v>
      </c>
      <c r="Z216" s="44">
        <f t="shared" si="20"/>
        <v>-0.94196259283870276</v>
      </c>
      <c r="AA216" s="40" t="b">
        <f t="shared" si="18"/>
        <v>0</v>
      </c>
    </row>
    <row r="217" spans="1:27" x14ac:dyDescent="0.3">
      <c r="A217" s="32">
        <v>215</v>
      </c>
      <c r="B217" s="33">
        <v>40553</v>
      </c>
      <c r="C217" s="40" t="str">
        <f t="shared" si="21"/>
        <v>Monday</v>
      </c>
      <c r="D217" s="28">
        <v>5</v>
      </c>
      <c r="E217" s="40" t="str" cm="1">
        <f t="array" ref="E217">_xlfn.IFS(D217&gt;=21,"Night",D217&gt;=17,"Evening",D217&gt;=12,"Midday",D217&gt;=6,"Morning", TRUE, "Night")</f>
        <v>Night</v>
      </c>
      <c r="F217" s="28">
        <v>1</v>
      </c>
      <c r="G217" s="28">
        <v>0</v>
      </c>
      <c r="H217" s="28">
        <v>1</v>
      </c>
      <c r="I217" s="28">
        <v>1</v>
      </c>
      <c r="J217" s="40" t="str">
        <f t="shared" si="22"/>
        <v>Weekday</v>
      </c>
      <c r="K217" s="28" t="b">
        <v>0</v>
      </c>
      <c r="L217" s="28">
        <v>1</v>
      </c>
      <c r="M217" s="40" t="str" cm="1">
        <f t="array" ref="M217">_xlfn.IFS(L217=1,"Clear / Partly Cloudy",L217=2,"Mist / Cloudy",L217=3,"Light Snow / Rain",L217=4,"Heavy Precipitation")</f>
        <v>Clear / Partly Cloudy</v>
      </c>
      <c r="N217" s="28">
        <v>0.1</v>
      </c>
      <c r="O217" s="28" t="str">
        <f t="shared" si="23"/>
        <v>Cold</v>
      </c>
      <c r="P217" s="28">
        <v>0.1061</v>
      </c>
      <c r="Q217" s="38">
        <f t="shared" si="19"/>
        <v>0.1061</v>
      </c>
      <c r="R217" s="28">
        <v>0.54</v>
      </c>
      <c r="S217" s="28">
        <v>0.25369999999999998</v>
      </c>
      <c r="T217" s="40" t="str" cm="1">
        <f t="array" ref="T217">_xlfn.IFS(S217*18.6&lt;2,"Calm",S217*18.6&lt;6,"Light Breeze",S217*18.6&lt;14,"Gale",TRUE,"Extreme Storm")</f>
        <v>Light Breeze</v>
      </c>
      <c r="U217" s="28">
        <v>0</v>
      </c>
      <c r="V217" s="28">
        <v>3</v>
      </c>
      <c r="W217" s="28">
        <v>3</v>
      </c>
      <c r="X217" s="44">
        <f>AVERAGE(INDEX($W:$W,MAX(ROW($W$3),ROW()-23)):INDEX($W:$W,ROW()))</f>
        <v>32.666666666666664</v>
      </c>
      <c r="Y217" s="44">
        <f>_xlfn.STDEV.S(INDEX($W:$W,MAX(ROW($W$3),ROW()-23)):INDEX($W:$W,ROW()))</f>
        <v>31.321150884883256</v>
      </c>
      <c r="Z217" s="44">
        <f t="shared" si="20"/>
        <v>-0.94717677443279691</v>
      </c>
      <c r="AA217" s="40" t="b">
        <f t="shared" si="18"/>
        <v>0</v>
      </c>
    </row>
    <row r="218" spans="1:27" x14ac:dyDescent="0.3">
      <c r="A218" s="32">
        <v>216</v>
      </c>
      <c r="B218" s="33">
        <v>40553</v>
      </c>
      <c r="C218" s="40" t="str">
        <f t="shared" si="21"/>
        <v>Monday</v>
      </c>
      <c r="D218" s="28">
        <v>6</v>
      </c>
      <c r="E218" s="40" t="str" cm="1">
        <f t="array" ref="E218">_xlfn.IFS(D218&gt;=21,"Night",D218&gt;=17,"Evening",D218&gt;=12,"Midday",D218&gt;=6,"Morning", TRUE, "Night")</f>
        <v>Morning</v>
      </c>
      <c r="F218" s="28">
        <v>1</v>
      </c>
      <c r="G218" s="28">
        <v>0</v>
      </c>
      <c r="H218" s="28">
        <v>1</v>
      </c>
      <c r="I218" s="28">
        <v>1</v>
      </c>
      <c r="J218" s="40" t="str">
        <f t="shared" si="22"/>
        <v>Weekday</v>
      </c>
      <c r="K218" s="28" t="b">
        <v>0</v>
      </c>
      <c r="L218" s="28">
        <v>1</v>
      </c>
      <c r="M218" s="40" t="str" cm="1">
        <f t="array" ref="M218">_xlfn.IFS(L218=1,"Clear / Partly Cloudy",L218=2,"Mist / Cloudy",L218=3,"Light Snow / Rain",L218=4,"Heavy Precipitation")</f>
        <v>Clear / Partly Cloudy</v>
      </c>
      <c r="N218" s="28">
        <v>0.12</v>
      </c>
      <c r="O218" s="28" t="str">
        <f t="shared" si="23"/>
        <v>Cold</v>
      </c>
      <c r="P218" s="28">
        <v>0.1212</v>
      </c>
      <c r="Q218" s="38">
        <f t="shared" si="19"/>
        <v>0.1212</v>
      </c>
      <c r="R218" s="28">
        <v>0.5</v>
      </c>
      <c r="S218" s="28">
        <v>0.28360000000000002</v>
      </c>
      <c r="T218" s="40" t="str" cm="1">
        <f t="array" ref="T218">_xlfn.IFS(S218*18.6&lt;2,"Calm",S218*18.6&lt;6,"Light Breeze",S218*18.6&lt;14,"Gale",TRUE,"Extreme Storm")</f>
        <v>Light Breeze</v>
      </c>
      <c r="U218" s="28">
        <v>0</v>
      </c>
      <c r="V218" s="28">
        <v>31</v>
      </c>
      <c r="W218" s="28">
        <v>31</v>
      </c>
      <c r="X218" s="44">
        <f>AVERAGE(INDEX($W:$W,MAX(ROW($W$3),ROW()-23)):INDEX($W:$W,ROW()))</f>
        <v>33.916666666666664</v>
      </c>
      <c r="Y218" s="44">
        <f>_xlfn.STDEV.S(INDEX($W:$W,MAX(ROW($W$3),ROW()-23)):INDEX($W:$W,ROW()))</f>
        <v>30.592577483785984</v>
      </c>
      <c r="Z218" s="44">
        <f t="shared" si="20"/>
        <v>-9.5339030136067898E-2</v>
      </c>
      <c r="AA218" s="40" t="b">
        <f t="shared" si="18"/>
        <v>0</v>
      </c>
    </row>
    <row r="219" spans="1:27" x14ac:dyDescent="0.3">
      <c r="A219" s="32">
        <v>217</v>
      </c>
      <c r="B219" s="33">
        <v>40553</v>
      </c>
      <c r="C219" s="40" t="str">
        <f t="shared" si="21"/>
        <v>Monday</v>
      </c>
      <c r="D219" s="28">
        <v>7</v>
      </c>
      <c r="E219" s="40" t="str" cm="1">
        <f t="array" ref="E219">_xlfn.IFS(D219&gt;=21,"Night",D219&gt;=17,"Evening",D219&gt;=12,"Midday",D219&gt;=6,"Morning", TRUE, "Night")</f>
        <v>Morning</v>
      </c>
      <c r="F219" s="28">
        <v>1</v>
      </c>
      <c r="G219" s="28">
        <v>0</v>
      </c>
      <c r="H219" s="28">
        <v>1</v>
      </c>
      <c r="I219" s="28">
        <v>1</v>
      </c>
      <c r="J219" s="40" t="str">
        <f t="shared" si="22"/>
        <v>Weekday</v>
      </c>
      <c r="K219" s="28" t="b">
        <v>0</v>
      </c>
      <c r="L219" s="28">
        <v>1</v>
      </c>
      <c r="M219" s="40" t="str" cm="1">
        <f t="array" ref="M219">_xlfn.IFS(L219=1,"Clear / Partly Cloudy",L219=2,"Mist / Cloudy",L219=3,"Light Snow / Rain",L219=4,"Heavy Precipitation")</f>
        <v>Clear / Partly Cloudy</v>
      </c>
      <c r="N219" s="28">
        <v>0.12</v>
      </c>
      <c r="O219" s="28" t="str">
        <f t="shared" si="23"/>
        <v>Cold</v>
      </c>
      <c r="P219" s="28">
        <v>0.1212</v>
      </c>
      <c r="Q219" s="38">
        <f t="shared" si="19"/>
        <v>0.1212</v>
      </c>
      <c r="R219" s="28">
        <v>0.5</v>
      </c>
      <c r="S219" s="28">
        <v>0.22389999999999999</v>
      </c>
      <c r="T219" s="40" t="str" cm="1">
        <f t="array" ref="T219">_xlfn.IFS(S219*18.6&lt;2,"Calm",S219*18.6&lt;6,"Light Breeze",S219*18.6&lt;14,"Gale",TRUE,"Extreme Storm")</f>
        <v>Light Breeze</v>
      </c>
      <c r="U219" s="28">
        <v>2</v>
      </c>
      <c r="V219" s="28">
        <v>75</v>
      </c>
      <c r="W219" s="28">
        <v>77</v>
      </c>
      <c r="X219" s="44">
        <f>AVERAGE(INDEX($W:$W,MAX(ROW($W$3),ROW()-23)):INDEX($W:$W,ROW()))</f>
        <v>36.875</v>
      </c>
      <c r="Y219" s="44">
        <f>_xlfn.STDEV.S(INDEX($W:$W,MAX(ROW($W$3),ROW()-23)):INDEX($W:$W,ROW()))</f>
        <v>31.20244207276648</v>
      </c>
      <c r="Z219" s="44">
        <f t="shared" si="20"/>
        <v>1.2859570384403065</v>
      </c>
      <c r="AA219" s="40" t="b">
        <f t="shared" si="18"/>
        <v>0</v>
      </c>
    </row>
    <row r="220" spans="1:27" x14ac:dyDescent="0.3">
      <c r="A220" s="32">
        <v>218</v>
      </c>
      <c r="B220" s="33">
        <v>40553</v>
      </c>
      <c r="C220" s="40" t="str">
        <f t="shared" si="21"/>
        <v>Monday</v>
      </c>
      <c r="D220" s="28">
        <v>8</v>
      </c>
      <c r="E220" s="40" t="str" cm="1">
        <f t="array" ref="E220">_xlfn.IFS(D220&gt;=21,"Night",D220&gt;=17,"Evening",D220&gt;=12,"Midday",D220&gt;=6,"Morning", TRUE, "Night")</f>
        <v>Morning</v>
      </c>
      <c r="F220" s="28">
        <v>1</v>
      </c>
      <c r="G220" s="28">
        <v>0</v>
      </c>
      <c r="H220" s="28">
        <v>1</v>
      </c>
      <c r="I220" s="28">
        <v>1</v>
      </c>
      <c r="J220" s="40" t="str">
        <f t="shared" si="22"/>
        <v>Weekday</v>
      </c>
      <c r="K220" s="28" t="b">
        <v>0</v>
      </c>
      <c r="L220" s="28">
        <v>2</v>
      </c>
      <c r="M220" s="40" t="str" cm="1">
        <f t="array" ref="M220">_xlfn.IFS(L220=1,"Clear / Partly Cloudy",L220=2,"Mist / Cloudy",L220=3,"Light Snow / Rain",L220=4,"Heavy Precipitation")</f>
        <v>Mist / Cloudy</v>
      </c>
      <c r="N220" s="28">
        <v>0.12</v>
      </c>
      <c r="O220" s="28" t="str">
        <f t="shared" si="23"/>
        <v>Cold</v>
      </c>
      <c r="P220" s="28">
        <v>0.1212</v>
      </c>
      <c r="Q220" s="38">
        <f t="shared" si="19"/>
        <v>0.1212</v>
      </c>
      <c r="R220" s="28">
        <v>0.5</v>
      </c>
      <c r="S220" s="28">
        <v>0.28360000000000002</v>
      </c>
      <c r="T220" s="40" t="str" cm="1">
        <f t="array" ref="T220">_xlfn.IFS(S220*18.6&lt;2,"Calm",S220*18.6&lt;6,"Light Breeze",S220*18.6&lt;14,"Gale",TRUE,"Extreme Storm")</f>
        <v>Light Breeze</v>
      </c>
      <c r="U220" s="28">
        <v>4</v>
      </c>
      <c r="V220" s="28">
        <v>184</v>
      </c>
      <c r="W220" s="28">
        <v>188</v>
      </c>
      <c r="X220" s="44">
        <f>AVERAGE(INDEX($W:$W,MAX(ROW($W$3),ROW()-23)):INDEX($W:$W,ROW()))</f>
        <v>44.291666666666664</v>
      </c>
      <c r="Y220" s="44">
        <f>_xlfn.STDEV.S(INDEX($W:$W,MAX(ROW($W$3),ROW()-23)):INDEX($W:$W,ROW()))</f>
        <v>43.333368171669385</v>
      </c>
      <c r="Z220" s="44">
        <f t="shared" si="20"/>
        <v>3.3163434876333335</v>
      </c>
      <c r="AA220" s="40" t="b">
        <f t="shared" si="18"/>
        <v>1</v>
      </c>
    </row>
    <row r="221" spans="1:27" x14ac:dyDescent="0.3">
      <c r="A221" s="32">
        <v>219</v>
      </c>
      <c r="B221" s="33">
        <v>40553</v>
      </c>
      <c r="C221" s="40" t="str">
        <f t="shared" si="21"/>
        <v>Monday</v>
      </c>
      <c r="D221" s="28">
        <v>9</v>
      </c>
      <c r="E221" s="40" t="str" cm="1">
        <f t="array" ref="E221">_xlfn.IFS(D221&gt;=21,"Night",D221&gt;=17,"Evening",D221&gt;=12,"Midday",D221&gt;=6,"Morning", TRUE, "Night")</f>
        <v>Morning</v>
      </c>
      <c r="F221" s="28">
        <v>1</v>
      </c>
      <c r="G221" s="28">
        <v>0</v>
      </c>
      <c r="H221" s="28">
        <v>1</v>
      </c>
      <c r="I221" s="28">
        <v>1</v>
      </c>
      <c r="J221" s="40" t="str">
        <f t="shared" si="22"/>
        <v>Weekday</v>
      </c>
      <c r="K221" s="28" t="b">
        <v>0</v>
      </c>
      <c r="L221" s="28">
        <v>2</v>
      </c>
      <c r="M221" s="40" t="str" cm="1">
        <f t="array" ref="M221">_xlfn.IFS(L221=1,"Clear / Partly Cloudy",L221=2,"Mist / Cloudy",L221=3,"Light Snow / Rain",L221=4,"Heavy Precipitation")</f>
        <v>Mist / Cloudy</v>
      </c>
      <c r="N221" s="28">
        <v>0.14000000000000001</v>
      </c>
      <c r="O221" s="28" t="str">
        <f t="shared" si="23"/>
        <v>Cold</v>
      </c>
      <c r="P221" s="28">
        <v>0.1212</v>
      </c>
      <c r="Q221" s="38">
        <f t="shared" si="19"/>
        <v>0.1212</v>
      </c>
      <c r="R221" s="28">
        <v>0.5</v>
      </c>
      <c r="S221" s="28">
        <v>0.25369999999999998</v>
      </c>
      <c r="T221" s="40" t="str" cm="1">
        <f t="array" ref="T221">_xlfn.IFS(S221*18.6&lt;2,"Calm",S221*18.6&lt;6,"Light Breeze",S221*18.6&lt;14,"Gale",TRUE,"Extreme Storm")</f>
        <v>Light Breeze</v>
      </c>
      <c r="U221" s="28">
        <v>2</v>
      </c>
      <c r="V221" s="28">
        <v>92</v>
      </c>
      <c r="W221" s="28">
        <v>94</v>
      </c>
      <c r="X221" s="44">
        <f>AVERAGE(INDEX($W:$W,MAX(ROW($W$3),ROW()-23)):INDEX($W:$W,ROW()))</f>
        <v>47.416666666666664</v>
      </c>
      <c r="Y221" s="44">
        <f>_xlfn.STDEV.S(INDEX($W:$W,MAX(ROW($W$3),ROW()-23)):INDEX($W:$W,ROW()))</f>
        <v>44.127204136762806</v>
      </c>
      <c r="Z221" s="44">
        <f t="shared" si="20"/>
        <v>1.0556602042802958</v>
      </c>
      <c r="AA221" s="40" t="b">
        <f t="shared" si="18"/>
        <v>0</v>
      </c>
    </row>
    <row r="222" spans="1:27" x14ac:dyDescent="0.3">
      <c r="A222" s="32">
        <v>220</v>
      </c>
      <c r="B222" s="33">
        <v>40553</v>
      </c>
      <c r="C222" s="40" t="str">
        <f t="shared" si="21"/>
        <v>Monday</v>
      </c>
      <c r="D222" s="28">
        <v>10</v>
      </c>
      <c r="E222" s="40" t="str" cm="1">
        <f t="array" ref="E222">_xlfn.IFS(D222&gt;=21,"Night",D222&gt;=17,"Evening",D222&gt;=12,"Midday",D222&gt;=6,"Morning", TRUE, "Night")</f>
        <v>Morning</v>
      </c>
      <c r="F222" s="28">
        <v>1</v>
      </c>
      <c r="G222" s="28">
        <v>0</v>
      </c>
      <c r="H222" s="28">
        <v>1</v>
      </c>
      <c r="I222" s="28">
        <v>1</v>
      </c>
      <c r="J222" s="40" t="str">
        <f t="shared" si="22"/>
        <v>Weekday</v>
      </c>
      <c r="K222" s="28" t="b">
        <v>0</v>
      </c>
      <c r="L222" s="28">
        <v>2</v>
      </c>
      <c r="M222" s="40" t="str" cm="1">
        <f t="array" ref="M222">_xlfn.IFS(L222=1,"Clear / Partly Cloudy",L222=2,"Mist / Cloudy",L222=3,"Light Snow / Rain",L222=4,"Heavy Precipitation")</f>
        <v>Mist / Cloudy</v>
      </c>
      <c r="N222" s="28">
        <v>0.14000000000000001</v>
      </c>
      <c r="O222" s="28" t="str">
        <f t="shared" si="23"/>
        <v>Cold</v>
      </c>
      <c r="P222" s="28">
        <v>0.1212</v>
      </c>
      <c r="Q222" s="38">
        <f t="shared" si="19"/>
        <v>0.1212</v>
      </c>
      <c r="R222" s="28">
        <v>0.5</v>
      </c>
      <c r="S222" s="28">
        <v>0.29849999999999999</v>
      </c>
      <c r="T222" s="40" t="str" cm="1">
        <f t="array" ref="T222">_xlfn.IFS(S222*18.6&lt;2,"Calm",S222*18.6&lt;6,"Light Breeze",S222*18.6&lt;14,"Gale",TRUE,"Extreme Storm")</f>
        <v>Light Breeze</v>
      </c>
      <c r="U222" s="28">
        <v>0</v>
      </c>
      <c r="V222" s="28">
        <v>31</v>
      </c>
      <c r="W222" s="28">
        <v>31</v>
      </c>
      <c r="X222" s="44">
        <f>AVERAGE(INDEX($W:$W,MAX(ROW($W$3),ROW()-23)):INDEX($W:$W,ROW()))</f>
        <v>46.666666666666664</v>
      </c>
      <c r="Y222" s="44">
        <f>_xlfn.STDEV.S(INDEX($W:$W,MAX(ROW($W$3),ROW()-23)):INDEX($W:$W,ROW()))</f>
        <v>44.251913902767768</v>
      </c>
      <c r="Z222" s="44">
        <f t="shared" si="20"/>
        <v>-0.35403365154081573</v>
      </c>
      <c r="AA222" s="40" t="b">
        <f t="shared" si="18"/>
        <v>0</v>
      </c>
    </row>
    <row r="223" spans="1:27" x14ac:dyDescent="0.3">
      <c r="A223" s="32">
        <v>221</v>
      </c>
      <c r="B223" s="33">
        <v>40553</v>
      </c>
      <c r="C223" s="40" t="str">
        <f t="shared" si="21"/>
        <v>Monday</v>
      </c>
      <c r="D223" s="28">
        <v>11</v>
      </c>
      <c r="E223" s="40" t="str" cm="1">
        <f t="array" ref="E223">_xlfn.IFS(D223&gt;=21,"Night",D223&gt;=17,"Evening",D223&gt;=12,"Midday",D223&gt;=6,"Morning", TRUE, "Night")</f>
        <v>Morning</v>
      </c>
      <c r="F223" s="28">
        <v>1</v>
      </c>
      <c r="G223" s="28">
        <v>0</v>
      </c>
      <c r="H223" s="28">
        <v>1</v>
      </c>
      <c r="I223" s="28">
        <v>1</v>
      </c>
      <c r="J223" s="40" t="str">
        <f t="shared" si="22"/>
        <v>Weekday</v>
      </c>
      <c r="K223" s="28" t="b">
        <v>0</v>
      </c>
      <c r="L223" s="28">
        <v>2</v>
      </c>
      <c r="M223" s="40" t="str" cm="1">
        <f t="array" ref="M223">_xlfn.IFS(L223=1,"Clear / Partly Cloudy",L223=2,"Mist / Cloudy",L223=3,"Light Snow / Rain",L223=4,"Heavy Precipitation")</f>
        <v>Mist / Cloudy</v>
      </c>
      <c r="N223" s="28">
        <v>0.16</v>
      </c>
      <c r="O223" s="28" t="str">
        <f t="shared" si="23"/>
        <v>Cold</v>
      </c>
      <c r="P223" s="28">
        <v>0.13639999999999999</v>
      </c>
      <c r="Q223" s="38">
        <f t="shared" si="19"/>
        <v>0.13639999999999999</v>
      </c>
      <c r="R223" s="28">
        <v>0.47</v>
      </c>
      <c r="S223" s="28">
        <v>0.28360000000000002</v>
      </c>
      <c r="T223" s="40" t="str" cm="1">
        <f t="array" ref="T223">_xlfn.IFS(S223*18.6&lt;2,"Calm",S223*18.6&lt;6,"Light Breeze",S223*18.6&lt;14,"Gale",TRUE,"Extreme Storm")</f>
        <v>Light Breeze</v>
      </c>
      <c r="U223" s="28">
        <v>2</v>
      </c>
      <c r="V223" s="28">
        <v>28</v>
      </c>
      <c r="W223" s="28">
        <v>30</v>
      </c>
      <c r="X223" s="44">
        <f>AVERAGE(INDEX($W:$W,MAX(ROW($W$3),ROW()-23)):INDEX($W:$W,ROW()))</f>
        <v>45.875</v>
      </c>
      <c r="Y223" s="44">
        <f>_xlfn.STDEV.S(INDEX($W:$W,MAX(ROW($W$3),ROW()-23)):INDEX($W:$W,ROW()))</f>
        <v>44.378130630535459</v>
      </c>
      <c r="Z223" s="44">
        <f t="shared" si="20"/>
        <v>-0.35772124184692039</v>
      </c>
      <c r="AA223" s="40" t="b">
        <f t="shared" si="18"/>
        <v>0</v>
      </c>
    </row>
    <row r="224" spans="1:27" x14ac:dyDescent="0.3">
      <c r="A224" s="32">
        <v>222</v>
      </c>
      <c r="B224" s="33">
        <v>40553</v>
      </c>
      <c r="C224" s="40" t="str">
        <f t="shared" si="21"/>
        <v>Monday</v>
      </c>
      <c r="D224" s="28">
        <v>12</v>
      </c>
      <c r="E224" s="40" t="str" cm="1">
        <f t="array" ref="E224">_xlfn.IFS(D224&gt;=21,"Night",D224&gt;=17,"Evening",D224&gt;=12,"Midday",D224&gt;=6,"Morning", TRUE, "Night")</f>
        <v>Midday</v>
      </c>
      <c r="F224" s="28">
        <v>1</v>
      </c>
      <c r="G224" s="28">
        <v>0</v>
      </c>
      <c r="H224" s="28">
        <v>1</v>
      </c>
      <c r="I224" s="28">
        <v>1</v>
      </c>
      <c r="J224" s="40" t="str">
        <f t="shared" si="22"/>
        <v>Weekday</v>
      </c>
      <c r="K224" s="28" t="b">
        <v>0</v>
      </c>
      <c r="L224" s="28">
        <v>2</v>
      </c>
      <c r="M224" s="40" t="str" cm="1">
        <f t="array" ref="M224">_xlfn.IFS(L224=1,"Clear / Partly Cloudy",L224=2,"Mist / Cloudy",L224=3,"Light Snow / Rain",L224=4,"Heavy Precipitation")</f>
        <v>Mist / Cloudy</v>
      </c>
      <c r="N224" s="28">
        <v>0.2</v>
      </c>
      <c r="O224" s="28" t="str">
        <f t="shared" si="23"/>
        <v>Mild</v>
      </c>
      <c r="P224" s="28">
        <v>0.18179999999999999</v>
      </c>
      <c r="Q224" s="38">
        <f t="shared" si="19"/>
        <v>0.18179999999999999</v>
      </c>
      <c r="R224" s="28">
        <v>0.4</v>
      </c>
      <c r="S224" s="28">
        <v>0.28360000000000002</v>
      </c>
      <c r="T224" s="40" t="str" cm="1">
        <f t="array" ref="T224">_xlfn.IFS(S224*18.6&lt;2,"Calm",S224*18.6&lt;6,"Light Breeze",S224*18.6&lt;14,"Gale",TRUE,"Extreme Storm")</f>
        <v>Light Breeze</v>
      </c>
      <c r="U224" s="28">
        <v>5</v>
      </c>
      <c r="V224" s="28">
        <v>47</v>
      </c>
      <c r="W224" s="28">
        <v>52</v>
      </c>
      <c r="X224" s="44">
        <f>AVERAGE(INDEX($W:$W,MAX(ROW($W$3),ROW()-23)):INDEX($W:$W,ROW()))</f>
        <v>44.583333333333336</v>
      </c>
      <c r="Y224" s="44">
        <f>_xlfn.STDEV.S(INDEX($W:$W,MAX(ROW($W$3),ROW()-23)):INDEX($W:$W,ROW()))</f>
        <v>43.69649937890923</v>
      </c>
      <c r="Z224" s="44">
        <f t="shared" si="20"/>
        <v>0.16973136915050979</v>
      </c>
      <c r="AA224" s="40" t="b">
        <f t="shared" si="18"/>
        <v>0</v>
      </c>
    </row>
    <row r="225" spans="1:27" x14ac:dyDescent="0.3">
      <c r="A225" s="32">
        <v>223</v>
      </c>
      <c r="B225" s="33">
        <v>40553</v>
      </c>
      <c r="C225" s="40" t="str">
        <f t="shared" si="21"/>
        <v>Monday</v>
      </c>
      <c r="D225" s="28">
        <v>13</v>
      </c>
      <c r="E225" s="40" t="str" cm="1">
        <f t="array" ref="E225">_xlfn.IFS(D225&gt;=21,"Night",D225&gt;=17,"Evening",D225&gt;=12,"Midday",D225&gt;=6,"Morning", TRUE, "Night")</f>
        <v>Midday</v>
      </c>
      <c r="F225" s="28">
        <v>1</v>
      </c>
      <c r="G225" s="28">
        <v>0</v>
      </c>
      <c r="H225" s="28">
        <v>1</v>
      </c>
      <c r="I225" s="28">
        <v>1</v>
      </c>
      <c r="J225" s="40" t="str">
        <f t="shared" si="22"/>
        <v>Weekday</v>
      </c>
      <c r="K225" s="28" t="b">
        <v>0</v>
      </c>
      <c r="L225" s="28">
        <v>2</v>
      </c>
      <c r="M225" s="40" t="str" cm="1">
        <f t="array" ref="M225">_xlfn.IFS(L225=1,"Clear / Partly Cloudy",L225=2,"Mist / Cloudy",L225=3,"Light Snow / Rain",L225=4,"Heavy Precipitation")</f>
        <v>Mist / Cloudy</v>
      </c>
      <c r="N225" s="28">
        <v>0.2</v>
      </c>
      <c r="O225" s="28" t="str">
        <f t="shared" si="23"/>
        <v>Mild</v>
      </c>
      <c r="P225" s="28">
        <v>0.18179999999999999</v>
      </c>
      <c r="Q225" s="38">
        <f t="shared" si="19"/>
        <v>0.18179999999999999</v>
      </c>
      <c r="R225" s="28">
        <v>0.4</v>
      </c>
      <c r="S225" s="28">
        <v>0.28360000000000002</v>
      </c>
      <c r="T225" s="40" t="str" cm="1">
        <f t="array" ref="T225">_xlfn.IFS(S225*18.6&lt;2,"Calm",S225*18.6&lt;6,"Light Breeze",S225*18.6&lt;14,"Gale",TRUE,"Extreme Storm")</f>
        <v>Light Breeze</v>
      </c>
      <c r="U225" s="28">
        <v>4</v>
      </c>
      <c r="V225" s="28">
        <v>50</v>
      </c>
      <c r="W225" s="28">
        <v>54</v>
      </c>
      <c r="X225" s="44">
        <f>AVERAGE(INDEX($W:$W,MAX(ROW($W$3),ROW()-23)):INDEX($W:$W,ROW()))</f>
        <v>43.708333333333336</v>
      </c>
      <c r="Y225" s="44">
        <f>_xlfn.STDEV.S(INDEX($W:$W,MAX(ROW($W$3),ROW()-23)):INDEX($W:$W,ROW()))</f>
        <v>43.269106527754246</v>
      </c>
      <c r="Z225" s="44">
        <f t="shared" si="20"/>
        <v>0.23785253481176569</v>
      </c>
      <c r="AA225" s="40" t="b">
        <f t="shared" si="18"/>
        <v>0</v>
      </c>
    </row>
    <row r="226" spans="1:27" x14ac:dyDescent="0.3">
      <c r="A226" s="32">
        <v>224</v>
      </c>
      <c r="B226" s="33">
        <v>40553</v>
      </c>
      <c r="C226" s="40" t="str">
        <f t="shared" si="21"/>
        <v>Monday</v>
      </c>
      <c r="D226" s="28">
        <v>14</v>
      </c>
      <c r="E226" s="40" t="str" cm="1">
        <f t="array" ref="E226">_xlfn.IFS(D226&gt;=21,"Night",D226&gt;=17,"Evening",D226&gt;=12,"Midday",D226&gt;=6,"Morning", TRUE, "Night")</f>
        <v>Midday</v>
      </c>
      <c r="F226" s="28">
        <v>1</v>
      </c>
      <c r="G226" s="28">
        <v>0</v>
      </c>
      <c r="H226" s="28">
        <v>1</v>
      </c>
      <c r="I226" s="28">
        <v>1</v>
      </c>
      <c r="J226" s="40" t="str">
        <f t="shared" si="22"/>
        <v>Weekday</v>
      </c>
      <c r="K226" s="28" t="b">
        <v>0</v>
      </c>
      <c r="L226" s="28">
        <v>2</v>
      </c>
      <c r="M226" s="40" t="str" cm="1">
        <f t="array" ref="M226">_xlfn.IFS(L226=1,"Clear / Partly Cloudy",L226=2,"Mist / Cloudy",L226=3,"Light Snow / Rain",L226=4,"Heavy Precipitation")</f>
        <v>Mist / Cloudy</v>
      </c>
      <c r="N226" s="28">
        <v>0.2</v>
      </c>
      <c r="O226" s="28" t="str">
        <f t="shared" si="23"/>
        <v>Mild</v>
      </c>
      <c r="P226" s="28">
        <v>0.19700000000000001</v>
      </c>
      <c r="Q226" s="38">
        <f t="shared" si="19"/>
        <v>0.19700000000000001</v>
      </c>
      <c r="R226" s="28">
        <v>0.4</v>
      </c>
      <c r="S226" s="28">
        <v>0.22389999999999999</v>
      </c>
      <c r="T226" s="40" t="str" cm="1">
        <f t="array" ref="T226">_xlfn.IFS(S226*18.6&lt;2,"Calm",S226*18.6&lt;6,"Light Breeze",S226*18.6&lt;14,"Gale",TRUE,"Extreme Storm")</f>
        <v>Light Breeze</v>
      </c>
      <c r="U226" s="28">
        <v>0</v>
      </c>
      <c r="V226" s="28">
        <v>47</v>
      </c>
      <c r="W226" s="28">
        <v>47</v>
      </c>
      <c r="X226" s="44">
        <f>AVERAGE(INDEX($W:$W,MAX(ROW($W$3),ROW()-23)):INDEX($W:$W,ROW()))</f>
        <v>42.666666666666664</v>
      </c>
      <c r="Y226" s="44">
        <f>_xlfn.STDEV.S(INDEX($W:$W,MAX(ROW($W$3),ROW()-23)):INDEX($W:$W,ROW()))</f>
        <v>42.857363698533838</v>
      </c>
      <c r="Z226" s="44">
        <f t="shared" si="20"/>
        <v>0.10111059009169947</v>
      </c>
      <c r="AA226" s="40" t="b">
        <f t="shared" si="18"/>
        <v>0</v>
      </c>
    </row>
    <row r="227" spans="1:27" x14ac:dyDescent="0.3">
      <c r="A227" s="32">
        <v>225</v>
      </c>
      <c r="B227" s="33">
        <v>40553</v>
      </c>
      <c r="C227" s="40" t="str">
        <f t="shared" si="21"/>
        <v>Monday</v>
      </c>
      <c r="D227" s="28">
        <v>15</v>
      </c>
      <c r="E227" s="40" t="str" cm="1">
        <f t="array" ref="E227">_xlfn.IFS(D227&gt;=21,"Night",D227&gt;=17,"Evening",D227&gt;=12,"Midday",D227&gt;=6,"Morning", TRUE, "Night")</f>
        <v>Midday</v>
      </c>
      <c r="F227" s="28">
        <v>1</v>
      </c>
      <c r="G227" s="28">
        <v>0</v>
      </c>
      <c r="H227" s="28">
        <v>1</v>
      </c>
      <c r="I227" s="28">
        <v>1</v>
      </c>
      <c r="J227" s="40" t="str">
        <f t="shared" si="22"/>
        <v>Weekday</v>
      </c>
      <c r="K227" s="28" t="b">
        <v>0</v>
      </c>
      <c r="L227" s="28">
        <v>2</v>
      </c>
      <c r="M227" s="40" t="str" cm="1">
        <f t="array" ref="M227">_xlfn.IFS(L227=1,"Clear / Partly Cloudy",L227=2,"Mist / Cloudy",L227=3,"Light Snow / Rain",L227=4,"Heavy Precipitation")</f>
        <v>Mist / Cloudy</v>
      </c>
      <c r="N227" s="28">
        <v>0.2</v>
      </c>
      <c r="O227" s="28" t="str">
        <f t="shared" si="23"/>
        <v>Mild</v>
      </c>
      <c r="P227" s="28">
        <v>0.19700000000000001</v>
      </c>
      <c r="Q227" s="38">
        <f t="shared" si="19"/>
        <v>0.19700000000000001</v>
      </c>
      <c r="R227" s="28">
        <v>0.4</v>
      </c>
      <c r="S227" s="28">
        <v>0.22389999999999999</v>
      </c>
      <c r="T227" s="40" t="str" cm="1">
        <f t="array" ref="T227">_xlfn.IFS(S227*18.6&lt;2,"Calm",S227*18.6&lt;6,"Light Breeze",S227*18.6&lt;14,"Gale",TRUE,"Extreme Storm")</f>
        <v>Light Breeze</v>
      </c>
      <c r="U227" s="28">
        <v>2</v>
      </c>
      <c r="V227" s="28">
        <v>43</v>
      </c>
      <c r="W227" s="28">
        <v>45</v>
      </c>
      <c r="X227" s="44">
        <f>AVERAGE(INDEX($W:$W,MAX(ROW($W$3),ROW()-23)):INDEX($W:$W,ROW()))</f>
        <v>41.125</v>
      </c>
      <c r="Y227" s="44">
        <f>_xlfn.STDEV.S(INDEX($W:$W,MAX(ROW($W$3),ROW()-23)):INDEX($W:$W,ROW()))</f>
        <v>42.038608031396464</v>
      </c>
      <c r="Z227" s="44">
        <f t="shared" si="20"/>
        <v>9.2177171925054285E-2</v>
      </c>
      <c r="AA227" s="40" t="b">
        <f t="shared" si="18"/>
        <v>0</v>
      </c>
    </row>
    <row r="228" spans="1:27" x14ac:dyDescent="0.3">
      <c r="A228" s="32">
        <v>226</v>
      </c>
      <c r="B228" s="33">
        <v>40553</v>
      </c>
      <c r="C228" s="40" t="str">
        <f t="shared" si="21"/>
        <v>Monday</v>
      </c>
      <c r="D228" s="28">
        <v>16</v>
      </c>
      <c r="E228" s="40" t="str" cm="1">
        <f t="array" ref="E228">_xlfn.IFS(D228&gt;=21,"Night",D228&gt;=17,"Evening",D228&gt;=12,"Midday",D228&gt;=6,"Morning", TRUE, "Night")</f>
        <v>Midday</v>
      </c>
      <c r="F228" s="28">
        <v>1</v>
      </c>
      <c r="G228" s="28">
        <v>0</v>
      </c>
      <c r="H228" s="28">
        <v>1</v>
      </c>
      <c r="I228" s="28">
        <v>1</v>
      </c>
      <c r="J228" s="40" t="str">
        <f t="shared" si="22"/>
        <v>Weekday</v>
      </c>
      <c r="K228" s="28" t="b">
        <v>0</v>
      </c>
      <c r="L228" s="28">
        <v>1</v>
      </c>
      <c r="M228" s="40" t="str" cm="1">
        <f t="array" ref="M228">_xlfn.IFS(L228=1,"Clear / Partly Cloudy",L228=2,"Mist / Cloudy",L228=3,"Light Snow / Rain",L228=4,"Heavy Precipitation")</f>
        <v>Clear / Partly Cloudy</v>
      </c>
      <c r="N228" s="28">
        <v>0.2</v>
      </c>
      <c r="O228" s="28" t="str">
        <f t="shared" si="23"/>
        <v>Mild</v>
      </c>
      <c r="P228" s="28">
        <v>0.21210000000000001</v>
      </c>
      <c r="Q228" s="38">
        <f t="shared" si="19"/>
        <v>0.21210000000000001</v>
      </c>
      <c r="R228" s="28">
        <v>0.4</v>
      </c>
      <c r="S228" s="28">
        <v>0.1343</v>
      </c>
      <c r="T228" s="40" t="str" cm="1">
        <f t="array" ref="T228">_xlfn.IFS(S228*18.6&lt;2,"Calm",S228*18.6&lt;6,"Light Breeze",S228*18.6&lt;14,"Gale",TRUE,"Extreme Storm")</f>
        <v>Light Breeze</v>
      </c>
      <c r="U228" s="28">
        <v>4</v>
      </c>
      <c r="V228" s="28">
        <v>70</v>
      </c>
      <c r="W228" s="28">
        <v>74</v>
      </c>
      <c r="X228" s="44">
        <f>AVERAGE(INDEX($W:$W,MAX(ROW($W$3),ROW()-23)):INDEX($W:$W,ROW()))</f>
        <v>40.375</v>
      </c>
      <c r="Y228" s="44">
        <f>_xlfn.STDEV.S(INDEX($W:$W,MAX(ROW($W$3),ROW()-23)):INDEX($W:$W,ROW()))</f>
        <v>41.244564859321557</v>
      </c>
      <c r="Z228" s="44">
        <f t="shared" si="20"/>
        <v>0.81525893447268405</v>
      </c>
      <c r="AA228" s="40" t="b">
        <f t="shared" si="18"/>
        <v>0</v>
      </c>
    </row>
    <row r="229" spans="1:27" x14ac:dyDescent="0.3">
      <c r="A229" s="32">
        <v>227</v>
      </c>
      <c r="B229" s="33">
        <v>40553</v>
      </c>
      <c r="C229" s="40" t="str">
        <f t="shared" si="21"/>
        <v>Monday</v>
      </c>
      <c r="D229" s="28">
        <v>17</v>
      </c>
      <c r="E229" s="40" t="str" cm="1">
        <f t="array" ref="E229">_xlfn.IFS(D229&gt;=21,"Night",D229&gt;=17,"Evening",D229&gt;=12,"Midday",D229&gt;=6,"Morning", TRUE, "Night")</f>
        <v>Evening</v>
      </c>
      <c r="F229" s="28">
        <v>1</v>
      </c>
      <c r="G229" s="28">
        <v>0</v>
      </c>
      <c r="H229" s="28">
        <v>1</v>
      </c>
      <c r="I229" s="28">
        <v>1</v>
      </c>
      <c r="J229" s="40" t="str">
        <f t="shared" si="22"/>
        <v>Weekday</v>
      </c>
      <c r="K229" s="28" t="b">
        <v>0</v>
      </c>
      <c r="L229" s="28">
        <v>1</v>
      </c>
      <c r="M229" s="40" t="str" cm="1">
        <f t="array" ref="M229">_xlfn.IFS(L229=1,"Clear / Partly Cloudy",L229=2,"Mist / Cloudy",L229=3,"Light Snow / Rain",L229=4,"Heavy Precipitation")</f>
        <v>Clear / Partly Cloudy</v>
      </c>
      <c r="N229" s="28">
        <v>0.2</v>
      </c>
      <c r="O229" s="28" t="str">
        <f t="shared" si="23"/>
        <v>Mild</v>
      </c>
      <c r="P229" s="28">
        <v>0.2273</v>
      </c>
      <c r="Q229" s="38">
        <f t="shared" si="19"/>
        <v>0.2273</v>
      </c>
      <c r="R229" s="28">
        <v>0.4</v>
      </c>
      <c r="S229" s="28">
        <v>0.1045</v>
      </c>
      <c r="T229" s="40" t="str" cm="1">
        <f t="array" ref="T229">_xlfn.IFS(S229*18.6&lt;2,"Calm",S229*18.6&lt;6,"Light Breeze",S229*18.6&lt;14,"Gale",TRUE,"Extreme Storm")</f>
        <v>Calm</v>
      </c>
      <c r="U229" s="28">
        <v>4</v>
      </c>
      <c r="V229" s="28">
        <v>174</v>
      </c>
      <c r="W229" s="28">
        <v>178</v>
      </c>
      <c r="X229" s="44">
        <f>AVERAGE(INDEX($W:$W,MAX(ROW($W$3),ROW()-23)):INDEX($W:$W,ROW()))</f>
        <v>45.208333333333336</v>
      </c>
      <c r="Y229" s="44">
        <f>_xlfn.STDEV.S(INDEX($W:$W,MAX(ROW($W$3),ROW()-23)):INDEX($W:$W,ROW()))</f>
        <v>49.798707130648062</v>
      </c>
      <c r="Z229" s="44">
        <f t="shared" si="20"/>
        <v>2.6665685580608476</v>
      </c>
      <c r="AA229" s="40" t="b">
        <f t="shared" si="18"/>
        <v>0</v>
      </c>
    </row>
    <row r="230" spans="1:27" x14ac:dyDescent="0.3">
      <c r="A230" s="32">
        <v>228</v>
      </c>
      <c r="B230" s="33">
        <v>40553</v>
      </c>
      <c r="C230" s="40" t="str">
        <f t="shared" si="21"/>
        <v>Monday</v>
      </c>
      <c r="D230" s="28">
        <v>18</v>
      </c>
      <c r="E230" s="40" t="str" cm="1">
        <f t="array" ref="E230">_xlfn.IFS(D230&gt;=21,"Night",D230&gt;=17,"Evening",D230&gt;=12,"Midday",D230&gt;=6,"Morning", TRUE, "Night")</f>
        <v>Evening</v>
      </c>
      <c r="F230" s="28">
        <v>1</v>
      </c>
      <c r="G230" s="28">
        <v>0</v>
      </c>
      <c r="H230" s="28">
        <v>1</v>
      </c>
      <c r="I230" s="28">
        <v>1</v>
      </c>
      <c r="J230" s="40" t="str">
        <f t="shared" si="22"/>
        <v>Weekday</v>
      </c>
      <c r="K230" s="28" t="b">
        <v>0</v>
      </c>
      <c r="L230" s="28">
        <v>1</v>
      </c>
      <c r="M230" s="40" t="str" cm="1">
        <f t="array" ref="M230">_xlfn.IFS(L230=1,"Clear / Partly Cloudy",L230=2,"Mist / Cloudy",L230=3,"Light Snow / Rain",L230=4,"Heavy Precipitation")</f>
        <v>Clear / Partly Cloudy</v>
      </c>
      <c r="N230" s="28">
        <v>0.2</v>
      </c>
      <c r="O230" s="28" t="str">
        <f t="shared" si="23"/>
        <v>Mild</v>
      </c>
      <c r="P230" s="28">
        <v>0.19700000000000001</v>
      </c>
      <c r="Q230" s="38">
        <f t="shared" si="19"/>
        <v>0.19700000000000001</v>
      </c>
      <c r="R230" s="28">
        <v>0.4</v>
      </c>
      <c r="S230" s="28">
        <v>0.22389999999999999</v>
      </c>
      <c r="T230" s="40" t="str" cm="1">
        <f t="array" ref="T230">_xlfn.IFS(S230*18.6&lt;2,"Calm",S230*18.6&lt;6,"Light Breeze",S230*18.6&lt;14,"Gale",TRUE,"Extreme Storm")</f>
        <v>Light Breeze</v>
      </c>
      <c r="U230" s="28">
        <v>1</v>
      </c>
      <c r="V230" s="28">
        <v>154</v>
      </c>
      <c r="W230" s="28">
        <v>155</v>
      </c>
      <c r="X230" s="44">
        <f>AVERAGE(INDEX($W:$W,MAX(ROW($W$3),ROW()-23)):INDEX($W:$W,ROW()))</f>
        <v>49.666666666666664</v>
      </c>
      <c r="Y230" s="44">
        <f>_xlfn.STDEV.S(INDEX($W:$W,MAX(ROW($W$3),ROW()-23)):INDEX($W:$W,ROW()))</f>
        <v>54.61618383072809</v>
      </c>
      <c r="Z230" s="44">
        <f t="shared" si="20"/>
        <v>1.9286102752948262</v>
      </c>
      <c r="AA230" s="40" t="b">
        <f t="shared" si="18"/>
        <v>0</v>
      </c>
    </row>
    <row r="231" spans="1:27" x14ac:dyDescent="0.3">
      <c r="A231" s="32">
        <v>229</v>
      </c>
      <c r="B231" s="33">
        <v>40553</v>
      </c>
      <c r="C231" s="40" t="str">
        <f t="shared" si="21"/>
        <v>Monday</v>
      </c>
      <c r="D231" s="28">
        <v>19</v>
      </c>
      <c r="E231" s="40" t="str" cm="1">
        <f t="array" ref="E231">_xlfn.IFS(D231&gt;=21,"Night",D231&gt;=17,"Evening",D231&gt;=12,"Midday",D231&gt;=6,"Morning", TRUE, "Night")</f>
        <v>Evening</v>
      </c>
      <c r="F231" s="28">
        <v>1</v>
      </c>
      <c r="G231" s="28">
        <v>0</v>
      </c>
      <c r="H231" s="28">
        <v>1</v>
      </c>
      <c r="I231" s="28">
        <v>1</v>
      </c>
      <c r="J231" s="40" t="str">
        <f t="shared" si="22"/>
        <v>Weekday</v>
      </c>
      <c r="K231" s="28" t="b">
        <v>0</v>
      </c>
      <c r="L231" s="28">
        <v>1</v>
      </c>
      <c r="M231" s="40" t="str" cm="1">
        <f t="array" ref="M231">_xlfn.IFS(L231=1,"Clear / Partly Cloudy",L231=2,"Mist / Cloudy",L231=3,"Light Snow / Rain",L231=4,"Heavy Precipitation")</f>
        <v>Clear / Partly Cloudy</v>
      </c>
      <c r="N231" s="28">
        <v>0.16</v>
      </c>
      <c r="O231" s="28" t="str">
        <f t="shared" si="23"/>
        <v>Cold</v>
      </c>
      <c r="P231" s="28">
        <v>0.16669999999999999</v>
      </c>
      <c r="Q231" s="38">
        <f t="shared" si="19"/>
        <v>0.16669999999999999</v>
      </c>
      <c r="R231" s="28">
        <v>0.47</v>
      </c>
      <c r="S231" s="28">
        <v>0.16420000000000001</v>
      </c>
      <c r="T231" s="40" t="str" cm="1">
        <f t="array" ref="T231">_xlfn.IFS(S231*18.6&lt;2,"Calm",S231*18.6&lt;6,"Light Breeze",S231*18.6&lt;14,"Gale",TRUE,"Extreme Storm")</f>
        <v>Light Breeze</v>
      </c>
      <c r="U231" s="28">
        <v>3</v>
      </c>
      <c r="V231" s="28">
        <v>92</v>
      </c>
      <c r="W231" s="28">
        <v>95</v>
      </c>
      <c r="X231" s="44">
        <f>AVERAGE(INDEX($W:$W,MAX(ROW($W$3),ROW()-23)):INDEX($W:$W,ROW()))</f>
        <v>51.916666666666664</v>
      </c>
      <c r="Y231" s="44">
        <f>_xlfn.STDEV.S(INDEX($W:$W,MAX(ROW($W$3),ROW()-23)):INDEX($W:$W,ROW()))</f>
        <v>55.350988103718358</v>
      </c>
      <c r="Z231" s="44">
        <f t="shared" si="20"/>
        <v>0.77836611069349804</v>
      </c>
      <c r="AA231" s="40" t="b">
        <f t="shared" si="18"/>
        <v>0</v>
      </c>
    </row>
    <row r="232" spans="1:27" x14ac:dyDescent="0.3">
      <c r="A232" s="32">
        <v>230</v>
      </c>
      <c r="B232" s="33">
        <v>40553</v>
      </c>
      <c r="C232" s="40" t="str">
        <f t="shared" si="21"/>
        <v>Monday</v>
      </c>
      <c r="D232" s="28">
        <v>20</v>
      </c>
      <c r="E232" s="40" t="str" cm="1">
        <f t="array" ref="E232">_xlfn.IFS(D232&gt;=21,"Night",D232&gt;=17,"Evening",D232&gt;=12,"Midday",D232&gt;=6,"Morning", TRUE, "Night")</f>
        <v>Evening</v>
      </c>
      <c r="F232" s="28">
        <v>1</v>
      </c>
      <c r="G232" s="28">
        <v>0</v>
      </c>
      <c r="H232" s="28">
        <v>1</v>
      </c>
      <c r="I232" s="28">
        <v>1</v>
      </c>
      <c r="J232" s="40" t="str">
        <f t="shared" si="22"/>
        <v>Weekday</v>
      </c>
      <c r="K232" s="28" t="b">
        <v>0</v>
      </c>
      <c r="L232" s="28">
        <v>1</v>
      </c>
      <c r="M232" s="40" t="str" cm="1">
        <f t="array" ref="M232">_xlfn.IFS(L232=1,"Clear / Partly Cloudy",L232=2,"Mist / Cloudy",L232=3,"Light Snow / Rain",L232=4,"Heavy Precipitation")</f>
        <v>Clear / Partly Cloudy</v>
      </c>
      <c r="N232" s="28">
        <v>0.16</v>
      </c>
      <c r="O232" s="28" t="str">
        <f t="shared" si="23"/>
        <v>Cold</v>
      </c>
      <c r="P232" s="28">
        <v>0.16669999999999999</v>
      </c>
      <c r="Q232" s="38">
        <f t="shared" si="19"/>
        <v>0.16669999999999999</v>
      </c>
      <c r="R232" s="28">
        <v>0.5</v>
      </c>
      <c r="S232" s="28">
        <v>0.16420000000000001</v>
      </c>
      <c r="T232" s="40" t="str" cm="1">
        <f t="array" ref="T232">_xlfn.IFS(S232*18.6&lt;2,"Calm",S232*18.6&lt;6,"Light Breeze",S232*18.6&lt;14,"Gale",TRUE,"Extreme Storm")</f>
        <v>Light Breeze</v>
      </c>
      <c r="U232" s="28">
        <v>1</v>
      </c>
      <c r="V232" s="28">
        <v>73</v>
      </c>
      <c r="W232" s="28">
        <v>74</v>
      </c>
      <c r="X232" s="44">
        <f>AVERAGE(INDEX($W:$W,MAX(ROW($W$3),ROW()-23)):INDEX($W:$W,ROW()))</f>
        <v>53.416666666666664</v>
      </c>
      <c r="Y232" s="44">
        <f>_xlfn.STDEV.S(INDEX($W:$W,MAX(ROW($W$3),ROW()-23)):INDEX($W:$W,ROW()))</f>
        <v>55.445168109283124</v>
      </c>
      <c r="Z232" s="44">
        <f t="shared" si="20"/>
        <v>0.37123763954982203</v>
      </c>
      <c r="AA232" s="40" t="b">
        <f t="shared" si="18"/>
        <v>0</v>
      </c>
    </row>
    <row r="233" spans="1:27" x14ac:dyDescent="0.3">
      <c r="A233" s="32">
        <v>231</v>
      </c>
      <c r="B233" s="33">
        <v>40553</v>
      </c>
      <c r="C233" s="40" t="str">
        <f t="shared" si="21"/>
        <v>Monday</v>
      </c>
      <c r="D233" s="28">
        <v>21</v>
      </c>
      <c r="E233" s="40" t="str" cm="1">
        <f t="array" ref="E233">_xlfn.IFS(D233&gt;=21,"Night",D233&gt;=17,"Evening",D233&gt;=12,"Midday",D233&gt;=6,"Morning", TRUE, "Night")</f>
        <v>Night</v>
      </c>
      <c r="F233" s="28">
        <v>1</v>
      </c>
      <c r="G233" s="28">
        <v>0</v>
      </c>
      <c r="H233" s="28">
        <v>1</v>
      </c>
      <c r="I233" s="28">
        <v>1</v>
      </c>
      <c r="J233" s="40" t="str">
        <f t="shared" si="22"/>
        <v>Weekday</v>
      </c>
      <c r="K233" s="28" t="b">
        <v>0</v>
      </c>
      <c r="L233" s="28">
        <v>1</v>
      </c>
      <c r="M233" s="40" t="str" cm="1">
        <f t="array" ref="M233">_xlfn.IFS(L233=1,"Clear / Partly Cloudy",L233=2,"Mist / Cloudy",L233=3,"Light Snow / Rain",L233=4,"Heavy Precipitation")</f>
        <v>Clear / Partly Cloudy</v>
      </c>
      <c r="N233" s="28">
        <v>0.14000000000000001</v>
      </c>
      <c r="O233" s="28" t="str">
        <f t="shared" si="23"/>
        <v>Cold</v>
      </c>
      <c r="P233" s="28">
        <v>0.13639999999999999</v>
      </c>
      <c r="Q233" s="38">
        <f t="shared" si="19"/>
        <v>0.13639999999999999</v>
      </c>
      <c r="R233" s="28">
        <v>0.59</v>
      </c>
      <c r="S233" s="28">
        <v>0.19400000000000001</v>
      </c>
      <c r="T233" s="40" t="str" cm="1">
        <f t="array" ref="T233">_xlfn.IFS(S233*18.6&lt;2,"Calm",S233*18.6&lt;6,"Light Breeze",S233*18.6&lt;14,"Gale",TRUE,"Extreme Storm")</f>
        <v>Light Breeze</v>
      </c>
      <c r="U233" s="28">
        <v>1</v>
      </c>
      <c r="V233" s="28">
        <v>37</v>
      </c>
      <c r="W233" s="28">
        <v>38</v>
      </c>
      <c r="X233" s="44">
        <f>AVERAGE(INDEX($W:$W,MAX(ROW($W$3),ROW()-23)):INDEX($W:$W,ROW()))</f>
        <v>54.166666666666664</v>
      </c>
      <c r="Y233" s="44">
        <f>_xlfn.STDEV.S(INDEX($W:$W,MAX(ROW($W$3),ROW()-23)):INDEX($W:$W,ROW()))</f>
        <v>55.094122362014076</v>
      </c>
      <c r="Z233" s="44">
        <f t="shared" si="20"/>
        <v>-0.29343723020830165</v>
      </c>
      <c r="AA233" s="40" t="b">
        <f t="shared" si="18"/>
        <v>0</v>
      </c>
    </row>
    <row r="234" spans="1:27" x14ac:dyDescent="0.3">
      <c r="A234" s="32">
        <v>232</v>
      </c>
      <c r="B234" s="33">
        <v>40553</v>
      </c>
      <c r="C234" s="40" t="str">
        <f t="shared" si="21"/>
        <v>Monday</v>
      </c>
      <c r="D234" s="28">
        <v>22</v>
      </c>
      <c r="E234" s="40" t="str" cm="1">
        <f t="array" ref="E234">_xlfn.IFS(D234&gt;=21,"Night",D234&gt;=17,"Evening",D234&gt;=12,"Midday",D234&gt;=6,"Morning", TRUE, "Night")</f>
        <v>Night</v>
      </c>
      <c r="F234" s="28">
        <v>1</v>
      </c>
      <c r="G234" s="28">
        <v>0</v>
      </c>
      <c r="H234" s="28">
        <v>1</v>
      </c>
      <c r="I234" s="28">
        <v>1</v>
      </c>
      <c r="J234" s="40" t="str">
        <f t="shared" si="22"/>
        <v>Weekday</v>
      </c>
      <c r="K234" s="28" t="b">
        <v>0</v>
      </c>
      <c r="L234" s="28">
        <v>1</v>
      </c>
      <c r="M234" s="40" t="str" cm="1">
        <f t="array" ref="M234">_xlfn.IFS(L234=1,"Clear / Partly Cloudy",L234=2,"Mist / Cloudy",L234=3,"Light Snow / Rain",L234=4,"Heavy Precipitation")</f>
        <v>Clear / Partly Cloudy</v>
      </c>
      <c r="N234" s="28">
        <v>0.14000000000000001</v>
      </c>
      <c r="O234" s="28" t="str">
        <f t="shared" si="23"/>
        <v>Cold</v>
      </c>
      <c r="P234" s="28">
        <v>0.1515</v>
      </c>
      <c r="Q234" s="38">
        <f t="shared" si="19"/>
        <v>0.1515</v>
      </c>
      <c r="R234" s="28">
        <v>0.59</v>
      </c>
      <c r="S234" s="28">
        <v>0.16420000000000001</v>
      </c>
      <c r="T234" s="40" t="str" cm="1">
        <f t="array" ref="T234">_xlfn.IFS(S234*18.6&lt;2,"Calm",S234*18.6&lt;6,"Light Breeze",S234*18.6&lt;14,"Gale",TRUE,"Extreme Storm")</f>
        <v>Light Breeze</v>
      </c>
      <c r="U234" s="28">
        <v>2</v>
      </c>
      <c r="V234" s="28">
        <v>22</v>
      </c>
      <c r="W234" s="28">
        <v>24</v>
      </c>
      <c r="X234" s="44">
        <f>AVERAGE(INDEX($W:$W,MAX(ROW($W$3),ROW()-23)):INDEX($W:$W,ROW()))</f>
        <v>54.541666666666664</v>
      </c>
      <c r="Y234" s="44">
        <f>_xlfn.STDEV.S(INDEX($W:$W,MAX(ROW($W$3),ROW()-23)):INDEX($W:$W,ROW()))</f>
        <v>54.846013026723611</v>
      </c>
      <c r="Z234" s="44">
        <f t="shared" si="20"/>
        <v>-0.55686211232501615</v>
      </c>
      <c r="AA234" s="40" t="b">
        <f t="shared" si="18"/>
        <v>0</v>
      </c>
    </row>
    <row r="235" spans="1:27" x14ac:dyDescent="0.3">
      <c r="A235" s="32">
        <v>233</v>
      </c>
      <c r="B235" s="33">
        <v>40553</v>
      </c>
      <c r="C235" s="40" t="str">
        <f t="shared" si="21"/>
        <v>Monday</v>
      </c>
      <c r="D235" s="28">
        <v>23</v>
      </c>
      <c r="E235" s="40" t="str" cm="1">
        <f t="array" ref="E235">_xlfn.IFS(D235&gt;=21,"Night",D235&gt;=17,"Evening",D235&gt;=12,"Midday",D235&gt;=6,"Morning", TRUE, "Night")</f>
        <v>Night</v>
      </c>
      <c r="F235" s="28">
        <v>1</v>
      </c>
      <c r="G235" s="28">
        <v>0</v>
      </c>
      <c r="H235" s="28">
        <v>1</v>
      </c>
      <c r="I235" s="28">
        <v>1</v>
      </c>
      <c r="J235" s="40" t="str">
        <f t="shared" si="22"/>
        <v>Weekday</v>
      </c>
      <c r="K235" s="28" t="b">
        <v>0</v>
      </c>
      <c r="L235" s="28">
        <v>1</v>
      </c>
      <c r="M235" s="40" t="str" cm="1">
        <f t="array" ref="M235">_xlfn.IFS(L235=1,"Clear / Partly Cloudy",L235=2,"Mist / Cloudy",L235=3,"Light Snow / Rain",L235=4,"Heavy Precipitation")</f>
        <v>Clear / Partly Cloudy</v>
      </c>
      <c r="N235" s="28">
        <v>0.14000000000000001</v>
      </c>
      <c r="O235" s="28" t="str">
        <f t="shared" si="23"/>
        <v>Cold</v>
      </c>
      <c r="P235" s="28">
        <v>0.1515</v>
      </c>
      <c r="Q235" s="38">
        <f t="shared" si="19"/>
        <v>0.1515</v>
      </c>
      <c r="R235" s="28">
        <v>0.59</v>
      </c>
      <c r="S235" s="28">
        <v>0.16420000000000001</v>
      </c>
      <c r="T235" s="40" t="str" cm="1">
        <f t="array" ref="T235">_xlfn.IFS(S235*18.6&lt;2,"Calm",S235*18.6&lt;6,"Light Breeze",S235*18.6&lt;14,"Gale",TRUE,"Extreme Storm")</f>
        <v>Light Breeze</v>
      </c>
      <c r="U235" s="28">
        <v>0</v>
      </c>
      <c r="V235" s="28">
        <v>18</v>
      </c>
      <c r="W235" s="28">
        <v>18</v>
      </c>
      <c r="X235" s="44">
        <f>AVERAGE(INDEX($W:$W,MAX(ROW($W$3),ROW()-23)):INDEX($W:$W,ROW()))</f>
        <v>55.041666666666664</v>
      </c>
      <c r="Y235" s="44">
        <f>_xlfn.STDEV.S(INDEX($W:$W,MAX(ROW($W$3),ROW()-23)):INDEX($W:$W,ROW()))</f>
        <v>54.437422523614146</v>
      </c>
      <c r="Z235" s="44">
        <f t="shared" si="20"/>
        <v>-0.68044490259616053</v>
      </c>
      <c r="AA235" s="40" t="b">
        <f t="shared" si="18"/>
        <v>0</v>
      </c>
    </row>
    <row r="236" spans="1:27" x14ac:dyDescent="0.3">
      <c r="A236" s="32">
        <v>234</v>
      </c>
      <c r="B236" s="33">
        <v>40554</v>
      </c>
      <c r="C236" s="40" t="str">
        <f t="shared" si="21"/>
        <v>Tuesday</v>
      </c>
      <c r="D236" s="28">
        <v>0</v>
      </c>
      <c r="E236" s="40" t="str" cm="1">
        <f t="array" ref="E236">_xlfn.IFS(D236&gt;=21,"Night",D236&gt;=17,"Evening",D236&gt;=12,"Midday",D236&gt;=6,"Morning", TRUE, "Night")</f>
        <v>Night</v>
      </c>
      <c r="F236" s="28">
        <v>1</v>
      </c>
      <c r="G236" s="28">
        <v>0</v>
      </c>
      <c r="H236" s="28">
        <v>1</v>
      </c>
      <c r="I236" s="28">
        <v>2</v>
      </c>
      <c r="J236" s="40" t="str">
        <f t="shared" si="22"/>
        <v>Weekday</v>
      </c>
      <c r="K236" s="28" t="b">
        <v>0</v>
      </c>
      <c r="L236" s="28">
        <v>1</v>
      </c>
      <c r="M236" s="40" t="str" cm="1">
        <f t="array" ref="M236">_xlfn.IFS(L236=1,"Clear / Partly Cloudy",L236=2,"Mist / Cloudy",L236=3,"Light Snow / Rain",L236=4,"Heavy Precipitation")</f>
        <v>Clear / Partly Cloudy</v>
      </c>
      <c r="N236" s="28">
        <v>0.14000000000000001</v>
      </c>
      <c r="O236" s="28" t="str">
        <f t="shared" si="23"/>
        <v>Cold</v>
      </c>
      <c r="P236" s="28">
        <v>0.16669999999999999</v>
      </c>
      <c r="Q236" s="38">
        <f t="shared" si="19"/>
        <v>0.16669999999999999</v>
      </c>
      <c r="R236" s="28">
        <v>0.59</v>
      </c>
      <c r="S236" s="28">
        <v>0.1045</v>
      </c>
      <c r="T236" s="40" t="str" cm="1">
        <f t="array" ref="T236">_xlfn.IFS(S236*18.6&lt;2,"Calm",S236*18.6&lt;6,"Light Breeze",S236*18.6&lt;14,"Gale",TRUE,"Extreme Storm")</f>
        <v>Calm</v>
      </c>
      <c r="U236" s="28">
        <v>2</v>
      </c>
      <c r="V236" s="28">
        <v>10</v>
      </c>
      <c r="W236" s="28">
        <v>12</v>
      </c>
      <c r="X236" s="44">
        <f>AVERAGE(INDEX($W:$W,MAX(ROW($W$3),ROW()-23)):INDEX($W:$W,ROW()))</f>
        <v>55.333333333333336</v>
      </c>
      <c r="Y236" s="44">
        <f>_xlfn.STDEV.S(INDEX($W:$W,MAX(ROW($W$3),ROW()-23)):INDEX($W:$W,ROW()))</f>
        <v>54.175774039266138</v>
      </c>
      <c r="Z236" s="44">
        <f t="shared" si="20"/>
        <v>-0.79986551372437631</v>
      </c>
      <c r="AA236" s="40" t="b">
        <f t="shared" si="18"/>
        <v>0</v>
      </c>
    </row>
    <row r="237" spans="1:27" x14ac:dyDescent="0.3">
      <c r="A237" s="32">
        <v>235</v>
      </c>
      <c r="B237" s="33">
        <v>40554</v>
      </c>
      <c r="C237" s="40" t="str">
        <f t="shared" si="21"/>
        <v>Tuesday</v>
      </c>
      <c r="D237" s="28">
        <v>1</v>
      </c>
      <c r="E237" s="40" t="str" cm="1">
        <f t="array" ref="E237">_xlfn.IFS(D237&gt;=21,"Night",D237&gt;=17,"Evening",D237&gt;=12,"Midday",D237&gt;=6,"Morning", TRUE, "Night")</f>
        <v>Night</v>
      </c>
      <c r="F237" s="28">
        <v>1</v>
      </c>
      <c r="G237" s="28">
        <v>0</v>
      </c>
      <c r="H237" s="28">
        <v>1</v>
      </c>
      <c r="I237" s="28">
        <v>2</v>
      </c>
      <c r="J237" s="40" t="str">
        <f t="shared" si="22"/>
        <v>Weekday</v>
      </c>
      <c r="K237" s="28" t="b">
        <v>0</v>
      </c>
      <c r="L237" s="28">
        <v>1</v>
      </c>
      <c r="M237" s="40" t="str" cm="1">
        <f t="array" ref="M237">_xlfn.IFS(L237=1,"Clear / Partly Cloudy",L237=2,"Mist / Cloudy",L237=3,"Light Snow / Rain",L237=4,"Heavy Precipitation")</f>
        <v>Clear / Partly Cloudy</v>
      </c>
      <c r="N237" s="28">
        <v>0.14000000000000001</v>
      </c>
      <c r="O237" s="28" t="str">
        <f t="shared" si="23"/>
        <v>Cold</v>
      </c>
      <c r="P237" s="28">
        <v>0.1515</v>
      </c>
      <c r="Q237" s="38">
        <f t="shared" si="19"/>
        <v>0.1515</v>
      </c>
      <c r="R237" s="28">
        <v>0.59</v>
      </c>
      <c r="S237" s="28">
        <v>0.16420000000000001</v>
      </c>
      <c r="T237" s="40" t="str" cm="1">
        <f t="array" ref="T237">_xlfn.IFS(S237*18.6&lt;2,"Calm",S237*18.6&lt;6,"Light Breeze",S237*18.6&lt;14,"Gale",TRUE,"Extreme Storm")</f>
        <v>Light Breeze</v>
      </c>
      <c r="U237" s="28">
        <v>0</v>
      </c>
      <c r="V237" s="28">
        <v>3</v>
      </c>
      <c r="W237" s="28">
        <v>3</v>
      </c>
      <c r="X237" s="44">
        <f>AVERAGE(INDEX($W:$W,MAX(ROW($W$3),ROW()-23)):INDEX($W:$W,ROW()))</f>
        <v>55.416666666666664</v>
      </c>
      <c r="Y237" s="44">
        <f>_xlfn.STDEV.S(INDEX($W:$W,MAX(ROW($W$3),ROW()-23)):INDEX($W:$W,ROW()))</f>
        <v>54.090034979263706</v>
      </c>
      <c r="Z237" s="44">
        <f t="shared" si="20"/>
        <v>-0.96906327915597479</v>
      </c>
      <c r="AA237" s="40" t="b">
        <f t="shared" si="18"/>
        <v>0</v>
      </c>
    </row>
    <row r="238" spans="1:27" x14ac:dyDescent="0.3">
      <c r="A238" s="32">
        <v>236</v>
      </c>
      <c r="B238" s="33">
        <v>40554</v>
      </c>
      <c r="C238" s="40" t="str">
        <f t="shared" si="21"/>
        <v>Tuesday</v>
      </c>
      <c r="D238" s="28">
        <v>2</v>
      </c>
      <c r="E238" s="40" t="str" cm="1">
        <f t="array" ref="E238">_xlfn.IFS(D238&gt;=21,"Night",D238&gt;=17,"Evening",D238&gt;=12,"Midday",D238&gt;=6,"Morning", TRUE, "Night")</f>
        <v>Night</v>
      </c>
      <c r="F238" s="28">
        <v>1</v>
      </c>
      <c r="G238" s="28">
        <v>0</v>
      </c>
      <c r="H238" s="28">
        <v>1</v>
      </c>
      <c r="I238" s="28">
        <v>2</v>
      </c>
      <c r="J238" s="40" t="str">
        <f t="shared" si="22"/>
        <v>Weekday</v>
      </c>
      <c r="K238" s="28" t="b">
        <v>0</v>
      </c>
      <c r="L238" s="28">
        <v>2</v>
      </c>
      <c r="M238" s="40" t="str" cm="1">
        <f t="array" ref="M238">_xlfn.IFS(L238=1,"Clear / Partly Cloudy",L238=2,"Mist / Cloudy",L238=3,"Light Snow / Rain",L238=4,"Heavy Precipitation")</f>
        <v>Mist / Cloudy</v>
      </c>
      <c r="N238" s="28">
        <v>0.16</v>
      </c>
      <c r="O238" s="28" t="str">
        <f t="shared" si="23"/>
        <v>Cold</v>
      </c>
      <c r="P238" s="28">
        <v>0.1515</v>
      </c>
      <c r="Q238" s="38">
        <f t="shared" si="19"/>
        <v>0.1515</v>
      </c>
      <c r="R238" s="28">
        <v>0.55000000000000004</v>
      </c>
      <c r="S238" s="28">
        <v>0.19400000000000001</v>
      </c>
      <c r="T238" s="40" t="str" cm="1">
        <f t="array" ref="T238">_xlfn.IFS(S238*18.6&lt;2,"Calm",S238*18.6&lt;6,"Light Breeze",S238*18.6&lt;14,"Gale",TRUE,"Extreme Storm")</f>
        <v>Light Breeze</v>
      </c>
      <c r="U238" s="28">
        <v>0</v>
      </c>
      <c r="V238" s="28">
        <v>3</v>
      </c>
      <c r="W238" s="28">
        <v>3</v>
      </c>
      <c r="X238" s="44">
        <f>AVERAGE(INDEX($W:$W,MAX(ROW($W$3),ROW()-23)):INDEX($W:$W,ROW()))</f>
        <v>55.416666666666664</v>
      </c>
      <c r="Y238" s="44">
        <f>_xlfn.STDEV.S(INDEX($W:$W,MAX(ROW($W$3),ROW()-23)):INDEX($W:$W,ROW()))</f>
        <v>54.090034979263706</v>
      </c>
      <c r="Z238" s="44">
        <f t="shared" si="20"/>
        <v>-0.96906327915597479</v>
      </c>
      <c r="AA238" s="40" t="b">
        <f t="shared" si="18"/>
        <v>0</v>
      </c>
    </row>
    <row r="239" spans="1:27" x14ac:dyDescent="0.3">
      <c r="A239" s="32">
        <v>237</v>
      </c>
      <c r="B239" s="33">
        <v>40554</v>
      </c>
      <c r="C239" s="40" t="str">
        <f t="shared" si="21"/>
        <v>Tuesday</v>
      </c>
      <c r="D239" s="28">
        <v>5</v>
      </c>
      <c r="E239" s="40" t="str" cm="1">
        <f t="array" ref="E239">_xlfn.IFS(D239&gt;=21,"Night",D239&gt;=17,"Evening",D239&gt;=12,"Midday",D239&gt;=6,"Morning", TRUE, "Night")</f>
        <v>Night</v>
      </c>
      <c r="F239" s="28">
        <v>1</v>
      </c>
      <c r="G239" s="28">
        <v>0</v>
      </c>
      <c r="H239" s="28">
        <v>1</v>
      </c>
      <c r="I239" s="28">
        <v>2</v>
      </c>
      <c r="J239" s="40" t="str">
        <f t="shared" si="22"/>
        <v>Weekday</v>
      </c>
      <c r="K239" s="28" t="b">
        <v>0</v>
      </c>
      <c r="L239" s="28">
        <v>2</v>
      </c>
      <c r="M239" s="40" t="str" cm="1">
        <f t="array" ref="M239">_xlfn.IFS(L239=1,"Clear / Partly Cloudy",L239=2,"Mist / Cloudy",L239=3,"Light Snow / Rain",L239=4,"Heavy Precipitation")</f>
        <v>Mist / Cloudy</v>
      </c>
      <c r="N239" s="28">
        <v>0.16</v>
      </c>
      <c r="O239" s="28" t="str">
        <f t="shared" si="23"/>
        <v>Cold</v>
      </c>
      <c r="P239" s="28">
        <v>0.18179999999999999</v>
      </c>
      <c r="Q239" s="38">
        <f t="shared" si="19"/>
        <v>0.18179999999999999</v>
      </c>
      <c r="R239" s="28">
        <v>0.55000000000000004</v>
      </c>
      <c r="S239" s="28">
        <v>0.1343</v>
      </c>
      <c r="T239" s="40" t="str" cm="1">
        <f t="array" ref="T239">_xlfn.IFS(S239*18.6&lt;2,"Calm",S239*18.6&lt;6,"Light Breeze",S239*18.6&lt;14,"Gale",TRUE,"Extreme Storm")</f>
        <v>Light Breeze</v>
      </c>
      <c r="U239" s="28">
        <v>0</v>
      </c>
      <c r="V239" s="28">
        <v>6</v>
      </c>
      <c r="W239" s="28">
        <v>6</v>
      </c>
      <c r="X239" s="44">
        <f>AVERAGE(INDEX($W:$W,MAX(ROW($W$3),ROW()-23)):INDEX($W:$W,ROW()))</f>
        <v>55.625</v>
      </c>
      <c r="Y239" s="44">
        <f>_xlfn.STDEV.S(INDEX($W:$W,MAX(ROW($W$3),ROW()-23)):INDEX($W:$W,ROW()))</f>
        <v>53.880554288488739</v>
      </c>
      <c r="Z239" s="44">
        <f t="shared" si="20"/>
        <v>-0.92101873589303607</v>
      </c>
      <c r="AA239" s="40" t="b">
        <f t="shared" si="18"/>
        <v>0</v>
      </c>
    </row>
    <row r="240" spans="1:27" x14ac:dyDescent="0.3">
      <c r="A240" s="32">
        <v>238</v>
      </c>
      <c r="B240" s="33">
        <v>40554</v>
      </c>
      <c r="C240" s="40" t="str">
        <f t="shared" si="21"/>
        <v>Tuesday</v>
      </c>
      <c r="D240" s="28">
        <v>6</v>
      </c>
      <c r="E240" s="40" t="str" cm="1">
        <f t="array" ref="E240">_xlfn.IFS(D240&gt;=21,"Night",D240&gt;=17,"Evening",D240&gt;=12,"Midday",D240&gt;=6,"Morning", TRUE, "Night")</f>
        <v>Morning</v>
      </c>
      <c r="F240" s="28">
        <v>1</v>
      </c>
      <c r="G240" s="28">
        <v>0</v>
      </c>
      <c r="H240" s="28">
        <v>1</v>
      </c>
      <c r="I240" s="28">
        <v>2</v>
      </c>
      <c r="J240" s="40" t="str">
        <f t="shared" si="22"/>
        <v>Weekday</v>
      </c>
      <c r="K240" s="28" t="b">
        <v>0</v>
      </c>
      <c r="L240" s="28">
        <v>2</v>
      </c>
      <c r="M240" s="40" t="str" cm="1">
        <f t="array" ref="M240">_xlfn.IFS(L240=1,"Clear / Partly Cloudy",L240=2,"Mist / Cloudy",L240=3,"Light Snow / Rain",L240=4,"Heavy Precipitation")</f>
        <v>Mist / Cloudy</v>
      </c>
      <c r="N240" s="28">
        <v>0.16</v>
      </c>
      <c r="O240" s="28" t="str">
        <f t="shared" si="23"/>
        <v>Cold</v>
      </c>
      <c r="P240" s="28">
        <v>0.18179999999999999</v>
      </c>
      <c r="Q240" s="38">
        <f t="shared" si="19"/>
        <v>0.18179999999999999</v>
      </c>
      <c r="R240" s="28">
        <v>0.55000000000000004</v>
      </c>
      <c r="S240" s="28">
        <v>0.1343</v>
      </c>
      <c r="T240" s="40" t="str" cm="1">
        <f t="array" ref="T240">_xlfn.IFS(S240*18.6&lt;2,"Calm",S240*18.6&lt;6,"Light Breeze",S240*18.6&lt;14,"Gale",TRUE,"Extreme Storm")</f>
        <v>Light Breeze</v>
      </c>
      <c r="U240" s="28">
        <v>0</v>
      </c>
      <c r="V240" s="28">
        <v>27</v>
      </c>
      <c r="W240" s="28">
        <v>27</v>
      </c>
      <c r="X240" s="44">
        <f>AVERAGE(INDEX($W:$W,MAX(ROW($W$3),ROW()-23)):INDEX($W:$W,ROW()))</f>
        <v>56.625</v>
      </c>
      <c r="Y240" s="44">
        <f>_xlfn.STDEV.S(INDEX($W:$W,MAX(ROW($W$3),ROW()-23)):INDEX($W:$W,ROW()))</f>
        <v>53.078131499500444</v>
      </c>
      <c r="Z240" s="44">
        <f t="shared" si="20"/>
        <v>-0.55813946653865953</v>
      </c>
      <c r="AA240" s="40" t="b">
        <f t="shared" si="18"/>
        <v>0</v>
      </c>
    </row>
    <row r="241" spans="1:27" x14ac:dyDescent="0.3">
      <c r="A241" s="32">
        <v>239</v>
      </c>
      <c r="B241" s="33">
        <v>40554</v>
      </c>
      <c r="C241" s="40" t="str">
        <f t="shared" si="21"/>
        <v>Tuesday</v>
      </c>
      <c r="D241" s="28">
        <v>7</v>
      </c>
      <c r="E241" s="40" t="str" cm="1">
        <f t="array" ref="E241">_xlfn.IFS(D241&gt;=21,"Night",D241&gt;=17,"Evening",D241&gt;=12,"Midday",D241&gt;=6,"Morning", TRUE, "Night")</f>
        <v>Morning</v>
      </c>
      <c r="F241" s="28">
        <v>1</v>
      </c>
      <c r="G241" s="28">
        <v>0</v>
      </c>
      <c r="H241" s="28">
        <v>1</v>
      </c>
      <c r="I241" s="28">
        <v>2</v>
      </c>
      <c r="J241" s="40" t="str">
        <f t="shared" si="22"/>
        <v>Weekday</v>
      </c>
      <c r="K241" s="28" t="b">
        <v>0</v>
      </c>
      <c r="L241" s="28">
        <v>2</v>
      </c>
      <c r="M241" s="40" t="str" cm="1">
        <f t="array" ref="M241">_xlfn.IFS(L241=1,"Clear / Partly Cloudy",L241=2,"Mist / Cloudy",L241=3,"Light Snow / Rain",L241=4,"Heavy Precipitation")</f>
        <v>Mist / Cloudy</v>
      </c>
      <c r="N241" s="28">
        <v>0.16</v>
      </c>
      <c r="O241" s="28" t="str">
        <f t="shared" si="23"/>
        <v>Cold</v>
      </c>
      <c r="P241" s="28">
        <v>0.2273</v>
      </c>
      <c r="Q241" s="38">
        <f t="shared" si="19"/>
        <v>0.2273</v>
      </c>
      <c r="R241" s="28">
        <v>0.55000000000000004</v>
      </c>
      <c r="S241" s="28">
        <v>0</v>
      </c>
      <c r="T241" s="40" t="str" cm="1">
        <f t="array" ref="T241">_xlfn.IFS(S241*18.6&lt;2,"Calm",S241*18.6&lt;6,"Light Breeze",S241*18.6&lt;14,"Gale",TRUE,"Extreme Storm")</f>
        <v>Calm</v>
      </c>
      <c r="U241" s="28">
        <v>2</v>
      </c>
      <c r="V241" s="28">
        <v>97</v>
      </c>
      <c r="W241" s="28">
        <v>99</v>
      </c>
      <c r="X241" s="44">
        <f>AVERAGE(INDEX($W:$W,MAX(ROW($W$3),ROW()-23)):INDEX($W:$W,ROW()))</f>
        <v>60.625</v>
      </c>
      <c r="Y241" s="44">
        <f>_xlfn.STDEV.S(INDEX($W:$W,MAX(ROW($W$3),ROW()-23)):INDEX($W:$W,ROW()))</f>
        <v>52.475097613679743</v>
      </c>
      <c r="Z241" s="44">
        <f t="shared" si="20"/>
        <v>0.73129925898405601</v>
      </c>
      <c r="AA241" s="40" t="b">
        <f t="shared" si="18"/>
        <v>0</v>
      </c>
    </row>
    <row r="242" spans="1:27" x14ac:dyDescent="0.3">
      <c r="A242" s="32">
        <v>240</v>
      </c>
      <c r="B242" s="33">
        <v>40554</v>
      </c>
      <c r="C242" s="40" t="str">
        <f t="shared" si="21"/>
        <v>Tuesday</v>
      </c>
      <c r="D242" s="28">
        <v>8</v>
      </c>
      <c r="E242" s="40" t="str" cm="1">
        <f t="array" ref="E242">_xlfn.IFS(D242&gt;=21,"Night",D242&gt;=17,"Evening",D242&gt;=12,"Midday",D242&gt;=6,"Morning", TRUE, "Night")</f>
        <v>Morning</v>
      </c>
      <c r="F242" s="28">
        <v>1</v>
      </c>
      <c r="G242" s="28">
        <v>0</v>
      </c>
      <c r="H242" s="28">
        <v>1</v>
      </c>
      <c r="I242" s="28">
        <v>2</v>
      </c>
      <c r="J242" s="40" t="str">
        <f t="shared" si="22"/>
        <v>Weekday</v>
      </c>
      <c r="K242" s="28" t="b">
        <v>0</v>
      </c>
      <c r="L242" s="28">
        <v>2</v>
      </c>
      <c r="M242" s="40" t="str" cm="1">
        <f t="array" ref="M242">_xlfn.IFS(L242=1,"Clear / Partly Cloudy",L242=2,"Mist / Cloudy",L242=3,"Light Snow / Rain",L242=4,"Heavy Precipitation")</f>
        <v>Mist / Cloudy</v>
      </c>
      <c r="N242" s="28">
        <v>0.18</v>
      </c>
      <c r="O242" s="28" t="str">
        <f t="shared" si="23"/>
        <v>Cold</v>
      </c>
      <c r="P242" s="28">
        <v>0.21210000000000001</v>
      </c>
      <c r="Q242" s="38">
        <f t="shared" si="19"/>
        <v>0.21210000000000001</v>
      </c>
      <c r="R242" s="28">
        <v>0.51</v>
      </c>
      <c r="S242" s="28">
        <v>8.9599999999999999E-2</v>
      </c>
      <c r="T242" s="40" t="str" cm="1">
        <f t="array" ref="T242">_xlfn.IFS(S242*18.6&lt;2,"Calm",S242*18.6&lt;6,"Light Breeze",S242*18.6&lt;14,"Gale",TRUE,"Extreme Storm")</f>
        <v>Calm</v>
      </c>
      <c r="U242" s="28">
        <v>3</v>
      </c>
      <c r="V242" s="28">
        <v>214</v>
      </c>
      <c r="W242" s="28">
        <v>217</v>
      </c>
      <c r="X242" s="44">
        <f>AVERAGE(INDEX($W:$W,MAX(ROW($W$3),ROW()-23)):INDEX($W:$W,ROW()))</f>
        <v>68.375</v>
      </c>
      <c r="Y242" s="44">
        <f>_xlfn.STDEV.S(INDEX($W:$W,MAX(ROW($W$3),ROW()-23)):INDEX($W:$W,ROW()))</f>
        <v>60.958868884290936</v>
      </c>
      <c r="Z242" s="44">
        <f t="shared" si="20"/>
        <v>2.4381193864031911</v>
      </c>
      <c r="AA242" s="40" t="b">
        <f t="shared" si="18"/>
        <v>0</v>
      </c>
    </row>
    <row r="243" spans="1:27" x14ac:dyDescent="0.3">
      <c r="A243" s="32">
        <v>241</v>
      </c>
      <c r="B243" s="33">
        <v>40554</v>
      </c>
      <c r="C243" s="40" t="str">
        <f t="shared" si="21"/>
        <v>Tuesday</v>
      </c>
      <c r="D243" s="28">
        <v>9</v>
      </c>
      <c r="E243" s="40" t="str" cm="1">
        <f t="array" ref="E243">_xlfn.IFS(D243&gt;=21,"Night",D243&gt;=17,"Evening",D243&gt;=12,"Midday",D243&gt;=6,"Morning", TRUE, "Night")</f>
        <v>Morning</v>
      </c>
      <c r="F243" s="28">
        <v>1</v>
      </c>
      <c r="G243" s="28">
        <v>0</v>
      </c>
      <c r="H243" s="28">
        <v>1</v>
      </c>
      <c r="I243" s="28">
        <v>2</v>
      </c>
      <c r="J243" s="40" t="str">
        <f t="shared" si="22"/>
        <v>Weekday</v>
      </c>
      <c r="K243" s="28" t="b">
        <v>0</v>
      </c>
      <c r="L243" s="28">
        <v>2</v>
      </c>
      <c r="M243" s="40" t="str" cm="1">
        <f t="array" ref="M243">_xlfn.IFS(L243=1,"Clear / Partly Cloudy",L243=2,"Mist / Cloudy",L243=3,"Light Snow / Rain",L243=4,"Heavy Precipitation")</f>
        <v>Mist / Cloudy</v>
      </c>
      <c r="N243" s="28">
        <v>0.18</v>
      </c>
      <c r="O243" s="28" t="str">
        <f t="shared" si="23"/>
        <v>Cold</v>
      </c>
      <c r="P243" s="28">
        <v>0.19700000000000001</v>
      </c>
      <c r="Q243" s="38">
        <f t="shared" si="19"/>
        <v>0.19700000000000001</v>
      </c>
      <c r="R243" s="28">
        <v>0.51</v>
      </c>
      <c r="S243" s="28">
        <v>0.16420000000000001</v>
      </c>
      <c r="T243" s="40" t="str" cm="1">
        <f t="array" ref="T243">_xlfn.IFS(S243*18.6&lt;2,"Calm",S243*18.6&lt;6,"Light Breeze",S243*18.6&lt;14,"Gale",TRUE,"Extreme Storm")</f>
        <v>Light Breeze</v>
      </c>
      <c r="U243" s="28">
        <v>3</v>
      </c>
      <c r="V243" s="28">
        <v>127</v>
      </c>
      <c r="W243" s="28">
        <v>130</v>
      </c>
      <c r="X243" s="44">
        <f>AVERAGE(INDEX($W:$W,MAX(ROW($W$3),ROW()-23)):INDEX($W:$W,ROW()))</f>
        <v>70.583333333333329</v>
      </c>
      <c r="Y243" s="44">
        <f>_xlfn.STDEV.S(INDEX($W:$W,MAX(ROW($W$3),ROW()-23)):INDEX($W:$W,ROW()))</f>
        <v>62.231626704745878</v>
      </c>
      <c r="Z243" s="44">
        <f t="shared" si="20"/>
        <v>0.95476640757866393</v>
      </c>
      <c r="AA243" s="40" t="b">
        <f t="shared" si="18"/>
        <v>0</v>
      </c>
    </row>
    <row r="244" spans="1:27" x14ac:dyDescent="0.3">
      <c r="A244" s="32">
        <v>242</v>
      </c>
      <c r="B244" s="33">
        <v>40554</v>
      </c>
      <c r="C244" s="40" t="str">
        <f t="shared" si="21"/>
        <v>Tuesday</v>
      </c>
      <c r="D244" s="28">
        <v>10</v>
      </c>
      <c r="E244" s="40" t="str" cm="1">
        <f t="array" ref="E244">_xlfn.IFS(D244&gt;=21,"Night",D244&gt;=17,"Evening",D244&gt;=12,"Midday",D244&gt;=6,"Morning", TRUE, "Night")</f>
        <v>Morning</v>
      </c>
      <c r="F244" s="28">
        <v>1</v>
      </c>
      <c r="G244" s="28">
        <v>0</v>
      </c>
      <c r="H244" s="28">
        <v>1</v>
      </c>
      <c r="I244" s="28">
        <v>2</v>
      </c>
      <c r="J244" s="40" t="str">
        <f t="shared" si="22"/>
        <v>Weekday</v>
      </c>
      <c r="K244" s="28" t="b">
        <v>0</v>
      </c>
      <c r="L244" s="28">
        <v>2</v>
      </c>
      <c r="M244" s="40" t="str" cm="1">
        <f t="array" ref="M244">_xlfn.IFS(L244=1,"Clear / Partly Cloudy",L244=2,"Mist / Cloudy",L244=3,"Light Snow / Rain",L244=4,"Heavy Precipitation")</f>
        <v>Mist / Cloudy</v>
      </c>
      <c r="N244" s="28">
        <v>0.2</v>
      </c>
      <c r="O244" s="28" t="str">
        <f t="shared" si="23"/>
        <v>Mild</v>
      </c>
      <c r="P244" s="28">
        <v>0.21210000000000001</v>
      </c>
      <c r="Q244" s="38">
        <f t="shared" si="19"/>
        <v>0.21210000000000001</v>
      </c>
      <c r="R244" s="28">
        <v>0.51</v>
      </c>
      <c r="S244" s="28">
        <v>0.16420000000000001</v>
      </c>
      <c r="T244" s="40" t="str" cm="1">
        <f t="array" ref="T244">_xlfn.IFS(S244*18.6&lt;2,"Calm",S244*18.6&lt;6,"Light Breeze",S244*18.6&lt;14,"Gale",TRUE,"Extreme Storm")</f>
        <v>Light Breeze</v>
      </c>
      <c r="U244" s="28">
        <v>3</v>
      </c>
      <c r="V244" s="28">
        <v>51</v>
      </c>
      <c r="W244" s="28">
        <v>54</v>
      </c>
      <c r="X244" s="44">
        <f>AVERAGE(INDEX($W:$W,MAX(ROW($W$3),ROW()-23)):INDEX($W:$W,ROW()))</f>
        <v>65</v>
      </c>
      <c r="Y244" s="44">
        <f>_xlfn.STDEV.S(INDEX($W:$W,MAX(ROW($W$3),ROW()-23)):INDEX($W:$W,ROW()))</f>
        <v>57.033171126070592</v>
      </c>
      <c r="Z244" s="44">
        <f t="shared" si="20"/>
        <v>-0.1928702153994688</v>
      </c>
      <c r="AA244" s="40" t="b">
        <f t="shared" si="18"/>
        <v>0</v>
      </c>
    </row>
    <row r="245" spans="1:27" x14ac:dyDescent="0.3">
      <c r="A245" s="32">
        <v>243</v>
      </c>
      <c r="B245" s="33">
        <v>40554</v>
      </c>
      <c r="C245" s="40" t="str">
        <f t="shared" si="21"/>
        <v>Tuesday</v>
      </c>
      <c r="D245" s="28">
        <v>11</v>
      </c>
      <c r="E245" s="40" t="str" cm="1">
        <f t="array" ref="E245">_xlfn.IFS(D245&gt;=21,"Night",D245&gt;=17,"Evening",D245&gt;=12,"Midday",D245&gt;=6,"Morning", TRUE, "Night")</f>
        <v>Morning</v>
      </c>
      <c r="F245" s="28">
        <v>1</v>
      </c>
      <c r="G245" s="28">
        <v>0</v>
      </c>
      <c r="H245" s="28">
        <v>1</v>
      </c>
      <c r="I245" s="28">
        <v>2</v>
      </c>
      <c r="J245" s="40" t="str">
        <f t="shared" si="22"/>
        <v>Weekday</v>
      </c>
      <c r="K245" s="28" t="b">
        <v>0</v>
      </c>
      <c r="L245" s="28">
        <v>2</v>
      </c>
      <c r="M245" s="40" t="str" cm="1">
        <f t="array" ref="M245">_xlfn.IFS(L245=1,"Clear / Partly Cloudy",L245=2,"Mist / Cloudy",L245=3,"Light Snow / Rain",L245=4,"Heavy Precipitation")</f>
        <v>Mist / Cloudy</v>
      </c>
      <c r="N245" s="28">
        <v>0.2</v>
      </c>
      <c r="O245" s="28" t="str">
        <f t="shared" si="23"/>
        <v>Mild</v>
      </c>
      <c r="P245" s="28">
        <v>0.21210000000000001</v>
      </c>
      <c r="Q245" s="38">
        <f t="shared" si="19"/>
        <v>0.21210000000000001</v>
      </c>
      <c r="R245" s="28">
        <v>0.47</v>
      </c>
      <c r="S245" s="28">
        <v>0.1343</v>
      </c>
      <c r="T245" s="40" t="str" cm="1">
        <f t="array" ref="T245">_xlfn.IFS(S245*18.6&lt;2,"Calm",S245*18.6&lt;6,"Light Breeze",S245*18.6&lt;14,"Gale",TRUE,"Extreme Storm")</f>
        <v>Light Breeze</v>
      </c>
      <c r="U245" s="28">
        <v>4</v>
      </c>
      <c r="V245" s="28">
        <v>31</v>
      </c>
      <c r="W245" s="28">
        <v>35</v>
      </c>
      <c r="X245" s="44">
        <f>AVERAGE(INDEX($W:$W,MAX(ROW($W$3),ROW()-23)):INDEX($W:$W,ROW()))</f>
        <v>62.541666666666664</v>
      </c>
      <c r="Y245" s="44">
        <f>_xlfn.STDEV.S(INDEX($W:$W,MAX(ROW($W$3),ROW()-23)):INDEX($W:$W,ROW()))</f>
        <v>57.000365495904205</v>
      </c>
      <c r="Z245" s="44">
        <f t="shared" si="20"/>
        <v>-0.48318403622597272</v>
      </c>
      <c r="AA245" s="40" t="b">
        <f t="shared" si="18"/>
        <v>0</v>
      </c>
    </row>
    <row r="246" spans="1:27" x14ac:dyDescent="0.3">
      <c r="A246" s="32">
        <v>244</v>
      </c>
      <c r="B246" s="33">
        <v>40554</v>
      </c>
      <c r="C246" s="40" t="str">
        <f t="shared" si="21"/>
        <v>Tuesday</v>
      </c>
      <c r="D246" s="28">
        <v>12</v>
      </c>
      <c r="E246" s="40" t="str" cm="1">
        <f t="array" ref="E246">_xlfn.IFS(D246&gt;=21,"Night",D246&gt;=17,"Evening",D246&gt;=12,"Midday",D246&gt;=6,"Morning", TRUE, "Night")</f>
        <v>Midday</v>
      </c>
      <c r="F246" s="28">
        <v>1</v>
      </c>
      <c r="G246" s="28">
        <v>0</v>
      </c>
      <c r="H246" s="28">
        <v>1</v>
      </c>
      <c r="I246" s="28">
        <v>2</v>
      </c>
      <c r="J246" s="40" t="str">
        <f t="shared" si="22"/>
        <v>Weekday</v>
      </c>
      <c r="K246" s="28" t="b">
        <v>0</v>
      </c>
      <c r="L246" s="28">
        <v>2</v>
      </c>
      <c r="M246" s="40" t="str" cm="1">
        <f t="array" ref="M246">_xlfn.IFS(L246=1,"Clear / Partly Cloudy",L246=2,"Mist / Cloudy",L246=3,"Light Snow / Rain",L246=4,"Heavy Precipitation")</f>
        <v>Mist / Cloudy</v>
      </c>
      <c r="N246" s="28">
        <v>0.2</v>
      </c>
      <c r="O246" s="28" t="str">
        <f t="shared" si="23"/>
        <v>Mild</v>
      </c>
      <c r="P246" s="28">
        <v>0.2273</v>
      </c>
      <c r="Q246" s="38">
        <f t="shared" si="19"/>
        <v>0.2273</v>
      </c>
      <c r="R246" s="28">
        <v>0.51</v>
      </c>
      <c r="S246" s="28">
        <v>0.1045</v>
      </c>
      <c r="T246" s="40" t="str" cm="1">
        <f t="array" ref="T246">_xlfn.IFS(S246*18.6&lt;2,"Calm",S246*18.6&lt;6,"Light Breeze",S246*18.6&lt;14,"Gale",TRUE,"Extreme Storm")</f>
        <v>Calm</v>
      </c>
      <c r="U246" s="28">
        <v>2</v>
      </c>
      <c r="V246" s="28">
        <v>55</v>
      </c>
      <c r="W246" s="28">
        <v>57</v>
      </c>
      <c r="X246" s="44">
        <f>AVERAGE(INDEX($W:$W,MAX(ROW($W$3),ROW()-23)):INDEX($W:$W,ROW()))</f>
        <v>63.625</v>
      </c>
      <c r="Y246" s="44">
        <f>_xlfn.STDEV.S(INDEX($W:$W,MAX(ROW($W$3),ROW()-23)):INDEX($W:$W,ROW()))</f>
        <v>56.620638808922273</v>
      </c>
      <c r="Z246" s="44">
        <f t="shared" si="20"/>
        <v>-0.11700680422129101</v>
      </c>
      <c r="AA246" s="40" t="b">
        <f t="shared" si="18"/>
        <v>0</v>
      </c>
    </row>
    <row r="247" spans="1:27" x14ac:dyDescent="0.3">
      <c r="A247" s="32">
        <v>245</v>
      </c>
      <c r="B247" s="33">
        <v>40554</v>
      </c>
      <c r="C247" s="40" t="str">
        <f t="shared" si="21"/>
        <v>Tuesday</v>
      </c>
      <c r="D247" s="28">
        <v>13</v>
      </c>
      <c r="E247" s="40" t="str" cm="1">
        <f t="array" ref="E247">_xlfn.IFS(D247&gt;=21,"Night",D247&gt;=17,"Evening",D247&gt;=12,"Midday",D247&gt;=6,"Morning", TRUE, "Night")</f>
        <v>Midday</v>
      </c>
      <c r="F247" s="28">
        <v>1</v>
      </c>
      <c r="G247" s="28">
        <v>0</v>
      </c>
      <c r="H247" s="28">
        <v>1</v>
      </c>
      <c r="I247" s="28">
        <v>2</v>
      </c>
      <c r="J247" s="40" t="str">
        <f t="shared" si="22"/>
        <v>Weekday</v>
      </c>
      <c r="K247" s="28" t="b">
        <v>0</v>
      </c>
      <c r="L247" s="28">
        <v>2</v>
      </c>
      <c r="M247" s="40" t="str" cm="1">
        <f t="array" ref="M247">_xlfn.IFS(L247=1,"Clear / Partly Cloudy",L247=2,"Mist / Cloudy",L247=3,"Light Snow / Rain",L247=4,"Heavy Precipitation")</f>
        <v>Mist / Cloudy</v>
      </c>
      <c r="N247" s="28">
        <v>0.2</v>
      </c>
      <c r="O247" s="28" t="str">
        <f t="shared" si="23"/>
        <v>Mild</v>
      </c>
      <c r="P247" s="28">
        <v>0.2273</v>
      </c>
      <c r="Q247" s="38">
        <f t="shared" si="19"/>
        <v>0.2273</v>
      </c>
      <c r="R247" s="28">
        <v>0.59</v>
      </c>
      <c r="S247" s="28">
        <v>8.9599999999999999E-2</v>
      </c>
      <c r="T247" s="40" t="str" cm="1">
        <f t="array" ref="T247">_xlfn.IFS(S247*18.6&lt;2,"Calm",S247*18.6&lt;6,"Light Breeze",S247*18.6&lt;14,"Gale",TRUE,"Extreme Storm")</f>
        <v>Calm</v>
      </c>
      <c r="U247" s="28">
        <v>6</v>
      </c>
      <c r="V247" s="28">
        <v>46</v>
      </c>
      <c r="W247" s="28">
        <v>52</v>
      </c>
      <c r="X247" s="44">
        <f>AVERAGE(INDEX($W:$W,MAX(ROW($W$3),ROW()-23)):INDEX($W:$W,ROW()))</f>
        <v>64.541666666666671</v>
      </c>
      <c r="Y247" s="44">
        <f>_xlfn.STDEV.S(INDEX($W:$W,MAX(ROW($W$3),ROW()-23)):INDEX($W:$W,ROW()))</f>
        <v>56.229327924496658</v>
      </c>
      <c r="Z247" s="44">
        <f t="shared" si="20"/>
        <v>-0.22304493277080084</v>
      </c>
      <c r="AA247" s="40" t="b">
        <f t="shared" si="18"/>
        <v>0</v>
      </c>
    </row>
    <row r="248" spans="1:27" x14ac:dyDescent="0.3">
      <c r="A248" s="32">
        <v>246</v>
      </c>
      <c r="B248" s="33">
        <v>40554</v>
      </c>
      <c r="C248" s="40" t="str">
        <f t="shared" si="21"/>
        <v>Tuesday</v>
      </c>
      <c r="D248" s="28">
        <v>14</v>
      </c>
      <c r="E248" s="40" t="str" cm="1">
        <f t="array" ref="E248">_xlfn.IFS(D248&gt;=21,"Night",D248&gt;=17,"Evening",D248&gt;=12,"Midday",D248&gt;=6,"Morning", TRUE, "Night")</f>
        <v>Midday</v>
      </c>
      <c r="F248" s="28">
        <v>1</v>
      </c>
      <c r="G248" s="28">
        <v>0</v>
      </c>
      <c r="H248" s="28">
        <v>1</v>
      </c>
      <c r="I248" s="28">
        <v>2</v>
      </c>
      <c r="J248" s="40" t="str">
        <f t="shared" si="22"/>
        <v>Weekday</v>
      </c>
      <c r="K248" s="28" t="b">
        <v>0</v>
      </c>
      <c r="L248" s="28">
        <v>2</v>
      </c>
      <c r="M248" s="40" t="str" cm="1">
        <f t="array" ref="M248">_xlfn.IFS(L248=1,"Clear / Partly Cloudy",L248=2,"Mist / Cloudy",L248=3,"Light Snow / Rain",L248=4,"Heavy Precipitation")</f>
        <v>Mist / Cloudy</v>
      </c>
      <c r="N248" s="28">
        <v>0.2</v>
      </c>
      <c r="O248" s="28" t="str">
        <f t="shared" si="23"/>
        <v>Mild</v>
      </c>
      <c r="P248" s="28">
        <v>0.2273</v>
      </c>
      <c r="Q248" s="38">
        <f t="shared" si="19"/>
        <v>0.2273</v>
      </c>
      <c r="R248" s="28">
        <v>0.59</v>
      </c>
      <c r="S248" s="28">
        <v>8.9599999999999999E-2</v>
      </c>
      <c r="T248" s="40" t="str" cm="1">
        <f t="array" ref="T248">_xlfn.IFS(S248*18.6&lt;2,"Calm",S248*18.6&lt;6,"Light Breeze",S248*18.6&lt;14,"Gale",TRUE,"Extreme Storm")</f>
        <v>Calm</v>
      </c>
      <c r="U248" s="28">
        <v>3</v>
      </c>
      <c r="V248" s="28">
        <v>60</v>
      </c>
      <c r="W248" s="28">
        <v>63</v>
      </c>
      <c r="X248" s="44">
        <f>AVERAGE(INDEX($W:$W,MAX(ROW($W$3),ROW()-23)):INDEX($W:$W,ROW()))</f>
        <v>65</v>
      </c>
      <c r="Y248" s="44">
        <f>_xlfn.STDEV.S(INDEX($W:$W,MAX(ROW($W$3),ROW()-23)):INDEX($W:$W,ROW()))</f>
        <v>56.167451506149469</v>
      </c>
      <c r="Z248" s="44">
        <f t="shared" si="20"/>
        <v>-3.5607811043038527E-2</v>
      </c>
      <c r="AA248" s="40" t="b">
        <f t="shared" si="18"/>
        <v>0</v>
      </c>
    </row>
    <row r="249" spans="1:27" x14ac:dyDescent="0.3">
      <c r="A249" s="32">
        <v>247</v>
      </c>
      <c r="B249" s="33">
        <v>40554</v>
      </c>
      <c r="C249" s="40" t="str">
        <f t="shared" si="21"/>
        <v>Tuesday</v>
      </c>
      <c r="D249" s="28">
        <v>15</v>
      </c>
      <c r="E249" s="40" t="str" cm="1">
        <f t="array" ref="E249">_xlfn.IFS(D249&gt;=21,"Night",D249&gt;=17,"Evening",D249&gt;=12,"Midday",D249&gt;=6,"Morning", TRUE, "Night")</f>
        <v>Midday</v>
      </c>
      <c r="F249" s="28">
        <v>1</v>
      </c>
      <c r="G249" s="28">
        <v>0</v>
      </c>
      <c r="H249" s="28">
        <v>1</v>
      </c>
      <c r="I249" s="28">
        <v>2</v>
      </c>
      <c r="J249" s="40" t="str">
        <f t="shared" si="22"/>
        <v>Weekday</v>
      </c>
      <c r="K249" s="28" t="b">
        <v>0</v>
      </c>
      <c r="L249" s="28">
        <v>2</v>
      </c>
      <c r="M249" s="40" t="str" cm="1">
        <f t="array" ref="M249">_xlfn.IFS(L249=1,"Clear / Partly Cloudy",L249=2,"Mist / Cloudy",L249=3,"Light Snow / Rain",L249=4,"Heavy Precipitation")</f>
        <v>Mist / Cloudy</v>
      </c>
      <c r="N249" s="28">
        <v>0.16</v>
      </c>
      <c r="O249" s="28" t="str">
        <f t="shared" si="23"/>
        <v>Cold</v>
      </c>
      <c r="P249" s="28">
        <v>0.19700000000000001</v>
      </c>
      <c r="Q249" s="38">
        <f t="shared" si="19"/>
        <v>0.19700000000000001</v>
      </c>
      <c r="R249" s="28">
        <v>0.8</v>
      </c>
      <c r="S249" s="28">
        <v>8.9599999999999999E-2</v>
      </c>
      <c r="T249" s="40" t="str" cm="1">
        <f t="array" ref="T249">_xlfn.IFS(S249*18.6&lt;2,"Calm",S249*18.6&lt;6,"Light Breeze",S249*18.6&lt;14,"Gale",TRUE,"Extreme Storm")</f>
        <v>Calm</v>
      </c>
      <c r="U249" s="28">
        <v>2</v>
      </c>
      <c r="V249" s="28">
        <v>45</v>
      </c>
      <c r="W249" s="28">
        <v>47</v>
      </c>
      <c r="X249" s="44">
        <f>AVERAGE(INDEX($W:$W,MAX(ROW($W$3),ROW()-23)):INDEX($W:$W,ROW()))</f>
        <v>64.708333333333329</v>
      </c>
      <c r="Y249" s="44">
        <f>_xlfn.STDEV.S(INDEX($W:$W,MAX(ROW($W$3),ROW()-23)):INDEX($W:$W,ROW()))</f>
        <v>56.245176926881754</v>
      </c>
      <c r="Z249" s="44">
        <f t="shared" si="20"/>
        <v>-0.31484181046054865</v>
      </c>
      <c r="AA249" s="40" t="b">
        <f t="shared" si="18"/>
        <v>0</v>
      </c>
    </row>
    <row r="250" spans="1:27" x14ac:dyDescent="0.3">
      <c r="A250" s="32">
        <v>248</v>
      </c>
      <c r="B250" s="33">
        <v>40554</v>
      </c>
      <c r="C250" s="40" t="str">
        <f t="shared" si="21"/>
        <v>Tuesday</v>
      </c>
      <c r="D250" s="28">
        <v>16</v>
      </c>
      <c r="E250" s="40" t="str" cm="1">
        <f t="array" ref="E250">_xlfn.IFS(D250&gt;=21,"Night",D250&gt;=17,"Evening",D250&gt;=12,"Midday",D250&gt;=6,"Morning", TRUE, "Night")</f>
        <v>Midday</v>
      </c>
      <c r="F250" s="28">
        <v>1</v>
      </c>
      <c r="G250" s="28">
        <v>0</v>
      </c>
      <c r="H250" s="28">
        <v>1</v>
      </c>
      <c r="I250" s="28">
        <v>2</v>
      </c>
      <c r="J250" s="40" t="str">
        <f t="shared" si="22"/>
        <v>Weekday</v>
      </c>
      <c r="K250" s="28" t="b">
        <v>0</v>
      </c>
      <c r="L250" s="28">
        <v>2</v>
      </c>
      <c r="M250" s="40" t="str" cm="1">
        <f t="array" ref="M250">_xlfn.IFS(L250=1,"Clear / Partly Cloudy",L250=2,"Mist / Cloudy",L250=3,"Light Snow / Rain",L250=4,"Heavy Precipitation")</f>
        <v>Mist / Cloudy</v>
      </c>
      <c r="N250" s="28">
        <v>0.16</v>
      </c>
      <c r="O250" s="28" t="str">
        <f t="shared" si="23"/>
        <v>Cold</v>
      </c>
      <c r="P250" s="28">
        <v>0.1515</v>
      </c>
      <c r="Q250" s="38">
        <f t="shared" si="19"/>
        <v>0.1515</v>
      </c>
      <c r="R250" s="28">
        <v>0.86</v>
      </c>
      <c r="S250" s="28">
        <v>0.22389999999999999</v>
      </c>
      <c r="T250" s="40" t="str" cm="1">
        <f t="array" ref="T250">_xlfn.IFS(S250*18.6&lt;2,"Calm",S250*18.6&lt;6,"Light Breeze",S250*18.6&lt;14,"Gale",TRUE,"Extreme Storm")</f>
        <v>Light Breeze</v>
      </c>
      <c r="U250" s="28">
        <v>4</v>
      </c>
      <c r="V250" s="28">
        <v>72</v>
      </c>
      <c r="W250" s="28">
        <v>76</v>
      </c>
      <c r="X250" s="44">
        <f>AVERAGE(INDEX($W:$W,MAX(ROW($W$3),ROW()-23)):INDEX($W:$W,ROW()))</f>
        <v>65.916666666666671</v>
      </c>
      <c r="Y250" s="44">
        <f>_xlfn.STDEV.S(INDEX($W:$W,MAX(ROW($W$3),ROW()-23)):INDEX($W:$W,ROW()))</f>
        <v>56.159645628346418</v>
      </c>
      <c r="Z250" s="44">
        <f t="shared" si="20"/>
        <v>0.17954766666554242</v>
      </c>
      <c r="AA250" s="40" t="b">
        <f t="shared" si="18"/>
        <v>0</v>
      </c>
    </row>
    <row r="251" spans="1:27" x14ac:dyDescent="0.3">
      <c r="A251" s="32">
        <v>249</v>
      </c>
      <c r="B251" s="33">
        <v>40554</v>
      </c>
      <c r="C251" s="40" t="str">
        <f t="shared" si="21"/>
        <v>Tuesday</v>
      </c>
      <c r="D251" s="28">
        <v>17</v>
      </c>
      <c r="E251" s="40" t="str" cm="1">
        <f t="array" ref="E251">_xlfn.IFS(D251&gt;=21,"Night",D251&gt;=17,"Evening",D251&gt;=12,"Midday",D251&gt;=6,"Morning", TRUE, "Night")</f>
        <v>Evening</v>
      </c>
      <c r="F251" s="28">
        <v>1</v>
      </c>
      <c r="G251" s="28">
        <v>0</v>
      </c>
      <c r="H251" s="28">
        <v>1</v>
      </c>
      <c r="I251" s="28">
        <v>2</v>
      </c>
      <c r="J251" s="40" t="str">
        <f t="shared" si="22"/>
        <v>Weekday</v>
      </c>
      <c r="K251" s="28" t="b">
        <v>0</v>
      </c>
      <c r="L251" s="28">
        <v>2</v>
      </c>
      <c r="M251" s="40" t="str" cm="1">
        <f t="array" ref="M251">_xlfn.IFS(L251=1,"Clear / Partly Cloudy",L251=2,"Mist / Cloudy",L251=3,"Light Snow / Rain",L251=4,"Heavy Precipitation")</f>
        <v>Mist / Cloudy</v>
      </c>
      <c r="N251" s="28">
        <v>0.16</v>
      </c>
      <c r="O251" s="28" t="str">
        <f t="shared" si="23"/>
        <v>Cold</v>
      </c>
      <c r="P251" s="28">
        <v>0.1515</v>
      </c>
      <c r="Q251" s="38">
        <f t="shared" si="19"/>
        <v>0.1515</v>
      </c>
      <c r="R251" s="28">
        <v>0.86</v>
      </c>
      <c r="S251" s="28">
        <v>0.22389999999999999</v>
      </c>
      <c r="T251" s="40" t="str" cm="1">
        <f t="array" ref="T251">_xlfn.IFS(S251*18.6&lt;2,"Calm",S251*18.6&lt;6,"Light Breeze",S251*18.6&lt;14,"Gale",TRUE,"Extreme Storm")</f>
        <v>Light Breeze</v>
      </c>
      <c r="U251" s="28">
        <v>6</v>
      </c>
      <c r="V251" s="28">
        <v>130</v>
      </c>
      <c r="W251" s="28">
        <v>136</v>
      </c>
      <c r="X251" s="44">
        <f>AVERAGE(INDEX($W:$W,MAX(ROW($W$3),ROW()-23)):INDEX($W:$W,ROW()))</f>
        <v>69.708333333333329</v>
      </c>
      <c r="Y251" s="44">
        <f>_xlfn.STDEV.S(INDEX($W:$W,MAX(ROW($W$3),ROW()-23)):INDEX($W:$W,ROW()))</f>
        <v>57.735889800145046</v>
      </c>
      <c r="Z251" s="44">
        <f t="shared" si="20"/>
        <v>1.1481881875578219</v>
      </c>
      <c r="AA251" s="40" t="b">
        <f t="shared" si="18"/>
        <v>0</v>
      </c>
    </row>
    <row r="252" spans="1:27" x14ac:dyDescent="0.3">
      <c r="A252" s="32">
        <v>250</v>
      </c>
      <c r="B252" s="33">
        <v>40554</v>
      </c>
      <c r="C252" s="40" t="str">
        <f t="shared" si="21"/>
        <v>Tuesday</v>
      </c>
      <c r="D252" s="28">
        <v>18</v>
      </c>
      <c r="E252" s="40" t="str" cm="1">
        <f t="array" ref="E252">_xlfn.IFS(D252&gt;=21,"Night",D252&gt;=17,"Evening",D252&gt;=12,"Midday",D252&gt;=6,"Morning", TRUE, "Night")</f>
        <v>Evening</v>
      </c>
      <c r="F252" s="28">
        <v>1</v>
      </c>
      <c r="G252" s="28">
        <v>0</v>
      </c>
      <c r="H252" s="28">
        <v>1</v>
      </c>
      <c r="I252" s="28">
        <v>2</v>
      </c>
      <c r="J252" s="40" t="str">
        <f t="shared" si="22"/>
        <v>Weekday</v>
      </c>
      <c r="K252" s="28" t="b">
        <v>0</v>
      </c>
      <c r="L252" s="28">
        <v>3</v>
      </c>
      <c r="M252" s="40" t="str" cm="1">
        <f t="array" ref="M252">_xlfn.IFS(L252=1,"Clear / Partly Cloudy",L252=2,"Mist / Cloudy",L252=3,"Light Snow / Rain",L252=4,"Heavy Precipitation")</f>
        <v>Light Snow / Rain</v>
      </c>
      <c r="N252" s="28">
        <v>0.16</v>
      </c>
      <c r="O252" s="28" t="str">
        <f t="shared" si="23"/>
        <v>Cold</v>
      </c>
      <c r="P252" s="28">
        <v>0.18179999999999999</v>
      </c>
      <c r="Q252" s="38">
        <f t="shared" si="19"/>
        <v>0.18179999999999999</v>
      </c>
      <c r="R252" s="28">
        <v>0.93</v>
      </c>
      <c r="S252" s="28">
        <v>0.1045</v>
      </c>
      <c r="T252" s="40" t="str" cm="1">
        <f t="array" ref="T252">_xlfn.IFS(S252*18.6&lt;2,"Calm",S252*18.6&lt;6,"Light Breeze",S252*18.6&lt;14,"Gale",TRUE,"Extreme Storm")</f>
        <v>Calm</v>
      </c>
      <c r="U252" s="28">
        <v>1</v>
      </c>
      <c r="V252" s="28">
        <v>94</v>
      </c>
      <c r="W252" s="28">
        <v>95</v>
      </c>
      <c r="X252" s="44">
        <f>AVERAGE(INDEX($W:$W,MAX(ROW($W$3),ROW()-23)):INDEX($W:$W,ROW()))</f>
        <v>70.583333333333329</v>
      </c>
      <c r="Y252" s="44">
        <f>_xlfn.STDEV.S(INDEX($W:$W,MAX(ROW($W$3),ROW()-23)):INDEX($W:$W,ROW()))</f>
        <v>57.962444112858385</v>
      </c>
      <c r="Z252" s="44">
        <f t="shared" si="20"/>
        <v>0.42124977716821432</v>
      </c>
      <c r="AA252" s="40" t="b">
        <f t="shared" si="18"/>
        <v>0</v>
      </c>
    </row>
    <row r="253" spans="1:27" x14ac:dyDescent="0.3">
      <c r="A253" s="32">
        <v>251</v>
      </c>
      <c r="B253" s="33">
        <v>40554</v>
      </c>
      <c r="C253" s="40" t="str">
        <f t="shared" si="21"/>
        <v>Tuesday</v>
      </c>
      <c r="D253" s="28">
        <v>19</v>
      </c>
      <c r="E253" s="40" t="str" cm="1">
        <f t="array" ref="E253">_xlfn.IFS(D253&gt;=21,"Night",D253&gt;=17,"Evening",D253&gt;=12,"Midday",D253&gt;=6,"Morning", TRUE, "Night")</f>
        <v>Evening</v>
      </c>
      <c r="F253" s="28">
        <v>1</v>
      </c>
      <c r="G253" s="28">
        <v>0</v>
      </c>
      <c r="H253" s="28">
        <v>1</v>
      </c>
      <c r="I253" s="28">
        <v>2</v>
      </c>
      <c r="J253" s="40" t="str">
        <f t="shared" si="22"/>
        <v>Weekday</v>
      </c>
      <c r="K253" s="28" t="b">
        <v>0</v>
      </c>
      <c r="L253" s="28">
        <v>3</v>
      </c>
      <c r="M253" s="40" t="str" cm="1">
        <f t="array" ref="M253">_xlfn.IFS(L253=1,"Clear / Partly Cloudy",L253=2,"Mist / Cloudy",L253=3,"Light Snow / Rain",L253=4,"Heavy Precipitation")</f>
        <v>Light Snow / Rain</v>
      </c>
      <c r="N253" s="28">
        <v>0.16</v>
      </c>
      <c r="O253" s="28" t="str">
        <f t="shared" si="23"/>
        <v>Cold</v>
      </c>
      <c r="P253" s="28">
        <v>0.2273</v>
      </c>
      <c r="Q253" s="38">
        <f t="shared" si="19"/>
        <v>0.2273</v>
      </c>
      <c r="R253" s="28">
        <v>0.93</v>
      </c>
      <c r="S253" s="28">
        <v>0</v>
      </c>
      <c r="T253" s="40" t="str" cm="1">
        <f t="array" ref="T253">_xlfn.IFS(S253*18.6&lt;2,"Calm",S253*18.6&lt;6,"Light Breeze",S253*18.6&lt;14,"Gale",TRUE,"Extreme Storm")</f>
        <v>Calm</v>
      </c>
      <c r="U253" s="28">
        <v>0</v>
      </c>
      <c r="V253" s="28">
        <v>51</v>
      </c>
      <c r="W253" s="28">
        <v>51</v>
      </c>
      <c r="X253" s="44">
        <f>AVERAGE(INDEX($W:$W,MAX(ROW($W$3),ROW()-23)):INDEX($W:$W,ROW()))</f>
        <v>65.291666666666671</v>
      </c>
      <c r="Y253" s="44">
        <f>_xlfn.STDEV.S(INDEX($W:$W,MAX(ROW($W$3),ROW()-23)):INDEX($W:$W,ROW()))</f>
        <v>53.342599964891967</v>
      </c>
      <c r="Z253" s="44">
        <f t="shared" si="20"/>
        <v>-0.26792219869434358</v>
      </c>
      <c r="AA253" s="40" t="b">
        <f t="shared" si="18"/>
        <v>0</v>
      </c>
    </row>
    <row r="254" spans="1:27" x14ac:dyDescent="0.3">
      <c r="A254" s="32">
        <v>252</v>
      </c>
      <c r="B254" s="33">
        <v>40554</v>
      </c>
      <c r="C254" s="40" t="str">
        <f t="shared" si="21"/>
        <v>Tuesday</v>
      </c>
      <c r="D254" s="28">
        <v>20</v>
      </c>
      <c r="E254" s="40" t="str" cm="1">
        <f t="array" ref="E254">_xlfn.IFS(D254&gt;=21,"Night",D254&gt;=17,"Evening",D254&gt;=12,"Midday",D254&gt;=6,"Morning", TRUE, "Night")</f>
        <v>Evening</v>
      </c>
      <c r="F254" s="28">
        <v>1</v>
      </c>
      <c r="G254" s="28">
        <v>0</v>
      </c>
      <c r="H254" s="28">
        <v>1</v>
      </c>
      <c r="I254" s="28">
        <v>2</v>
      </c>
      <c r="J254" s="40" t="str">
        <f t="shared" si="22"/>
        <v>Weekday</v>
      </c>
      <c r="K254" s="28" t="b">
        <v>0</v>
      </c>
      <c r="L254" s="28">
        <v>3</v>
      </c>
      <c r="M254" s="40" t="str" cm="1">
        <f t="array" ref="M254">_xlfn.IFS(L254=1,"Clear / Partly Cloudy",L254=2,"Mist / Cloudy",L254=3,"Light Snow / Rain",L254=4,"Heavy Precipitation")</f>
        <v>Light Snow / Rain</v>
      </c>
      <c r="N254" s="28">
        <v>0.16</v>
      </c>
      <c r="O254" s="28" t="str">
        <f t="shared" si="23"/>
        <v>Cold</v>
      </c>
      <c r="P254" s="28">
        <v>0.1515</v>
      </c>
      <c r="Q254" s="38">
        <f t="shared" si="19"/>
        <v>0.1515</v>
      </c>
      <c r="R254" s="28">
        <v>0.93</v>
      </c>
      <c r="S254" s="28">
        <v>0.19400000000000001</v>
      </c>
      <c r="T254" s="40" t="str" cm="1">
        <f t="array" ref="T254">_xlfn.IFS(S254*18.6&lt;2,"Calm",S254*18.6&lt;6,"Light Breeze",S254*18.6&lt;14,"Gale",TRUE,"Extreme Storm")</f>
        <v>Light Breeze</v>
      </c>
      <c r="U254" s="28">
        <v>0</v>
      </c>
      <c r="V254" s="28">
        <v>32</v>
      </c>
      <c r="W254" s="28">
        <v>32</v>
      </c>
      <c r="X254" s="44">
        <f>AVERAGE(INDEX($W:$W,MAX(ROW($W$3),ROW()-23)):INDEX($W:$W,ROW()))</f>
        <v>60.166666666666664</v>
      </c>
      <c r="Y254" s="44">
        <f>_xlfn.STDEV.S(INDEX($W:$W,MAX(ROW($W$3),ROW()-23)):INDEX($W:$W,ROW()))</f>
        <v>50.162922966865779</v>
      </c>
      <c r="Z254" s="44">
        <f t="shared" si="20"/>
        <v>-0.5615036963709561</v>
      </c>
      <c r="AA254" s="40" t="b">
        <f t="shared" si="18"/>
        <v>0</v>
      </c>
    </row>
    <row r="255" spans="1:27" x14ac:dyDescent="0.3">
      <c r="A255" s="32">
        <v>253</v>
      </c>
      <c r="B255" s="33">
        <v>40554</v>
      </c>
      <c r="C255" s="40" t="str">
        <f t="shared" si="21"/>
        <v>Tuesday</v>
      </c>
      <c r="D255" s="28">
        <v>21</v>
      </c>
      <c r="E255" s="40" t="str" cm="1">
        <f t="array" ref="E255">_xlfn.IFS(D255&gt;=21,"Night",D255&gt;=17,"Evening",D255&gt;=12,"Midday",D255&gt;=6,"Morning", TRUE, "Night")</f>
        <v>Night</v>
      </c>
      <c r="F255" s="28">
        <v>1</v>
      </c>
      <c r="G255" s="28">
        <v>0</v>
      </c>
      <c r="H255" s="28">
        <v>1</v>
      </c>
      <c r="I255" s="28">
        <v>2</v>
      </c>
      <c r="J255" s="40" t="str">
        <f t="shared" si="22"/>
        <v>Weekday</v>
      </c>
      <c r="K255" s="28" t="b">
        <v>0</v>
      </c>
      <c r="L255" s="28">
        <v>3</v>
      </c>
      <c r="M255" s="40" t="str" cm="1">
        <f t="array" ref="M255">_xlfn.IFS(L255=1,"Clear / Partly Cloudy",L255=2,"Mist / Cloudy",L255=3,"Light Snow / Rain",L255=4,"Heavy Precipitation")</f>
        <v>Light Snow / Rain</v>
      </c>
      <c r="N255" s="28">
        <v>0.16</v>
      </c>
      <c r="O255" s="28" t="str">
        <f t="shared" si="23"/>
        <v>Cold</v>
      </c>
      <c r="P255" s="28">
        <v>0.19700000000000001</v>
      </c>
      <c r="Q255" s="38">
        <f t="shared" si="19"/>
        <v>0.19700000000000001</v>
      </c>
      <c r="R255" s="28">
        <v>0.86</v>
      </c>
      <c r="S255" s="28">
        <v>8.9599999999999999E-2</v>
      </c>
      <c r="T255" s="40" t="str" cm="1">
        <f t="array" ref="T255">_xlfn.IFS(S255*18.6&lt;2,"Calm",S255*18.6&lt;6,"Light Breeze",S255*18.6&lt;14,"Gale",TRUE,"Extreme Storm")</f>
        <v>Calm</v>
      </c>
      <c r="U255" s="28">
        <v>0</v>
      </c>
      <c r="V255" s="28">
        <v>20</v>
      </c>
      <c r="W255" s="28">
        <v>20</v>
      </c>
      <c r="X255" s="44">
        <f>AVERAGE(INDEX($W:$W,MAX(ROW($W$3),ROW()-23)):INDEX($W:$W,ROW()))</f>
        <v>57.041666666666664</v>
      </c>
      <c r="Y255" s="44">
        <f>_xlfn.STDEV.S(INDEX($W:$W,MAX(ROW($W$3),ROW()-23)):INDEX($W:$W,ROW()))</f>
        <v>50.23464867535386</v>
      </c>
      <c r="Z255" s="44">
        <f t="shared" si="20"/>
        <v>-0.73737286202700292</v>
      </c>
      <c r="AA255" s="40" t="b">
        <f t="shared" si="18"/>
        <v>0</v>
      </c>
    </row>
    <row r="256" spans="1:27" x14ac:dyDescent="0.3">
      <c r="A256" s="32">
        <v>254</v>
      </c>
      <c r="B256" s="33">
        <v>40554</v>
      </c>
      <c r="C256" s="40" t="str">
        <f t="shared" si="21"/>
        <v>Tuesday</v>
      </c>
      <c r="D256" s="28">
        <v>22</v>
      </c>
      <c r="E256" s="40" t="str" cm="1">
        <f t="array" ref="E256">_xlfn.IFS(D256&gt;=21,"Night",D256&gt;=17,"Evening",D256&gt;=12,"Midday",D256&gt;=6,"Morning", TRUE, "Night")</f>
        <v>Night</v>
      </c>
      <c r="F256" s="28">
        <v>1</v>
      </c>
      <c r="G256" s="28">
        <v>0</v>
      </c>
      <c r="H256" s="28">
        <v>1</v>
      </c>
      <c r="I256" s="28">
        <v>2</v>
      </c>
      <c r="J256" s="40" t="str">
        <f t="shared" si="22"/>
        <v>Weekday</v>
      </c>
      <c r="K256" s="28" t="b">
        <v>0</v>
      </c>
      <c r="L256" s="28">
        <v>3</v>
      </c>
      <c r="M256" s="40" t="str" cm="1">
        <f t="array" ref="M256">_xlfn.IFS(L256=1,"Clear / Partly Cloudy",L256=2,"Mist / Cloudy",L256=3,"Light Snow / Rain",L256=4,"Heavy Precipitation")</f>
        <v>Light Snow / Rain</v>
      </c>
      <c r="N256" s="28">
        <v>0.16</v>
      </c>
      <c r="O256" s="28" t="str">
        <f t="shared" si="23"/>
        <v>Cold</v>
      </c>
      <c r="P256" s="28">
        <v>0.18179999999999999</v>
      </c>
      <c r="Q256" s="38">
        <f t="shared" si="19"/>
        <v>0.18179999999999999</v>
      </c>
      <c r="R256" s="28">
        <v>0.93</v>
      </c>
      <c r="S256" s="28">
        <v>0.1045</v>
      </c>
      <c r="T256" s="40" t="str" cm="1">
        <f t="array" ref="T256">_xlfn.IFS(S256*18.6&lt;2,"Calm",S256*18.6&lt;6,"Light Breeze",S256*18.6&lt;14,"Gale",TRUE,"Extreme Storm")</f>
        <v>Calm</v>
      </c>
      <c r="U256" s="28">
        <v>1</v>
      </c>
      <c r="V256" s="28">
        <v>28</v>
      </c>
      <c r="W256" s="28">
        <v>29</v>
      </c>
      <c r="X256" s="44">
        <f>AVERAGE(INDEX($W:$W,MAX(ROW($W$3),ROW()-23)):INDEX($W:$W,ROW()))</f>
        <v>55.166666666666664</v>
      </c>
      <c r="Y256" s="44">
        <f>_xlfn.STDEV.S(INDEX($W:$W,MAX(ROW($W$3),ROW()-23)):INDEX($W:$W,ROW()))</f>
        <v>50.413651245313083</v>
      </c>
      <c r="Z256" s="44">
        <f t="shared" si="20"/>
        <v>-0.51903930820918986</v>
      </c>
      <c r="AA256" s="40" t="b">
        <f t="shared" si="18"/>
        <v>0</v>
      </c>
    </row>
    <row r="257" spans="1:27" x14ac:dyDescent="0.3">
      <c r="A257" s="32">
        <v>255</v>
      </c>
      <c r="B257" s="33">
        <v>40554</v>
      </c>
      <c r="C257" s="40" t="str">
        <f t="shared" si="21"/>
        <v>Tuesday</v>
      </c>
      <c r="D257" s="28">
        <v>23</v>
      </c>
      <c r="E257" s="40" t="str" cm="1">
        <f t="array" ref="E257">_xlfn.IFS(D257&gt;=21,"Night",D257&gt;=17,"Evening",D257&gt;=12,"Midday",D257&gt;=6,"Morning", TRUE, "Night")</f>
        <v>Night</v>
      </c>
      <c r="F257" s="28">
        <v>1</v>
      </c>
      <c r="G257" s="28">
        <v>0</v>
      </c>
      <c r="H257" s="28">
        <v>1</v>
      </c>
      <c r="I257" s="28">
        <v>2</v>
      </c>
      <c r="J257" s="40" t="str">
        <f t="shared" si="22"/>
        <v>Weekday</v>
      </c>
      <c r="K257" s="28" t="b">
        <v>0</v>
      </c>
      <c r="L257" s="28">
        <v>3</v>
      </c>
      <c r="M257" s="40" t="str" cm="1">
        <f t="array" ref="M257">_xlfn.IFS(L257=1,"Clear / Partly Cloudy",L257=2,"Mist / Cloudy",L257=3,"Light Snow / Rain",L257=4,"Heavy Precipitation")</f>
        <v>Light Snow / Rain</v>
      </c>
      <c r="N257" s="28">
        <v>0.16</v>
      </c>
      <c r="O257" s="28" t="str">
        <f t="shared" si="23"/>
        <v>Cold</v>
      </c>
      <c r="P257" s="28">
        <v>0.19700000000000001</v>
      </c>
      <c r="Q257" s="38">
        <f t="shared" si="19"/>
        <v>0.19700000000000001</v>
      </c>
      <c r="R257" s="28">
        <v>0.93</v>
      </c>
      <c r="S257" s="28">
        <v>8.9599999999999999E-2</v>
      </c>
      <c r="T257" s="40" t="str" cm="1">
        <f t="array" ref="T257">_xlfn.IFS(S257*18.6&lt;2,"Calm",S257*18.6&lt;6,"Light Breeze",S257*18.6&lt;14,"Gale",TRUE,"Extreme Storm")</f>
        <v>Calm</v>
      </c>
      <c r="U257" s="28">
        <v>1</v>
      </c>
      <c r="V257" s="28">
        <v>18</v>
      </c>
      <c r="W257" s="28">
        <v>19</v>
      </c>
      <c r="X257" s="44">
        <f>AVERAGE(INDEX($W:$W,MAX(ROW($W$3),ROW()-23)):INDEX($W:$W,ROW()))</f>
        <v>54.375</v>
      </c>
      <c r="Y257" s="44">
        <f>_xlfn.STDEV.S(INDEX($W:$W,MAX(ROW($W$3),ROW()-23)):INDEX($W:$W,ROW()))</f>
        <v>50.842307357075214</v>
      </c>
      <c r="Z257" s="44">
        <f t="shared" si="20"/>
        <v>-0.69577880782543233</v>
      </c>
      <c r="AA257" s="40" t="b">
        <f t="shared" si="18"/>
        <v>0</v>
      </c>
    </row>
    <row r="258" spans="1:27" x14ac:dyDescent="0.3">
      <c r="A258" s="32">
        <v>256</v>
      </c>
      <c r="B258" s="33">
        <v>40555</v>
      </c>
      <c r="C258" s="40" t="str">
        <f t="shared" si="21"/>
        <v>Wednesday</v>
      </c>
      <c r="D258" s="28">
        <v>0</v>
      </c>
      <c r="E258" s="40" t="str" cm="1">
        <f t="array" ref="E258">_xlfn.IFS(D258&gt;=21,"Night",D258&gt;=17,"Evening",D258&gt;=12,"Midday",D258&gt;=6,"Morning", TRUE, "Night")</f>
        <v>Night</v>
      </c>
      <c r="F258" s="28">
        <v>1</v>
      </c>
      <c r="G258" s="28">
        <v>0</v>
      </c>
      <c r="H258" s="28">
        <v>1</v>
      </c>
      <c r="I258" s="28">
        <v>3</v>
      </c>
      <c r="J258" s="40" t="str">
        <f t="shared" si="22"/>
        <v>Weekday</v>
      </c>
      <c r="K258" s="28" t="b">
        <v>0</v>
      </c>
      <c r="L258" s="28">
        <v>2</v>
      </c>
      <c r="M258" s="40" t="str" cm="1">
        <f t="array" ref="M258">_xlfn.IFS(L258=1,"Clear / Partly Cloudy",L258=2,"Mist / Cloudy",L258=3,"Light Snow / Rain",L258=4,"Heavy Precipitation")</f>
        <v>Mist / Cloudy</v>
      </c>
      <c r="N258" s="28">
        <v>0.16</v>
      </c>
      <c r="O258" s="28" t="str">
        <f t="shared" si="23"/>
        <v>Cold</v>
      </c>
      <c r="P258" s="28">
        <v>0.19700000000000001</v>
      </c>
      <c r="Q258" s="38">
        <f t="shared" si="19"/>
        <v>0.19700000000000001</v>
      </c>
      <c r="R258" s="28">
        <v>0.86</v>
      </c>
      <c r="S258" s="28">
        <v>8.9599999999999999E-2</v>
      </c>
      <c r="T258" s="40" t="str" cm="1">
        <f t="array" ref="T258">_xlfn.IFS(S258*18.6&lt;2,"Calm",S258*18.6&lt;6,"Light Breeze",S258*18.6&lt;14,"Gale",TRUE,"Extreme Storm")</f>
        <v>Calm</v>
      </c>
      <c r="U258" s="28">
        <v>0</v>
      </c>
      <c r="V258" s="28">
        <v>7</v>
      </c>
      <c r="W258" s="28">
        <v>7</v>
      </c>
      <c r="X258" s="44">
        <f>AVERAGE(INDEX($W:$W,MAX(ROW($W$3),ROW()-23)):INDEX($W:$W,ROW()))</f>
        <v>53.666666666666664</v>
      </c>
      <c r="Y258" s="44">
        <f>_xlfn.STDEV.S(INDEX($W:$W,MAX(ROW($W$3),ROW()-23)):INDEX($W:$W,ROW()))</f>
        <v>51.399261259000738</v>
      </c>
      <c r="Z258" s="44">
        <f t="shared" si="20"/>
        <v>-0.90792485190620653</v>
      </c>
      <c r="AA258" s="40" t="b">
        <f t="shared" si="18"/>
        <v>0</v>
      </c>
    </row>
    <row r="259" spans="1:27" x14ac:dyDescent="0.3">
      <c r="A259" s="32">
        <v>257</v>
      </c>
      <c r="B259" s="33">
        <v>40555</v>
      </c>
      <c r="C259" s="40" t="str">
        <f t="shared" si="21"/>
        <v>Wednesday</v>
      </c>
      <c r="D259" s="28">
        <v>1</v>
      </c>
      <c r="E259" s="40" t="str" cm="1">
        <f t="array" ref="E259">_xlfn.IFS(D259&gt;=21,"Night",D259&gt;=17,"Evening",D259&gt;=12,"Midday",D259&gt;=6,"Morning", TRUE, "Night")</f>
        <v>Night</v>
      </c>
      <c r="F259" s="28">
        <v>1</v>
      </c>
      <c r="G259" s="28">
        <v>0</v>
      </c>
      <c r="H259" s="28">
        <v>1</v>
      </c>
      <c r="I259" s="28">
        <v>3</v>
      </c>
      <c r="J259" s="40" t="str">
        <f t="shared" si="22"/>
        <v>Weekday</v>
      </c>
      <c r="K259" s="28" t="b">
        <v>0</v>
      </c>
      <c r="L259" s="28">
        <v>2</v>
      </c>
      <c r="M259" s="40" t="str" cm="1">
        <f t="array" ref="M259">_xlfn.IFS(L259=1,"Clear / Partly Cloudy",L259=2,"Mist / Cloudy",L259=3,"Light Snow / Rain",L259=4,"Heavy Precipitation")</f>
        <v>Mist / Cloudy</v>
      </c>
      <c r="N259" s="28">
        <v>0.16</v>
      </c>
      <c r="O259" s="28" t="str">
        <f t="shared" si="23"/>
        <v>Cold</v>
      </c>
      <c r="P259" s="28">
        <v>0.18179999999999999</v>
      </c>
      <c r="Q259" s="38">
        <f t="shared" si="19"/>
        <v>0.18179999999999999</v>
      </c>
      <c r="R259" s="28">
        <v>0.86</v>
      </c>
      <c r="S259" s="28">
        <v>0.1045</v>
      </c>
      <c r="T259" s="40" t="str" cm="1">
        <f t="array" ref="T259">_xlfn.IFS(S259*18.6&lt;2,"Calm",S259*18.6&lt;6,"Light Breeze",S259*18.6&lt;14,"Gale",TRUE,"Extreme Storm")</f>
        <v>Calm</v>
      </c>
      <c r="U259" s="28">
        <v>0</v>
      </c>
      <c r="V259" s="28">
        <v>6</v>
      </c>
      <c r="W259" s="28">
        <v>6</v>
      </c>
      <c r="X259" s="44">
        <f>AVERAGE(INDEX($W:$W,MAX(ROW($W$3),ROW()-23)):INDEX($W:$W,ROW()))</f>
        <v>53.166666666666664</v>
      </c>
      <c r="Y259" s="44">
        <f>_xlfn.STDEV.S(INDEX($W:$W,MAX(ROW($W$3),ROW()-23)):INDEX($W:$W,ROW()))</f>
        <v>51.817964541994144</v>
      </c>
      <c r="Z259" s="44">
        <f t="shared" si="20"/>
        <v>-0.91023773480029324</v>
      </c>
      <c r="AA259" s="40" t="b">
        <f t="shared" ref="AA259:AA322" si="24">IF(ABS(Z259)&gt;=3,TRUE,FALSE)</f>
        <v>0</v>
      </c>
    </row>
    <row r="260" spans="1:27" x14ac:dyDescent="0.3">
      <c r="A260" s="32">
        <v>258</v>
      </c>
      <c r="B260" s="33">
        <v>40555</v>
      </c>
      <c r="C260" s="40" t="str">
        <f t="shared" si="21"/>
        <v>Wednesday</v>
      </c>
      <c r="D260" s="28">
        <v>2</v>
      </c>
      <c r="E260" s="40" t="str" cm="1">
        <f t="array" ref="E260">_xlfn.IFS(D260&gt;=21,"Night",D260&gt;=17,"Evening",D260&gt;=12,"Midday",D260&gt;=6,"Morning", TRUE, "Night")</f>
        <v>Night</v>
      </c>
      <c r="F260" s="28">
        <v>1</v>
      </c>
      <c r="G260" s="28">
        <v>0</v>
      </c>
      <c r="H260" s="28">
        <v>1</v>
      </c>
      <c r="I260" s="28">
        <v>3</v>
      </c>
      <c r="J260" s="40" t="str">
        <f t="shared" si="22"/>
        <v>Weekday</v>
      </c>
      <c r="K260" s="28" t="b">
        <v>0</v>
      </c>
      <c r="L260" s="28">
        <v>1</v>
      </c>
      <c r="M260" s="40" t="str" cm="1">
        <f t="array" ref="M260">_xlfn.IFS(L260=1,"Clear / Partly Cloudy",L260=2,"Mist / Cloudy",L260=3,"Light Snow / Rain",L260=4,"Heavy Precipitation")</f>
        <v>Clear / Partly Cloudy</v>
      </c>
      <c r="N260" s="28">
        <v>0.14000000000000001</v>
      </c>
      <c r="O260" s="28" t="str">
        <f t="shared" si="23"/>
        <v>Cold</v>
      </c>
      <c r="P260" s="28">
        <v>0.1515</v>
      </c>
      <c r="Q260" s="38">
        <f t="shared" ref="Q260:Q323" si="25">IF(P260="", AVERAGE($P$3:$P$1002), P260)</f>
        <v>0.1515</v>
      </c>
      <c r="R260" s="28">
        <v>0.86</v>
      </c>
      <c r="S260" s="28">
        <v>0.1343</v>
      </c>
      <c r="T260" s="40" t="str" cm="1">
        <f t="array" ref="T260">_xlfn.IFS(S260*18.6&lt;2,"Calm",S260*18.6&lt;6,"Light Breeze",S260*18.6&lt;14,"Gale",TRUE,"Extreme Storm")</f>
        <v>Light Breeze</v>
      </c>
      <c r="U260" s="28">
        <v>0</v>
      </c>
      <c r="V260" s="28">
        <v>1</v>
      </c>
      <c r="W260" s="28">
        <v>1</v>
      </c>
      <c r="X260" s="44">
        <f>AVERAGE(INDEX($W:$W,MAX(ROW($W$3),ROW()-23)):INDEX($W:$W,ROW()))</f>
        <v>52.708333333333336</v>
      </c>
      <c r="Y260" s="44">
        <f>_xlfn.STDEV.S(INDEX($W:$W,MAX(ROW($W$3),ROW()-23)):INDEX($W:$W,ROW()))</f>
        <v>52.244807661012892</v>
      </c>
      <c r="Z260" s="44">
        <f t="shared" ref="Z260:Z323" si="26">IFERROR((W260-X260)/Y260,0)</f>
        <v>-0.9897315283241076</v>
      </c>
      <c r="AA260" s="40" t="b">
        <f t="shared" si="24"/>
        <v>0</v>
      </c>
    </row>
    <row r="261" spans="1:27" x14ac:dyDescent="0.3">
      <c r="A261" s="32">
        <v>259</v>
      </c>
      <c r="B261" s="33">
        <v>40555</v>
      </c>
      <c r="C261" s="40" t="str">
        <f t="shared" ref="C261:C324" si="27">TEXT(B261,"dddd")</f>
        <v>Wednesday</v>
      </c>
      <c r="D261" s="28">
        <v>5</v>
      </c>
      <c r="E261" s="40" t="str" cm="1">
        <f t="array" ref="E261">_xlfn.IFS(D261&gt;=21,"Night",D261&gt;=17,"Evening",D261&gt;=12,"Midday",D261&gt;=6,"Morning", TRUE, "Night")</f>
        <v>Night</v>
      </c>
      <c r="F261" s="28">
        <v>1</v>
      </c>
      <c r="G261" s="28">
        <v>0</v>
      </c>
      <c r="H261" s="28">
        <v>1</v>
      </c>
      <c r="I261" s="28">
        <v>3</v>
      </c>
      <c r="J261" s="40" t="str">
        <f t="shared" ref="J261:J324" si="28">IF(OR(I261="Saturday", I261="Sunday"), "Weekend", "Weekday")</f>
        <v>Weekday</v>
      </c>
      <c r="K261" s="28" t="b">
        <v>0</v>
      </c>
      <c r="L261" s="28">
        <v>1</v>
      </c>
      <c r="M261" s="40" t="str" cm="1">
        <f t="array" ref="M261">_xlfn.IFS(L261=1,"Clear / Partly Cloudy",L261=2,"Mist / Cloudy",L261=3,"Light Snow / Rain",L261=4,"Heavy Precipitation")</f>
        <v>Clear / Partly Cloudy</v>
      </c>
      <c r="N261" s="28">
        <v>0.14000000000000001</v>
      </c>
      <c r="O261" s="28" t="str">
        <f t="shared" ref="O261:O324" si="29">IF(N261&lt;0.2,"Cold",IF(N261&lt;0.6,"Mild","Hot"))</f>
        <v>Cold</v>
      </c>
      <c r="P261" s="28">
        <v>0.1515</v>
      </c>
      <c r="Q261" s="38">
        <f t="shared" si="25"/>
        <v>0.1515</v>
      </c>
      <c r="R261" s="28">
        <v>0.86</v>
      </c>
      <c r="S261" s="28">
        <v>0.16420000000000001</v>
      </c>
      <c r="T261" s="40" t="str" cm="1">
        <f t="array" ref="T261">_xlfn.IFS(S261*18.6&lt;2,"Calm",S261*18.6&lt;6,"Light Breeze",S261*18.6&lt;14,"Gale",TRUE,"Extreme Storm")</f>
        <v>Light Breeze</v>
      </c>
      <c r="U261" s="28">
        <v>0</v>
      </c>
      <c r="V261" s="28">
        <v>5</v>
      </c>
      <c r="W261" s="28">
        <v>5</v>
      </c>
      <c r="X261" s="44">
        <f>AVERAGE(INDEX($W:$W,MAX(ROW($W$3),ROW()-23)):INDEX($W:$W,ROW()))</f>
        <v>52.791666666666664</v>
      </c>
      <c r="Y261" s="44">
        <f>_xlfn.STDEV.S(INDEX($W:$W,MAX(ROW($W$3),ROW()-23)):INDEX($W:$W,ROW()))</f>
        <v>52.163604808972572</v>
      </c>
      <c r="Z261" s="44">
        <f t="shared" si="26"/>
        <v>-0.91618795981764856</v>
      </c>
      <c r="AA261" s="40" t="b">
        <f t="shared" si="24"/>
        <v>0</v>
      </c>
    </row>
    <row r="262" spans="1:27" x14ac:dyDescent="0.3">
      <c r="A262" s="32">
        <v>260</v>
      </c>
      <c r="B262" s="33">
        <v>40555</v>
      </c>
      <c r="C262" s="40" t="str">
        <f t="shared" si="27"/>
        <v>Wednesday</v>
      </c>
      <c r="D262" s="28">
        <v>6</v>
      </c>
      <c r="E262" s="40" t="str" cm="1">
        <f t="array" ref="E262">_xlfn.IFS(D262&gt;=21,"Night",D262&gt;=17,"Evening",D262&gt;=12,"Midday",D262&gt;=6,"Morning", TRUE, "Night")</f>
        <v>Morning</v>
      </c>
      <c r="F262" s="28">
        <v>1</v>
      </c>
      <c r="G262" s="28">
        <v>0</v>
      </c>
      <c r="H262" s="28">
        <v>1</v>
      </c>
      <c r="I262" s="28">
        <v>3</v>
      </c>
      <c r="J262" s="40" t="str">
        <f t="shared" si="28"/>
        <v>Weekday</v>
      </c>
      <c r="K262" s="28" t="b">
        <v>0</v>
      </c>
      <c r="L262" s="28">
        <v>1</v>
      </c>
      <c r="M262" s="40" t="str" cm="1">
        <f t="array" ref="M262">_xlfn.IFS(L262=1,"Clear / Partly Cloudy",L262=2,"Mist / Cloudy",L262=3,"Light Snow / Rain",L262=4,"Heavy Precipitation")</f>
        <v>Clear / Partly Cloudy</v>
      </c>
      <c r="N262" s="28">
        <v>0.12</v>
      </c>
      <c r="O262" s="28" t="str">
        <f t="shared" si="29"/>
        <v>Cold</v>
      </c>
      <c r="P262" s="28">
        <v>0.1515</v>
      </c>
      <c r="Q262" s="38">
        <f t="shared" si="25"/>
        <v>0.1515</v>
      </c>
      <c r="R262" s="28">
        <v>0.93</v>
      </c>
      <c r="S262" s="28">
        <v>0.1343</v>
      </c>
      <c r="T262" s="40" t="str" cm="1">
        <f t="array" ref="T262">_xlfn.IFS(S262*18.6&lt;2,"Calm",S262*18.6&lt;6,"Light Breeze",S262*18.6&lt;14,"Gale",TRUE,"Extreme Storm")</f>
        <v>Light Breeze</v>
      </c>
      <c r="U262" s="28">
        <v>0</v>
      </c>
      <c r="V262" s="28">
        <v>16</v>
      </c>
      <c r="W262" s="28">
        <v>16</v>
      </c>
      <c r="X262" s="44">
        <f>AVERAGE(INDEX($W:$W,MAX(ROW($W$3),ROW()-23)):INDEX($W:$W,ROW()))</f>
        <v>53.333333333333336</v>
      </c>
      <c r="Y262" s="44">
        <f>_xlfn.STDEV.S(INDEX($W:$W,MAX(ROW($W$3),ROW()-23)):INDEX($W:$W,ROW()))</f>
        <v>51.689429300866486</v>
      </c>
      <c r="Z262" s="44">
        <f t="shared" si="26"/>
        <v>-0.72226244008284113</v>
      </c>
      <c r="AA262" s="40" t="b">
        <f t="shared" si="24"/>
        <v>0</v>
      </c>
    </row>
    <row r="263" spans="1:27" x14ac:dyDescent="0.3">
      <c r="A263" s="32">
        <v>261</v>
      </c>
      <c r="B263" s="33">
        <v>40555</v>
      </c>
      <c r="C263" s="40" t="str">
        <f t="shared" si="27"/>
        <v>Wednesday</v>
      </c>
      <c r="D263" s="28">
        <v>7</v>
      </c>
      <c r="E263" s="40" t="str" cm="1">
        <f t="array" ref="E263">_xlfn.IFS(D263&gt;=21,"Night",D263&gt;=17,"Evening",D263&gt;=12,"Midday",D263&gt;=6,"Morning", TRUE, "Night")</f>
        <v>Morning</v>
      </c>
      <c r="F263" s="28">
        <v>1</v>
      </c>
      <c r="G263" s="28">
        <v>0</v>
      </c>
      <c r="H263" s="28">
        <v>1</v>
      </c>
      <c r="I263" s="28">
        <v>3</v>
      </c>
      <c r="J263" s="40" t="str">
        <f t="shared" si="28"/>
        <v>Weekday</v>
      </c>
      <c r="K263" s="28" t="b">
        <v>0</v>
      </c>
      <c r="L263" s="28">
        <v>1</v>
      </c>
      <c r="M263" s="40" t="str" cm="1">
        <f t="array" ref="M263">_xlfn.IFS(L263=1,"Clear / Partly Cloudy",L263=2,"Mist / Cloudy",L263=3,"Light Snow / Rain",L263=4,"Heavy Precipitation")</f>
        <v>Clear / Partly Cloudy</v>
      </c>
      <c r="N263" s="28">
        <v>0.14000000000000001</v>
      </c>
      <c r="O263" s="28" t="str">
        <f t="shared" si="29"/>
        <v>Cold</v>
      </c>
      <c r="P263" s="28">
        <v>0.1515</v>
      </c>
      <c r="Q263" s="38">
        <f t="shared" si="25"/>
        <v>0.1515</v>
      </c>
      <c r="R263" s="28">
        <v>0.69</v>
      </c>
      <c r="S263" s="28">
        <v>0.1343</v>
      </c>
      <c r="T263" s="40" t="str" cm="1">
        <f t="array" ref="T263">_xlfn.IFS(S263*18.6&lt;2,"Calm",S263*18.6&lt;6,"Light Breeze",S263*18.6&lt;14,"Gale",TRUE,"Extreme Storm")</f>
        <v>Light Breeze</v>
      </c>
      <c r="U263" s="28">
        <v>0</v>
      </c>
      <c r="V263" s="28">
        <v>54</v>
      </c>
      <c r="W263" s="28">
        <v>54</v>
      </c>
      <c r="X263" s="44">
        <f>AVERAGE(INDEX($W:$W,MAX(ROW($W$3),ROW()-23)):INDEX($W:$W,ROW()))</f>
        <v>55.333333333333336</v>
      </c>
      <c r="Y263" s="44">
        <f>_xlfn.STDEV.S(INDEX($W:$W,MAX(ROW($W$3),ROW()-23)):INDEX($W:$W,ROW()))</f>
        <v>50.697454413983856</v>
      </c>
      <c r="Z263" s="44">
        <f t="shared" si="26"/>
        <v>-2.629980831869071E-2</v>
      </c>
      <c r="AA263" s="40" t="b">
        <f t="shared" si="24"/>
        <v>0</v>
      </c>
    </row>
    <row r="264" spans="1:27" x14ac:dyDescent="0.3">
      <c r="A264" s="32">
        <v>262</v>
      </c>
      <c r="B264" s="33">
        <v>40555</v>
      </c>
      <c r="C264" s="40" t="str">
        <f t="shared" si="27"/>
        <v>Wednesday</v>
      </c>
      <c r="D264" s="28">
        <v>8</v>
      </c>
      <c r="E264" s="40" t="str" cm="1">
        <f t="array" ref="E264">_xlfn.IFS(D264&gt;=21,"Night",D264&gt;=17,"Evening",D264&gt;=12,"Midday",D264&gt;=6,"Morning", TRUE, "Night")</f>
        <v>Morning</v>
      </c>
      <c r="F264" s="28">
        <v>1</v>
      </c>
      <c r="G264" s="28">
        <v>0</v>
      </c>
      <c r="H264" s="28">
        <v>1</v>
      </c>
      <c r="I264" s="28">
        <v>3</v>
      </c>
      <c r="J264" s="40" t="str">
        <f t="shared" si="28"/>
        <v>Weekday</v>
      </c>
      <c r="K264" s="28" t="b">
        <v>0</v>
      </c>
      <c r="L264" s="28">
        <v>1</v>
      </c>
      <c r="M264" s="40" t="str" cm="1">
        <f t="array" ref="M264">_xlfn.IFS(L264=1,"Clear / Partly Cloudy",L264=2,"Mist / Cloudy",L264=3,"Light Snow / Rain",L264=4,"Heavy Precipitation")</f>
        <v>Clear / Partly Cloudy</v>
      </c>
      <c r="N264" s="28">
        <v>0.16</v>
      </c>
      <c r="O264" s="28" t="str">
        <f t="shared" si="29"/>
        <v>Cold</v>
      </c>
      <c r="P264" s="28">
        <v>0.16669999999999999</v>
      </c>
      <c r="Q264" s="38">
        <f t="shared" si="25"/>
        <v>0.16669999999999999</v>
      </c>
      <c r="R264" s="28">
        <v>0.59</v>
      </c>
      <c r="S264" s="28">
        <v>0.16420000000000001</v>
      </c>
      <c r="T264" s="40" t="str" cm="1">
        <f t="array" ref="T264">_xlfn.IFS(S264*18.6&lt;2,"Calm",S264*18.6&lt;6,"Light Breeze",S264*18.6&lt;14,"Gale",TRUE,"Extreme Storm")</f>
        <v>Light Breeze</v>
      </c>
      <c r="U264" s="28">
        <v>3</v>
      </c>
      <c r="V264" s="28">
        <v>125</v>
      </c>
      <c r="W264" s="28">
        <v>128</v>
      </c>
      <c r="X264" s="44">
        <f>AVERAGE(INDEX($W:$W,MAX(ROW($W$3),ROW()-23)):INDEX($W:$W,ROW()))</f>
        <v>59.541666666666664</v>
      </c>
      <c r="Y264" s="44">
        <f>_xlfn.STDEV.S(INDEX($W:$W,MAX(ROW($W$3),ROW()-23)):INDEX($W:$W,ROW()))</f>
        <v>52.406421085726627</v>
      </c>
      <c r="Z264" s="44">
        <f t="shared" si="26"/>
        <v>1.3062966696647522</v>
      </c>
      <c r="AA264" s="40" t="b">
        <f t="shared" si="24"/>
        <v>0</v>
      </c>
    </row>
    <row r="265" spans="1:27" x14ac:dyDescent="0.3">
      <c r="A265" s="32">
        <v>263</v>
      </c>
      <c r="B265" s="33">
        <v>40555</v>
      </c>
      <c r="C265" s="40" t="str">
        <f t="shared" si="27"/>
        <v>Wednesday</v>
      </c>
      <c r="D265" s="28">
        <v>9</v>
      </c>
      <c r="E265" s="40" t="str" cm="1">
        <f t="array" ref="E265">_xlfn.IFS(D265&gt;=21,"Night",D265&gt;=17,"Evening",D265&gt;=12,"Midday",D265&gt;=6,"Morning", TRUE, "Night")</f>
        <v>Morning</v>
      </c>
      <c r="F265" s="28">
        <v>1</v>
      </c>
      <c r="G265" s="28">
        <v>0</v>
      </c>
      <c r="H265" s="28">
        <v>1</v>
      </c>
      <c r="I265" s="28">
        <v>3</v>
      </c>
      <c r="J265" s="40" t="str">
        <f t="shared" si="28"/>
        <v>Weekday</v>
      </c>
      <c r="K265" s="28" t="b">
        <v>0</v>
      </c>
      <c r="L265" s="28">
        <v>1</v>
      </c>
      <c r="M265" s="40" t="str" cm="1">
        <f t="array" ref="M265">_xlfn.IFS(L265=1,"Clear / Partly Cloudy",L265=2,"Mist / Cloudy",L265=3,"Light Snow / Rain",L265=4,"Heavy Precipitation")</f>
        <v>Clear / Partly Cloudy</v>
      </c>
      <c r="N265" s="28">
        <v>0.16</v>
      </c>
      <c r="O265" s="28" t="str">
        <f t="shared" si="29"/>
        <v>Cold</v>
      </c>
      <c r="P265" s="28">
        <v>0.13639999999999999</v>
      </c>
      <c r="Q265" s="38">
        <f t="shared" si="25"/>
        <v>0.13639999999999999</v>
      </c>
      <c r="R265" s="28">
        <v>0.59</v>
      </c>
      <c r="S265" s="28">
        <v>0.32840000000000003</v>
      </c>
      <c r="T265" s="40" t="str" cm="1">
        <f t="array" ref="T265">_xlfn.IFS(S265*18.6&lt;2,"Calm",S265*18.6&lt;6,"Light Breeze",S265*18.6&lt;14,"Gale",TRUE,"Extreme Storm")</f>
        <v>Gale</v>
      </c>
      <c r="U265" s="28">
        <v>3</v>
      </c>
      <c r="V265" s="28">
        <v>78</v>
      </c>
      <c r="W265" s="28">
        <v>81</v>
      </c>
      <c r="X265" s="44">
        <f>AVERAGE(INDEX($W:$W,MAX(ROW($W$3),ROW()-23)):INDEX($W:$W,ROW()))</f>
        <v>58.791666666666664</v>
      </c>
      <c r="Y265" s="44">
        <f>_xlfn.STDEV.S(INDEX($W:$W,MAX(ROW($W$3),ROW()-23)):INDEX($W:$W,ROW()))</f>
        <v>51.943932287123538</v>
      </c>
      <c r="Z265" s="44">
        <f t="shared" si="26"/>
        <v>0.42754432241624096</v>
      </c>
      <c r="AA265" s="40" t="b">
        <f t="shared" si="24"/>
        <v>0</v>
      </c>
    </row>
    <row r="266" spans="1:27" x14ac:dyDescent="0.3">
      <c r="A266" s="32">
        <v>264</v>
      </c>
      <c r="B266" s="33">
        <v>40555</v>
      </c>
      <c r="C266" s="40" t="str">
        <f t="shared" si="27"/>
        <v>Wednesday</v>
      </c>
      <c r="D266" s="28">
        <v>10</v>
      </c>
      <c r="E266" s="40" t="str" cm="1">
        <f t="array" ref="E266">_xlfn.IFS(D266&gt;=21,"Night",D266&gt;=17,"Evening",D266&gt;=12,"Midday",D266&gt;=6,"Morning", TRUE, "Night")</f>
        <v>Morning</v>
      </c>
      <c r="F266" s="28">
        <v>1</v>
      </c>
      <c r="G266" s="28">
        <v>0</v>
      </c>
      <c r="H266" s="28">
        <v>1</v>
      </c>
      <c r="I266" s="28">
        <v>3</v>
      </c>
      <c r="J266" s="40" t="str">
        <f t="shared" si="28"/>
        <v>Weekday</v>
      </c>
      <c r="K266" s="28" t="b">
        <v>0</v>
      </c>
      <c r="L266" s="28">
        <v>1</v>
      </c>
      <c r="M266" s="40" t="str" cm="1">
        <f t="array" ref="M266">_xlfn.IFS(L266=1,"Clear / Partly Cloudy",L266=2,"Mist / Cloudy",L266=3,"Light Snow / Rain",L266=4,"Heavy Precipitation")</f>
        <v>Clear / Partly Cloudy</v>
      </c>
      <c r="N266" s="28">
        <v>0.18</v>
      </c>
      <c r="O266" s="28" t="str">
        <f t="shared" si="29"/>
        <v>Cold</v>
      </c>
      <c r="P266" s="28">
        <v>0.18179999999999999</v>
      </c>
      <c r="Q266" s="38">
        <f t="shared" si="25"/>
        <v>0.18179999999999999</v>
      </c>
      <c r="R266" s="28">
        <v>0.55000000000000004</v>
      </c>
      <c r="S266" s="28">
        <v>0.22389999999999999</v>
      </c>
      <c r="T266" s="40" t="str" cm="1">
        <f t="array" ref="T266">_xlfn.IFS(S266*18.6&lt;2,"Calm",S266*18.6&lt;6,"Light Breeze",S266*18.6&lt;14,"Gale",TRUE,"Extreme Storm")</f>
        <v>Light Breeze</v>
      </c>
      <c r="U266" s="28">
        <v>0</v>
      </c>
      <c r="V266" s="28">
        <v>39</v>
      </c>
      <c r="W266" s="28">
        <v>39</v>
      </c>
      <c r="X266" s="44">
        <f>AVERAGE(INDEX($W:$W,MAX(ROW($W$3),ROW()-23)):INDEX($W:$W,ROW()))</f>
        <v>51.375</v>
      </c>
      <c r="Y266" s="44">
        <f>_xlfn.STDEV.S(INDEX($W:$W,MAX(ROW($W$3),ROW()-23)):INDEX($W:$W,ROW()))</f>
        <v>39.617532899506479</v>
      </c>
      <c r="Z266" s="44">
        <f t="shared" si="26"/>
        <v>-0.31236170186039419</v>
      </c>
      <c r="AA266" s="40" t="b">
        <f t="shared" si="24"/>
        <v>0</v>
      </c>
    </row>
    <row r="267" spans="1:27" x14ac:dyDescent="0.3">
      <c r="A267" s="32">
        <v>265</v>
      </c>
      <c r="B267" s="33">
        <v>40555</v>
      </c>
      <c r="C267" s="40" t="str">
        <f t="shared" si="27"/>
        <v>Wednesday</v>
      </c>
      <c r="D267" s="28">
        <v>11</v>
      </c>
      <c r="E267" s="40" t="str" cm="1">
        <f t="array" ref="E267">_xlfn.IFS(D267&gt;=21,"Night",D267&gt;=17,"Evening",D267&gt;=12,"Midday",D267&gt;=6,"Morning", TRUE, "Night")</f>
        <v>Morning</v>
      </c>
      <c r="F267" s="28">
        <v>1</v>
      </c>
      <c r="G267" s="28">
        <v>0</v>
      </c>
      <c r="H267" s="28">
        <v>1</v>
      </c>
      <c r="I267" s="28">
        <v>3</v>
      </c>
      <c r="J267" s="40" t="str">
        <f t="shared" si="28"/>
        <v>Weekday</v>
      </c>
      <c r="K267" s="28" t="b">
        <v>0</v>
      </c>
      <c r="L267" s="28">
        <v>1</v>
      </c>
      <c r="M267" s="40" t="str" cm="1">
        <f t="array" ref="M267">_xlfn.IFS(L267=1,"Clear / Partly Cloudy",L267=2,"Mist / Cloudy",L267=3,"Light Snow / Rain",L267=4,"Heavy Precipitation")</f>
        <v>Clear / Partly Cloudy</v>
      </c>
      <c r="N267" s="28">
        <v>0.2</v>
      </c>
      <c r="O267" s="28" t="str">
        <f t="shared" si="29"/>
        <v>Mild</v>
      </c>
      <c r="P267" s="28">
        <v>0.18179999999999999</v>
      </c>
      <c r="Q267" s="38">
        <f t="shared" si="25"/>
        <v>0.18179999999999999</v>
      </c>
      <c r="R267" s="28">
        <v>0.51</v>
      </c>
      <c r="S267" s="28">
        <v>0.3881</v>
      </c>
      <c r="T267" s="40" t="str" cm="1">
        <f t="array" ref="T267">_xlfn.IFS(S267*18.6&lt;2,"Calm",S267*18.6&lt;6,"Light Breeze",S267*18.6&lt;14,"Gale",TRUE,"Extreme Storm")</f>
        <v>Gale</v>
      </c>
      <c r="U267" s="28">
        <v>3</v>
      </c>
      <c r="V267" s="28">
        <v>32</v>
      </c>
      <c r="W267" s="28">
        <v>35</v>
      </c>
      <c r="X267" s="44">
        <f>AVERAGE(INDEX($W:$W,MAX(ROW($W$3),ROW()-23)):INDEX($W:$W,ROW()))</f>
        <v>47.416666666666664</v>
      </c>
      <c r="Y267" s="44">
        <f>_xlfn.STDEV.S(INDEX($W:$W,MAX(ROW($W$3),ROW()-23)):INDEX($W:$W,ROW()))</f>
        <v>36.001107068323989</v>
      </c>
      <c r="Z267" s="44">
        <f t="shared" si="26"/>
        <v>-0.34489680117619548</v>
      </c>
      <c r="AA267" s="40" t="b">
        <f t="shared" si="24"/>
        <v>0</v>
      </c>
    </row>
    <row r="268" spans="1:27" x14ac:dyDescent="0.3">
      <c r="A268" s="32">
        <v>266</v>
      </c>
      <c r="B268" s="33">
        <v>40555</v>
      </c>
      <c r="C268" s="40" t="str">
        <f t="shared" si="27"/>
        <v>Wednesday</v>
      </c>
      <c r="D268" s="28">
        <v>12</v>
      </c>
      <c r="E268" s="40" t="str" cm="1">
        <f t="array" ref="E268">_xlfn.IFS(D268&gt;=21,"Night",D268&gt;=17,"Evening",D268&gt;=12,"Midday",D268&gt;=6,"Morning", TRUE, "Night")</f>
        <v>Midday</v>
      </c>
      <c r="F268" s="28">
        <v>1</v>
      </c>
      <c r="G268" s="28">
        <v>0</v>
      </c>
      <c r="H268" s="28">
        <v>1</v>
      </c>
      <c r="I268" s="28">
        <v>3</v>
      </c>
      <c r="J268" s="40" t="str">
        <f t="shared" si="28"/>
        <v>Weekday</v>
      </c>
      <c r="K268" s="28" t="b">
        <v>0</v>
      </c>
      <c r="L268" s="28">
        <v>1</v>
      </c>
      <c r="M268" s="40" t="str" cm="1">
        <f t="array" ref="M268">_xlfn.IFS(L268=1,"Clear / Partly Cloudy",L268=2,"Mist / Cloudy",L268=3,"Light Snow / Rain",L268=4,"Heavy Precipitation")</f>
        <v>Clear / Partly Cloudy</v>
      </c>
      <c r="N268" s="28">
        <v>0.2</v>
      </c>
      <c r="O268" s="28" t="str">
        <f t="shared" si="29"/>
        <v>Mild</v>
      </c>
      <c r="P268" s="28">
        <v>0.1515</v>
      </c>
      <c r="Q268" s="38">
        <f t="shared" si="25"/>
        <v>0.1515</v>
      </c>
      <c r="R268" s="28">
        <v>0.47</v>
      </c>
      <c r="S268" s="28">
        <v>0.58209999999999995</v>
      </c>
      <c r="T268" s="40" t="str" cm="1">
        <f t="array" ref="T268">_xlfn.IFS(S268*18.6&lt;2,"Calm",S268*18.6&lt;6,"Light Breeze",S268*18.6&lt;14,"Gale",TRUE,"Extreme Storm")</f>
        <v>Gale</v>
      </c>
      <c r="U268" s="28">
        <v>3</v>
      </c>
      <c r="V268" s="28">
        <v>52</v>
      </c>
      <c r="W268" s="28">
        <v>55</v>
      </c>
      <c r="X268" s="44">
        <f>AVERAGE(INDEX($W:$W,MAX(ROW($W$3),ROW()-23)):INDEX($W:$W,ROW()))</f>
        <v>47.458333333333336</v>
      </c>
      <c r="Y268" s="44">
        <f>_xlfn.STDEV.S(INDEX($W:$W,MAX(ROW($W$3),ROW()-23)):INDEX($W:$W,ROW()))</f>
        <v>36.009635385264737</v>
      </c>
      <c r="Z268" s="44">
        <f t="shared" si="26"/>
        <v>0.20943468563285536</v>
      </c>
      <c r="AA268" s="40" t="b">
        <f t="shared" si="24"/>
        <v>0</v>
      </c>
    </row>
    <row r="269" spans="1:27" x14ac:dyDescent="0.3">
      <c r="A269" s="32">
        <v>267</v>
      </c>
      <c r="B269" s="33">
        <v>40555</v>
      </c>
      <c r="C269" s="40" t="str">
        <f t="shared" si="27"/>
        <v>Wednesday</v>
      </c>
      <c r="D269" s="28">
        <v>13</v>
      </c>
      <c r="E269" s="40" t="str" cm="1">
        <f t="array" ref="E269">_xlfn.IFS(D269&gt;=21,"Night",D269&gt;=17,"Evening",D269&gt;=12,"Midday",D269&gt;=6,"Morning", TRUE, "Night")</f>
        <v>Midday</v>
      </c>
      <c r="F269" s="28">
        <v>1</v>
      </c>
      <c r="G269" s="28">
        <v>0</v>
      </c>
      <c r="H269" s="28">
        <v>1</v>
      </c>
      <c r="I269" s="28">
        <v>3</v>
      </c>
      <c r="J269" s="40" t="str">
        <f t="shared" si="28"/>
        <v>Weekday</v>
      </c>
      <c r="K269" s="28" t="b">
        <v>0</v>
      </c>
      <c r="L269" s="28">
        <v>1</v>
      </c>
      <c r="M269" s="40" t="str" cm="1">
        <f t="array" ref="M269">_xlfn.IFS(L269=1,"Clear / Partly Cloudy",L269=2,"Mist / Cloudy",L269=3,"Light Snow / Rain",L269=4,"Heavy Precipitation")</f>
        <v>Clear / Partly Cloudy</v>
      </c>
      <c r="N269" s="28">
        <v>0.22</v>
      </c>
      <c r="O269" s="28" t="str">
        <f t="shared" si="29"/>
        <v>Mild</v>
      </c>
      <c r="P269" s="28">
        <v>0.19700000000000001</v>
      </c>
      <c r="Q269" s="38">
        <f t="shared" si="25"/>
        <v>0.19700000000000001</v>
      </c>
      <c r="R269" s="28">
        <v>0.44</v>
      </c>
      <c r="S269" s="28">
        <v>0.35820000000000002</v>
      </c>
      <c r="T269" s="40" t="str" cm="1">
        <f t="array" ref="T269">_xlfn.IFS(S269*18.6&lt;2,"Calm",S269*18.6&lt;6,"Light Breeze",S269*18.6&lt;14,"Gale",TRUE,"Extreme Storm")</f>
        <v>Gale</v>
      </c>
      <c r="U269" s="28">
        <v>0</v>
      </c>
      <c r="V269" s="28">
        <v>49</v>
      </c>
      <c r="W269" s="28">
        <v>49</v>
      </c>
      <c r="X269" s="44">
        <f>AVERAGE(INDEX($W:$W,MAX(ROW($W$3),ROW()-23)):INDEX($W:$W,ROW()))</f>
        <v>48.041666666666664</v>
      </c>
      <c r="Y269" s="44">
        <f>_xlfn.STDEV.S(INDEX($W:$W,MAX(ROW($W$3),ROW()-23)):INDEX($W:$W,ROW()))</f>
        <v>35.912307647653478</v>
      </c>
      <c r="Z269" s="44">
        <f t="shared" si="26"/>
        <v>2.6685373235711671E-2</v>
      </c>
      <c r="AA269" s="40" t="b">
        <f t="shared" si="24"/>
        <v>0</v>
      </c>
    </row>
    <row r="270" spans="1:27" x14ac:dyDescent="0.3">
      <c r="A270" s="32">
        <v>268</v>
      </c>
      <c r="B270" s="33">
        <v>40555</v>
      </c>
      <c r="C270" s="40" t="str">
        <f t="shared" si="27"/>
        <v>Wednesday</v>
      </c>
      <c r="D270" s="28">
        <v>14</v>
      </c>
      <c r="E270" s="40" t="str" cm="1">
        <f t="array" ref="E270">_xlfn.IFS(D270&gt;=21,"Night",D270&gt;=17,"Evening",D270&gt;=12,"Midday",D270&gt;=6,"Morning", TRUE, "Night")</f>
        <v>Midday</v>
      </c>
      <c r="F270" s="28">
        <v>1</v>
      </c>
      <c r="G270" s="28">
        <v>0</v>
      </c>
      <c r="H270" s="28">
        <v>1</v>
      </c>
      <c r="I270" s="28">
        <v>3</v>
      </c>
      <c r="J270" s="40" t="str">
        <f t="shared" si="28"/>
        <v>Weekday</v>
      </c>
      <c r="K270" s="28" t="b">
        <v>0</v>
      </c>
      <c r="L270" s="28">
        <v>1</v>
      </c>
      <c r="M270" s="40" t="str" cm="1">
        <f t="array" ref="M270">_xlfn.IFS(L270=1,"Clear / Partly Cloudy",L270=2,"Mist / Cloudy",L270=3,"Light Snow / Rain",L270=4,"Heavy Precipitation")</f>
        <v>Clear / Partly Cloudy</v>
      </c>
      <c r="N270" s="28">
        <v>0.2</v>
      </c>
      <c r="O270" s="28" t="str">
        <f t="shared" si="29"/>
        <v>Mild</v>
      </c>
      <c r="P270" s="28">
        <v>0.18179999999999999</v>
      </c>
      <c r="Q270" s="38">
        <f t="shared" si="25"/>
        <v>0.18179999999999999</v>
      </c>
      <c r="R270" s="28">
        <v>0.47</v>
      </c>
      <c r="S270" s="28">
        <v>0.32840000000000003</v>
      </c>
      <c r="T270" s="40" t="str" cm="1">
        <f t="array" ref="T270">_xlfn.IFS(S270*18.6&lt;2,"Calm",S270*18.6&lt;6,"Light Breeze",S270*18.6&lt;14,"Gale",TRUE,"Extreme Storm")</f>
        <v>Gale</v>
      </c>
      <c r="U270" s="28">
        <v>0</v>
      </c>
      <c r="V270" s="28">
        <v>44</v>
      </c>
      <c r="W270" s="28">
        <v>44</v>
      </c>
      <c r="X270" s="44">
        <f>AVERAGE(INDEX($W:$W,MAX(ROW($W$3),ROW()-23)):INDEX($W:$W,ROW()))</f>
        <v>47.5</v>
      </c>
      <c r="Y270" s="44">
        <f>_xlfn.STDEV.S(INDEX($W:$W,MAX(ROW($W$3),ROW()-23)):INDEX($W:$W,ROW()))</f>
        <v>35.869328062457122</v>
      </c>
      <c r="Z270" s="44">
        <f t="shared" si="26"/>
        <v>-9.7576402711131327E-2</v>
      </c>
      <c r="AA270" s="40" t="b">
        <f t="shared" si="24"/>
        <v>0</v>
      </c>
    </row>
    <row r="271" spans="1:27" x14ac:dyDescent="0.3">
      <c r="A271" s="32">
        <v>269</v>
      </c>
      <c r="B271" s="33">
        <v>40555</v>
      </c>
      <c r="C271" s="40" t="str">
        <f t="shared" si="27"/>
        <v>Wednesday</v>
      </c>
      <c r="D271" s="28">
        <v>15</v>
      </c>
      <c r="E271" s="40" t="str" cm="1">
        <f t="array" ref="E271">_xlfn.IFS(D271&gt;=21,"Night",D271&gt;=17,"Evening",D271&gt;=12,"Midday",D271&gt;=6,"Morning", TRUE, "Night")</f>
        <v>Midday</v>
      </c>
      <c r="F271" s="28">
        <v>1</v>
      </c>
      <c r="G271" s="28">
        <v>0</v>
      </c>
      <c r="H271" s="28">
        <v>1</v>
      </c>
      <c r="I271" s="28">
        <v>3</v>
      </c>
      <c r="J271" s="40" t="str">
        <f t="shared" si="28"/>
        <v>Weekday</v>
      </c>
      <c r="K271" s="28" t="b">
        <v>0</v>
      </c>
      <c r="L271" s="28">
        <v>1</v>
      </c>
      <c r="M271" s="40" t="str" cm="1">
        <f t="array" ref="M271">_xlfn.IFS(L271=1,"Clear / Partly Cloudy",L271=2,"Mist / Cloudy",L271=3,"Light Snow / Rain",L271=4,"Heavy Precipitation")</f>
        <v>Clear / Partly Cloudy</v>
      </c>
      <c r="N271" s="28">
        <v>0.2</v>
      </c>
      <c r="O271" s="28" t="str">
        <f t="shared" si="29"/>
        <v>Mild</v>
      </c>
      <c r="P271" s="28">
        <v>0.16669999999999999</v>
      </c>
      <c r="Q271" s="38">
        <f t="shared" si="25"/>
        <v>0.16669999999999999</v>
      </c>
      <c r="R271" s="28">
        <v>0.47</v>
      </c>
      <c r="S271" s="28">
        <v>0.41789999999999999</v>
      </c>
      <c r="T271" s="40" t="str" cm="1">
        <f t="array" ref="T271">_xlfn.IFS(S271*18.6&lt;2,"Calm",S271*18.6&lt;6,"Light Breeze",S271*18.6&lt;14,"Gale",TRUE,"Extreme Storm")</f>
        <v>Gale</v>
      </c>
      <c r="U271" s="28">
        <v>1</v>
      </c>
      <c r="V271" s="28">
        <v>48</v>
      </c>
      <c r="W271" s="28">
        <v>49</v>
      </c>
      <c r="X271" s="44">
        <f>AVERAGE(INDEX($W:$W,MAX(ROW($W$3),ROW()-23)):INDEX($W:$W,ROW()))</f>
        <v>47.375</v>
      </c>
      <c r="Y271" s="44">
        <f>_xlfn.STDEV.S(INDEX($W:$W,MAX(ROW($W$3),ROW()-23)):INDEX($W:$W,ROW()))</f>
        <v>35.858189895875888</v>
      </c>
      <c r="Z271" s="44">
        <f t="shared" si="26"/>
        <v>4.5317401818625931E-2</v>
      </c>
      <c r="AA271" s="40" t="b">
        <f t="shared" si="24"/>
        <v>0</v>
      </c>
    </row>
    <row r="272" spans="1:27" x14ac:dyDescent="0.3">
      <c r="A272" s="32">
        <v>270</v>
      </c>
      <c r="B272" s="33">
        <v>40555</v>
      </c>
      <c r="C272" s="40" t="str">
        <f t="shared" si="27"/>
        <v>Wednesday</v>
      </c>
      <c r="D272" s="28">
        <v>16</v>
      </c>
      <c r="E272" s="40" t="str" cm="1">
        <f t="array" ref="E272">_xlfn.IFS(D272&gt;=21,"Night",D272&gt;=17,"Evening",D272&gt;=12,"Midday",D272&gt;=6,"Morning", TRUE, "Night")</f>
        <v>Midday</v>
      </c>
      <c r="F272" s="28">
        <v>1</v>
      </c>
      <c r="G272" s="28">
        <v>0</v>
      </c>
      <c r="H272" s="28">
        <v>1</v>
      </c>
      <c r="I272" s="28">
        <v>3</v>
      </c>
      <c r="J272" s="40" t="str">
        <f t="shared" si="28"/>
        <v>Weekday</v>
      </c>
      <c r="K272" s="28" t="b">
        <v>0</v>
      </c>
      <c r="L272" s="28">
        <v>1</v>
      </c>
      <c r="M272" s="40" t="str" cm="1">
        <f t="array" ref="M272">_xlfn.IFS(L272=1,"Clear / Partly Cloudy",L272=2,"Mist / Cloudy",L272=3,"Light Snow / Rain",L272=4,"Heavy Precipitation")</f>
        <v>Clear / Partly Cloudy</v>
      </c>
      <c r="N272" s="28">
        <v>0.22</v>
      </c>
      <c r="O272" s="28" t="str">
        <f t="shared" si="29"/>
        <v>Mild</v>
      </c>
      <c r="P272" s="28">
        <v>0.19700000000000001</v>
      </c>
      <c r="Q272" s="38">
        <f t="shared" si="25"/>
        <v>0.19700000000000001</v>
      </c>
      <c r="R272" s="28">
        <v>0.44</v>
      </c>
      <c r="S272" s="28">
        <v>0.32840000000000003</v>
      </c>
      <c r="T272" s="40" t="str" cm="1">
        <f t="array" ref="T272">_xlfn.IFS(S272*18.6&lt;2,"Calm",S272*18.6&lt;6,"Light Breeze",S272*18.6&lt;14,"Gale",TRUE,"Extreme Storm")</f>
        <v>Gale</v>
      </c>
      <c r="U272" s="28">
        <v>5</v>
      </c>
      <c r="V272" s="28">
        <v>63</v>
      </c>
      <c r="W272" s="28">
        <v>68</v>
      </c>
      <c r="X272" s="44">
        <f>AVERAGE(INDEX($W:$W,MAX(ROW($W$3),ROW()-23)):INDEX($W:$W,ROW()))</f>
        <v>47.583333333333336</v>
      </c>
      <c r="Y272" s="44">
        <f>_xlfn.STDEV.S(INDEX($W:$W,MAX(ROW($W$3),ROW()-23)):INDEX($W:$W,ROW()))</f>
        <v>35.967275786973801</v>
      </c>
      <c r="Z272" s="44">
        <f t="shared" si="26"/>
        <v>0.56764562285979214</v>
      </c>
      <c r="AA272" s="40" t="b">
        <f t="shared" si="24"/>
        <v>0</v>
      </c>
    </row>
    <row r="273" spans="1:27" x14ac:dyDescent="0.3">
      <c r="A273" s="32">
        <v>271</v>
      </c>
      <c r="B273" s="33">
        <v>40555</v>
      </c>
      <c r="C273" s="40" t="str">
        <f t="shared" si="27"/>
        <v>Wednesday</v>
      </c>
      <c r="D273" s="28">
        <v>17</v>
      </c>
      <c r="E273" s="40" t="str" cm="1">
        <f t="array" ref="E273">_xlfn.IFS(D273&gt;=21,"Night",D273&gt;=17,"Evening",D273&gt;=12,"Midday",D273&gt;=6,"Morning", TRUE, "Night")</f>
        <v>Evening</v>
      </c>
      <c r="F273" s="28">
        <v>1</v>
      </c>
      <c r="G273" s="28">
        <v>0</v>
      </c>
      <c r="H273" s="28">
        <v>1</v>
      </c>
      <c r="I273" s="28">
        <v>3</v>
      </c>
      <c r="J273" s="40" t="str">
        <f t="shared" si="28"/>
        <v>Weekday</v>
      </c>
      <c r="K273" s="28" t="b">
        <v>0</v>
      </c>
      <c r="L273" s="28">
        <v>1</v>
      </c>
      <c r="M273" s="40" t="str" cm="1">
        <f t="array" ref="M273">_xlfn.IFS(L273=1,"Clear / Partly Cloudy",L273=2,"Mist / Cloudy",L273=3,"Light Snow / Rain",L273=4,"Heavy Precipitation")</f>
        <v>Clear / Partly Cloudy</v>
      </c>
      <c r="N273" s="28">
        <v>0.2</v>
      </c>
      <c r="O273" s="28" t="str">
        <f t="shared" si="29"/>
        <v>Mild</v>
      </c>
      <c r="P273" s="28">
        <v>0.18179999999999999</v>
      </c>
      <c r="Q273" s="38">
        <f t="shared" si="25"/>
        <v>0.18179999999999999</v>
      </c>
      <c r="R273" s="28">
        <v>0.47</v>
      </c>
      <c r="S273" s="28">
        <v>0.35820000000000002</v>
      </c>
      <c r="T273" s="40" t="str" cm="1">
        <f t="array" ref="T273">_xlfn.IFS(S273*18.6&lt;2,"Calm",S273*18.6&lt;6,"Light Breeze",S273*18.6&lt;14,"Gale",TRUE,"Extreme Storm")</f>
        <v>Gale</v>
      </c>
      <c r="U273" s="28">
        <v>0</v>
      </c>
      <c r="V273" s="28">
        <v>139</v>
      </c>
      <c r="W273" s="28">
        <v>139</v>
      </c>
      <c r="X273" s="44">
        <f>AVERAGE(INDEX($W:$W,MAX(ROW($W$3),ROW()-23)):INDEX($W:$W,ROW()))</f>
        <v>51.416666666666664</v>
      </c>
      <c r="Y273" s="44">
        <f>_xlfn.STDEV.S(INDEX($W:$W,MAX(ROW($W$3),ROW()-23)):INDEX($W:$W,ROW()))</f>
        <v>40.517217667754927</v>
      </c>
      <c r="Z273" s="44">
        <f t="shared" si="26"/>
        <v>2.16163247070727</v>
      </c>
      <c r="AA273" s="40" t="b">
        <f t="shared" si="24"/>
        <v>0</v>
      </c>
    </row>
    <row r="274" spans="1:27" x14ac:dyDescent="0.3">
      <c r="A274" s="32">
        <v>272</v>
      </c>
      <c r="B274" s="33">
        <v>40555</v>
      </c>
      <c r="C274" s="40" t="str">
        <f t="shared" si="27"/>
        <v>Wednesday</v>
      </c>
      <c r="D274" s="28">
        <v>18</v>
      </c>
      <c r="E274" s="40" t="str" cm="1">
        <f t="array" ref="E274">_xlfn.IFS(D274&gt;=21,"Night",D274&gt;=17,"Evening",D274&gt;=12,"Midday",D274&gt;=6,"Morning", TRUE, "Night")</f>
        <v>Evening</v>
      </c>
      <c r="F274" s="28">
        <v>1</v>
      </c>
      <c r="G274" s="28">
        <v>0</v>
      </c>
      <c r="H274" s="28">
        <v>1</v>
      </c>
      <c r="I274" s="28">
        <v>3</v>
      </c>
      <c r="J274" s="40" t="str">
        <f t="shared" si="28"/>
        <v>Weekday</v>
      </c>
      <c r="K274" s="28" t="b">
        <v>0</v>
      </c>
      <c r="L274" s="28">
        <v>1</v>
      </c>
      <c r="M274" s="40" t="str" cm="1">
        <f t="array" ref="M274">_xlfn.IFS(L274=1,"Clear / Partly Cloudy",L274=2,"Mist / Cloudy",L274=3,"Light Snow / Rain",L274=4,"Heavy Precipitation")</f>
        <v>Clear / Partly Cloudy</v>
      </c>
      <c r="N274" s="28">
        <v>0.2</v>
      </c>
      <c r="O274" s="28" t="str">
        <f t="shared" si="29"/>
        <v>Mild</v>
      </c>
      <c r="P274" s="28">
        <v>0.1515</v>
      </c>
      <c r="Q274" s="38">
        <f t="shared" si="25"/>
        <v>0.1515</v>
      </c>
      <c r="R274" s="28">
        <v>0.47</v>
      </c>
      <c r="S274" s="28">
        <v>0.52239999999999998</v>
      </c>
      <c r="T274" s="40" t="str" cm="1">
        <f t="array" ref="T274">_xlfn.IFS(S274*18.6&lt;2,"Calm",S274*18.6&lt;6,"Light Breeze",S274*18.6&lt;14,"Gale",TRUE,"Extreme Storm")</f>
        <v>Gale</v>
      </c>
      <c r="U274" s="28">
        <v>2</v>
      </c>
      <c r="V274" s="28">
        <v>135</v>
      </c>
      <c r="W274" s="28">
        <v>137</v>
      </c>
      <c r="X274" s="44">
        <f>AVERAGE(INDEX($W:$W,MAX(ROW($W$3),ROW()-23)):INDEX($W:$W,ROW()))</f>
        <v>53.958333333333336</v>
      </c>
      <c r="Y274" s="44">
        <f>_xlfn.STDEV.S(INDEX($W:$W,MAX(ROW($W$3),ROW()-23)):INDEX($W:$W,ROW()))</f>
        <v>43.898577937417699</v>
      </c>
      <c r="Z274" s="44">
        <f t="shared" si="26"/>
        <v>1.8916709963828846</v>
      </c>
      <c r="AA274" s="40" t="b">
        <f t="shared" si="24"/>
        <v>0</v>
      </c>
    </row>
    <row r="275" spans="1:27" x14ac:dyDescent="0.3">
      <c r="A275" s="32">
        <v>273</v>
      </c>
      <c r="B275" s="33">
        <v>40555</v>
      </c>
      <c r="C275" s="40" t="str">
        <f t="shared" si="27"/>
        <v>Wednesday</v>
      </c>
      <c r="D275" s="28">
        <v>19</v>
      </c>
      <c r="E275" s="40" t="str" cm="1">
        <f t="array" ref="E275">_xlfn.IFS(D275&gt;=21,"Night",D275&gt;=17,"Evening",D275&gt;=12,"Midday",D275&gt;=6,"Morning", TRUE, "Night")</f>
        <v>Evening</v>
      </c>
      <c r="F275" s="28">
        <v>1</v>
      </c>
      <c r="G275" s="28">
        <v>0</v>
      </c>
      <c r="H275" s="28">
        <v>1</v>
      </c>
      <c r="I275" s="28">
        <v>3</v>
      </c>
      <c r="J275" s="40" t="str">
        <f t="shared" si="28"/>
        <v>Weekday</v>
      </c>
      <c r="K275" s="28" t="b">
        <v>0</v>
      </c>
      <c r="L275" s="28">
        <v>1</v>
      </c>
      <c r="M275" s="40" t="str" cm="1">
        <f t="array" ref="M275">_xlfn.IFS(L275=1,"Clear / Partly Cloudy",L275=2,"Mist / Cloudy",L275=3,"Light Snow / Rain",L275=4,"Heavy Precipitation")</f>
        <v>Clear / Partly Cloudy</v>
      </c>
      <c r="N275" s="28">
        <v>0.18</v>
      </c>
      <c r="O275" s="28" t="str">
        <f t="shared" si="29"/>
        <v>Cold</v>
      </c>
      <c r="P275" s="28">
        <v>0.1515</v>
      </c>
      <c r="Q275" s="38">
        <f t="shared" si="25"/>
        <v>0.1515</v>
      </c>
      <c r="R275" s="28">
        <v>0.47</v>
      </c>
      <c r="S275" s="28">
        <v>0.41789999999999999</v>
      </c>
      <c r="T275" s="40" t="str" cm="1">
        <f t="array" ref="T275">_xlfn.IFS(S275*18.6&lt;2,"Calm",S275*18.6&lt;6,"Light Breeze",S275*18.6&lt;14,"Gale",TRUE,"Extreme Storm")</f>
        <v>Gale</v>
      </c>
      <c r="U275" s="28">
        <v>1</v>
      </c>
      <c r="V275" s="28">
        <v>82</v>
      </c>
      <c r="W275" s="28">
        <v>83</v>
      </c>
      <c r="X275" s="44">
        <f>AVERAGE(INDEX($W:$W,MAX(ROW($W$3),ROW()-23)):INDEX($W:$W,ROW()))</f>
        <v>51.75</v>
      </c>
      <c r="Y275" s="44">
        <f>_xlfn.STDEV.S(INDEX($W:$W,MAX(ROW($W$3),ROW()-23)):INDEX($W:$W,ROW()))</f>
        <v>40.816929565199224</v>
      </c>
      <c r="Z275" s="44">
        <f t="shared" si="26"/>
        <v>0.76561368855740564</v>
      </c>
      <c r="AA275" s="40" t="b">
        <f t="shared" si="24"/>
        <v>0</v>
      </c>
    </row>
    <row r="276" spans="1:27" x14ac:dyDescent="0.3">
      <c r="A276" s="32">
        <v>274</v>
      </c>
      <c r="B276" s="33">
        <v>40555</v>
      </c>
      <c r="C276" s="40" t="str">
        <f t="shared" si="27"/>
        <v>Wednesday</v>
      </c>
      <c r="D276" s="28">
        <v>20</v>
      </c>
      <c r="E276" s="40" t="str" cm="1">
        <f t="array" ref="E276">_xlfn.IFS(D276&gt;=21,"Night",D276&gt;=17,"Evening",D276&gt;=12,"Midday",D276&gt;=6,"Morning", TRUE, "Night")</f>
        <v>Evening</v>
      </c>
      <c r="F276" s="28">
        <v>1</v>
      </c>
      <c r="G276" s="28">
        <v>0</v>
      </c>
      <c r="H276" s="28">
        <v>1</v>
      </c>
      <c r="I276" s="28">
        <v>3</v>
      </c>
      <c r="J276" s="40" t="str">
        <f t="shared" si="28"/>
        <v>Weekday</v>
      </c>
      <c r="K276" s="28" t="b">
        <v>0</v>
      </c>
      <c r="L276" s="28">
        <v>1</v>
      </c>
      <c r="M276" s="40" t="str" cm="1">
        <f t="array" ref="M276">_xlfn.IFS(L276=1,"Clear / Partly Cloudy",L276=2,"Mist / Cloudy",L276=3,"Light Snow / Rain",L276=4,"Heavy Precipitation")</f>
        <v>Clear / Partly Cloudy</v>
      </c>
      <c r="N276" s="28">
        <v>0.16</v>
      </c>
      <c r="O276" s="28" t="str">
        <f t="shared" si="29"/>
        <v>Cold</v>
      </c>
      <c r="P276" s="28">
        <v>0.13639999999999999</v>
      </c>
      <c r="Q276" s="38">
        <f t="shared" si="25"/>
        <v>0.13639999999999999</v>
      </c>
      <c r="R276" s="28">
        <v>0.5</v>
      </c>
      <c r="S276" s="28">
        <v>0.32840000000000003</v>
      </c>
      <c r="T276" s="40" t="str" cm="1">
        <f t="array" ref="T276">_xlfn.IFS(S276*18.6&lt;2,"Calm",S276*18.6&lt;6,"Light Breeze",S276*18.6&lt;14,"Gale",TRUE,"Extreme Storm")</f>
        <v>Gale</v>
      </c>
      <c r="U276" s="28">
        <v>2</v>
      </c>
      <c r="V276" s="28">
        <v>54</v>
      </c>
      <c r="W276" s="28">
        <v>56</v>
      </c>
      <c r="X276" s="44">
        <f>AVERAGE(INDEX($W:$W,MAX(ROW($W$3),ROW()-23)):INDEX($W:$W,ROW()))</f>
        <v>50.125</v>
      </c>
      <c r="Y276" s="44">
        <f>_xlfn.STDEV.S(INDEX($W:$W,MAX(ROW($W$3),ROW()-23)):INDEX($W:$W,ROW()))</f>
        <v>39.783449147691513</v>
      </c>
      <c r="Z276" s="44">
        <f t="shared" si="26"/>
        <v>0.14767447584018503</v>
      </c>
      <c r="AA276" s="40" t="b">
        <f t="shared" si="24"/>
        <v>0</v>
      </c>
    </row>
    <row r="277" spans="1:27" x14ac:dyDescent="0.3">
      <c r="A277" s="32">
        <v>275</v>
      </c>
      <c r="B277" s="33">
        <v>40555</v>
      </c>
      <c r="C277" s="40" t="str">
        <f t="shared" si="27"/>
        <v>Wednesday</v>
      </c>
      <c r="D277" s="28">
        <v>21</v>
      </c>
      <c r="E277" s="40" t="str" cm="1">
        <f t="array" ref="E277">_xlfn.IFS(D277&gt;=21,"Night",D277&gt;=17,"Evening",D277&gt;=12,"Midday",D277&gt;=6,"Morning", TRUE, "Night")</f>
        <v>Night</v>
      </c>
      <c r="F277" s="28">
        <v>1</v>
      </c>
      <c r="G277" s="28">
        <v>0</v>
      </c>
      <c r="H277" s="28">
        <v>1</v>
      </c>
      <c r="I277" s="28">
        <v>3</v>
      </c>
      <c r="J277" s="40" t="str">
        <f t="shared" si="28"/>
        <v>Weekday</v>
      </c>
      <c r="K277" s="28" t="b">
        <v>0</v>
      </c>
      <c r="L277" s="28">
        <v>1</v>
      </c>
      <c r="M277" s="40" t="str" cm="1">
        <f t="array" ref="M277">_xlfn.IFS(L277=1,"Clear / Partly Cloudy",L277=2,"Mist / Cloudy",L277=3,"Light Snow / Rain",L277=4,"Heavy Precipitation")</f>
        <v>Clear / Partly Cloudy</v>
      </c>
      <c r="N277" s="28">
        <v>0.16</v>
      </c>
      <c r="O277" s="28" t="str">
        <f t="shared" si="29"/>
        <v>Cold</v>
      </c>
      <c r="P277" s="28">
        <v>0.13639999999999999</v>
      </c>
      <c r="Q277" s="38">
        <f t="shared" si="25"/>
        <v>0.13639999999999999</v>
      </c>
      <c r="R277" s="28">
        <v>0.55000000000000004</v>
      </c>
      <c r="S277" s="28">
        <v>0.32840000000000003</v>
      </c>
      <c r="T277" s="40" t="str" cm="1">
        <f t="array" ref="T277">_xlfn.IFS(S277*18.6&lt;2,"Calm",S277*18.6&lt;6,"Light Breeze",S277*18.6&lt;14,"Gale",TRUE,"Extreme Storm")</f>
        <v>Gale</v>
      </c>
      <c r="U277" s="28">
        <v>0</v>
      </c>
      <c r="V277" s="28">
        <v>57</v>
      </c>
      <c r="W277" s="28">
        <v>57</v>
      </c>
      <c r="X277" s="44">
        <f>AVERAGE(INDEX($W:$W,MAX(ROW($W$3),ROW()-23)):INDEX($W:$W,ROW()))</f>
        <v>50.375</v>
      </c>
      <c r="Y277" s="44">
        <f>_xlfn.STDEV.S(INDEX($W:$W,MAX(ROW($W$3),ROW()-23)):INDEX($W:$W,ROW()))</f>
        <v>39.808031197562222</v>
      </c>
      <c r="Z277" s="44">
        <f t="shared" si="26"/>
        <v>0.1664237039787515</v>
      </c>
      <c r="AA277" s="40" t="b">
        <f t="shared" si="24"/>
        <v>0</v>
      </c>
    </row>
    <row r="278" spans="1:27" x14ac:dyDescent="0.3">
      <c r="A278" s="32">
        <v>276</v>
      </c>
      <c r="B278" s="33">
        <v>40555</v>
      </c>
      <c r="C278" s="40" t="str">
        <f t="shared" si="27"/>
        <v>Wednesday</v>
      </c>
      <c r="D278" s="28">
        <v>22</v>
      </c>
      <c r="E278" s="40" t="str" cm="1">
        <f t="array" ref="E278">_xlfn.IFS(D278&gt;=21,"Night",D278&gt;=17,"Evening",D278&gt;=12,"Midday",D278&gt;=6,"Morning", TRUE, "Night")</f>
        <v>Night</v>
      </c>
      <c r="F278" s="28">
        <v>1</v>
      </c>
      <c r="G278" s="28">
        <v>0</v>
      </c>
      <c r="H278" s="28">
        <v>1</v>
      </c>
      <c r="I278" s="28">
        <v>3</v>
      </c>
      <c r="J278" s="40" t="str">
        <f t="shared" si="28"/>
        <v>Weekday</v>
      </c>
      <c r="K278" s="28" t="b">
        <v>0</v>
      </c>
      <c r="L278" s="28">
        <v>1</v>
      </c>
      <c r="M278" s="40" t="str" cm="1">
        <f t="array" ref="M278">_xlfn.IFS(L278=1,"Clear / Partly Cloudy",L278=2,"Mist / Cloudy",L278=3,"Light Snow / Rain",L278=4,"Heavy Precipitation")</f>
        <v>Clear / Partly Cloudy</v>
      </c>
      <c r="N278" s="28">
        <v>0.16</v>
      </c>
      <c r="O278" s="28" t="str">
        <f t="shared" si="29"/>
        <v>Cold</v>
      </c>
      <c r="P278" s="28">
        <v>0.1212</v>
      </c>
      <c r="Q278" s="38">
        <f t="shared" si="25"/>
        <v>0.1212</v>
      </c>
      <c r="R278" s="28">
        <v>0.55000000000000004</v>
      </c>
      <c r="S278" s="28">
        <v>0.44779999999999998</v>
      </c>
      <c r="T278" s="40" t="str" cm="1">
        <f t="array" ref="T278">_xlfn.IFS(S278*18.6&lt;2,"Calm",S278*18.6&lt;6,"Light Breeze",S278*18.6&lt;14,"Gale",TRUE,"Extreme Storm")</f>
        <v>Gale</v>
      </c>
      <c r="U278" s="28">
        <v>1</v>
      </c>
      <c r="V278" s="28">
        <v>32</v>
      </c>
      <c r="W278" s="28">
        <v>33</v>
      </c>
      <c r="X278" s="44">
        <f>AVERAGE(INDEX($W:$W,MAX(ROW($W$3),ROW()-23)):INDEX($W:$W,ROW()))</f>
        <v>50.416666666666664</v>
      </c>
      <c r="Y278" s="44">
        <f>_xlfn.STDEV.S(INDEX($W:$W,MAX(ROW($W$3),ROW()-23)):INDEX($W:$W,ROW()))</f>
        <v>39.78848059936189</v>
      </c>
      <c r="Z278" s="44">
        <f t="shared" si="26"/>
        <v>-0.43773138366449671</v>
      </c>
      <c r="AA278" s="40" t="b">
        <f t="shared" si="24"/>
        <v>0</v>
      </c>
    </row>
    <row r="279" spans="1:27" x14ac:dyDescent="0.3">
      <c r="A279" s="32">
        <v>277</v>
      </c>
      <c r="B279" s="33">
        <v>40555</v>
      </c>
      <c r="C279" s="40" t="str">
        <f t="shared" si="27"/>
        <v>Wednesday</v>
      </c>
      <c r="D279" s="28">
        <v>23</v>
      </c>
      <c r="E279" s="40" t="str" cm="1">
        <f t="array" ref="E279">_xlfn.IFS(D279&gt;=21,"Night",D279&gt;=17,"Evening",D279&gt;=12,"Midday",D279&gt;=6,"Morning", TRUE, "Night")</f>
        <v>Night</v>
      </c>
      <c r="F279" s="28">
        <v>1</v>
      </c>
      <c r="G279" s="28">
        <v>0</v>
      </c>
      <c r="H279" s="28">
        <v>1</v>
      </c>
      <c r="I279" s="28">
        <v>3</v>
      </c>
      <c r="J279" s="40" t="str">
        <f t="shared" si="28"/>
        <v>Weekday</v>
      </c>
      <c r="K279" s="28" t="b">
        <v>0</v>
      </c>
      <c r="L279" s="28">
        <v>1</v>
      </c>
      <c r="M279" s="40" t="str" cm="1">
        <f t="array" ref="M279">_xlfn.IFS(L279=1,"Clear / Partly Cloudy",L279=2,"Mist / Cloudy",L279=3,"Light Snow / Rain",L279=4,"Heavy Precipitation")</f>
        <v>Clear / Partly Cloudy</v>
      </c>
      <c r="N279" s="28">
        <v>0.14000000000000001</v>
      </c>
      <c r="O279" s="28" t="str">
        <f t="shared" si="29"/>
        <v>Cold</v>
      </c>
      <c r="P279" s="28">
        <v>0.1061</v>
      </c>
      <c r="Q279" s="38">
        <f t="shared" si="25"/>
        <v>0.1061</v>
      </c>
      <c r="R279" s="28">
        <v>0.59</v>
      </c>
      <c r="S279" s="28">
        <v>0.41789999999999999</v>
      </c>
      <c r="T279" s="40" t="str" cm="1">
        <f t="array" ref="T279">_xlfn.IFS(S279*18.6&lt;2,"Calm",S279*18.6&lt;6,"Light Breeze",S279*18.6&lt;14,"Gale",TRUE,"Extreme Storm")</f>
        <v>Gale</v>
      </c>
      <c r="U279" s="28">
        <v>1</v>
      </c>
      <c r="V279" s="28">
        <v>19</v>
      </c>
      <c r="W279" s="28">
        <v>20</v>
      </c>
      <c r="X279" s="44">
        <f>AVERAGE(INDEX($W:$W,MAX(ROW($W$3),ROW()-23)):INDEX($W:$W,ROW()))</f>
        <v>50.416666666666664</v>
      </c>
      <c r="Y279" s="44">
        <f>_xlfn.STDEV.S(INDEX($W:$W,MAX(ROW($W$3),ROW()-23)):INDEX($W:$W,ROW()))</f>
        <v>39.78848059936189</v>
      </c>
      <c r="Z279" s="44">
        <f t="shared" si="26"/>
        <v>-0.76445911501215946</v>
      </c>
      <c r="AA279" s="40" t="b">
        <f t="shared" si="24"/>
        <v>0</v>
      </c>
    </row>
    <row r="280" spans="1:27" x14ac:dyDescent="0.3">
      <c r="A280" s="32">
        <v>278</v>
      </c>
      <c r="B280" s="33">
        <v>40556</v>
      </c>
      <c r="C280" s="40" t="str">
        <f t="shared" si="27"/>
        <v>Thursday</v>
      </c>
      <c r="D280" s="28">
        <v>0</v>
      </c>
      <c r="E280" s="40" t="str" cm="1">
        <f t="array" ref="E280">_xlfn.IFS(D280&gt;=21,"Night",D280&gt;=17,"Evening",D280&gt;=12,"Midday",D280&gt;=6,"Morning", TRUE, "Night")</f>
        <v>Night</v>
      </c>
      <c r="F280" s="28">
        <v>1</v>
      </c>
      <c r="G280" s="28">
        <v>0</v>
      </c>
      <c r="H280" s="28">
        <v>1</v>
      </c>
      <c r="I280" s="28">
        <v>4</v>
      </c>
      <c r="J280" s="40" t="str">
        <f t="shared" si="28"/>
        <v>Weekday</v>
      </c>
      <c r="K280" s="28" t="b">
        <v>0</v>
      </c>
      <c r="L280" s="28">
        <v>1</v>
      </c>
      <c r="M280" s="40" t="str" cm="1">
        <f t="array" ref="M280">_xlfn.IFS(L280=1,"Clear / Partly Cloudy",L280=2,"Mist / Cloudy",L280=3,"Light Snow / Rain",L280=4,"Heavy Precipitation")</f>
        <v>Clear / Partly Cloudy</v>
      </c>
      <c r="N280" s="28">
        <v>0.14000000000000001</v>
      </c>
      <c r="O280" s="28" t="str">
        <f t="shared" si="29"/>
        <v>Cold</v>
      </c>
      <c r="P280" s="28">
        <v>0.1212</v>
      </c>
      <c r="Q280" s="38">
        <f t="shared" si="25"/>
        <v>0.1212</v>
      </c>
      <c r="R280" s="28">
        <v>0.59</v>
      </c>
      <c r="S280" s="28">
        <v>0.28360000000000002</v>
      </c>
      <c r="T280" s="40" t="str" cm="1">
        <f t="array" ref="T280">_xlfn.IFS(S280*18.6&lt;2,"Calm",S280*18.6&lt;6,"Light Breeze",S280*18.6&lt;14,"Gale",TRUE,"Extreme Storm")</f>
        <v>Light Breeze</v>
      </c>
      <c r="U280" s="28">
        <v>1</v>
      </c>
      <c r="V280" s="28">
        <v>6</v>
      </c>
      <c r="W280" s="28">
        <v>7</v>
      </c>
      <c r="X280" s="44">
        <f>AVERAGE(INDEX($W:$W,MAX(ROW($W$3),ROW()-23)):INDEX($W:$W,ROW()))</f>
        <v>49.5</v>
      </c>
      <c r="Y280" s="44">
        <f>_xlfn.STDEV.S(INDEX($W:$W,MAX(ROW($W$3),ROW()-23)):INDEX($W:$W,ROW()))</f>
        <v>40.549486674497096</v>
      </c>
      <c r="Z280" s="44">
        <f t="shared" si="26"/>
        <v>-1.0481020472875591</v>
      </c>
      <c r="AA280" s="40" t="b">
        <f t="shared" si="24"/>
        <v>0</v>
      </c>
    </row>
    <row r="281" spans="1:27" x14ac:dyDescent="0.3">
      <c r="A281" s="32">
        <v>279</v>
      </c>
      <c r="B281" s="33">
        <v>40556</v>
      </c>
      <c r="C281" s="40" t="str">
        <f t="shared" si="27"/>
        <v>Thursday</v>
      </c>
      <c r="D281" s="28">
        <v>1</v>
      </c>
      <c r="E281" s="40" t="str" cm="1">
        <f t="array" ref="E281">_xlfn.IFS(D281&gt;=21,"Night",D281&gt;=17,"Evening",D281&gt;=12,"Midday",D281&gt;=6,"Morning", TRUE, "Night")</f>
        <v>Night</v>
      </c>
      <c r="F281" s="28">
        <v>1</v>
      </c>
      <c r="G281" s="28">
        <v>0</v>
      </c>
      <c r="H281" s="28">
        <v>1</v>
      </c>
      <c r="I281" s="28">
        <v>4</v>
      </c>
      <c r="J281" s="40" t="str">
        <f t="shared" si="28"/>
        <v>Weekday</v>
      </c>
      <c r="K281" s="28" t="b">
        <v>0</v>
      </c>
      <c r="L281" s="28">
        <v>1</v>
      </c>
      <c r="M281" s="40" t="str" cm="1">
        <f t="array" ref="M281">_xlfn.IFS(L281=1,"Clear / Partly Cloudy",L281=2,"Mist / Cloudy",L281=3,"Light Snow / Rain",L281=4,"Heavy Precipitation")</f>
        <v>Clear / Partly Cloudy</v>
      </c>
      <c r="N281" s="28">
        <v>0.14000000000000001</v>
      </c>
      <c r="O281" s="28" t="str">
        <f t="shared" si="29"/>
        <v>Cold</v>
      </c>
      <c r="P281" s="28">
        <v>0.1212</v>
      </c>
      <c r="Q281" s="38">
        <f t="shared" si="25"/>
        <v>0.1212</v>
      </c>
      <c r="R281" s="28">
        <v>0.5</v>
      </c>
      <c r="S281" s="28">
        <v>0.28360000000000002</v>
      </c>
      <c r="T281" s="40" t="str" cm="1">
        <f t="array" ref="T281">_xlfn.IFS(S281*18.6&lt;2,"Calm",S281*18.6&lt;6,"Light Breeze",S281*18.6&lt;14,"Gale",TRUE,"Extreme Storm")</f>
        <v>Light Breeze</v>
      </c>
      <c r="U281" s="28">
        <v>0</v>
      </c>
      <c r="V281" s="28">
        <v>2</v>
      </c>
      <c r="W281" s="28">
        <v>2</v>
      </c>
      <c r="X281" s="44">
        <f>AVERAGE(INDEX($W:$W,MAX(ROW($W$3),ROW()-23)):INDEX($W:$W,ROW()))</f>
        <v>48.791666666666664</v>
      </c>
      <c r="Y281" s="44">
        <f>_xlfn.STDEV.S(INDEX($W:$W,MAX(ROW($W$3),ROW()-23)):INDEX($W:$W,ROW()))</f>
        <v>41.247902889160599</v>
      </c>
      <c r="Z281" s="44">
        <f t="shared" si="26"/>
        <v>-1.1344011062187331</v>
      </c>
      <c r="AA281" s="40" t="b">
        <f t="shared" si="24"/>
        <v>0</v>
      </c>
    </row>
    <row r="282" spans="1:27" x14ac:dyDescent="0.3">
      <c r="A282" s="32">
        <v>280</v>
      </c>
      <c r="B282" s="33">
        <v>40556</v>
      </c>
      <c r="C282" s="40" t="str">
        <f t="shared" si="27"/>
        <v>Thursday</v>
      </c>
      <c r="D282" s="28">
        <v>2</v>
      </c>
      <c r="E282" s="40" t="str" cm="1">
        <f t="array" ref="E282">_xlfn.IFS(D282&gt;=21,"Night",D282&gt;=17,"Evening",D282&gt;=12,"Midday",D282&gt;=6,"Morning", TRUE, "Night")</f>
        <v>Night</v>
      </c>
      <c r="F282" s="28">
        <v>1</v>
      </c>
      <c r="G282" s="28">
        <v>0</v>
      </c>
      <c r="H282" s="28">
        <v>1</v>
      </c>
      <c r="I282" s="28">
        <v>4</v>
      </c>
      <c r="J282" s="40" t="str">
        <f t="shared" si="28"/>
        <v>Weekday</v>
      </c>
      <c r="K282" s="28" t="b">
        <v>0</v>
      </c>
      <c r="L282" s="28">
        <v>1</v>
      </c>
      <c r="M282" s="40" t="str" cm="1">
        <f t="array" ref="M282">_xlfn.IFS(L282=1,"Clear / Partly Cloudy",L282=2,"Mist / Cloudy",L282=3,"Light Snow / Rain",L282=4,"Heavy Precipitation")</f>
        <v>Clear / Partly Cloudy</v>
      </c>
      <c r="N282" s="28">
        <v>0.14000000000000001</v>
      </c>
      <c r="O282" s="28" t="str">
        <f t="shared" si="29"/>
        <v>Cold</v>
      </c>
      <c r="P282" s="28">
        <v>0.1212</v>
      </c>
      <c r="Q282" s="38">
        <f t="shared" si="25"/>
        <v>0.1212</v>
      </c>
      <c r="R282" s="28">
        <v>0.5</v>
      </c>
      <c r="S282" s="28">
        <v>0.35820000000000002</v>
      </c>
      <c r="T282" s="40" t="str" cm="1">
        <f t="array" ref="T282">_xlfn.IFS(S282*18.6&lt;2,"Calm",S282*18.6&lt;6,"Light Breeze",S282*18.6&lt;14,"Gale",TRUE,"Extreme Storm")</f>
        <v>Gale</v>
      </c>
      <c r="U282" s="28">
        <v>0</v>
      </c>
      <c r="V282" s="28">
        <v>2</v>
      </c>
      <c r="W282" s="28">
        <v>2</v>
      </c>
      <c r="X282" s="44">
        <f>AVERAGE(INDEX($W:$W,MAX(ROW($W$3),ROW()-23)):INDEX($W:$W,ROW()))</f>
        <v>48.583333333333336</v>
      </c>
      <c r="Y282" s="44">
        <f>_xlfn.STDEV.S(INDEX($W:$W,MAX(ROW($W$3),ROW()-23)):INDEX($W:$W,ROW()))</f>
        <v>41.480133187772701</v>
      </c>
      <c r="Z282" s="44">
        <f t="shared" si="26"/>
        <v>-1.1230275737654798</v>
      </c>
      <c r="AA282" s="40" t="b">
        <f t="shared" si="24"/>
        <v>0</v>
      </c>
    </row>
    <row r="283" spans="1:27" x14ac:dyDescent="0.3">
      <c r="A283" s="32">
        <v>281</v>
      </c>
      <c r="B283" s="33">
        <v>40556</v>
      </c>
      <c r="C283" s="40" t="str">
        <f t="shared" si="27"/>
        <v>Thursday</v>
      </c>
      <c r="D283" s="28">
        <v>3</v>
      </c>
      <c r="E283" s="40" t="str" cm="1">
        <f t="array" ref="E283">_xlfn.IFS(D283&gt;=21,"Night",D283&gt;=17,"Evening",D283&gt;=12,"Midday",D283&gt;=6,"Morning", TRUE, "Night")</f>
        <v>Night</v>
      </c>
      <c r="F283" s="28">
        <v>1</v>
      </c>
      <c r="G283" s="28">
        <v>0</v>
      </c>
      <c r="H283" s="28">
        <v>1</v>
      </c>
      <c r="I283" s="28">
        <v>4</v>
      </c>
      <c r="J283" s="40" t="str">
        <f t="shared" si="28"/>
        <v>Weekday</v>
      </c>
      <c r="K283" s="28" t="b">
        <v>0</v>
      </c>
      <c r="L283" s="28">
        <v>1</v>
      </c>
      <c r="M283" s="40" t="str" cm="1">
        <f t="array" ref="M283">_xlfn.IFS(L283=1,"Clear / Partly Cloudy",L283=2,"Mist / Cloudy",L283=3,"Light Snow / Rain",L283=4,"Heavy Precipitation")</f>
        <v>Clear / Partly Cloudy</v>
      </c>
      <c r="N283" s="28">
        <v>0.14000000000000001</v>
      </c>
      <c r="O283" s="28" t="str">
        <f t="shared" si="29"/>
        <v>Cold</v>
      </c>
      <c r="P283" s="28">
        <v>0.1212</v>
      </c>
      <c r="Q283" s="38">
        <f t="shared" si="25"/>
        <v>0.1212</v>
      </c>
      <c r="R283" s="28">
        <v>0.5</v>
      </c>
      <c r="S283" s="28">
        <v>0.32840000000000003</v>
      </c>
      <c r="T283" s="40" t="str" cm="1">
        <f t="array" ref="T283">_xlfn.IFS(S283*18.6&lt;2,"Calm",S283*18.6&lt;6,"Light Breeze",S283*18.6&lt;14,"Gale",TRUE,"Extreme Storm")</f>
        <v>Gale</v>
      </c>
      <c r="U283" s="28">
        <v>0</v>
      </c>
      <c r="V283" s="28">
        <v>3</v>
      </c>
      <c r="W283" s="28">
        <v>3</v>
      </c>
      <c r="X283" s="44">
        <f>AVERAGE(INDEX($W:$W,MAX(ROW($W$3),ROW()-23)):INDEX($W:$W,ROW()))</f>
        <v>48.458333333333336</v>
      </c>
      <c r="Y283" s="44">
        <f>_xlfn.STDEV.S(INDEX($W:$W,MAX(ROW($W$3),ROW()-23)):INDEX($W:$W,ROW()))</f>
        <v>41.618327031820201</v>
      </c>
      <c r="Z283" s="44">
        <f t="shared" si="26"/>
        <v>-1.0922671951368246</v>
      </c>
      <c r="AA283" s="40" t="b">
        <f t="shared" si="24"/>
        <v>0</v>
      </c>
    </row>
    <row r="284" spans="1:27" x14ac:dyDescent="0.3">
      <c r="A284" s="32">
        <v>282</v>
      </c>
      <c r="B284" s="33">
        <v>40556</v>
      </c>
      <c r="C284" s="40" t="str">
        <f t="shared" si="27"/>
        <v>Thursday</v>
      </c>
      <c r="D284" s="28">
        <v>4</v>
      </c>
      <c r="E284" s="40" t="str" cm="1">
        <f t="array" ref="E284">_xlfn.IFS(D284&gt;=21,"Night",D284&gt;=17,"Evening",D284&gt;=12,"Midday",D284&gt;=6,"Morning", TRUE, "Night")</f>
        <v>Night</v>
      </c>
      <c r="F284" s="28">
        <v>1</v>
      </c>
      <c r="G284" s="28">
        <v>0</v>
      </c>
      <c r="H284" s="28">
        <v>1</v>
      </c>
      <c r="I284" s="28">
        <v>4</v>
      </c>
      <c r="J284" s="40" t="str">
        <f t="shared" si="28"/>
        <v>Weekday</v>
      </c>
      <c r="K284" s="28" t="b">
        <v>0</v>
      </c>
      <c r="L284" s="28">
        <v>1</v>
      </c>
      <c r="M284" s="40" t="str" cm="1">
        <f t="array" ref="M284">_xlfn.IFS(L284=1,"Clear / Partly Cloudy",L284=2,"Mist / Cloudy",L284=3,"Light Snow / Rain",L284=4,"Heavy Precipitation")</f>
        <v>Clear / Partly Cloudy</v>
      </c>
      <c r="N284" s="28">
        <v>0.14000000000000001</v>
      </c>
      <c r="O284" s="28" t="str">
        <f t="shared" si="29"/>
        <v>Cold</v>
      </c>
      <c r="P284" s="28">
        <v>0.1212</v>
      </c>
      <c r="Q284" s="38">
        <f t="shared" si="25"/>
        <v>0.1212</v>
      </c>
      <c r="R284" s="28">
        <v>0.5</v>
      </c>
      <c r="S284" s="28">
        <v>0.25369999999999998</v>
      </c>
      <c r="T284" s="40" t="str" cm="1">
        <f t="array" ref="T284">_xlfn.IFS(S284*18.6&lt;2,"Calm",S284*18.6&lt;6,"Light Breeze",S284*18.6&lt;14,"Gale",TRUE,"Extreme Storm")</f>
        <v>Light Breeze</v>
      </c>
      <c r="U284" s="28">
        <v>0</v>
      </c>
      <c r="V284" s="28">
        <v>4</v>
      </c>
      <c r="W284" s="28">
        <v>4</v>
      </c>
      <c r="X284" s="44">
        <f>AVERAGE(INDEX($W:$W,MAX(ROW($W$3),ROW()-23)):INDEX($W:$W,ROW()))</f>
        <v>48.583333333333336</v>
      </c>
      <c r="Y284" s="44">
        <f>_xlfn.STDEV.S(INDEX($W:$W,MAX(ROW($W$3),ROW()-23)):INDEX($W:$W,ROW()))</f>
        <v>41.473843686653012</v>
      </c>
      <c r="Z284" s="44">
        <f t="shared" si="26"/>
        <v>-1.0749747158757077</v>
      </c>
      <c r="AA284" s="40" t="b">
        <f t="shared" si="24"/>
        <v>0</v>
      </c>
    </row>
    <row r="285" spans="1:27" x14ac:dyDescent="0.3">
      <c r="A285" s="32">
        <v>283</v>
      </c>
      <c r="B285" s="33">
        <v>40556</v>
      </c>
      <c r="C285" s="40" t="str">
        <f t="shared" si="27"/>
        <v>Thursday</v>
      </c>
      <c r="D285" s="28">
        <v>5</v>
      </c>
      <c r="E285" s="40" t="str" cm="1">
        <f t="array" ref="E285">_xlfn.IFS(D285&gt;=21,"Night",D285&gt;=17,"Evening",D285&gt;=12,"Midday",D285&gt;=6,"Morning", TRUE, "Night")</f>
        <v>Night</v>
      </c>
      <c r="F285" s="28">
        <v>1</v>
      </c>
      <c r="G285" s="28">
        <v>0</v>
      </c>
      <c r="H285" s="28">
        <v>1</v>
      </c>
      <c r="I285" s="28">
        <v>4</v>
      </c>
      <c r="J285" s="40" t="str">
        <f t="shared" si="28"/>
        <v>Weekday</v>
      </c>
      <c r="K285" s="28" t="b">
        <v>0</v>
      </c>
      <c r="L285" s="28">
        <v>1</v>
      </c>
      <c r="M285" s="40" t="str" cm="1">
        <f t="array" ref="M285">_xlfn.IFS(L285=1,"Clear / Partly Cloudy",L285=2,"Mist / Cloudy",L285=3,"Light Snow / Rain",L285=4,"Heavy Precipitation")</f>
        <v>Clear / Partly Cloudy</v>
      </c>
      <c r="N285" s="28">
        <v>0.14000000000000001</v>
      </c>
      <c r="O285" s="28" t="str">
        <f t="shared" si="29"/>
        <v>Cold</v>
      </c>
      <c r="P285" s="28">
        <v>0.1212</v>
      </c>
      <c r="Q285" s="38">
        <f t="shared" si="25"/>
        <v>0.1212</v>
      </c>
      <c r="R285" s="28">
        <v>0.5</v>
      </c>
      <c r="S285" s="28">
        <v>0.29849999999999999</v>
      </c>
      <c r="T285" s="40" t="str" cm="1">
        <f t="array" ref="T285">_xlfn.IFS(S285*18.6&lt;2,"Calm",S285*18.6&lt;6,"Light Breeze",S285*18.6&lt;14,"Gale",TRUE,"Extreme Storm")</f>
        <v>Light Breeze</v>
      </c>
      <c r="U285" s="28">
        <v>0</v>
      </c>
      <c r="V285" s="28">
        <v>3</v>
      </c>
      <c r="W285" s="28">
        <v>3</v>
      </c>
      <c r="X285" s="44">
        <f>AVERAGE(INDEX($W:$W,MAX(ROW($W$3),ROW()-23)):INDEX($W:$W,ROW()))</f>
        <v>48.5</v>
      </c>
      <c r="Y285" s="44">
        <f>_xlfn.STDEV.S(INDEX($W:$W,MAX(ROW($W$3),ROW()-23)):INDEX($W:$W,ROW()))</f>
        <v>41.567127480215923</v>
      </c>
      <c r="Z285" s="44">
        <f t="shared" si="26"/>
        <v>-1.0946149700061893</v>
      </c>
      <c r="AA285" s="40" t="b">
        <f t="shared" si="24"/>
        <v>0</v>
      </c>
    </row>
    <row r="286" spans="1:27" x14ac:dyDescent="0.3">
      <c r="A286" s="32">
        <v>284</v>
      </c>
      <c r="B286" s="33">
        <v>40556</v>
      </c>
      <c r="C286" s="40" t="str">
        <f t="shared" si="27"/>
        <v>Thursday</v>
      </c>
      <c r="D286" s="28">
        <v>6</v>
      </c>
      <c r="E286" s="40" t="str" cm="1">
        <f t="array" ref="E286">_xlfn.IFS(D286&gt;=21,"Night",D286&gt;=17,"Evening",D286&gt;=12,"Midday",D286&gt;=6,"Morning", TRUE, "Night")</f>
        <v>Morning</v>
      </c>
      <c r="F286" s="28">
        <v>1</v>
      </c>
      <c r="G286" s="28">
        <v>0</v>
      </c>
      <c r="H286" s="28">
        <v>1</v>
      </c>
      <c r="I286" s="28">
        <v>4</v>
      </c>
      <c r="J286" s="40" t="str">
        <f t="shared" si="28"/>
        <v>Weekday</v>
      </c>
      <c r="K286" s="28" t="b">
        <v>0</v>
      </c>
      <c r="L286" s="28">
        <v>1</v>
      </c>
      <c r="M286" s="40" t="str" cm="1">
        <f t="array" ref="M286">_xlfn.IFS(L286=1,"Clear / Partly Cloudy",L286=2,"Mist / Cloudy",L286=3,"Light Snow / Rain",L286=4,"Heavy Precipitation")</f>
        <v>Clear / Partly Cloudy</v>
      </c>
      <c r="N286" s="28">
        <v>0.12</v>
      </c>
      <c r="O286" s="28" t="str">
        <f t="shared" si="29"/>
        <v>Cold</v>
      </c>
      <c r="P286" s="28">
        <v>0.1515</v>
      </c>
      <c r="Q286" s="38">
        <f t="shared" si="25"/>
        <v>0.1515</v>
      </c>
      <c r="R286" s="28">
        <v>0.54</v>
      </c>
      <c r="S286" s="28">
        <v>0.1343</v>
      </c>
      <c r="T286" s="40" t="str" cm="1">
        <f t="array" ref="T286">_xlfn.IFS(S286*18.6&lt;2,"Calm",S286*18.6&lt;6,"Light Breeze",S286*18.6&lt;14,"Gale",TRUE,"Extreme Storm")</f>
        <v>Light Breeze</v>
      </c>
      <c r="U286" s="28">
        <v>0</v>
      </c>
      <c r="V286" s="28">
        <v>28</v>
      </c>
      <c r="W286" s="28">
        <v>28</v>
      </c>
      <c r="X286" s="44">
        <f>AVERAGE(INDEX($W:$W,MAX(ROW($W$3),ROW()-23)):INDEX($W:$W,ROW()))</f>
        <v>49</v>
      </c>
      <c r="Y286" s="44">
        <f>_xlfn.STDEV.S(INDEX($W:$W,MAX(ROW($W$3),ROW()-23)):INDEX($W:$W,ROW()))</f>
        <v>41.230001739974021</v>
      </c>
      <c r="Z286" s="44">
        <f t="shared" si="26"/>
        <v>-0.50933783928608756</v>
      </c>
      <c r="AA286" s="40" t="b">
        <f t="shared" si="24"/>
        <v>0</v>
      </c>
    </row>
    <row r="287" spans="1:27" x14ac:dyDescent="0.3">
      <c r="A287" s="32">
        <v>285</v>
      </c>
      <c r="B287" s="33">
        <v>40556</v>
      </c>
      <c r="C287" s="40" t="str">
        <f t="shared" si="27"/>
        <v>Thursday</v>
      </c>
      <c r="D287" s="28">
        <v>7</v>
      </c>
      <c r="E287" s="40" t="str" cm="1">
        <f t="array" ref="E287">_xlfn.IFS(D287&gt;=21,"Night",D287&gt;=17,"Evening",D287&gt;=12,"Midday",D287&gt;=6,"Morning", TRUE, "Night")</f>
        <v>Morning</v>
      </c>
      <c r="F287" s="28">
        <v>1</v>
      </c>
      <c r="G287" s="28">
        <v>0</v>
      </c>
      <c r="H287" s="28">
        <v>1</v>
      </c>
      <c r="I287" s="28">
        <v>4</v>
      </c>
      <c r="J287" s="40" t="str">
        <f t="shared" si="28"/>
        <v>Weekday</v>
      </c>
      <c r="K287" s="28" t="b">
        <v>0</v>
      </c>
      <c r="L287" s="28">
        <v>1</v>
      </c>
      <c r="M287" s="40" t="str" cm="1">
        <f t="array" ref="M287">_xlfn.IFS(L287=1,"Clear / Partly Cloudy",L287=2,"Mist / Cloudy",L287=3,"Light Snow / Rain",L287=4,"Heavy Precipitation")</f>
        <v>Clear / Partly Cloudy</v>
      </c>
      <c r="N287" s="28">
        <v>0.12</v>
      </c>
      <c r="O287" s="28" t="str">
        <f t="shared" si="29"/>
        <v>Cold</v>
      </c>
      <c r="P287" s="28">
        <v>0.1515</v>
      </c>
      <c r="Q287" s="38">
        <f t="shared" si="25"/>
        <v>0.1515</v>
      </c>
      <c r="R287" s="28">
        <v>0.54</v>
      </c>
      <c r="S287" s="28">
        <v>0.1343</v>
      </c>
      <c r="T287" s="40" t="str" cm="1">
        <f t="array" ref="T287">_xlfn.IFS(S287*18.6&lt;2,"Calm",S287*18.6&lt;6,"Light Breeze",S287*18.6&lt;14,"Gale",TRUE,"Extreme Storm")</f>
        <v>Light Breeze</v>
      </c>
      <c r="U287" s="28">
        <v>0</v>
      </c>
      <c r="V287" s="28">
        <v>72</v>
      </c>
      <c r="W287" s="28">
        <v>72</v>
      </c>
      <c r="X287" s="44">
        <f>AVERAGE(INDEX($W:$W,MAX(ROW($W$3),ROW()-23)):INDEX($W:$W,ROW()))</f>
        <v>49.75</v>
      </c>
      <c r="Y287" s="44">
        <f>_xlfn.STDEV.S(INDEX($W:$W,MAX(ROW($W$3),ROW()-23)):INDEX($W:$W,ROW()))</f>
        <v>41.487819060957911</v>
      </c>
      <c r="Z287" s="44">
        <f t="shared" si="26"/>
        <v>0.53630199185231098</v>
      </c>
      <c r="AA287" s="40" t="b">
        <f t="shared" si="24"/>
        <v>0</v>
      </c>
    </row>
    <row r="288" spans="1:27" x14ac:dyDescent="0.3">
      <c r="A288" s="32">
        <v>286</v>
      </c>
      <c r="B288" s="33">
        <v>40556</v>
      </c>
      <c r="C288" s="40" t="str">
        <f t="shared" si="27"/>
        <v>Thursday</v>
      </c>
      <c r="D288" s="28">
        <v>8</v>
      </c>
      <c r="E288" s="40" t="str" cm="1">
        <f t="array" ref="E288">_xlfn.IFS(D288&gt;=21,"Night",D288&gt;=17,"Evening",D288&gt;=12,"Midday",D288&gt;=6,"Morning", TRUE, "Night")</f>
        <v>Morning</v>
      </c>
      <c r="F288" s="28">
        <v>1</v>
      </c>
      <c r="G288" s="28">
        <v>0</v>
      </c>
      <c r="H288" s="28">
        <v>1</v>
      </c>
      <c r="I288" s="28">
        <v>4</v>
      </c>
      <c r="J288" s="40" t="str">
        <f t="shared" si="28"/>
        <v>Weekday</v>
      </c>
      <c r="K288" s="28" t="b">
        <v>0</v>
      </c>
      <c r="L288" s="28">
        <v>1</v>
      </c>
      <c r="M288" s="40" t="str" cm="1">
        <f t="array" ref="M288">_xlfn.IFS(L288=1,"Clear / Partly Cloudy",L288=2,"Mist / Cloudy",L288=3,"Light Snow / Rain",L288=4,"Heavy Precipitation")</f>
        <v>Clear / Partly Cloudy</v>
      </c>
      <c r="N288" s="28">
        <v>0.14000000000000001</v>
      </c>
      <c r="O288" s="28" t="str">
        <f t="shared" si="29"/>
        <v>Cold</v>
      </c>
      <c r="P288" s="28">
        <v>0.13639999999999999</v>
      </c>
      <c r="Q288" s="38">
        <f t="shared" si="25"/>
        <v>0.13639999999999999</v>
      </c>
      <c r="R288" s="28">
        <v>0.5</v>
      </c>
      <c r="S288" s="28">
        <v>0.19400000000000001</v>
      </c>
      <c r="T288" s="40" t="str" cm="1">
        <f t="array" ref="T288">_xlfn.IFS(S288*18.6&lt;2,"Calm",S288*18.6&lt;6,"Light Breeze",S288*18.6&lt;14,"Gale",TRUE,"Extreme Storm")</f>
        <v>Light Breeze</v>
      </c>
      <c r="U288" s="28">
        <v>5</v>
      </c>
      <c r="V288" s="28">
        <v>197</v>
      </c>
      <c r="W288" s="28">
        <v>202</v>
      </c>
      <c r="X288" s="44">
        <f>AVERAGE(INDEX($W:$W,MAX(ROW($W$3),ROW()-23)):INDEX($W:$W,ROW()))</f>
        <v>52.833333333333336</v>
      </c>
      <c r="Y288" s="44">
        <f>_xlfn.STDEV.S(INDEX($W:$W,MAX(ROW($W$3),ROW()-23)):INDEX($W:$W,ROW()))</f>
        <v>49.527038435907755</v>
      </c>
      <c r="Z288" s="44">
        <f t="shared" si="26"/>
        <v>3.0118228623684242</v>
      </c>
      <c r="AA288" s="40" t="b">
        <f t="shared" si="24"/>
        <v>1</v>
      </c>
    </row>
    <row r="289" spans="1:27" x14ac:dyDescent="0.3">
      <c r="A289" s="32">
        <v>287</v>
      </c>
      <c r="B289" s="33">
        <v>40556</v>
      </c>
      <c r="C289" s="40" t="str">
        <f t="shared" si="27"/>
        <v>Thursday</v>
      </c>
      <c r="D289" s="28">
        <v>9</v>
      </c>
      <c r="E289" s="40" t="str" cm="1">
        <f t="array" ref="E289">_xlfn.IFS(D289&gt;=21,"Night",D289&gt;=17,"Evening",D289&gt;=12,"Midday",D289&gt;=6,"Morning", TRUE, "Night")</f>
        <v>Morning</v>
      </c>
      <c r="F289" s="28">
        <v>1</v>
      </c>
      <c r="G289" s="28">
        <v>0</v>
      </c>
      <c r="H289" s="28">
        <v>1</v>
      </c>
      <c r="I289" s="28">
        <v>4</v>
      </c>
      <c r="J289" s="40" t="str">
        <f t="shared" si="28"/>
        <v>Weekday</v>
      </c>
      <c r="K289" s="28" t="b">
        <v>0</v>
      </c>
      <c r="L289" s="28">
        <v>1</v>
      </c>
      <c r="M289" s="40" t="str" cm="1">
        <f t="array" ref="M289">_xlfn.IFS(L289=1,"Clear / Partly Cloudy",L289=2,"Mist / Cloudy",L289=3,"Light Snow / Rain",L289=4,"Heavy Precipitation")</f>
        <v>Clear / Partly Cloudy</v>
      </c>
      <c r="N289" s="28">
        <v>0.14000000000000001</v>
      </c>
      <c r="O289" s="28" t="str">
        <f t="shared" si="29"/>
        <v>Cold</v>
      </c>
      <c r="P289" s="28">
        <v>0.1212</v>
      </c>
      <c r="Q289" s="38">
        <f t="shared" si="25"/>
        <v>0.1212</v>
      </c>
      <c r="R289" s="28">
        <v>0.5</v>
      </c>
      <c r="S289" s="28">
        <v>0.32840000000000003</v>
      </c>
      <c r="T289" s="40" t="str" cm="1">
        <f t="array" ref="T289">_xlfn.IFS(S289*18.6&lt;2,"Calm",S289*18.6&lt;6,"Light Breeze",S289*18.6&lt;14,"Gale",TRUE,"Extreme Storm")</f>
        <v>Gale</v>
      </c>
      <c r="U289" s="28">
        <v>2</v>
      </c>
      <c r="V289" s="28">
        <v>137</v>
      </c>
      <c r="W289" s="28">
        <v>139</v>
      </c>
      <c r="X289" s="44">
        <f>AVERAGE(INDEX($W:$W,MAX(ROW($W$3),ROW()-23)):INDEX($W:$W,ROW()))</f>
        <v>55.25</v>
      </c>
      <c r="Y289" s="44">
        <f>_xlfn.STDEV.S(INDEX($W:$W,MAX(ROW($W$3),ROW()-23)):INDEX($W:$W,ROW()))</f>
        <v>52.298682334386243</v>
      </c>
      <c r="Z289" s="44">
        <f t="shared" si="26"/>
        <v>1.6013787778537318</v>
      </c>
      <c r="AA289" s="40" t="b">
        <f t="shared" si="24"/>
        <v>0</v>
      </c>
    </row>
    <row r="290" spans="1:27" x14ac:dyDescent="0.3">
      <c r="A290" s="32">
        <v>288</v>
      </c>
      <c r="B290" s="33">
        <v>40556</v>
      </c>
      <c r="C290" s="40" t="str">
        <f t="shared" si="27"/>
        <v>Thursday</v>
      </c>
      <c r="D290" s="28">
        <v>10</v>
      </c>
      <c r="E290" s="40" t="str" cm="1">
        <f t="array" ref="E290">_xlfn.IFS(D290&gt;=21,"Night",D290&gt;=17,"Evening",D290&gt;=12,"Midday",D290&gt;=6,"Morning", TRUE, "Night")</f>
        <v>Morning</v>
      </c>
      <c r="F290" s="28">
        <v>1</v>
      </c>
      <c r="G290" s="28">
        <v>0</v>
      </c>
      <c r="H290" s="28">
        <v>1</v>
      </c>
      <c r="I290" s="28">
        <v>4</v>
      </c>
      <c r="J290" s="40" t="str">
        <f t="shared" si="28"/>
        <v>Weekday</v>
      </c>
      <c r="K290" s="28" t="b">
        <v>0</v>
      </c>
      <c r="L290" s="28">
        <v>2</v>
      </c>
      <c r="M290" s="40" t="str" cm="1">
        <f t="array" ref="M290">_xlfn.IFS(L290=1,"Clear / Partly Cloudy",L290=2,"Mist / Cloudy",L290=3,"Light Snow / Rain",L290=4,"Heavy Precipitation")</f>
        <v>Mist / Cloudy</v>
      </c>
      <c r="N290" s="28">
        <v>0.16</v>
      </c>
      <c r="O290" s="28" t="str">
        <f t="shared" si="29"/>
        <v>Cold</v>
      </c>
      <c r="P290" s="28">
        <v>0.13639999999999999</v>
      </c>
      <c r="Q290" s="38">
        <f t="shared" si="25"/>
        <v>0.13639999999999999</v>
      </c>
      <c r="R290" s="28">
        <v>0.5</v>
      </c>
      <c r="S290" s="28">
        <v>0.35820000000000002</v>
      </c>
      <c r="T290" s="40" t="str" cm="1">
        <f t="array" ref="T290">_xlfn.IFS(S290*18.6&lt;2,"Calm",S290*18.6&lt;6,"Light Breeze",S290*18.6&lt;14,"Gale",TRUE,"Extreme Storm")</f>
        <v>Gale</v>
      </c>
      <c r="U290" s="28">
        <v>2</v>
      </c>
      <c r="V290" s="28">
        <v>36</v>
      </c>
      <c r="W290" s="28">
        <v>38</v>
      </c>
      <c r="X290" s="44">
        <f>AVERAGE(INDEX($W:$W,MAX(ROW($W$3),ROW()-23)):INDEX($W:$W,ROW()))</f>
        <v>55.208333333333336</v>
      </c>
      <c r="Y290" s="44">
        <f>_xlfn.STDEV.S(INDEX($W:$W,MAX(ROW($W$3),ROW()-23)):INDEX($W:$W,ROW()))</f>
        <v>52.312588198807092</v>
      </c>
      <c r="Z290" s="44">
        <f t="shared" si="26"/>
        <v>-0.32895205390976517</v>
      </c>
      <c r="AA290" s="40" t="b">
        <f t="shared" si="24"/>
        <v>0</v>
      </c>
    </row>
    <row r="291" spans="1:27" x14ac:dyDescent="0.3">
      <c r="A291" s="32">
        <v>289</v>
      </c>
      <c r="B291" s="33">
        <v>40556</v>
      </c>
      <c r="C291" s="40" t="str">
        <f t="shared" si="27"/>
        <v>Thursday</v>
      </c>
      <c r="D291" s="28">
        <v>11</v>
      </c>
      <c r="E291" s="40" t="str" cm="1">
        <f t="array" ref="E291">_xlfn.IFS(D291&gt;=21,"Night",D291&gt;=17,"Evening",D291&gt;=12,"Midday",D291&gt;=6,"Morning", TRUE, "Night")</f>
        <v>Morning</v>
      </c>
      <c r="F291" s="28">
        <v>1</v>
      </c>
      <c r="G291" s="28">
        <v>0</v>
      </c>
      <c r="H291" s="28">
        <v>1</v>
      </c>
      <c r="I291" s="28">
        <v>4</v>
      </c>
      <c r="J291" s="40" t="str">
        <f t="shared" si="28"/>
        <v>Weekday</v>
      </c>
      <c r="K291" s="28" t="b">
        <v>0</v>
      </c>
      <c r="L291" s="28">
        <v>2</v>
      </c>
      <c r="M291" s="40" t="str" cm="1">
        <f t="array" ref="M291">_xlfn.IFS(L291=1,"Clear / Partly Cloudy",L291=2,"Mist / Cloudy",L291=3,"Light Snow / Rain",L291=4,"Heavy Precipitation")</f>
        <v>Mist / Cloudy</v>
      </c>
      <c r="N291" s="28">
        <v>0.2</v>
      </c>
      <c r="O291" s="28" t="str">
        <f t="shared" si="29"/>
        <v>Mild</v>
      </c>
      <c r="P291" s="28">
        <v>0.16669999999999999</v>
      </c>
      <c r="Q291" s="38">
        <f t="shared" si="25"/>
        <v>0.16669999999999999</v>
      </c>
      <c r="R291" s="28">
        <v>0.44</v>
      </c>
      <c r="S291" s="28">
        <v>0.44779999999999998</v>
      </c>
      <c r="T291" s="40" t="str" cm="1">
        <f t="array" ref="T291">_xlfn.IFS(S291*18.6&lt;2,"Calm",S291*18.6&lt;6,"Light Breeze",S291*18.6&lt;14,"Gale",TRUE,"Extreme Storm")</f>
        <v>Gale</v>
      </c>
      <c r="U291" s="28">
        <v>4</v>
      </c>
      <c r="V291" s="28">
        <v>33</v>
      </c>
      <c r="W291" s="28">
        <v>37</v>
      </c>
      <c r="X291" s="44">
        <f>AVERAGE(INDEX($W:$W,MAX(ROW($W$3),ROW()-23)):INDEX($W:$W,ROW()))</f>
        <v>55.291666666666664</v>
      </c>
      <c r="Y291" s="44">
        <f>_xlfn.STDEV.S(INDEX($W:$W,MAX(ROW($W$3),ROW()-23)):INDEX($W:$W,ROW()))</f>
        <v>52.280580122747438</v>
      </c>
      <c r="Z291" s="44">
        <f t="shared" si="26"/>
        <v>-0.34987497506187587</v>
      </c>
      <c r="AA291" s="40" t="b">
        <f t="shared" si="24"/>
        <v>0</v>
      </c>
    </row>
    <row r="292" spans="1:27" x14ac:dyDescent="0.3">
      <c r="A292" s="32">
        <v>290</v>
      </c>
      <c r="B292" s="33">
        <v>40556</v>
      </c>
      <c r="C292" s="40" t="str">
        <f t="shared" si="27"/>
        <v>Thursday</v>
      </c>
      <c r="D292" s="28">
        <v>12</v>
      </c>
      <c r="E292" s="40" t="str" cm="1">
        <f t="array" ref="E292">_xlfn.IFS(D292&gt;=21,"Night",D292&gt;=17,"Evening",D292&gt;=12,"Midday",D292&gt;=6,"Morning", TRUE, "Night")</f>
        <v>Midday</v>
      </c>
      <c r="F292" s="28">
        <v>1</v>
      </c>
      <c r="G292" s="28">
        <v>0</v>
      </c>
      <c r="H292" s="28">
        <v>1</v>
      </c>
      <c r="I292" s="28">
        <v>4</v>
      </c>
      <c r="J292" s="40" t="str">
        <f t="shared" si="28"/>
        <v>Weekday</v>
      </c>
      <c r="K292" s="28" t="b">
        <v>0</v>
      </c>
      <c r="L292" s="28">
        <v>1</v>
      </c>
      <c r="M292" s="40" t="str" cm="1">
        <f t="array" ref="M292">_xlfn.IFS(L292=1,"Clear / Partly Cloudy",L292=2,"Mist / Cloudy",L292=3,"Light Snow / Rain",L292=4,"Heavy Precipitation")</f>
        <v>Clear / Partly Cloudy</v>
      </c>
      <c r="N292" s="28">
        <v>0.2</v>
      </c>
      <c r="O292" s="28" t="str">
        <f t="shared" si="29"/>
        <v>Mild</v>
      </c>
      <c r="P292" s="28">
        <v>0.16669999999999999</v>
      </c>
      <c r="Q292" s="38">
        <f t="shared" si="25"/>
        <v>0.16669999999999999</v>
      </c>
      <c r="R292" s="28">
        <v>0.44</v>
      </c>
      <c r="S292" s="28">
        <v>0.41789999999999999</v>
      </c>
      <c r="T292" s="40" t="str" cm="1">
        <f t="array" ref="T292">_xlfn.IFS(S292*18.6&lt;2,"Calm",S292*18.6&lt;6,"Light Breeze",S292*18.6&lt;14,"Gale",TRUE,"Extreme Storm")</f>
        <v>Gale</v>
      </c>
      <c r="U292" s="28">
        <v>3</v>
      </c>
      <c r="V292" s="28">
        <v>49</v>
      </c>
      <c r="W292" s="28">
        <v>52</v>
      </c>
      <c r="X292" s="44">
        <f>AVERAGE(INDEX($W:$W,MAX(ROW($W$3),ROW()-23)):INDEX($W:$W,ROW()))</f>
        <v>55.166666666666664</v>
      </c>
      <c r="Y292" s="44">
        <f>_xlfn.STDEV.S(INDEX($W:$W,MAX(ROW($W$3),ROW()-23)):INDEX($W:$W,ROW()))</f>
        <v>52.284894041468</v>
      </c>
      <c r="Z292" s="44">
        <f t="shared" si="26"/>
        <v>-6.0565613160755941E-2</v>
      </c>
      <c r="AA292" s="40" t="b">
        <f t="shared" si="24"/>
        <v>0</v>
      </c>
    </row>
    <row r="293" spans="1:27" x14ac:dyDescent="0.3">
      <c r="A293" s="32">
        <v>291</v>
      </c>
      <c r="B293" s="33">
        <v>40556</v>
      </c>
      <c r="C293" s="40" t="str">
        <f t="shared" si="27"/>
        <v>Thursday</v>
      </c>
      <c r="D293" s="28">
        <v>13</v>
      </c>
      <c r="E293" s="40" t="str" cm="1">
        <f t="array" ref="E293">_xlfn.IFS(D293&gt;=21,"Night",D293&gt;=17,"Evening",D293&gt;=12,"Midday",D293&gt;=6,"Morning", TRUE, "Night")</f>
        <v>Midday</v>
      </c>
      <c r="F293" s="28">
        <v>1</v>
      </c>
      <c r="G293" s="28">
        <v>0</v>
      </c>
      <c r="H293" s="28">
        <v>1</v>
      </c>
      <c r="I293" s="28">
        <v>4</v>
      </c>
      <c r="J293" s="40" t="str">
        <f t="shared" si="28"/>
        <v>Weekday</v>
      </c>
      <c r="K293" s="28" t="b">
        <v>0</v>
      </c>
      <c r="L293" s="28">
        <v>1</v>
      </c>
      <c r="M293" s="40" t="str" cm="1">
        <f t="array" ref="M293">_xlfn.IFS(L293=1,"Clear / Partly Cloudy",L293=2,"Mist / Cloudy",L293=3,"Light Snow / Rain",L293=4,"Heavy Precipitation")</f>
        <v>Clear / Partly Cloudy</v>
      </c>
      <c r="N293" s="28">
        <v>0.22</v>
      </c>
      <c r="O293" s="28" t="str">
        <f t="shared" si="29"/>
        <v>Mild</v>
      </c>
      <c r="P293" s="28">
        <v>0.19700000000000001</v>
      </c>
      <c r="Q293" s="38">
        <f t="shared" si="25"/>
        <v>0.19700000000000001</v>
      </c>
      <c r="R293" s="28">
        <v>0.41</v>
      </c>
      <c r="S293" s="28">
        <v>0.44779999999999998</v>
      </c>
      <c r="T293" s="40" t="str" cm="1">
        <f t="array" ref="T293">_xlfn.IFS(S293*18.6&lt;2,"Calm",S293*18.6&lt;6,"Light Breeze",S293*18.6&lt;14,"Gale",TRUE,"Extreme Storm")</f>
        <v>Gale</v>
      </c>
      <c r="U293" s="28">
        <v>2</v>
      </c>
      <c r="V293" s="28">
        <v>81</v>
      </c>
      <c r="W293" s="28">
        <v>83</v>
      </c>
      <c r="X293" s="44">
        <f>AVERAGE(INDEX($W:$W,MAX(ROW($W$3),ROW()-23)):INDEX($W:$W,ROW()))</f>
        <v>56.583333333333336</v>
      </c>
      <c r="Y293" s="44">
        <f>_xlfn.STDEV.S(INDEX($W:$W,MAX(ROW($W$3),ROW()-23)):INDEX($W:$W,ROW()))</f>
        <v>52.570380705642904</v>
      </c>
      <c r="Z293" s="44">
        <f t="shared" si="26"/>
        <v>0.50250095799346384</v>
      </c>
      <c r="AA293" s="40" t="b">
        <f t="shared" si="24"/>
        <v>0</v>
      </c>
    </row>
    <row r="294" spans="1:27" x14ac:dyDescent="0.3">
      <c r="A294" s="32">
        <v>292</v>
      </c>
      <c r="B294" s="33">
        <v>40556</v>
      </c>
      <c r="C294" s="40" t="str">
        <f t="shared" si="27"/>
        <v>Thursday</v>
      </c>
      <c r="D294" s="28">
        <v>14</v>
      </c>
      <c r="E294" s="40" t="str" cm="1">
        <f t="array" ref="E294">_xlfn.IFS(D294&gt;=21,"Night",D294&gt;=17,"Evening",D294&gt;=12,"Midday",D294&gt;=6,"Morning", TRUE, "Night")</f>
        <v>Midday</v>
      </c>
      <c r="F294" s="28">
        <v>1</v>
      </c>
      <c r="G294" s="28">
        <v>0</v>
      </c>
      <c r="H294" s="28">
        <v>1</v>
      </c>
      <c r="I294" s="28">
        <v>4</v>
      </c>
      <c r="J294" s="40" t="str">
        <f t="shared" si="28"/>
        <v>Weekday</v>
      </c>
      <c r="K294" s="28" t="b">
        <v>0</v>
      </c>
      <c r="L294" s="28">
        <v>1</v>
      </c>
      <c r="M294" s="40" t="str" cm="1">
        <f t="array" ref="M294">_xlfn.IFS(L294=1,"Clear / Partly Cloudy",L294=2,"Mist / Cloudy",L294=3,"Light Snow / Rain",L294=4,"Heavy Precipitation")</f>
        <v>Clear / Partly Cloudy</v>
      </c>
      <c r="N294" s="28">
        <v>0.22</v>
      </c>
      <c r="O294" s="28" t="str">
        <f t="shared" si="29"/>
        <v>Mild</v>
      </c>
      <c r="P294" s="28">
        <v>0.19700000000000001</v>
      </c>
      <c r="Q294" s="38">
        <f t="shared" si="25"/>
        <v>0.19700000000000001</v>
      </c>
      <c r="R294" s="28">
        <v>0.41</v>
      </c>
      <c r="S294" s="28">
        <v>0.3881</v>
      </c>
      <c r="T294" s="40" t="str" cm="1">
        <f t="array" ref="T294">_xlfn.IFS(S294*18.6&lt;2,"Calm",S294*18.6&lt;6,"Light Breeze",S294*18.6&lt;14,"Gale",TRUE,"Extreme Storm")</f>
        <v>Gale</v>
      </c>
      <c r="U294" s="28">
        <v>3</v>
      </c>
      <c r="V294" s="28">
        <v>39</v>
      </c>
      <c r="W294" s="28">
        <v>42</v>
      </c>
      <c r="X294" s="44">
        <f>AVERAGE(INDEX($W:$W,MAX(ROW($W$3),ROW()-23)):INDEX($W:$W,ROW()))</f>
        <v>56.5</v>
      </c>
      <c r="Y294" s="44">
        <f>_xlfn.STDEV.S(INDEX($W:$W,MAX(ROW($W$3),ROW()-23)):INDEX($W:$W,ROW()))</f>
        <v>52.592775169218825</v>
      </c>
      <c r="Z294" s="44">
        <f t="shared" si="26"/>
        <v>-0.27570326824066266</v>
      </c>
      <c r="AA294" s="40" t="b">
        <f t="shared" si="24"/>
        <v>0</v>
      </c>
    </row>
    <row r="295" spans="1:27" x14ac:dyDescent="0.3">
      <c r="A295" s="32">
        <v>293</v>
      </c>
      <c r="B295" s="33">
        <v>40556</v>
      </c>
      <c r="C295" s="40" t="str">
        <f t="shared" si="27"/>
        <v>Thursday</v>
      </c>
      <c r="D295" s="28">
        <v>15</v>
      </c>
      <c r="E295" s="40" t="str" cm="1">
        <f t="array" ref="E295">_xlfn.IFS(D295&gt;=21,"Night",D295&gt;=17,"Evening",D295&gt;=12,"Midday",D295&gt;=6,"Morning", TRUE, "Night")</f>
        <v>Midday</v>
      </c>
      <c r="F295" s="28">
        <v>1</v>
      </c>
      <c r="G295" s="28">
        <v>0</v>
      </c>
      <c r="H295" s="28">
        <v>1</v>
      </c>
      <c r="I295" s="28">
        <v>4</v>
      </c>
      <c r="J295" s="40" t="str">
        <f t="shared" si="28"/>
        <v>Weekday</v>
      </c>
      <c r="K295" s="28" t="b">
        <v>0</v>
      </c>
      <c r="L295" s="28">
        <v>1</v>
      </c>
      <c r="M295" s="40" t="str" cm="1">
        <f t="array" ref="M295">_xlfn.IFS(L295=1,"Clear / Partly Cloudy",L295=2,"Mist / Cloudy",L295=3,"Light Snow / Rain",L295=4,"Heavy Precipitation")</f>
        <v>Clear / Partly Cloudy</v>
      </c>
      <c r="N295" s="28">
        <v>0.24</v>
      </c>
      <c r="O295" s="28" t="str">
        <f t="shared" si="29"/>
        <v>Mild</v>
      </c>
      <c r="P295" s="28">
        <v>0.21210000000000001</v>
      </c>
      <c r="Q295" s="38">
        <f t="shared" si="25"/>
        <v>0.21210000000000001</v>
      </c>
      <c r="R295" s="28">
        <v>0.38</v>
      </c>
      <c r="S295" s="28">
        <v>0.29849999999999999</v>
      </c>
      <c r="T295" s="40" t="str" cm="1">
        <f t="array" ref="T295">_xlfn.IFS(S295*18.6&lt;2,"Calm",S295*18.6&lt;6,"Light Breeze",S295*18.6&lt;14,"Gale",TRUE,"Extreme Storm")</f>
        <v>Light Breeze</v>
      </c>
      <c r="U295" s="28">
        <v>5</v>
      </c>
      <c r="V295" s="28">
        <v>55</v>
      </c>
      <c r="W295" s="28">
        <v>60</v>
      </c>
      <c r="X295" s="44">
        <f>AVERAGE(INDEX($W:$W,MAX(ROW($W$3),ROW()-23)):INDEX($W:$W,ROW()))</f>
        <v>56.958333333333336</v>
      </c>
      <c r="Y295" s="44">
        <f>_xlfn.STDEV.S(INDEX($W:$W,MAX(ROW($W$3),ROW()-23)):INDEX($W:$W,ROW()))</f>
        <v>52.572499975017244</v>
      </c>
      <c r="Z295" s="44">
        <f t="shared" si="26"/>
        <v>5.7856610739684851E-2</v>
      </c>
      <c r="AA295" s="40" t="b">
        <f t="shared" si="24"/>
        <v>0</v>
      </c>
    </row>
    <row r="296" spans="1:27" x14ac:dyDescent="0.3">
      <c r="A296" s="32">
        <v>294</v>
      </c>
      <c r="B296" s="33">
        <v>40556</v>
      </c>
      <c r="C296" s="40" t="str">
        <f t="shared" si="27"/>
        <v>Thursday</v>
      </c>
      <c r="D296" s="28">
        <v>16</v>
      </c>
      <c r="E296" s="40" t="str" cm="1">
        <f t="array" ref="E296">_xlfn.IFS(D296&gt;=21,"Night",D296&gt;=17,"Evening",D296&gt;=12,"Midday",D296&gt;=6,"Morning", TRUE, "Night")</f>
        <v>Midday</v>
      </c>
      <c r="F296" s="28">
        <v>1</v>
      </c>
      <c r="G296" s="28">
        <v>0</v>
      </c>
      <c r="H296" s="28">
        <v>1</v>
      </c>
      <c r="I296" s="28">
        <v>4</v>
      </c>
      <c r="J296" s="40" t="str">
        <f t="shared" si="28"/>
        <v>Weekday</v>
      </c>
      <c r="K296" s="28" t="b">
        <v>0</v>
      </c>
      <c r="L296" s="28">
        <v>1</v>
      </c>
      <c r="M296" s="40" t="str" cm="1">
        <f t="array" ref="M296">_xlfn.IFS(L296=1,"Clear / Partly Cloudy",L296=2,"Mist / Cloudy",L296=3,"Light Snow / Rain",L296=4,"Heavy Precipitation")</f>
        <v>Clear / Partly Cloudy</v>
      </c>
      <c r="N296" s="28">
        <v>0.24</v>
      </c>
      <c r="O296" s="28" t="str">
        <f t="shared" si="29"/>
        <v>Mild</v>
      </c>
      <c r="P296" s="28">
        <v>0.21210000000000001</v>
      </c>
      <c r="Q296" s="38">
        <f t="shared" si="25"/>
        <v>0.21210000000000001</v>
      </c>
      <c r="R296" s="28">
        <v>0.38</v>
      </c>
      <c r="S296" s="28">
        <v>0.35820000000000002</v>
      </c>
      <c r="T296" s="40" t="str" cm="1">
        <f t="array" ref="T296">_xlfn.IFS(S296*18.6&lt;2,"Calm",S296*18.6&lt;6,"Light Breeze",S296*18.6&lt;14,"Gale",TRUE,"Extreme Storm")</f>
        <v>Gale</v>
      </c>
      <c r="U296" s="28">
        <v>2</v>
      </c>
      <c r="V296" s="28">
        <v>76</v>
      </c>
      <c r="W296" s="28">
        <v>78</v>
      </c>
      <c r="X296" s="44">
        <f>AVERAGE(INDEX($W:$W,MAX(ROW($W$3),ROW()-23)):INDEX($W:$W,ROW()))</f>
        <v>57.375</v>
      </c>
      <c r="Y296" s="44">
        <f>_xlfn.STDEV.S(INDEX($W:$W,MAX(ROW($W$3),ROW()-23)):INDEX($W:$W,ROW()))</f>
        <v>52.703281392767352</v>
      </c>
      <c r="Z296" s="44">
        <f t="shared" si="26"/>
        <v>0.39134185680572137</v>
      </c>
      <c r="AA296" s="40" t="b">
        <f t="shared" si="24"/>
        <v>0</v>
      </c>
    </row>
    <row r="297" spans="1:27" x14ac:dyDescent="0.3">
      <c r="A297" s="32">
        <v>295</v>
      </c>
      <c r="B297" s="33">
        <v>40556</v>
      </c>
      <c r="C297" s="40" t="str">
        <f t="shared" si="27"/>
        <v>Thursday</v>
      </c>
      <c r="D297" s="28">
        <v>17</v>
      </c>
      <c r="E297" s="40" t="str" cm="1">
        <f t="array" ref="E297">_xlfn.IFS(D297&gt;=21,"Night",D297&gt;=17,"Evening",D297&gt;=12,"Midday",D297&gt;=6,"Morning", TRUE, "Night")</f>
        <v>Evening</v>
      </c>
      <c r="F297" s="28">
        <v>1</v>
      </c>
      <c r="G297" s="28">
        <v>0</v>
      </c>
      <c r="H297" s="28">
        <v>1</v>
      </c>
      <c r="I297" s="28">
        <v>4</v>
      </c>
      <c r="J297" s="40" t="str">
        <f t="shared" si="28"/>
        <v>Weekday</v>
      </c>
      <c r="K297" s="28" t="b">
        <v>0</v>
      </c>
      <c r="L297" s="28">
        <v>1</v>
      </c>
      <c r="M297" s="40" t="str" cm="1">
        <f t="array" ref="M297">_xlfn.IFS(L297=1,"Clear / Partly Cloudy",L297=2,"Mist / Cloudy",L297=3,"Light Snow / Rain",L297=4,"Heavy Precipitation")</f>
        <v>Clear / Partly Cloudy</v>
      </c>
      <c r="N297" s="28">
        <v>0.2</v>
      </c>
      <c r="O297" s="28" t="str">
        <f t="shared" si="29"/>
        <v>Mild</v>
      </c>
      <c r="P297" s="28">
        <v>0.18179999999999999</v>
      </c>
      <c r="Q297" s="38">
        <f t="shared" si="25"/>
        <v>0.18179999999999999</v>
      </c>
      <c r="R297" s="28">
        <v>0.4</v>
      </c>
      <c r="S297" s="28">
        <v>0.28360000000000002</v>
      </c>
      <c r="T297" s="40" t="str" cm="1">
        <f t="array" ref="T297">_xlfn.IFS(S297*18.6&lt;2,"Calm",S297*18.6&lt;6,"Light Breeze",S297*18.6&lt;14,"Gale",TRUE,"Extreme Storm")</f>
        <v>Light Breeze</v>
      </c>
      <c r="U297" s="28">
        <v>4</v>
      </c>
      <c r="V297" s="28">
        <v>158</v>
      </c>
      <c r="W297" s="28">
        <v>162</v>
      </c>
      <c r="X297" s="44">
        <f>AVERAGE(INDEX($W:$W,MAX(ROW($W$3),ROW()-23)):INDEX($W:$W,ROW()))</f>
        <v>58.333333333333336</v>
      </c>
      <c r="Y297" s="44">
        <f>_xlfn.STDEV.S(INDEX($W:$W,MAX(ROW($W$3),ROW()-23)):INDEX($W:$W,ROW()))</f>
        <v>54.432779978905025</v>
      </c>
      <c r="Z297" s="44">
        <f t="shared" si="26"/>
        <v>1.9044896605839683</v>
      </c>
      <c r="AA297" s="40" t="b">
        <f t="shared" si="24"/>
        <v>0</v>
      </c>
    </row>
    <row r="298" spans="1:27" x14ac:dyDescent="0.3">
      <c r="A298" s="32">
        <v>296</v>
      </c>
      <c r="B298" s="33">
        <v>40556</v>
      </c>
      <c r="C298" s="40" t="str">
        <f t="shared" si="27"/>
        <v>Thursday</v>
      </c>
      <c r="D298" s="28">
        <v>18</v>
      </c>
      <c r="E298" s="40" t="str" cm="1">
        <f t="array" ref="E298">_xlfn.IFS(D298&gt;=21,"Night",D298&gt;=17,"Evening",D298&gt;=12,"Midday",D298&gt;=6,"Morning", TRUE, "Night")</f>
        <v>Evening</v>
      </c>
      <c r="F298" s="28">
        <v>1</v>
      </c>
      <c r="G298" s="28">
        <v>0</v>
      </c>
      <c r="H298" s="28">
        <v>1</v>
      </c>
      <c r="I298" s="28">
        <v>4</v>
      </c>
      <c r="J298" s="40" t="str">
        <f t="shared" si="28"/>
        <v>Weekday</v>
      </c>
      <c r="K298" s="28" t="b">
        <v>0</v>
      </c>
      <c r="L298" s="28">
        <v>1</v>
      </c>
      <c r="M298" s="40" t="str" cm="1">
        <f t="array" ref="M298">_xlfn.IFS(L298=1,"Clear / Partly Cloudy",L298=2,"Mist / Cloudy",L298=3,"Light Snow / Rain",L298=4,"Heavy Precipitation")</f>
        <v>Clear / Partly Cloudy</v>
      </c>
      <c r="N298" s="28">
        <v>0.2</v>
      </c>
      <c r="O298" s="28" t="str">
        <f t="shared" si="29"/>
        <v>Mild</v>
      </c>
      <c r="P298" s="28">
        <v>0.18179999999999999</v>
      </c>
      <c r="Q298" s="38">
        <f t="shared" si="25"/>
        <v>0.18179999999999999</v>
      </c>
      <c r="R298" s="28">
        <v>0.4</v>
      </c>
      <c r="S298" s="28">
        <v>0.32840000000000003</v>
      </c>
      <c r="T298" s="40" t="str" cm="1">
        <f t="array" ref="T298">_xlfn.IFS(S298*18.6&lt;2,"Calm",S298*18.6&lt;6,"Light Breeze",S298*18.6&lt;14,"Gale",TRUE,"Extreme Storm")</f>
        <v>Gale</v>
      </c>
      <c r="U298" s="28">
        <v>3</v>
      </c>
      <c r="V298" s="28">
        <v>141</v>
      </c>
      <c r="W298" s="28">
        <v>144</v>
      </c>
      <c r="X298" s="44">
        <f>AVERAGE(INDEX($W:$W,MAX(ROW($W$3),ROW()-23)):INDEX($W:$W,ROW()))</f>
        <v>58.625</v>
      </c>
      <c r="Y298" s="44">
        <f>_xlfn.STDEV.S(INDEX($W:$W,MAX(ROW($W$3),ROW()-23)):INDEX($W:$W,ROW()))</f>
        <v>54.889464024251183</v>
      </c>
      <c r="Z298" s="44">
        <f t="shared" si="26"/>
        <v>1.5553986820180963</v>
      </c>
      <c r="AA298" s="40" t="b">
        <f t="shared" si="24"/>
        <v>0</v>
      </c>
    </row>
    <row r="299" spans="1:27" x14ac:dyDescent="0.3">
      <c r="A299" s="32">
        <v>297</v>
      </c>
      <c r="B299" s="33">
        <v>40556</v>
      </c>
      <c r="C299" s="40" t="str">
        <f t="shared" si="27"/>
        <v>Thursday</v>
      </c>
      <c r="D299" s="28">
        <v>19</v>
      </c>
      <c r="E299" s="40" t="str" cm="1">
        <f t="array" ref="E299">_xlfn.IFS(D299&gt;=21,"Night",D299&gt;=17,"Evening",D299&gt;=12,"Midday",D299&gt;=6,"Morning", TRUE, "Night")</f>
        <v>Evening</v>
      </c>
      <c r="F299" s="28">
        <v>1</v>
      </c>
      <c r="G299" s="28">
        <v>0</v>
      </c>
      <c r="H299" s="28">
        <v>1</v>
      </c>
      <c r="I299" s="28">
        <v>4</v>
      </c>
      <c r="J299" s="40" t="str">
        <f t="shared" si="28"/>
        <v>Weekday</v>
      </c>
      <c r="K299" s="28" t="b">
        <v>0</v>
      </c>
      <c r="L299" s="28">
        <v>1</v>
      </c>
      <c r="M299" s="40" t="str" cm="1">
        <f t="array" ref="M299">_xlfn.IFS(L299=1,"Clear / Partly Cloudy",L299=2,"Mist / Cloudy",L299=3,"Light Snow / Rain",L299=4,"Heavy Precipitation")</f>
        <v>Clear / Partly Cloudy</v>
      </c>
      <c r="N299" s="28">
        <v>0.16</v>
      </c>
      <c r="O299" s="28" t="str">
        <f t="shared" si="29"/>
        <v>Cold</v>
      </c>
      <c r="P299" s="28">
        <v>0.1515</v>
      </c>
      <c r="Q299" s="38">
        <f t="shared" si="25"/>
        <v>0.1515</v>
      </c>
      <c r="R299" s="28">
        <v>0.47</v>
      </c>
      <c r="S299" s="28">
        <v>0.25369999999999998</v>
      </c>
      <c r="T299" s="40" t="str" cm="1">
        <f t="array" ref="T299">_xlfn.IFS(S299*18.6&lt;2,"Calm",S299*18.6&lt;6,"Light Breeze",S299*18.6&lt;14,"Gale",TRUE,"Extreme Storm")</f>
        <v>Light Breeze</v>
      </c>
      <c r="U299" s="28">
        <v>1</v>
      </c>
      <c r="V299" s="28">
        <v>98</v>
      </c>
      <c r="W299" s="28">
        <v>99</v>
      </c>
      <c r="X299" s="44">
        <f>AVERAGE(INDEX($W:$W,MAX(ROW($W$3),ROW()-23)):INDEX($W:$W,ROW()))</f>
        <v>59.291666666666664</v>
      </c>
      <c r="Y299" s="44">
        <f>_xlfn.STDEV.S(INDEX($W:$W,MAX(ROW($W$3),ROW()-23)):INDEX($W:$W,ROW()))</f>
        <v>55.29405909331031</v>
      </c>
      <c r="Z299" s="44">
        <f t="shared" si="26"/>
        <v>0.71813019308863513</v>
      </c>
      <c r="AA299" s="40" t="b">
        <f t="shared" si="24"/>
        <v>0</v>
      </c>
    </row>
    <row r="300" spans="1:27" x14ac:dyDescent="0.3">
      <c r="A300" s="32">
        <v>298</v>
      </c>
      <c r="B300" s="33">
        <v>40556</v>
      </c>
      <c r="C300" s="40" t="str">
        <f t="shared" si="27"/>
        <v>Thursday</v>
      </c>
      <c r="D300" s="28">
        <v>20</v>
      </c>
      <c r="E300" s="40" t="str" cm="1">
        <f t="array" ref="E300">_xlfn.IFS(D300&gt;=21,"Night",D300&gt;=17,"Evening",D300&gt;=12,"Midday",D300&gt;=6,"Morning", TRUE, "Night")</f>
        <v>Evening</v>
      </c>
      <c r="F300" s="28">
        <v>1</v>
      </c>
      <c r="G300" s="28">
        <v>0</v>
      </c>
      <c r="H300" s="28">
        <v>1</v>
      </c>
      <c r="I300" s="28">
        <v>4</v>
      </c>
      <c r="J300" s="40" t="str">
        <f t="shared" si="28"/>
        <v>Weekday</v>
      </c>
      <c r="K300" s="28" t="b">
        <v>0</v>
      </c>
      <c r="L300" s="28">
        <v>1</v>
      </c>
      <c r="M300" s="40" t="str" cm="1">
        <f t="array" ref="M300">_xlfn.IFS(L300=1,"Clear / Partly Cloudy",L300=2,"Mist / Cloudy",L300=3,"Light Snow / Rain",L300=4,"Heavy Precipitation")</f>
        <v>Clear / Partly Cloudy</v>
      </c>
      <c r="N300" s="28">
        <v>0.16</v>
      </c>
      <c r="O300" s="28" t="str">
        <f t="shared" si="29"/>
        <v>Cold</v>
      </c>
      <c r="P300" s="28">
        <v>0.1515</v>
      </c>
      <c r="Q300" s="38">
        <f t="shared" si="25"/>
        <v>0.1515</v>
      </c>
      <c r="R300" s="28">
        <v>0.47</v>
      </c>
      <c r="S300" s="28">
        <v>0.22389999999999999</v>
      </c>
      <c r="T300" s="40" t="str" cm="1">
        <f t="array" ref="T300">_xlfn.IFS(S300*18.6&lt;2,"Calm",S300*18.6&lt;6,"Light Breeze",S300*18.6&lt;14,"Gale",TRUE,"Extreme Storm")</f>
        <v>Light Breeze</v>
      </c>
      <c r="U300" s="28">
        <v>0</v>
      </c>
      <c r="V300" s="28">
        <v>64</v>
      </c>
      <c r="W300" s="28">
        <v>64</v>
      </c>
      <c r="X300" s="44">
        <f>AVERAGE(INDEX($W:$W,MAX(ROW($W$3),ROW()-23)):INDEX($W:$W,ROW()))</f>
        <v>59.625</v>
      </c>
      <c r="Y300" s="44">
        <f>_xlfn.STDEV.S(INDEX($W:$W,MAX(ROW($W$3),ROW()-23)):INDEX($W:$W,ROW()))</f>
        <v>55.29746633082474</v>
      </c>
      <c r="Z300" s="44">
        <f t="shared" si="26"/>
        <v>7.9117548963743789E-2</v>
      </c>
      <c r="AA300" s="40" t="b">
        <f t="shared" si="24"/>
        <v>0</v>
      </c>
    </row>
    <row r="301" spans="1:27" x14ac:dyDescent="0.3">
      <c r="A301" s="32">
        <v>299</v>
      </c>
      <c r="B301" s="33">
        <v>40556</v>
      </c>
      <c r="C301" s="40" t="str">
        <f t="shared" si="27"/>
        <v>Thursday</v>
      </c>
      <c r="D301" s="28">
        <v>21</v>
      </c>
      <c r="E301" s="40" t="str" cm="1">
        <f t="array" ref="E301">_xlfn.IFS(D301&gt;=21,"Night",D301&gt;=17,"Evening",D301&gt;=12,"Midday",D301&gt;=6,"Morning", TRUE, "Night")</f>
        <v>Night</v>
      </c>
      <c r="F301" s="28">
        <v>1</v>
      </c>
      <c r="G301" s="28">
        <v>0</v>
      </c>
      <c r="H301" s="28">
        <v>1</v>
      </c>
      <c r="I301" s="28">
        <v>4</v>
      </c>
      <c r="J301" s="40" t="str">
        <f t="shared" si="28"/>
        <v>Weekday</v>
      </c>
      <c r="K301" s="28" t="b">
        <v>0</v>
      </c>
      <c r="L301" s="28">
        <v>1</v>
      </c>
      <c r="M301" s="40" t="str" cm="1">
        <f t="array" ref="M301">_xlfn.IFS(L301=1,"Clear / Partly Cloudy",L301=2,"Mist / Cloudy",L301=3,"Light Snow / Rain",L301=4,"Heavy Precipitation")</f>
        <v>Clear / Partly Cloudy</v>
      </c>
      <c r="N301" s="28">
        <v>0.14000000000000001</v>
      </c>
      <c r="O301" s="28" t="str">
        <f t="shared" si="29"/>
        <v>Cold</v>
      </c>
      <c r="P301" s="28">
        <v>0.1212</v>
      </c>
      <c r="Q301" s="38">
        <f t="shared" si="25"/>
        <v>0.1212</v>
      </c>
      <c r="R301" s="28">
        <v>0.46</v>
      </c>
      <c r="S301" s="28">
        <v>0.29849999999999999</v>
      </c>
      <c r="T301" s="40" t="str" cm="1">
        <f t="array" ref="T301">_xlfn.IFS(S301*18.6&lt;2,"Calm",S301*18.6&lt;6,"Light Breeze",S301*18.6&lt;14,"Gale",TRUE,"Extreme Storm")</f>
        <v>Light Breeze</v>
      </c>
      <c r="U301" s="28">
        <v>0</v>
      </c>
      <c r="V301" s="28">
        <v>40</v>
      </c>
      <c r="W301" s="28">
        <v>40</v>
      </c>
      <c r="X301" s="44">
        <f>AVERAGE(INDEX($W:$W,MAX(ROW($W$3),ROW()-23)):INDEX($W:$W,ROW()))</f>
        <v>58.916666666666664</v>
      </c>
      <c r="Y301" s="44">
        <f>_xlfn.STDEV.S(INDEX($W:$W,MAX(ROW($W$3),ROW()-23)):INDEX($W:$W,ROW()))</f>
        <v>55.441247136567654</v>
      </c>
      <c r="Z301" s="44">
        <f t="shared" si="26"/>
        <v>-0.34120204078507654</v>
      </c>
      <c r="AA301" s="40" t="b">
        <f t="shared" si="24"/>
        <v>0</v>
      </c>
    </row>
    <row r="302" spans="1:27" x14ac:dyDescent="0.3">
      <c r="A302" s="32">
        <v>300</v>
      </c>
      <c r="B302" s="33">
        <v>40556</v>
      </c>
      <c r="C302" s="40" t="str">
        <f t="shared" si="27"/>
        <v>Thursday</v>
      </c>
      <c r="D302" s="28">
        <v>22</v>
      </c>
      <c r="E302" s="40" t="str" cm="1">
        <f t="array" ref="E302">_xlfn.IFS(D302&gt;=21,"Night",D302&gt;=17,"Evening",D302&gt;=12,"Midday",D302&gt;=6,"Morning", TRUE, "Night")</f>
        <v>Night</v>
      </c>
      <c r="F302" s="28">
        <v>1</v>
      </c>
      <c r="G302" s="28">
        <v>0</v>
      </c>
      <c r="H302" s="28">
        <v>1</v>
      </c>
      <c r="I302" s="28">
        <v>4</v>
      </c>
      <c r="J302" s="40" t="str">
        <f t="shared" si="28"/>
        <v>Weekday</v>
      </c>
      <c r="K302" s="28" t="b">
        <v>0</v>
      </c>
      <c r="L302" s="28">
        <v>1</v>
      </c>
      <c r="M302" s="40" t="str" cm="1">
        <f t="array" ref="M302">_xlfn.IFS(L302=1,"Clear / Partly Cloudy",L302=2,"Mist / Cloudy",L302=3,"Light Snow / Rain",L302=4,"Heavy Precipitation")</f>
        <v>Clear / Partly Cloudy</v>
      </c>
      <c r="N302" s="28">
        <v>0.14000000000000001</v>
      </c>
      <c r="O302" s="28" t="str">
        <f t="shared" si="29"/>
        <v>Cold</v>
      </c>
      <c r="P302" s="28">
        <v>0.1212</v>
      </c>
      <c r="Q302" s="38">
        <f t="shared" si="25"/>
        <v>0.1212</v>
      </c>
      <c r="R302" s="28">
        <v>0.46</v>
      </c>
      <c r="S302" s="28">
        <v>0.32840000000000003</v>
      </c>
      <c r="T302" s="40" t="str" cm="1">
        <f t="array" ref="T302">_xlfn.IFS(S302*18.6&lt;2,"Calm",S302*18.6&lt;6,"Light Breeze",S302*18.6&lt;14,"Gale",TRUE,"Extreme Storm")</f>
        <v>Gale</v>
      </c>
      <c r="U302" s="28">
        <v>0</v>
      </c>
      <c r="V302" s="28">
        <v>30</v>
      </c>
      <c r="W302" s="28">
        <v>30</v>
      </c>
      <c r="X302" s="44">
        <f>AVERAGE(INDEX($W:$W,MAX(ROW($W$3),ROW()-23)):INDEX($W:$W,ROW()))</f>
        <v>58.791666666666664</v>
      </c>
      <c r="Y302" s="44">
        <f>_xlfn.STDEV.S(INDEX($W:$W,MAX(ROW($W$3),ROW()-23)):INDEX($W:$W,ROW()))</f>
        <v>55.50556506894771</v>
      </c>
      <c r="Z302" s="44">
        <f t="shared" si="26"/>
        <v>-0.51871675625502289</v>
      </c>
      <c r="AA302" s="40" t="b">
        <f t="shared" si="24"/>
        <v>0</v>
      </c>
    </row>
    <row r="303" spans="1:27" x14ac:dyDescent="0.3">
      <c r="A303" s="32">
        <v>301</v>
      </c>
      <c r="B303" s="33">
        <v>40556</v>
      </c>
      <c r="C303" s="40" t="str">
        <f t="shared" si="27"/>
        <v>Thursday</v>
      </c>
      <c r="D303" s="28">
        <v>23</v>
      </c>
      <c r="E303" s="40" t="str" cm="1">
        <f t="array" ref="E303">_xlfn.IFS(D303&gt;=21,"Night",D303&gt;=17,"Evening",D303&gt;=12,"Midday",D303&gt;=6,"Morning", TRUE, "Night")</f>
        <v>Night</v>
      </c>
      <c r="F303" s="28">
        <v>1</v>
      </c>
      <c r="G303" s="28">
        <v>0</v>
      </c>
      <c r="H303" s="28">
        <v>1</v>
      </c>
      <c r="I303" s="28">
        <v>4</v>
      </c>
      <c r="J303" s="40" t="str">
        <f t="shared" si="28"/>
        <v>Weekday</v>
      </c>
      <c r="K303" s="28" t="b">
        <v>0</v>
      </c>
      <c r="L303" s="28">
        <v>1</v>
      </c>
      <c r="M303" s="40" t="str" cm="1">
        <f t="array" ref="M303">_xlfn.IFS(L303=1,"Clear / Partly Cloudy",L303=2,"Mist / Cloudy",L303=3,"Light Snow / Rain",L303=4,"Heavy Precipitation")</f>
        <v>Clear / Partly Cloudy</v>
      </c>
      <c r="N303" s="28">
        <v>0.12</v>
      </c>
      <c r="O303" s="28" t="str">
        <f t="shared" si="29"/>
        <v>Cold</v>
      </c>
      <c r="P303" s="28">
        <v>0.13639999999999999</v>
      </c>
      <c r="Q303" s="38">
        <f t="shared" si="25"/>
        <v>0.13639999999999999</v>
      </c>
      <c r="R303" s="28">
        <v>0.5</v>
      </c>
      <c r="S303" s="28">
        <v>0.19400000000000001</v>
      </c>
      <c r="T303" s="40" t="str" cm="1">
        <f t="array" ref="T303">_xlfn.IFS(S303*18.6&lt;2,"Calm",S303*18.6&lt;6,"Light Breeze",S303*18.6&lt;14,"Gale",TRUE,"Extreme Storm")</f>
        <v>Light Breeze</v>
      </c>
      <c r="U303" s="28">
        <v>1</v>
      </c>
      <c r="V303" s="28">
        <v>14</v>
      </c>
      <c r="W303" s="28">
        <v>15</v>
      </c>
      <c r="X303" s="44">
        <f>AVERAGE(INDEX($W:$W,MAX(ROW($W$3),ROW()-23)):INDEX($W:$W,ROW()))</f>
        <v>58.583333333333336</v>
      </c>
      <c r="Y303" s="44">
        <f>_xlfn.STDEV.S(INDEX($W:$W,MAX(ROW($W$3),ROW()-23)):INDEX($W:$W,ROW()))</f>
        <v>55.666644970923478</v>
      </c>
      <c r="Z303" s="44">
        <f t="shared" si="26"/>
        <v>-0.78293443688043973</v>
      </c>
      <c r="AA303" s="40" t="b">
        <f t="shared" si="24"/>
        <v>0</v>
      </c>
    </row>
    <row r="304" spans="1:27" x14ac:dyDescent="0.3">
      <c r="A304" s="32">
        <v>302</v>
      </c>
      <c r="B304" s="33">
        <v>40557</v>
      </c>
      <c r="C304" s="40" t="str">
        <f t="shared" si="27"/>
        <v>Friday</v>
      </c>
      <c r="D304" s="28">
        <v>0</v>
      </c>
      <c r="E304" s="40" t="str" cm="1">
        <f t="array" ref="E304">_xlfn.IFS(D304&gt;=21,"Night",D304&gt;=17,"Evening",D304&gt;=12,"Midday",D304&gt;=6,"Morning", TRUE, "Night")</f>
        <v>Night</v>
      </c>
      <c r="F304" s="28">
        <v>1</v>
      </c>
      <c r="G304" s="28">
        <v>0</v>
      </c>
      <c r="H304" s="28">
        <v>1</v>
      </c>
      <c r="I304" s="28">
        <v>5</v>
      </c>
      <c r="J304" s="40" t="str">
        <f t="shared" si="28"/>
        <v>Weekday</v>
      </c>
      <c r="K304" s="28" t="b">
        <v>0</v>
      </c>
      <c r="L304" s="28">
        <v>1</v>
      </c>
      <c r="M304" s="40" t="str" cm="1">
        <f t="array" ref="M304">_xlfn.IFS(L304=1,"Clear / Partly Cloudy",L304=2,"Mist / Cloudy",L304=3,"Light Snow / Rain",L304=4,"Heavy Precipitation")</f>
        <v>Clear / Partly Cloudy</v>
      </c>
      <c r="N304" s="28">
        <v>0.12</v>
      </c>
      <c r="O304" s="28" t="str">
        <f t="shared" si="29"/>
        <v>Cold</v>
      </c>
      <c r="P304" s="28">
        <v>0.13639999999999999</v>
      </c>
      <c r="Q304" s="38">
        <f t="shared" si="25"/>
        <v>0.13639999999999999</v>
      </c>
      <c r="R304" s="28">
        <v>0.5</v>
      </c>
      <c r="S304" s="28">
        <v>0.19400000000000001</v>
      </c>
      <c r="T304" s="40" t="str" cm="1">
        <f t="array" ref="T304">_xlfn.IFS(S304*18.6&lt;2,"Calm",S304*18.6&lt;6,"Light Breeze",S304*18.6&lt;14,"Gale",TRUE,"Extreme Storm")</f>
        <v>Light Breeze</v>
      </c>
      <c r="U304" s="28">
        <v>0</v>
      </c>
      <c r="V304" s="28">
        <v>14</v>
      </c>
      <c r="W304" s="28">
        <v>14</v>
      </c>
      <c r="X304" s="44">
        <f>AVERAGE(INDEX($W:$W,MAX(ROW($W$3),ROW()-23)):INDEX($W:$W,ROW()))</f>
        <v>58.875</v>
      </c>
      <c r="Y304" s="44">
        <f>_xlfn.STDEV.S(INDEX($W:$W,MAX(ROW($W$3),ROW()-23)):INDEX($W:$W,ROW()))</f>
        <v>55.402332787174849</v>
      </c>
      <c r="Z304" s="44">
        <f t="shared" si="26"/>
        <v>-0.80998394367950088</v>
      </c>
      <c r="AA304" s="40" t="b">
        <f t="shared" si="24"/>
        <v>0</v>
      </c>
    </row>
    <row r="305" spans="1:27" x14ac:dyDescent="0.3">
      <c r="A305" s="32">
        <v>303</v>
      </c>
      <c r="B305" s="33">
        <v>40557</v>
      </c>
      <c r="C305" s="40" t="str">
        <f t="shared" si="27"/>
        <v>Friday</v>
      </c>
      <c r="D305" s="28">
        <v>1</v>
      </c>
      <c r="E305" s="40" t="str" cm="1">
        <f t="array" ref="E305">_xlfn.IFS(D305&gt;=21,"Night",D305&gt;=17,"Evening",D305&gt;=12,"Midday",D305&gt;=6,"Morning", TRUE, "Night")</f>
        <v>Night</v>
      </c>
      <c r="F305" s="28">
        <v>1</v>
      </c>
      <c r="G305" s="28">
        <v>0</v>
      </c>
      <c r="H305" s="28">
        <v>1</v>
      </c>
      <c r="I305" s="28">
        <v>5</v>
      </c>
      <c r="J305" s="40" t="str">
        <f t="shared" si="28"/>
        <v>Weekday</v>
      </c>
      <c r="K305" s="28" t="b">
        <v>0</v>
      </c>
      <c r="L305" s="28">
        <v>1</v>
      </c>
      <c r="M305" s="40" t="str" cm="1">
        <f t="array" ref="M305">_xlfn.IFS(L305=1,"Clear / Partly Cloudy",L305=2,"Mist / Cloudy",L305=3,"Light Snow / Rain",L305=4,"Heavy Precipitation")</f>
        <v>Clear / Partly Cloudy</v>
      </c>
      <c r="N305" s="28">
        <v>0.1</v>
      </c>
      <c r="O305" s="28" t="str">
        <f t="shared" si="29"/>
        <v>Cold</v>
      </c>
      <c r="P305" s="28">
        <v>0.1212</v>
      </c>
      <c r="Q305" s="38">
        <f t="shared" si="25"/>
        <v>0.1212</v>
      </c>
      <c r="R305" s="28">
        <v>0.54</v>
      </c>
      <c r="S305" s="28">
        <v>0.16420000000000001</v>
      </c>
      <c r="T305" s="40" t="str" cm="1">
        <f t="array" ref="T305">_xlfn.IFS(S305*18.6&lt;2,"Calm",S305*18.6&lt;6,"Light Breeze",S305*18.6&lt;14,"Gale",TRUE,"Extreme Storm")</f>
        <v>Light Breeze</v>
      </c>
      <c r="U305" s="28">
        <v>0</v>
      </c>
      <c r="V305" s="28">
        <v>5</v>
      </c>
      <c r="W305" s="28">
        <v>5</v>
      </c>
      <c r="X305" s="44">
        <f>AVERAGE(INDEX($W:$W,MAX(ROW($W$3),ROW()-23)):INDEX($W:$W,ROW()))</f>
        <v>59</v>
      </c>
      <c r="Y305" s="44">
        <f>_xlfn.STDEV.S(INDEX($W:$W,MAX(ROW($W$3),ROW()-23)):INDEX($W:$W,ROW()))</f>
        <v>55.271661108918472</v>
      </c>
      <c r="Z305" s="44">
        <f t="shared" si="26"/>
        <v>-0.97699252956388383</v>
      </c>
      <c r="AA305" s="40" t="b">
        <f t="shared" si="24"/>
        <v>0</v>
      </c>
    </row>
    <row r="306" spans="1:27" x14ac:dyDescent="0.3">
      <c r="A306" s="32">
        <v>304</v>
      </c>
      <c r="B306" s="33">
        <v>40557</v>
      </c>
      <c r="C306" s="40" t="str">
        <f t="shared" si="27"/>
        <v>Friday</v>
      </c>
      <c r="D306" s="28">
        <v>2</v>
      </c>
      <c r="E306" s="40" t="str" cm="1">
        <f t="array" ref="E306">_xlfn.IFS(D306&gt;=21,"Night",D306&gt;=17,"Evening",D306&gt;=12,"Midday",D306&gt;=6,"Morning", TRUE, "Night")</f>
        <v>Night</v>
      </c>
      <c r="F306" s="28">
        <v>1</v>
      </c>
      <c r="G306" s="28">
        <v>0</v>
      </c>
      <c r="H306" s="28">
        <v>1</v>
      </c>
      <c r="I306" s="28">
        <v>5</v>
      </c>
      <c r="J306" s="40" t="str">
        <f t="shared" si="28"/>
        <v>Weekday</v>
      </c>
      <c r="K306" s="28" t="b">
        <v>0</v>
      </c>
      <c r="L306" s="28">
        <v>1</v>
      </c>
      <c r="M306" s="40" t="str" cm="1">
        <f t="array" ref="M306">_xlfn.IFS(L306=1,"Clear / Partly Cloudy",L306=2,"Mist / Cloudy",L306=3,"Light Snow / Rain",L306=4,"Heavy Precipitation")</f>
        <v>Clear / Partly Cloudy</v>
      </c>
      <c r="N306" s="28">
        <v>0.1</v>
      </c>
      <c r="O306" s="28" t="str">
        <f t="shared" si="29"/>
        <v>Cold</v>
      </c>
      <c r="P306" s="28">
        <v>0.1212</v>
      </c>
      <c r="Q306" s="38">
        <f t="shared" si="25"/>
        <v>0.1212</v>
      </c>
      <c r="R306" s="28">
        <v>0.54</v>
      </c>
      <c r="S306" s="28">
        <v>0.1343</v>
      </c>
      <c r="T306" s="40" t="str" cm="1">
        <f t="array" ref="T306">_xlfn.IFS(S306*18.6&lt;2,"Calm",S306*18.6&lt;6,"Light Breeze",S306*18.6&lt;14,"Gale",TRUE,"Extreme Storm")</f>
        <v>Light Breeze</v>
      </c>
      <c r="U306" s="28">
        <v>0</v>
      </c>
      <c r="V306" s="28">
        <v>1</v>
      </c>
      <c r="W306" s="28">
        <v>1</v>
      </c>
      <c r="X306" s="44">
        <f>AVERAGE(INDEX($W:$W,MAX(ROW($W$3),ROW()-23)):INDEX($W:$W,ROW()))</f>
        <v>58.958333333333336</v>
      </c>
      <c r="Y306" s="44">
        <f>_xlfn.STDEV.S(INDEX($W:$W,MAX(ROW($W$3),ROW()-23)):INDEX($W:$W,ROW()))</f>
        <v>55.316857377701126</v>
      </c>
      <c r="Z306" s="44">
        <f t="shared" si="26"/>
        <v>-1.047751735742982</v>
      </c>
      <c r="AA306" s="40" t="b">
        <f t="shared" si="24"/>
        <v>0</v>
      </c>
    </row>
    <row r="307" spans="1:27" x14ac:dyDescent="0.3">
      <c r="A307" s="32">
        <v>305</v>
      </c>
      <c r="B307" s="33">
        <v>40557</v>
      </c>
      <c r="C307" s="40" t="str">
        <f t="shared" si="27"/>
        <v>Friday</v>
      </c>
      <c r="D307" s="28">
        <v>3</v>
      </c>
      <c r="E307" s="40" t="str" cm="1">
        <f t="array" ref="E307">_xlfn.IFS(D307&gt;=21,"Night",D307&gt;=17,"Evening",D307&gt;=12,"Midday",D307&gt;=6,"Morning", TRUE, "Night")</f>
        <v>Night</v>
      </c>
      <c r="F307" s="28">
        <v>1</v>
      </c>
      <c r="G307" s="28">
        <v>0</v>
      </c>
      <c r="H307" s="28">
        <v>1</v>
      </c>
      <c r="I307" s="28">
        <v>5</v>
      </c>
      <c r="J307" s="40" t="str">
        <f t="shared" si="28"/>
        <v>Weekday</v>
      </c>
      <c r="K307" s="28" t="b">
        <v>0</v>
      </c>
      <c r="L307" s="28">
        <v>1</v>
      </c>
      <c r="M307" s="40" t="str" cm="1">
        <f t="array" ref="M307">_xlfn.IFS(L307=1,"Clear / Partly Cloudy",L307=2,"Mist / Cloudy",L307=3,"Light Snow / Rain",L307=4,"Heavy Precipitation")</f>
        <v>Clear / Partly Cloudy</v>
      </c>
      <c r="N307" s="28">
        <v>0.1</v>
      </c>
      <c r="O307" s="28" t="str">
        <f t="shared" si="29"/>
        <v>Cold</v>
      </c>
      <c r="P307" s="28">
        <v>0.13639999999999999</v>
      </c>
      <c r="Q307" s="38">
        <f t="shared" si="25"/>
        <v>0.13639999999999999</v>
      </c>
      <c r="R307" s="28">
        <v>0.54</v>
      </c>
      <c r="S307" s="28">
        <v>0.1045</v>
      </c>
      <c r="T307" s="40" t="str" cm="1">
        <f t="array" ref="T307">_xlfn.IFS(S307*18.6&lt;2,"Calm",S307*18.6&lt;6,"Light Breeze",S307*18.6&lt;14,"Gale",TRUE,"Extreme Storm")</f>
        <v>Calm</v>
      </c>
      <c r="U307" s="28">
        <v>0</v>
      </c>
      <c r="V307" s="28">
        <v>1</v>
      </c>
      <c r="W307" s="28">
        <v>1</v>
      </c>
      <c r="X307" s="44">
        <f>AVERAGE(INDEX($W:$W,MAX(ROW($W$3),ROW()-23)):INDEX($W:$W,ROW()))</f>
        <v>58.875</v>
      </c>
      <c r="Y307" s="44">
        <f>_xlfn.STDEV.S(INDEX($W:$W,MAX(ROW($W$3),ROW()-23)):INDEX($W:$W,ROW()))</f>
        <v>55.406256513768959</v>
      </c>
      <c r="Z307" s="44">
        <f t="shared" si="26"/>
        <v>-1.0445571248008343</v>
      </c>
      <c r="AA307" s="40" t="b">
        <f t="shared" si="24"/>
        <v>0</v>
      </c>
    </row>
    <row r="308" spans="1:27" x14ac:dyDescent="0.3">
      <c r="A308" s="32">
        <v>306</v>
      </c>
      <c r="B308" s="33">
        <v>40557</v>
      </c>
      <c r="C308" s="40" t="str">
        <f t="shared" si="27"/>
        <v>Friday</v>
      </c>
      <c r="D308" s="28">
        <v>5</v>
      </c>
      <c r="E308" s="40" t="str" cm="1">
        <f t="array" ref="E308">_xlfn.IFS(D308&gt;=21,"Night",D308&gt;=17,"Evening",D308&gt;=12,"Midday",D308&gt;=6,"Morning", TRUE, "Night")</f>
        <v>Night</v>
      </c>
      <c r="F308" s="28">
        <v>1</v>
      </c>
      <c r="G308" s="28">
        <v>0</v>
      </c>
      <c r="H308" s="28">
        <v>1</v>
      </c>
      <c r="I308" s="28">
        <v>5</v>
      </c>
      <c r="J308" s="40" t="str">
        <f t="shared" si="28"/>
        <v>Weekday</v>
      </c>
      <c r="K308" s="28" t="b">
        <v>0</v>
      </c>
      <c r="L308" s="28">
        <v>1</v>
      </c>
      <c r="M308" s="40" t="str" cm="1">
        <f t="array" ref="M308">_xlfn.IFS(L308=1,"Clear / Partly Cloudy",L308=2,"Mist / Cloudy",L308=3,"Light Snow / Rain",L308=4,"Heavy Precipitation")</f>
        <v>Clear / Partly Cloudy</v>
      </c>
      <c r="N308" s="28">
        <v>0.1</v>
      </c>
      <c r="O308" s="28" t="str">
        <f t="shared" si="29"/>
        <v>Cold</v>
      </c>
      <c r="P308" s="28">
        <v>0.13639999999999999</v>
      </c>
      <c r="Q308" s="38">
        <f t="shared" si="25"/>
        <v>0.13639999999999999</v>
      </c>
      <c r="R308" s="28">
        <v>0.54</v>
      </c>
      <c r="S308" s="28">
        <v>8.9599999999999999E-2</v>
      </c>
      <c r="T308" s="40" t="str" cm="1">
        <f t="array" ref="T308">_xlfn.IFS(S308*18.6&lt;2,"Calm",S308*18.6&lt;6,"Light Breeze",S308*18.6&lt;14,"Gale",TRUE,"Extreme Storm")</f>
        <v>Calm</v>
      </c>
      <c r="U308" s="28">
        <v>0</v>
      </c>
      <c r="V308" s="28">
        <v>8</v>
      </c>
      <c r="W308" s="28">
        <v>8</v>
      </c>
      <c r="X308" s="44">
        <f>AVERAGE(INDEX($W:$W,MAX(ROW($W$3),ROW()-23)):INDEX($W:$W,ROW()))</f>
        <v>59.041666666666664</v>
      </c>
      <c r="Y308" s="44">
        <f>_xlfn.STDEV.S(INDEX($W:$W,MAX(ROW($W$3),ROW()-23)):INDEX($W:$W,ROW()))</f>
        <v>55.239777072454707</v>
      </c>
      <c r="Z308" s="44">
        <f t="shared" si="26"/>
        <v>-0.92400203932246805</v>
      </c>
      <c r="AA308" s="40" t="b">
        <f t="shared" si="24"/>
        <v>0</v>
      </c>
    </row>
    <row r="309" spans="1:27" x14ac:dyDescent="0.3">
      <c r="A309" s="32">
        <v>307</v>
      </c>
      <c r="B309" s="33">
        <v>40557</v>
      </c>
      <c r="C309" s="40" t="str">
        <f t="shared" si="27"/>
        <v>Friday</v>
      </c>
      <c r="D309" s="28">
        <v>6</v>
      </c>
      <c r="E309" s="40" t="str" cm="1">
        <f t="array" ref="E309">_xlfn.IFS(D309&gt;=21,"Night",D309&gt;=17,"Evening",D309&gt;=12,"Midday",D309&gt;=6,"Morning", TRUE, "Night")</f>
        <v>Morning</v>
      </c>
      <c r="F309" s="28">
        <v>1</v>
      </c>
      <c r="G309" s="28">
        <v>0</v>
      </c>
      <c r="H309" s="28">
        <v>1</v>
      </c>
      <c r="I309" s="28">
        <v>5</v>
      </c>
      <c r="J309" s="40" t="str">
        <f t="shared" si="28"/>
        <v>Weekday</v>
      </c>
      <c r="K309" s="28" t="b">
        <v>0</v>
      </c>
      <c r="L309" s="28">
        <v>1</v>
      </c>
      <c r="M309" s="40" t="str" cm="1">
        <f t="array" ref="M309">_xlfn.IFS(L309=1,"Clear / Partly Cloudy",L309=2,"Mist / Cloudy",L309=3,"Light Snow / Rain",L309=4,"Heavy Precipitation")</f>
        <v>Clear / Partly Cloudy</v>
      </c>
      <c r="N309" s="28">
        <v>0.1</v>
      </c>
      <c r="O309" s="28" t="str">
        <f t="shared" si="29"/>
        <v>Cold</v>
      </c>
      <c r="P309" s="28">
        <v>0.18179999999999999</v>
      </c>
      <c r="Q309" s="38">
        <f t="shared" si="25"/>
        <v>0.18179999999999999</v>
      </c>
      <c r="R309" s="28">
        <v>0.54</v>
      </c>
      <c r="S309" s="28">
        <v>0</v>
      </c>
      <c r="T309" s="40" t="str" cm="1">
        <f t="array" ref="T309">_xlfn.IFS(S309*18.6&lt;2,"Calm",S309*18.6&lt;6,"Light Breeze",S309*18.6&lt;14,"Gale",TRUE,"Extreme Storm")</f>
        <v>Calm</v>
      </c>
      <c r="U309" s="28">
        <v>0</v>
      </c>
      <c r="V309" s="28">
        <v>17</v>
      </c>
      <c r="W309" s="28">
        <v>17</v>
      </c>
      <c r="X309" s="44">
        <f>AVERAGE(INDEX($W:$W,MAX(ROW($W$3),ROW()-23)):INDEX($W:$W,ROW()))</f>
        <v>59.625</v>
      </c>
      <c r="Y309" s="44">
        <f>_xlfn.STDEV.S(INDEX($W:$W,MAX(ROW($W$3),ROW()-23)):INDEX($W:$W,ROW()))</f>
        <v>54.693463960513597</v>
      </c>
      <c r="Z309" s="44">
        <f t="shared" si="26"/>
        <v>-0.77934357989783709</v>
      </c>
      <c r="AA309" s="40" t="b">
        <f t="shared" si="24"/>
        <v>0</v>
      </c>
    </row>
    <row r="310" spans="1:27" x14ac:dyDescent="0.3">
      <c r="A310" s="32">
        <v>308</v>
      </c>
      <c r="B310" s="33">
        <v>40557</v>
      </c>
      <c r="C310" s="40" t="str">
        <f t="shared" si="27"/>
        <v>Friday</v>
      </c>
      <c r="D310" s="28">
        <v>7</v>
      </c>
      <c r="E310" s="40" t="str" cm="1">
        <f t="array" ref="E310">_xlfn.IFS(D310&gt;=21,"Night",D310&gt;=17,"Evening",D310&gt;=12,"Midday",D310&gt;=6,"Morning", TRUE, "Night")</f>
        <v>Morning</v>
      </c>
      <c r="F310" s="28">
        <v>1</v>
      </c>
      <c r="G310" s="28">
        <v>0</v>
      </c>
      <c r="H310" s="28">
        <v>1</v>
      </c>
      <c r="I310" s="28">
        <v>5</v>
      </c>
      <c r="J310" s="40" t="str">
        <f t="shared" si="28"/>
        <v>Weekday</v>
      </c>
      <c r="K310" s="28" t="b">
        <v>0</v>
      </c>
      <c r="L310" s="28">
        <v>1</v>
      </c>
      <c r="M310" s="40" t="str" cm="1">
        <f t="array" ref="M310">_xlfn.IFS(L310=1,"Clear / Partly Cloudy",L310=2,"Mist / Cloudy",L310=3,"Light Snow / Rain",L310=4,"Heavy Precipitation")</f>
        <v>Clear / Partly Cloudy</v>
      </c>
      <c r="N310" s="28">
        <v>0.1</v>
      </c>
      <c r="O310" s="28" t="str">
        <f t="shared" si="29"/>
        <v>Cold</v>
      </c>
      <c r="P310" s="28">
        <v>0.1212</v>
      </c>
      <c r="Q310" s="38">
        <f t="shared" si="25"/>
        <v>0.1212</v>
      </c>
      <c r="R310" s="28">
        <v>0.74</v>
      </c>
      <c r="S310" s="28">
        <v>0.16420000000000001</v>
      </c>
      <c r="T310" s="40" t="str" cm="1">
        <f t="array" ref="T310">_xlfn.IFS(S310*18.6&lt;2,"Calm",S310*18.6&lt;6,"Light Breeze",S310*18.6&lt;14,"Gale",TRUE,"Extreme Storm")</f>
        <v>Light Breeze</v>
      </c>
      <c r="U310" s="28">
        <v>0</v>
      </c>
      <c r="V310" s="28">
        <v>70</v>
      </c>
      <c r="W310" s="28">
        <v>70</v>
      </c>
      <c r="X310" s="44">
        <f>AVERAGE(INDEX($W:$W,MAX(ROW($W$3),ROW()-23)):INDEX($W:$W,ROW()))</f>
        <v>61.375</v>
      </c>
      <c r="Y310" s="44">
        <f>_xlfn.STDEV.S(INDEX($W:$W,MAX(ROW($W$3),ROW()-23)):INDEX($W:$W,ROW()))</f>
        <v>54.308148559861621</v>
      </c>
      <c r="Z310" s="44">
        <f t="shared" si="26"/>
        <v>0.15881594620175682</v>
      </c>
      <c r="AA310" s="40" t="b">
        <f t="shared" si="24"/>
        <v>0</v>
      </c>
    </row>
    <row r="311" spans="1:27" x14ac:dyDescent="0.3">
      <c r="A311" s="32">
        <v>309</v>
      </c>
      <c r="B311" s="33">
        <v>40557</v>
      </c>
      <c r="C311" s="40" t="str">
        <f t="shared" si="27"/>
        <v>Friday</v>
      </c>
      <c r="D311" s="28">
        <v>8</v>
      </c>
      <c r="E311" s="40" t="str" cm="1">
        <f t="array" ref="E311">_xlfn.IFS(D311&gt;=21,"Night",D311&gt;=17,"Evening",D311&gt;=12,"Midday",D311&gt;=6,"Morning", TRUE, "Night")</f>
        <v>Morning</v>
      </c>
      <c r="F311" s="28">
        <v>1</v>
      </c>
      <c r="G311" s="28">
        <v>0</v>
      </c>
      <c r="H311" s="28">
        <v>1</v>
      </c>
      <c r="I311" s="28">
        <v>5</v>
      </c>
      <c r="J311" s="40" t="str">
        <f t="shared" si="28"/>
        <v>Weekday</v>
      </c>
      <c r="K311" s="28" t="b">
        <v>0</v>
      </c>
      <c r="L311" s="28">
        <v>1</v>
      </c>
      <c r="M311" s="40" t="str" cm="1">
        <f t="array" ref="M311">_xlfn.IFS(L311=1,"Clear / Partly Cloudy",L311=2,"Mist / Cloudy",L311=3,"Light Snow / Rain",L311=4,"Heavy Precipitation")</f>
        <v>Clear / Partly Cloudy</v>
      </c>
      <c r="N311" s="28">
        <v>0.12</v>
      </c>
      <c r="O311" s="28" t="str">
        <f t="shared" si="29"/>
        <v>Cold</v>
      </c>
      <c r="P311" s="28">
        <v>0.16669999999999999</v>
      </c>
      <c r="Q311" s="38">
        <f t="shared" si="25"/>
        <v>0.16669999999999999</v>
      </c>
      <c r="R311" s="28">
        <v>0.68</v>
      </c>
      <c r="S311" s="28">
        <v>0</v>
      </c>
      <c r="T311" s="40" t="str" cm="1">
        <f t="array" ref="T311">_xlfn.IFS(S311*18.6&lt;2,"Calm",S311*18.6&lt;6,"Light Breeze",S311*18.6&lt;14,"Gale",TRUE,"Extreme Storm")</f>
        <v>Calm</v>
      </c>
      <c r="U311" s="28">
        <v>2</v>
      </c>
      <c r="V311" s="28">
        <v>156</v>
      </c>
      <c r="W311" s="28">
        <v>158</v>
      </c>
      <c r="X311" s="44">
        <f>AVERAGE(INDEX($W:$W,MAX(ROW($W$3),ROW()-23)):INDEX($W:$W,ROW()))</f>
        <v>64.958333333333329</v>
      </c>
      <c r="Y311" s="44">
        <f>_xlfn.STDEV.S(INDEX($W:$W,MAX(ROW($W$3),ROW()-23)):INDEX($W:$W,ROW()))</f>
        <v>57.766756775898344</v>
      </c>
      <c r="Z311" s="44">
        <f t="shared" si="26"/>
        <v>1.6106437657148489</v>
      </c>
      <c r="AA311" s="40" t="b">
        <f t="shared" si="24"/>
        <v>0</v>
      </c>
    </row>
    <row r="312" spans="1:27" x14ac:dyDescent="0.3">
      <c r="A312" s="32">
        <v>310</v>
      </c>
      <c r="B312" s="33">
        <v>40557</v>
      </c>
      <c r="C312" s="40" t="str">
        <f t="shared" si="27"/>
        <v>Friday</v>
      </c>
      <c r="D312" s="28">
        <v>9</v>
      </c>
      <c r="E312" s="40" t="str" cm="1">
        <f t="array" ref="E312">_xlfn.IFS(D312&gt;=21,"Night",D312&gt;=17,"Evening",D312&gt;=12,"Midday",D312&gt;=6,"Morning", TRUE, "Night")</f>
        <v>Morning</v>
      </c>
      <c r="F312" s="28">
        <v>1</v>
      </c>
      <c r="G312" s="28">
        <v>0</v>
      </c>
      <c r="H312" s="28">
        <v>1</v>
      </c>
      <c r="I312" s="28">
        <v>5</v>
      </c>
      <c r="J312" s="40" t="str">
        <f t="shared" si="28"/>
        <v>Weekday</v>
      </c>
      <c r="K312" s="28" t="b">
        <v>0</v>
      </c>
      <c r="L312" s="28">
        <v>1</v>
      </c>
      <c r="M312" s="40" t="str" cm="1">
        <f t="array" ref="M312">_xlfn.IFS(L312=1,"Clear / Partly Cloudy",L312=2,"Mist / Cloudy",L312=3,"Light Snow / Rain",L312=4,"Heavy Precipitation")</f>
        <v>Clear / Partly Cloudy</v>
      </c>
      <c r="N312" s="28">
        <v>0.14000000000000001</v>
      </c>
      <c r="O312" s="28" t="str">
        <f t="shared" si="29"/>
        <v>Cold</v>
      </c>
      <c r="P312" s="28">
        <v>0.1515</v>
      </c>
      <c r="Q312" s="38">
        <f t="shared" si="25"/>
        <v>0.1515</v>
      </c>
      <c r="R312" s="28">
        <v>0.69</v>
      </c>
      <c r="S312" s="28">
        <v>0.1343</v>
      </c>
      <c r="T312" s="40" t="str" cm="1">
        <f t="array" ref="T312">_xlfn.IFS(S312*18.6&lt;2,"Calm",S312*18.6&lt;6,"Light Breeze",S312*18.6&lt;14,"Gale",TRUE,"Extreme Storm")</f>
        <v>Light Breeze</v>
      </c>
      <c r="U312" s="28">
        <v>0</v>
      </c>
      <c r="V312" s="28">
        <v>117</v>
      </c>
      <c r="W312" s="28">
        <v>117</v>
      </c>
      <c r="X312" s="44">
        <f>AVERAGE(INDEX($W:$W,MAX(ROW($W$3),ROW()-23)):INDEX($W:$W,ROW()))</f>
        <v>61.416666666666664</v>
      </c>
      <c r="Y312" s="44">
        <f>_xlfn.STDEV.S(INDEX($W:$W,MAX(ROW($W$3),ROW()-23)):INDEX($W:$W,ROW()))</f>
        <v>51.235956011435924</v>
      </c>
      <c r="Z312" s="44">
        <f t="shared" si="26"/>
        <v>1.0848501259726093</v>
      </c>
      <c r="AA312" s="40" t="b">
        <f t="shared" si="24"/>
        <v>0</v>
      </c>
    </row>
    <row r="313" spans="1:27" x14ac:dyDescent="0.3">
      <c r="A313" s="32">
        <v>311</v>
      </c>
      <c r="B313" s="33">
        <v>40557</v>
      </c>
      <c r="C313" s="40" t="str">
        <f t="shared" si="27"/>
        <v>Friday</v>
      </c>
      <c r="D313" s="28">
        <v>10</v>
      </c>
      <c r="E313" s="40" t="str" cm="1">
        <f t="array" ref="E313">_xlfn.IFS(D313&gt;=21,"Night",D313&gt;=17,"Evening",D313&gt;=12,"Midday",D313&gt;=6,"Morning", TRUE, "Night")</f>
        <v>Morning</v>
      </c>
      <c r="F313" s="28">
        <v>1</v>
      </c>
      <c r="G313" s="28">
        <v>0</v>
      </c>
      <c r="H313" s="28">
        <v>1</v>
      </c>
      <c r="I313" s="28">
        <v>5</v>
      </c>
      <c r="J313" s="40" t="str">
        <f t="shared" si="28"/>
        <v>Weekday</v>
      </c>
      <c r="K313" s="28" t="b">
        <v>0</v>
      </c>
      <c r="L313" s="28">
        <v>1</v>
      </c>
      <c r="M313" s="40" t="str" cm="1">
        <f t="array" ref="M313">_xlfn.IFS(L313=1,"Clear / Partly Cloudy",L313=2,"Mist / Cloudy",L313=3,"Light Snow / Rain",L313=4,"Heavy Precipitation")</f>
        <v>Clear / Partly Cloudy</v>
      </c>
      <c r="N313" s="28">
        <v>0.18</v>
      </c>
      <c r="O313" s="28" t="str">
        <f t="shared" si="29"/>
        <v>Cold</v>
      </c>
      <c r="P313" s="28">
        <v>0.18179999999999999</v>
      </c>
      <c r="Q313" s="38">
        <f t="shared" si="25"/>
        <v>0.18179999999999999</v>
      </c>
      <c r="R313" s="28">
        <v>0.55000000000000004</v>
      </c>
      <c r="S313" s="28">
        <v>0.19400000000000001</v>
      </c>
      <c r="T313" s="40" t="str" cm="1">
        <f t="array" ref="T313">_xlfn.IFS(S313*18.6&lt;2,"Calm",S313*18.6&lt;6,"Light Breeze",S313*18.6&lt;14,"Gale",TRUE,"Extreme Storm")</f>
        <v>Light Breeze</v>
      </c>
      <c r="U313" s="28">
        <v>4</v>
      </c>
      <c r="V313" s="28">
        <v>40</v>
      </c>
      <c r="W313" s="28">
        <v>44</v>
      </c>
      <c r="X313" s="44">
        <f>AVERAGE(INDEX($W:$W,MAX(ROW($W$3),ROW()-23)):INDEX($W:$W,ROW()))</f>
        <v>57.458333333333336</v>
      </c>
      <c r="Y313" s="44">
        <f>_xlfn.STDEV.S(INDEX($W:$W,MAX(ROW($W$3),ROW()-23)):INDEX($W:$W,ROW()))</f>
        <v>48.582497444769288</v>
      </c>
      <c r="Z313" s="44">
        <f t="shared" si="26"/>
        <v>-0.27702020359561297</v>
      </c>
      <c r="AA313" s="40" t="b">
        <f t="shared" si="24"/>
        <v>0</v>
      </c>
    </row>
    <row r="314" spans="1:27" x14ac:dyDescent="0.3">
      <c r="A314" s="32">
        <v>312</v>
      </c>
      <c r="B314" s="33">
        <v>40557</v>
      </c>
      <c r="C314" s="40" t="str">
        <f t="shared" si="27"/>
        <v>Friday</v>
      </c>
      <c r="D314" s="28">
        <v>11</v>
      </c>
      <c r="E314" s="40" t="str" cm="1">
        <f t="array" ref="E314">_xlfn.IFS(D314&gt;=21,"Night",D314&gt;=17,"Evening",D314&gt;=12,"Midday",D314&gt;=6,"Morning", TRUE, "Night")</f>
        <v>Morning</v>
      </c>
      <c r="F314" s="28">
        <v>1</v>
      </c>
      <c r="G314" s="28">
        <v>0</v>
      </c>
      <c r="H314" s="28">
        <v>1</v>
      </c>
      <c r="I314" s="28">
        <v>5</v>
      </c>
      <c r="J314" s="40" t="str">
        <f t="shared" si="28"/>
        <v>Weekday</v>
      </c>
      <c r="K314" s="28" t="b">
        <v>0</v>
      </c>
      <c r="L314" s="28">
        <v>1</v>
      </c>
      <c r="M314" s="40" t="str" cm="1">
        <f t="array" ref="M314">_xlfn.IFS(L314=1,"Clear / Partly Cloudy",L314=2,"Mist / Cloudy",L314=3,"Light Snow / Rain",L314=4,"Heavy Precipitation")</f>
        <v>Clear / Partly Cloudy</v>
      </c>
      <c r="N314" s="28">
        <v>0.18</v>
      </c>
      <c r="O314" s="28" t="str">
        <f t="shared" si="29"/>
        <v>Cold</v>
      </c>
      <c r="P314" s="28">
        <v>0.16669999999999999</v>
      </c>
      <c r="Q314" s="38">
        <f t="shared" si="25"/>
        <v>0.16669999999999999</v>
      </c>
      <c r="R314" s="28">
        <v>0.51</v>
      </c>
      <c r="S314" s="28">
        <v>0.28360000000000002</v>
      </c>
      <c r="T314" s="40" t="str" cm="1">
        <f t="array" ref="T314">_xlfn.IFS(S314*18.6&lt;2,"Calm",S314*18.6&lt;6,"Light Breeze",S314*18.6&lt;14,"Gale",TRUE,"Extreme Storm")</f>
        <v>Light Breeze</v>
      </c>
      <c r="U314" s="28">
        <v>6</v>
      </c>
      <c r="V314" s="28">
        <v>47</v>
      </c>
      <c r="W314" s="28">
        <v>53</v>
      </c>
      <c r="X314" s="44">
        <f>AVERAGE(INDEX($W:$W,MAX(ROW($W$3),ROW()-23)):INDEX($W:$W,ROW()))</f>
        <v>58.083333333333336</v>
      </c>
      <c r="Y314" s="44">
        <f>_xlfn.STDEV.S(INDEX($W:$W,MAX(ROW($W$3),ROW()-23)):INDEX($W:$W,ROW()))</f>
        <v>48.417492946128526</v>
      </c>
      <c r="Z314" s="44">
        <f t="shared" si="26"/>
        <v>-0.10498960239410331</v>
      </c>
      <c r="AA314" s="40" t="b">
        <f t="shared" si="24"/>
        <v>0</v>
      </c>
    </row>
    <row r="315" spans="1:27" x14ac:dyDescent="0.3">
      <c r="A315" s="32">
        <v>313</v>
      </c>
      <c r="B315" s="33">
        <v>40557</v>
      </c>
      <c r="C315" s="40" t="str">
        <f t="shared" si="27"/>
        <v>Friday</v>
      </c>
      <c r="D315" s="28">
        <v>12</v>
      </c>
      <c r="E315" s="40" t="str" cm="1">
        <f t="array" ref="E315">_xlfn.IFS(D315&gt;=21,"Night",D315&gt;=17,"Evening",D315&gt;=12,"Midday",D315&gt;=6,"Morning", TRUE, "Night")</f>
        <v>Midday</v>
      </c>
      <c r="F315" s="28">
        <v>1</v>
      </c>
      <c r="G315" s="28">
        <v>0</v>
      </c>
      <c r="H315" s="28">
        <v>1</v>
      </c>
      <c r="I315" s="28">
        <v>5</v>
      </c>
      <c r="J315" s="40" t="str">
        <f t="shared" si="28"/>
        <v>Weekday</v>
      </c>
      <c r="K315" s="28" t="b">
        <v>0</v>
      </c>
      <c r="L315" s="28">
        <v>1</v>
      </c>
      <c r="M315" s="40" t="str" cm="1">
        <f t="array" ref="M315">_xlfn.IFS(L315=1,"Clear / Partly Cloudy",L315=2,"Mist / Cloudy",L315=3,"Light Snow / Rain",L315=4,"Heavy Precipitation")</f>
        <v>Clear / Partly Cloudy</v>
      </c>
      <c r="N315" s="28">
        <v>0.2</v>
      </c>
      <c r="O315" s="28" t="str">
        <f t="shared" si="29"/>
        <v>Mild</v>
      </c>
      <c r="P315" s="28">
        <v>0.19700000000000001</v>
      </c>
      <c r="Q315" s="38">
        <f t="shared" si="25"/>
        <v>0.19700000000000001</v>
      </c>
      <c r="R315" s="28">
        <v>0.44</v>
      </c>
      <c r="S315" s="28">
        <v>0.25369999999999998</v>
      </c>
      <c r="T315" s="40" t="str" cm="1">
        <f t="array" ref="T315">_xlfn.IFS(S315*18.6&lt;2,"Calm",S315*18.6&lt;6,"Light Breeze",S315*18.6&lt;14,"Gale",TRUE,"Extreme Storm")</f>
        <v>Light Breeze</v>
      </c>
      <c r="U315" s="28">
        <v>2</v>
      </c>
      <c r="V315" s="28">
        <v>59</v>
      </c>
      <c r="W315" s="28">
        <v>61</v>
      </c>
      <c r="X315" s="44">
        <f>AVERAGE(INDEX($W:$W,MAX(ROW($W$3),ROW()-23)):INDEX($W:$W,ROW()))</f>
        <v>59.083333333333336</v>
      </c>
      <c r="Y315" s="44">
        <f>_xlfn.STDEV.S(INDEX($W:$W,MAX(ROW($W$3),ROW()-23)):INDEX($W:$W,ROW()))</f>
        <v>48.210513616724782</v>
      </c>
      <c r="Z315" s="44">
        <f t="shared" si="26"/>
        <v>3.9756196789443671E-2</v>
      </c>
      <c r="AA315" s="40" t="b">
        <f t="shared" si="24"/>
        <v>0</v>
      </c>
    </row>
    <row r="316" spans="1:27" x14ac:dyDescent="0.3">
      <c r="A316" s="32">
        <v>314</v>
      </c>
      <c r="B316" s="33">
        <v>40557</v>
      </c>
      <c r="C316" s="40" t="str">
        <f t="shared" si="27"/>
        <v>Friday</v>
      </c>
      <c r="D316" s="28">
        <v>13</v>
      </c>
      <c r="E316" s="40" t="str" cm="1">
        <f t="array" ref="E316">_xlfn.IFS(D316&gt;=21,"Night",D316&gt;=17,"Evening",D316&gt;=12,"Midday",D316&gt;=6,"Morning", TRUE, "Night")</f>
        <v>Midday</v>
      </c>
      <c r="F316" s="28">
        <v>1</v>
      </c>
      <c r="G316" s="28">
        <v>0</v>
      </c>
      <c r="H316" s="28">
        <v>1</v>
      </c>
      <c r="I316" s="28">
        <v>5</v>
      </c>
      <c r="J316" s="40" t="str">
        <f t="shared" si="28"/>
        <v>Weekday</v>
      </c>
      <c r="K316" s="28" t="b">
        <v>0</v>
      </c>
      <c r="L316" s="28">
        <v>1</v>
      </c>
      <c r="M316" s="40" t="str" cm="1">
        <f t="array" ref="M316">_xlfn.IFS(L316=1,"Clear / Partly Cloudy",L316=2,"Mist / Cloudy",L316=3,"Light Snow / Rain",L316=4,"Heavy Precipitation")</f>
        <v>Clear / Partly Cloudy</v>
      </c>
      <c r="N316" s="28">
        <v>0.22</v>
      </c>
      <c r="O316" s="28" t="str">
        <f t="shared" si="29"/>
        <v>Mild</v>
      </c>
      <c r="P316" s="28">
        <v>0.19700000000000001</v>
      </c>
      <c r="Q316" s="38">
        <f t="shared" si="25"/>
        <v>0.19700000000000001</v>
      </c>
      <c r="R316" s="28">
        <v>0.37</v>
      </c>
      <c r="S316" s="28">
        <v>0.3881</v>
      </c>
      <c r="T316" s="40" t="str" cm="1">
        <f t="array" ref="T316">_xlfn.IFS(S316*18.6&lt;2,"Calm",S316*18.6&lt;6,"Light Breeze",S316*18.6&lt;14,"Gale",TRUE,"Extreme Storm")</f>
        <v>Gale</v>
      </c>
      <c r="U316" s="28">
        <v>4</v>
      </c>
      <c r="V316" s="28">
        <v>73</v>
      </c>
      <c r="W316" s="28">
        <v>77</v>
      </c>
      <c r="X316" s="44">
        <f>AVERAGE(INDEX($W:$W,MAX(ROW($W$3),ROW()-23)):INDEX($W:$W,ROW()))</f>
        <v>60.125</v>
      </c>
      <c r="Y316" s="44">
        <f>_xlfn.STDEV.S(INDEX($W:$W,MAX(ROW($W$3),ROW()-23)):INDEX($W:$W,ROW()))</f>
        <v>48.320769231567859</v>
      </c>
      <c r="Z316" s="44">
        <f t="shared" si="26"/>
        <v>0.34922871196710165</v>
      </c>
      <c r="AA316" s="40" t="b">
        <f t="shared" si="24"/>
        <v>0</v>
      </c>
    </row>
    <row r="317" spans="1:27" x14ac:dyDescent="0.3">
      <c r="A317" s="32">
        <v>315</v>
      </c>
      <c r="B317" s="33">
        <v>40557</v>
      </c>
      <c r="C317" s="40" t="str">
        <f t="shared" si="27"/>
        <v>Friday</v>
      </c>
      <c r="D317" s="28">
        <v>14</v>
      </c>
      <c r="E317" s="40" t="str" cm="1">
        <f t="array" ref="E317">_xlfn.IFS(D317&gt;=21,"Night",D317&gt;=17,"Evening",D317&gt;=12,"Midday",D317&gt;=6,"Morning", TRUE, "Night")</f>
        <v>Midday</v>
      </c>
      <c r="F317" s="28">
        <v>1</v>
      </c>
      <c r="G317" s="28">
        <v>0</v>
      </c>
      <c r="H317" s="28">
        <v>1</v>
      </c>
      <c r="I317" s="28">
        <v>5</v>
      </c>
      <c r="J317" s="40" t="str">
        <f t="shared" si="28"/>
        <v>Weekday</v>
      </c>
      <c r="K317" s="28" t="b">
        <v>0</v>
      </c>
      <c r="L317" s="28">
        <v>1</v>
      </c>
      <c r="M317" s="40" t="str" cm="1">
        <f t="array" ref="M317">_xlfn.IFS(L317=1,"Clear / Partly Cloudy",L317=2,"Mist / Cloudy",L317=3,"Light Snow / Rain",L317=4,"Heavy Precipitation")</f>
        <v>Clear / Partly Cloudy</v>
      </c>
      <c r="N317" s="28">
        <v>0.22</v>
      </c>
      <c r="O317" s="28" t="str">
        <f t="shared" si="29"/>
        <v>Mild</v>
      </c>
      <c r="P317" s="28">
        <v>0.21210000000000001</v>
      </c>
      <c r="Q317" s="38">
        <f t="shared" si="25"/>
        <v>0.21210000000000001</v>
      </c>
      <c r="R317" s="28">
        <v>0.41</v>
      </c>
      <c r="S317" s="28">
        <v>0.28360000000000002</v>
      </c>
      <c r="T317" s="40" t="str" cm="1">
        <f t="array" ref="T317">_xlfn.IFS(S317*18.6&lt;2,"Calm",S317*18.6&lt;6,"Light Breeze",S317*18.6&lt;14,"Gale",TRUE,"Extreme Storm")</f>
        <v>Light Breeze</v>
      </c>
      <c r="U317" s="28">
        <v>5</v>
      </c>
      <c r="V317" s="28">
        <v>59</v>
      </c>
      <c r="W317" s="28">
        <v>64</v>
      </c>
      <c r="X317" s="44">
        <f>AVERAGE(INDEX($W:$W,MAX(ROW($W$3),ROW()-23)):INDEX($W:$W,ROW()))</f>
        <v>59.333333333333336</v>
      </c>
      <c r="Y317" s="44">
        <f>_xlfn.STDEV.S(INDEX($W:$W,MAX(ROW($W$3),ROW()-23)):INDEX($W:$W,ROW()))</f>
        <v>48.084768144769413</v>
      </c>
      <c r="Z317" s="44">
        <f t="shared" si="26"/>
        <v>9.7050830163445373E-2</v>
      </c>
      <c r="AA317" s="40" t="b">
        <f t="shared" si="24"/>
        <v>0</v>
      </c>
    </row>
    <row r="318" spans="1:27" x14ac:dyDescent="0.3">
      <c r="A318" s="32">
        <v>316</v>
      </c>
      <c r="B318" s="33">
        <v>40557</v>
      </c>
      <c r="C318" s="40" t="str">
        <f t="shared" si="27"/>
        <v>Friday</v>
      </c>
      <c r="D318" s="28">
        <v>15</v>
      </c>
      <c r="E318" s="40" t="str" cm="1">
        <f t="array" ref="E318">_xlfn.IFS(D318&gt;=21,"Night",D318&gt;=17,"Evening",D318&gt;=12,"Midday",D318&gt;=6,"Morning", TRUE, "Night")</f>
        <v>Midday</v>
      </c>
      <c r="F318" s="28">
        <v>1</v>
      </c>
      <c r="G318" s="28">
        <v>0</v>
      </c>
      <c r="H318" s="28">
        <v>1</v>
      </c>
      <c r="I318" s="28">
        <v>5</v>
      </c>
      <c r="J318" s="40" t="str">
        <f t="shared" si="28"/>
        <v>Weekday</v>
      </c>
      <c r="K318" s="28" t="b">
        <v>0</v>
      </c>
      <c r="L318" s="28">
        <v>1</v>
      </c>
      <c r="M318" s="40" t="str" cm="1">
        <f t="array" ref="M318">_xlfn.IFS(L318=1,"Clear / Partly Cloudy",L318=2,"Mist / Cloudy",L318=3,"Light Snow / Rain",L318=4,"Heavy Precipitation")</f>
        <v>Clear / Partly Cloudy</v>
      </c>
      <c r="N318" s="28">
        <v>0.24</v>
      </c>
      <c r="O318" s="28" t="str">
        <f t="shared" si="29"/>
        <v>Mild</v>
      </c>
      <c r="P318" s="28">
        <v>0.2424</v>
      </c>
      <c r="Q318" s="38">
        <f t="shared" si="25"/>
        <v>0.2424</v>
      </c>
      <c r="R318" s="28">
        <v>0.38</v>
      </c>
      <c r="S318" s="28">
        <v>0.16420000000000001</v>
      </c>
      <c r="T318" s="40" t="str" cm="1">
        <f t="array" ref="T318">_xlfn.IFS(S318*18.6&lt;2,"Calm",S318*18.6&lt;6,"Light Breeze",S318*18.6&lt;14,"Gale",TRUE,"Extreme Storm")</f>
        <v>Light Breeze</v>
      </c>
      <c r="U318" s="28">
        <v>9</v>
      </c>
      <c r="V318" s="28">
        <v>59</v>
      </c>
      <c r="W318" s="28">
        <v>68</v>
      </c>
      <c r="X318" s="44">
        <f>AVERAGE(INDEX($W:$W,MAX(ROW($W$3),ROW()-23)):INDEX($W:$W,ROW()))</f>
        <v>60.416666666666664</v>
      </c>
      <c r="Y318" s="44">
        <f>_xlfn.STDEV.S(INDEX($W:$W,MAX(ROW($W$3),ROW()-23)):INDEX($W:$W,ROW()))</f>
        <v>47.970023852462248</v>
      </c>
      <c r="Z318" s="44">
        <f t="shared" si="26"/>
        <v>0.15808483557683475</v>
      </c>
      <c r="AA318" s="40" t="b">
        <f t="shared" si="24"/>
        <v>0</v>
      </c>
    </row>
    <row r="319" spans="1:27" x14ac:dyDescent="0.3">
      <c r="A319" s="32">
        <v>317</v>
      </c>
      <c r="B319" s="33">
        <v>40557</v>
      </c>
      <c r="C319" s="40" t="str">
        <f t="shared" si="27"/>
        <v>Friday</v>
      </c>
      <c r="D319" s="28">
        <v>16</v>
      </c>
      <c r="E319" s="40" t="str" cm="1">
        <f t="array" ref="E319">_xlfn.IFS(D319&gt;=21,"Night",D319&gt;=17,"Evening",D319&gt;=12,"Midday",D319&gt;=6,"Morning", TRUE, "Night")</f>
        <v>Midday</v>
      </c>
      <c r="F319" s="28">
        <v>1</v>
      </c>
      <c r="G319" s="28">
        <v>0</v>
      </c>
      <c r="H319" s="28">
        <v>1</v>
      </c>
      <c r="I319" s="28">
        <v>5</v>
      </c>
      <c r="J319" s="40" t="str">
        <f t="shared" si="28"/>
        <v>Weekday</v>
      </c>
      <c r="K319" s="28" t="b">
        <v>0</v>
      </c>
      <c r="L319" s="28">
        <v>1</v>
      </c>
      <c r="M319" s="40" t="str" cm="1">
        <f t="array" ref="M319">_xlfn.IFS(L319=1,"Clear / Partly Cloudy",L319=2,"Mist / Cloudy",L319=3,"Light Snow / Rain",L319=4,"Heavy Precipitation")</f>
        <v>Clear / Partly Cloudy</v>
      </c>
      <c r="N319" s="28">
        <v>0.22</v>
      </c>
      <c r="O319" s="28" t="str">
        <f t="shared" si="29"/>
        <v>Mild</v>
      </c>
      <c r="P319" s="28">
        <v>0.2424</v>
      </c>
      <c r="Q319" s="38">
        <f t="shared" si="25"/>
        <v>0.2424</v>
      </c>
      <c r="R319" s="28">
        <v>0.41</v>
      </c>
      <c r="S319" s="28">
        <v>0.1045</v>
      </c>
      <c r="T319" s="40" t="str" cm="1">
        <f t="array" ref="T319">_xlfn.IFS(S319*18.6&lt;2,"Calm",S319*18.6&lt;6,"Light Breeze",S319*18.6&lt;14,"Gale",TRUE,"Extreme Storm")</f>
        <v>Calm</v>
      </c>
      <c r="U319" s="28">
        <v>3</v>
      </c>
      <c r="V319" s="28">
        <v>87</v>
      </c>
      <c r="W319" s="28">
        <v>90</v>
      </c>
      <c r="X319" s="44">
        <f>AVERAGE(INDEX($W:$W,MAX(ROW($W$3),ROW()-23)):INDEX($W:$W,ROW()))</f>
        <v>61.666666666666664</v>
      </c>
      <c r="Y319" s="44">
        <f>_xlfn.STDEV.S(INDEX($W:$W,MAX(ROW($W$3),ROW()-23)):INDEX($W:$W,ROW()))</f>
        <v>48.348073714306942</v>
      </c>
      <c r="Z319" s="44">
        <f t="shared" si="26"/>
        <v>0.58602817354746162</v>
      </c>
      <c r="AA319" s="40" t="b">
        <f t="shared" si="24"/>
        <v>0</v>
      </c>
    </row>
    <row r="320" spans="1:27" x14ac:dyDescent="0.3">
      <c r="A320" s="32">
        <v>318</v>
      </c>
      <c r="B320" s="33">
        <v>40557</v>
      </c>
      <c r="C320" s="40" t="str">
        <f t="shared" si="27"/>
        <v>Friday</v>
      </c>
      <c r="D320" s="28">
        <v>17</v>
      </c>
      <c r="E320" s="40" t="str" cm="1">
        <f t="array" ref="E320">_xlfn.IFS(D320&gt;=21,"Night",D320&gt;=17,"Evening",D320&gt;=12,"Midday",D320&gt;=6,"Morning", TRUE, "Night")</f>
        <v>Evening</v>
      </c>
      <c r="F320" s="28">
        <v>1</v>
      </c>
      <c r="G320" s="28">
        <v>0</v>
      </c>
      <c r="H320" s="28">
        <v>1</v>
      </c>
      <c r="I320" s="28">
        <v>5</v>
      </c>
      <c r="J320" s="40" t="str">
        <f t="shared" si="28"/>
        <v>Weekday</v>
      </c>
      <c r="K320" s="28" t="b">
        <v>0</v>
      </c>
      <c r="L320" s="28">
        <v>1</v>
      </c>
      <c r="M320" s="40" t="str" cm="1">
        <f t="array" ref="M320">_xlfn.IFS(L320=1,"Clear / Partly Cloudy",L320=2,"Mist / Cloudy",L320=3,"Light Snow / Rain",L320=4,"Heavy Precipitation")</f>
        <v>Clear / Partly Cloudy</v>
      </c>
      <c r="N320" s="28">
        <v>0.22</v>
      </c>
      <c r="O320" s="28" t="str">
        <f t="shared" si="29"/>
        <v>Mild</v>
      </c>
      <c r="P320" s="28">
        <v>0.2273</v>
      </c>
      <c r="Q320" s="38">
        <f t="shared" si="25"/>
        <v>0.2273</v>
      </c>
      <c r="R320" s="28">
        <v>0.41</v>
      </c>
      <c r="S320" s="28">
        <v>0.16420000000000001</v>
      </c>
      <c r="T320" s="40" t="str" cm="1">
        <f t="array" ref="T320">_xlfn.IFS(S320*18.6&lt;2,"Calm",S320*18.6&lt;6,"Light Breeze",S320*18.6&lt;14,"Gale",TRUE,"Extreme Storm")</f>
        <v>Light Breeze</v>
      </c>
      <c r="U320" s="28">
        <v>4</v>
      </c>
      <c r="V320" s="28">
        <v>155</v>
      </c>
      <c r="W320" s="28">
        <v>159</v>
      </c>
      <c r="X320" s="44">
        <f>AVERAGE(INDEX($W:$W,MAX(ROW($W$3),ROW()-23)):INDEX($W:$W,ROW()))</f>
        <v>65.041666666666671</v>
      </c>
      <c r="Y320" s="44">
        <f>_xlfn.STDEV.S(INDEX($W:$W,MAX(ROW($W$3),ROW()-23)):INDEX($W:$W,ROW()))</f>
        <v>52.210676208462644</v>
      </c>
      <c r="Z320" s="44">
        <f t="shared" si="26"/>
        <v>1.7996000082087418</v>
      </c>
      <c r="AA320" s="40" t="b">
        <f t="shared" si="24"/>
        <v>0</v>
      </c>
    </row>
    <row r="321" spans="1:27" x14ac:dyDescent="0.3">
      <c r="A321" s="32">
        <v>319</v>
      </c>
      <c r="B321" s="33">
        <v>40557</v>
      </c>
      <c r="C321" s="40" t="str">
        <f t="shared" si="27"/>
        <v>Friday</v>
      </c>
      <c r="D321" s="28">
        <v>18</v>
      </c>
      <c r="E321" s="40" t="str" cm="1">
        <f t="array" ref="E321">_xlfn.IFS(D321&gt;=21,"Night",D321&gt;=17,"Evening",D321&gt;=12,"Midday",D321&gt;=6,"Morning", TRUE, "Night")</f>
        <v>Evening</v>
      </c>
      <c r="F321" s="28">
        <v>1</v>
      </c>
      <c r="G321" s="28">
        <v>0</v>
      </c>
      <c r="H321" s="28">
        <v>1</v>
      </c>
      <c r="I321" s="28">
        <v>5</v>
      </c>
      <c r="J321" s="40" t="str">
        <f t="shared" si="28"/>
        <v>Weekday</v>
      </c>
      <c r="K321" s="28" t="b">
        <v>0</v>
      </c>
      <c r="L321" s="28">
        <v>1</v>
      </c>
      <c r="M321" s="40" t="str" cm="1">
        <f t="array" ref="M321">_xlfn.IFS(L321=1,"Clear / Partly Cloudy",L321=2,"Mist / Cloudy",L321=3,"Light Snow / Rain",L321=4,"Heavy Precipitation")</f>
        <v>Clear / Partly Cloudy</v>
      </c>
      <c r="N321" s="28">
        <v>0.2</v>
      </c>
      <c r="O321" s="28" t="str">
        <f t="shared" si="29"/>
        <v>Mild</v>
      </c>
      <c r="P321" s="28">
        <v>0.2576</v>
      </c>
      <c r="Q321" s="38">
        <f t="shared" si="25"/>
        <v>0.2576</v>
      </c>
      <c r="R321" s="28">
        <v>0.47</v>
      </c>
      <c r="S321" s="28">
        <v>0</v>
      </c>
      <c r="T321" s="40" t="str" cm="1">
        <f t="array" ref="T321">_xlfn.IFS(S321*18.6&lt;2,"Calm",S321*18.6&lt;6,"Light Breeze",S321*18.6&lt;14,"Gale",TRUE,"Extreme Storm")</f>
        <v>Calm</v>
      </c>
      <c r="U321" s="28">
        <v>5</v>
      </c>
      <c r="V321" s="28">
        <v>134</v>
      </c>
      <c r="W321" s="28">
        <v>139</v>
      </c>
      <c r="X321" s="44">
        <f>AVERAGE(INDEX($W:$W,MAX(ROW($W$3),ROW()-23)):INDEX($W:$W,ROW()))</f>
        <v>64.083333333333329</v>
      </c>
      <c r="Y321" s="44">
        <f>_xlfn.STDEV.S(INDEX($W:$W,MAX(ROW($W$3),ROW()-23)):INDEX($W:$W,ROW()))</f>
        <v>50.53790369757067</v>
      </c>
      <c r="Z321" s="44">
        <f t="shared" si="26"/>
        <v>1.4823857181529252</v>
      </c>
      <c r="AA321" s="40" t="b">
        <f t="shared" si="24"/>
        <v>0</v>
      </c>
    </row>
    <row r="322" spans="1:27" x14ac:dyDescent="0.3">
      <c r="A322" s="32">
        <v>320</v>
      </c>
      <c r="B322" s="33">
        <v>40557</v>
      </c>
      <c r="C322" s="40" t="str">
        <f t="shared" si="27"/>
        <v>Friday</v>
      </c>
      <c r="D322" s="28">
        <v>19</v>
      </c>
      <c r="E322" s="40" t="str" cm="1">
        <f t="array" ref="E322">_xlfn.IFS(D322&gt;=21,"Night",D322&gt;=17,"Evening",D322&gt;=12,"Midday",D322&gt;=6,"Morning", TRUE, "Night")</f>
        <v>Evening</v>
      </c>
      <c r="F322" s="28">
        <v>1</v>
      </c>
      <c r="G322" s="28">
        <v>0</v>
      </c>
      <c r="H322" s="28">
        <v>1</v>
      </c>
      <c r="I322" s="28">
        <v>5</v>
      </c>
      <c r="J322" s="40" t="str">
        <f t="shared" si="28"/>
        <v>Weekday</v>
      </c>
      <c r="K322" s="28" t="b">
        <v>0</v>
      </c>
      <c r="L322" s="28">
        <v>1</v>
      </c>
      <c r="M322" s="40" t="str" cm="1">
        <f t="array" ref="M322">_xlfn.IFS(L322=1,"Clear / Partly Cloudy",L322=2,"Mist / Cloudy",L322=3,"Light Snow / Rain",L322=4,"Heavy Precipitation")</f>
        <v>Clear / Partly Cloudy</v>
      </c>
      <c r="N322" s="28">
        <v>0.16</v>
      </c>
      <c r="O322" s="28" t="str">
        <f t="shared" si="29"/>
        <v>Cold</v>
      </c>
      <c r="P322" s="28">
        <v>0.19700000000000001</v>
      </c>
      <c r="Q322" s="38">
        <f t="shared" si="25"/>
        <v>0.19700000000000001</v>
      </c>
      <c r="R322" s="28">
        <v>0.59</v>
      </c>
      <c r="S322" s="28">
        <v>8.9599999999999999E-2</v>
      </c>
      <c r="T322" s="40" t="str" cm="1">
        <f t="array" ref="T322">_xlfn.IFS(S322*18.6&lt;2,"Calm",S322*18.6&lt;6,"Light Breeze",S322*18.6&lt;14,"Gale",TRUE,"Extreme Storm")</f>
        <v>Calm</v>
      </c>
      <c r="U322" s="28">
        <v>3</v>
      </c>
      <c r="V322" s="28">
        <v>89</v>
      </c>
      <c r="W322" s="28">
        <v>92</v>
      </c>
      <c r="X322" s="44">
        <f>AVERAGE(INDEX($W:$W,MAX(ROW($W$3),ROW()-23)):INDEX($W:$W,ROW()))</f>
        <v>61.916666666666664</v>
      </c>
      <c r="Y322" s="44">
        <f>_xlfn.STDEV.S(INDEX($W:$W,MAX(ROW($W$3),ROW()-23)):INDEX($W:$W,ROW()))</f>
        <v>48.014415105997223</v>
      </c>
      <c r="Z322" s="44">
        <f t="shared" si="26"/>
        <v>0.62654794954642257</v>
      </c>
      <c r="AA322" s="40" t="b">
        <f t="shared" si="24"/>
        <v>0</v>
      </c>
    </row>
    <row r="323" spans="1:27" x14ac:dyDescent="0.3">
      <c r="A323" s="32">
        <v>321</v>
      </c>
      <c r="B323" s="33">
        <v>40557</v>
      </c>
      <c r="C323" s="40" t="str">
        <f t="shared" si="27"/>
        <v>Friday</v>
      </c>
      <c r="D323" s="28">
        <v>20</v>
      </c>
      <c r="E323" s="40" t="str" cm="1">
        <f t="array" ref="E323">_xlfn.IFS(D323&gt;=21,"Night",D323&gt;=17,"Evening",D323&gt;=12,"Midday",D323&gt;=6,"Morning", TRUE, "Night")</f>
        <v>Evening</v>
      </c>
      <c r="F323" s="28">
        <v>1</v>
      </c>
      <c r="G323" s="28">
        <v>0</v>
      </c>
      <c r="H323" s="28">
        <v>1</v>
      </c>
      <c r="I323" s="28">
        <v>5</v>
      </c>
      <c r="J323" s="40" t="str">
        <f t="shared" si="28"/>
        <v>Weekday</v>
      </c>
      <c r="K323" s="28" t="b">
        <v>0</v>
      </c>
      <c r="L323" s="28">
        <v>1</v>
      </c>
      <c r="M323" s="40" t="str" cm="1">
        <f t="array" ref="M323">_xlfn.IFS(L323=1,"Clear / Partly Cloudy",L323=2,"Mist / Cloudy",L323=3,"Light Snow / Rain",L323=4,"Heavy Precipitation")</f>
        <v>Clear / Partly Cloudy</v>
      </c>
      <c r="N323" s="28">
        <v>0.18</v>
      </c>
      <c r="O323" s="28" t="str">
        <f t="shared" si="29"/>
        <v>Cold</v>
      </c>
      <c r="P323" s="28">
        <v>0.2424</v>
      </c>
      <c r="Q323" s="38">
        <f t="shared" si="25"/>
        <v>0.2424</v>
      </c>
      <c r="R323" s="28">
        <v>0.59</v>
      </c>
      <c r="S323" s="28">
        <v>0</v>
      </c>
      <c r="T323" s="40" t="str" cm="1">
        <f t="array" ref="T323">_xlfn.IFS(S323*18.6&lt;2,"Calm",S323*18.6&lt;6,"Light Breeze",S323*18.6&lt;14,"Gale",TRUE,"Extreme Storm")</f>
        <v>Calm</v>
      </c>
      <c r="U323" s="28">
        <v>0</v>
      </c>
      <c r="V323" s="28">
        <v>68</v>
      </c>
      <c r="W323" s="28">
        <v>68</v>
      </c>
      <c r="X323" s="44">
        <f>AVERAGE(INDEX($W:$W,MAX(ROW($W$3),ROW()-23)):INDEX($W:$W,ROW()))</f>
        <v>60.625</v>
      </c>
      <c r="Y323" s="44">
        <f>_xlfn.STDEV.S(INDEX($W:$W,MAX(ROW($W$3),ROW()-23)):INDEX($W:$W,ROW()))</f>
        <v>47.386305580006329</v>
      </c>
      <c r="Z323" s="44">
        <f t="shared" si="26"/>
        <v>0.15563568228690378</v>
      </c>
      <c r="AA323" s="40" t="b">
        <f t="shared" ref="AA323:AA386" si="30">IF(ABS(Z323)&gt;=3,TRUE,FALSE)</f>
        <v>0</v>
      </c>
    </row>
    <row r="324" spans="1:27" x14ac:dyDescent="0.3">
      <c r="A324" s="32">
        <v>322</v>
      </c>
      <c r="B324" s="33">
        <v>40557</v>
      </c>
      <c r="C324" s="40" t="str">
        <f t="shared" si="27"/>
        <v>Friday</v>
      </c>
      <c r="D324" s="28">
        <v>21</v>
      </c>
      <c r="E324" s="40" t="str" cm="1">
        <f t="array" ref="E324">_xlfn.IFS(D324&gt;=21,"Night",D324&gt;=17,"Evening",D324&gt;=12,"Midday",D324&gt;=6,"Morning", TRUE, "Night")</f>
        <v>Night</v>
      </c>
      <c r="F324" s="28">
        <v>1</v>
      </c>
      <c r="G324" s="28">
        <v>0</v>
      </c>
      <c r="H324" s="28">
        <v>1</v>
      </c>
      <c r="I324" s="28">
        <v>5</v>
      </c>
      <c r="J324" s="40" t="str">
        <f t="shared" si="28"/>
        <v>Weekday</v>
      </c>
      <c r="K324" s="28" t="b">
        <v>0</v>
      </c>
      <c r="L324" s="28">
        <v>1</v>
      </c>
      <c r="M324" s="40" t="str" cm="1">
        <f t="array" ref="M324">_xlfn.IFS(L324=1,"Clear / Partly Cloudy",L324=2,"Mist / Cloudy",L324=3,"Light Snow / Rain",L324=4,"Heavy Precipitation")</f>
        <v>Clear / Partly Cloudy</v>
      </c>
      <c r="N324" s="28">
        <v>0.16</v>
      </c>
      <c r="O324" s="28" t="str">
        <f t="shared" si="29"/>
        <v>Cold</v>
      </c>
      <c r="P324" s="28">
        <v>0.2273</v>
      </c>
      <c r="Q324" s="38">
        <f t="shared" ref="Q324:Q387" si="31">IF(P324="", AVERAGE($P$3:$P$1002), P324)</f>
        <v>0.2273</v>
      </c>
      <c r="R324" s="28">
        <v>0.69</v>
      </c>
      <c r="S324" s="28">
        <v>0</v>
      </c>
      <c r="T324" s="40" t="str" cm="1">
        <f t="array" ref="T324">_xlfn.IFS(S324*18.6&lt;2,"Calm",S324*18.6&lt;6,"Light Breeze",S324*18.6&lt;14,"Gale",TRUE,"Extreme Storm")</f>
        <v>Calm</v>
      </c>
      <c r="U324" s="28">
        <v>4</v>
      </c>
      <c r="V324" s="28">
        <v>48</v>
      </c>
      <c r="W324" s="28">
        <v>52</v>
      </c>
      <c r="X324" s="44">
        <f>AVERAGE(INDEX($W:$W,MAX(ROW($W$3),ROW()-23)):INDEX($W:$W,ROW()))</f>
        <v>60.125</v>
      </c>
      <c r="Y324" s="44">
        <f>_xlfn.STDEV.S(INDEX($W:$W,MAX(ROW($W$3),ROW()-23)):INDEX($W:$W,ROW()))</f>
        <v>47.412447916041039</v>
      </c>
      <c r="Z324" s="44">
        <f t="shared" ref="Z324:Z387" si="32">IFERROR((W324-X324)/Y324,0)</f>
        <v>-0.17136849829791367</v>
      </c>
      <c r="AA324" s="40" t="b">
        <f t="shared" si="30"/>
        <v>0</v>
      </c>
    </row>
    <row r="325" spans="1:27" x14ac:dyDescent="0.3">
      <c r="A325" s="32">
        <v>323</v>
      </c>
      <c r="B325" s="33">
        <v>40557</v>
      </c>
      <c r="C325" s="40" t="str">
        <f t="shared" ref="C325:C388" si="33">TEXT(B325,"dddd")</f>
        <v>Friday</v>
      </c>
      <c r="D325" s="28">
        <v>22</v>
      </c>
      <c r="E325" s="40" t="str" cm="1">
        <f t="array" ref="E325">_xlfn.IFS(D325&gt;=21,"Night",D325&gt;=17,"Evening",D325&gt;=12,"Midday",D325&gt;=6,"Morning", TRUE, "Night")</f>
        <v>Night</v>
      </c>
      <c r="F325" s="28">
        <v>1</v>
      </c>
      <c r="G325" s="28">
        <v>0</v>
      </c>
      <c r="H325" s="28">
        <v>1</v>
      </c>
      <c r="I325" s="28">
        <v>5</v>
      </c>
      <c r="J325" s="40" t="str">
        <f t="shared" ref="J325:J388" si="34">IF(OR(I325="Saturday", I325="Sunday"), "Weekend", "Weekday")</f>
        <v>Weekday</v>
      </c>
      <c r="K325" s="28" t="b">
        <v>0</v>
      </c>
      <c r="L325" s="28">
        <v>2</v>
      </c>
      <c r="M325" s="40" t="str" cm="1">
        <f t="array" ref="M325">_xlfn.IFS(L325=1,"Clear / Partly Cloudy",L325=2,"Mist / Cloudy",L325=3,"Light Snow / Rain",L325=4,"Heavy Precipitation")</f>
        <v>Mist / Cloudy</v>
      </c>
      <c r="N325" s="28">
        <v>0.16</v>
      </c>
      <c r="O325" s="28" t="str">
        <f t="shared" ref="O325:O388" si="35">IF(N325&lt;0.2,"Cold",IF(N325&lt;0.6,"Mild","Hot"))</f>
        <v>Cold</v>
      </c>
      <c r="P325" s="28">
        <v>0.2273</v>
      </c>
      <c r="Q325" s="38">
        <f t="shared" si="31"/>
        <v>0.2273</v>
      </c>
      <c r="R325" s="28">
        <v>0.69</v>
      </c>
      <c r="S325" s="28">
        <v>0</v>
      </c>
      <c r="T325" s="40" t="str" cm="1">
        <f t="array" ref="T325">_xlfn.IFS(S325*18.6&lt;2,"Calm",S325*18.6&lt;6,"Light Breeze",S325*18.6&lt;14,"Gale",TRUE,"Extreme Storm")</f>
        <v>Calm</v>
      </c>
      <c r="U325" s="28">
        <v>2</v>
      </c>
      <c r="V325" s="28">
        <v>34</v>
      </c>
      <c r="W325" s="28">
        <v>36</v>
      </c>
      <c r="X325" s="44">
        <f>AVERAGE(INDEX($W:$W,MAX(ROW($W$3),ROW()-23)):INDEX($W:$W,ROW()))</f>
        <v>59.958333333333336</v>
      </c>
      <c r="Y325" s="44">
        <f>_xlfn.STDEV.S(INDEX($W:$W,MAX(ROW($W$3),ROW()-23)):INDEX($W:$W,ROW()))</f>
        <v>47.493229876035713</v>
      </c>
      <c r="Z325" s="44">
        <f t="shared" si="32"/>
        <v>-0.50445786474973586</v>
      </c>
      <c r="AA325" s="40" t="b">
        <f t="shared" si="30"/>
        <v>0</v>
      </c>
    </row>
    <row r="326" spans="1:27" x14ac:dyDescent="0.3">
      <c r="A326" s="32">
        <v>324</v>
      </c>
      <c r="B326" s="33">
        <v>40557</v>
      </c>
      <c r="C326" s="40" t="str">
        <f t="shared" si="33"/>
        <v>Friday</v>
      </c>
      <c r="D326" s="28">
        <v>23</v>
      </c>
      <c r="E326" s="40" t="str" cm="1">
        <f t="array" ref="E326">_xlfn.IFS(D326&gt;=21,"Night",D326&gt;=17,"Evening",D326&gt;=12,"Midday",D326&gt;=6,"Morning", TRUE, "Night")</f>
        <v>Night</v>
      </c>
      <c r="F326" s="28">
        <v>1</v>
      </c>
      <c r="G326" s="28">
        <v>0</v>
      </c>
      <c r="H326" s="28">
        <v>1</v>
      </c>
      <c r="I326" s="28">
        <v>5</v>
      </c>
      <c r="J326" s="40" t="str">
        <f t="shared" si="34"/>
        <v>Weekday</v>
      </c>
      <c r="K326" s="28" t="b">
        <v>0</v>
      </c>
      <c r="L326" s="28">
        <v>2</v>
      </c>
      <c r="M326" s="40" t="str" cm="1">
        <f t="array" ref="M326">_xlfn.IFS(L326=1,"Clear / Partly Cloudy",L326=2,"Mist / Cloudy",L326=3,"Light Snow / Rain",L326=4,"Heavy Precipitation")</f>
        <v>Mist / Cloudy</v>
      </c>
      <c r="N326" s="28">
        <v>0.18</v>
      </c>
      <c r="O326" s="28" t="str">
        <f t="shared" si="35"/>
        <v>Cold</v>
      </c>
      <c r="P326" s="28">
        <v>0.2424</v>
      </c>
      <c r="Q326" s="38">
        <f t="shared" si="31"/>
        <v>0.2424</v>
      </c>
      <c r="R326" s="28">
        <v>0.55000000000000004</v>
      </c>
      <c r="S326" s="28">
        <v>0</v>
      </c>
      <c r="T326" s="40" t="str" cm="1">
        <f t="array" ref="T326">_xlfn.IFS(S326*18.6&lt;2,"Calm",S326*18.6&lt;6,"Light Breeze",S326*18.6&lt;14,"Gale",TRUE,"Extreme Storm")</f>
        <v>Calm</v>
      </c>
      <c r="U326" s="28">
        <v>1</v>
      </c>
      <c r="V326" s="28">
        <v>26</v>
      </c>
      <c r="W326" s="28">
        <v>27</v>
      </c>
      <c r="X326" s="44">
        <f>AVERAGE(INDEX($W:$W,MAX(ROW($W$3),ROW()-23)):INDEX($W:$W,ROW()))</f>
        <v>59.833333333333336</v>
      </c>
      <c r="Y326" s="44">
        <f>_xlfn.STDEV.S(INDEX($W:$W,MAX(ROW($W$3),ROW()-23)):INDEX($W:$W,ROW()))</f>
        <v>47.579376850157203</v>
      </c>
      <c r="Z326" s="44">
        <f t="shared" si="32"/>
        <v>-0.69007489183257043</v>
      </c>
      <c r="AA326" s="40" t="b">
        <f t="shared" si="30"/>
        <v>0</v>
      </c>
    </row>
    <row r="327" spans="1:27" x14ac:dyDescent="0.3">
      <c r="A327" s="32">
        <v>325</v>
      </c>
      <c r="B327" s="33">
        <v>40558</v>
      </c>
      <c r="C327" s="40" t="str">
        <f t="shared" si="33"/>
        <v>Saturday</v>
      </c>
      <c r="D327" s="28">
        <v>0</v>
      </c>
      <c r="E327" s="40" t="str" cm="1">
        <f t="array" ref="E327">_xlfn.IFS(D327&gt;=21,"Night",D327&gt;=17,"Evening",D327&gt;=12,"Midday",D327&gt;=6,"Morning", TRUE, "Night")</f>
        <v>Night</v>
      </c>
      <c r="F327" s="28">
        <v>1</v>
      </c>
      <c r="G327" s="28">
        <v>0</v>
      </c>
      <c r="H327" s="28">
        <v>1</v>
      </c>
      <c r="I327" s="28">
        <v>6</v>
      </c>
      <c r="J327" s="40" t="str">
        <f t="shared" si="34"/>
        <v>Weekday</v>
      </c>
      <c r="K327" s="28" t="b">
        <v>0</v>
      </c>
      <c r="L327" s="28">
        <v>1</v>
      </c>
      <c r="M327" s="40" t="str" cm="1">
        <f t="array" ref="M327">_xlfn.IFS(L327=1,"Clear / Partly Cloudy",L327=2,"Mist / Cloudy",L327=3,"Light Snow / Rain",L327=4,"Heavy Precipitation")</f>
        <v>Clear / Partly Cloudy</v>
      </c>
      <c r="N327" s="28">
        <v>0.18</v>
      </c>
      <c r="O327" s="28" t="str">
        <f t="shared" si="35"/>
        <v>Cold</v>
      </c>
      <c r="P327" s="28">
        <v>0.2424</v>
      </c>
      <c r="Q327" s="38">
        <f t="shared" si="31"/>
        <v>0.2424</v>
      </c>
      <c r="R327" s="28">
        <v>0.55000000000000004</v>
      </c>
      <c r="S327" s="28">
        <v>0</v>
      </c>
      <c r="T327" s="40" t="str" cm="1">
        <f t="array" ref="T327">_xlfn.IFS(S327*18.6&lt;2,"Calm",S327*18.6&lt;6,"Light Breeze",S327*18.6&lt;14,"Gale",TRUE,"Extreme Storm")</f>
        <v>Calm</v>
      </c>
      <c r="U327" s="28">
        <v>3</v>
      </c>
      <c r="V327" s="28">
        <v>25</v>
      </c>
      <c r="W327" s="28">
        <v>28</v>
      </c>
      <c r="X327" s="44">
        <f>AVERAGE(INDEX($W:$W,MAX(ROW($W$3),ROW()-23)):INDEX($W:$W,ROW()))</f>
        <v>60.375</v>
      </c>
      <c r="Y327" s="44">
        <f>_xlfn.STDEV.S(INDEX($W:$W,MAX(ROW($W$3),ROW()-23)):INDEX($W:$W,ROW()))</f>
        <v>47.118548457010554</v>
      </c>
      <c r="Z327" s="44">
        <f t="shared" si="32"/>
        <v>-0.68709671796315852</v>
      </c>
      <c r="AA327" s="40" t="b">
        <f t="shared" si="30"/>
        <v>0</v>
      </c>
    </row>
    <row r="328" spans="1:27" x14ac:dyDescent="0.3">
      <c r="A328" s="32">
        <v>326</v>
      </c>
      <c r="B328" s="33">
        <v>40558</v>
      </c>
      <c r="C328" s="40" t="str">
        <f t="shared" si="33"/>
        <v>Saturday</v>
      </c>
      <c r="D328" s="28">
        <v>1</v>
      </c>
      <c r="E328" s="40" t="str" cm="1">
        <f t="array" ref="E328">_xlfn.IFS(D328&gt;=21,"Night",D328&gt;=17,"Evening",D328&gt;=12,"Midday",D328&gt;=6,"Morning", TRUE, "Night")</f>
        <v>Night</v>
      </c>
      <c r="F328" s="28">
        <v>1</v>
      </c>
      <c r="G328" s="28">
        <v>0</v>
      </c>
      <c r="H328" s="28">
        <v>1</v>
      </c>
      <c r="I328" s="28">
        <v>6</v>
      </c>
      <c r="J328" s="40" t="str">
        <f t="shared" si="34"/>
        <v>Weekday</v>
      </c>
      <c r="K328" s="28" t="b">
        <v>0</v>
      </c>
      <c r="L328" s="28">
        <v>2</v>
      </c>
      <c r="M328" s="40" t="str" cm="1">
        <f t="array" ref="M328">_xlfn.IFS(L328=1,"Clear / Partly Cloudy",L328=2,"Mist / Cloudy",L328=3,"Light Snow / Rain",L328=4,"Heavy Precipitation")</f>
        <v>Mist / Cloudy</v>
      </c>
      <c r="N328" s="28">
        <v>0.16</v>
      </c>
      <c r="O328" s="28" t="str">
        <f t="shared" si="35"/>
        <v>Cold</v>
      </c>
      <c r="P328" s="28">
        <v>0.19700000000000001</v>
      </c>
      <c r="Q328" s="38">
        <f t="shared" si="31"/>
        <v>0.19700000000000001</v>
      </c>
      <c r="R328" s="28">
        <v>0.59</v>
      </c>
      <c r="S328" s="28">
        <v>8.9599999999999999E-2</v>
      </c>
      <c r="T328" s="40" t="str" cm="1">
        <f t="array" ref="T328">_xlfn.IFS(S328*18.6&lt;2,"Calm",S328*18.6&lt;6,"Light Breeze",S328*18.6&lt;14,"Gale",TRUE,"Extreme Storm")</f>
        <v>Calm</v>
      </c>
      <c r="U328" s="28">
        <v>2</v>
      </c>
      <c r="V328" s="28">
        <v>18</v>
      </c>
      <c r="W328" s="28">
        <v>20</v>
      </c>
      <c r="X328" s="44">
        <f>AVERAGE(INDEX($W:$W,MAX(ROW($W$3),ROW()-23)):INDEX($W:$W,ROW()))</f>
        <v>60.625</v>
      </c>
      <c r="Y328" s="44">
        <f>_xlfn.STDEV.S(INDEX($W:$W,MAX(ROW($W$3),ROW()-23)):INDEX($W:$W,ROW()))</f>
        <v>46.877094156119988</v>
      </c>
      <c r="Z328" s="44">
        <f t="shared" si="32"/>
        <v>-0.86662794977653812</v>
      </c>
      <c r="AA328" s="40" t="b">
        <f t="shared" si="30"/>
        <v>0</v>
      </c>
    </row>
    <row r="329" spans="1:27" x14ac:dyDescent="0.3">
      <c r="A329" s="32">
        <v>327</v>
      </c>
      <c r="B329" s="33">
        <v>40558</v>
      </c>
      <c r="C329" s="40" t="str">
        <f t="shared" si="33"/>
        <v>Saturday</v>
      </c>
      <c r="D329" s="28">
        <v>2</v>
      </c>
      <c r="E329" s="40" t="str" cm="1">
        <f t="array" ref="E329">_xlfn.IFS(D329&gt;=21,"Night",D329&gt;=17,"Evening",D329&gt;=12,"Midday",D329&gt;=6,"Morning", TRUE, "Night")</f>
        <v>Night</v>
      </c>
      <c r="F329" s="28">
        <v>1</v>
      </c>
      <c r="G329" s="28">
        <v>0</v>
      </c>
      <c r="H329" s="28">
        <v>1</v>
      </c>
      <c r="I329" s="28">
        <v>6</v>
      </c>
      <c r="J329" s="40" t="str">
        <f t="shared" si="34"/>
        <v>Weekday</v>
      </c>
      <c r="K329" s="28" t="b">
        <v>0</v>
      </c>
      <c r="L329" s="28">
        <v>2</v>
      </c>
      <c r="M329" s="40" t="str" cm="1">
        <f t="array" ref="M329">_xlfn.IFS(L329=1,"Clear / Partly Cloudy",L329=2,"Mist / Cloudy",L329=3,"Light Snow / Rain",L329=4,"Heavy Precipitation")</f>
        <v>Mist / Cloudy</v>
      </c>
      <c r="N329" s="28">
        <v>0.16</v>
      </c>
      <c r="O329" s="28" t="str">
        <f t="shared" si="35"/>
        <v>Cold</v>
      </c>
      <c r="P329" s="28">
        <v>0.19700000000000001</v>
      </c>
      <c r="Q329" s="38">
        <f t="shared" si="31"/>
        <v>0.19700000000000001</v>
      </c>
      <c r="R329" s="28">
        <v>0.59</v>
      </c>
      <c r="S329" s="28">
        <v>8.9599999999999999E-2</v>
      </c>
      <c r="T329" s="40" t="str" cm="1">
        <f t="array" ref="T329">_xlfn.IFS(S329*18.6&lt;2,"Calm",S329*18.6&lt;6,"Light Breeze",S329*18.6&lt;14,"Gale",TRUE,"Extreme Storm")</f>
        <v>Calm</v>
      </c>
      <c r="U329" s="28">
        <v>0</v>
      </c>
      <c r="V329" s="28">
        <v>12</v>
      </c>
      <c r="W329" s="28">
        <v>12</v>
      </c>
      <c r="X329" s="44">
        <f>AVERAGE(INDEX($W:$W,MAX(ROW($W$3),ROW()-23)):INDEX($W:$W,ROW()))</f>
        <v>60.916666666666664</v>
      </c>
      <c r="Y329" s="44">
        <f>_xlfn.STDEV.S(INDEX($W:$W,MAX(ROW($W$3),ROW()-23)):INDEX($W:$W,ROW()))</f>
        <v>46.536490279523996</v>
      </c>
      <c r="Z329" s="44">
        <f t="shared" si="32"/>
        <v>-1.0511464524472303</v>
      </c>
      <c r="AA329" s="40" t="b">
        <f t="shared" si="30"/>
        <v>0</v>
      </c>
    </row>
    <row r="330" spans="1:27" x14ac:dyDescent="0.3">
      <c r="A330" s="32">
        <v>328</v>
      </c>
      <c r="B330" s="33">
        <v>40558</v>
      </c>
      <c r="C330" s="40" t="str">
        <f t="shared" si="33"/>
        <v>Saturday</v>
      </c>
      <c r="D330" s="28">
        <v>3</v>
      </c>
      <c r="E330" s="40" t="str" cm="1">
        <f t="array" ref="E330">_xlfn.IFS(D330&gt;=21,"Night",D330&gt;=17,"Evening",D330&gt;=12,"Midday",D330&gt;=6,"Morning", TRUE, "Night")</f>
        <v>Night</v>
      </c>
      <c r="F330" s="28">
        <v>1</v>
      </c>
      <c r="G330" s="28">
        <v>0</v>
      </c>
      <c r="H330" s="28">
        <v>1</v>
      </c>
      <c r="I330" s="28">
        <v>6</v>
      </c>
      <c r="J330" s="40" t="str">
        <f t="shared" si="34"/>
        <v>Weekday</v>
      </c>
      <c r="K330" s="28" t="b">
        <v>0</v>
      </c>
      <c r="L330" s="28">
        <v>2</v>
      </c>
      <c r="M330" s="40" t="str" cm="1">
        <f t="array" ref="M330">_xlfn.IFS(L330=1,"Clear / Partly Cloudy",L330=2,"Mist / Cloudy",L330=3,"Light Snow / Rain",L330=4,"Heavy Precipitation")</f>
        <v>Mist / Cloudy</v>
      </c>
      <c r="N330" s="28">
        <v>0.16</v>
      </c>
      <c r="O330" s="28" t="str">
        <f t="shared" si="35"/>
        <v>Cold</v>
      </c>
      <c r="P330" s="28">
        <v>0.2273</v>
      </c>
      <c r="Q330" s="38">
        <f t="shared" si="31"/>
        <v>0.2273</v>
      </c>
      <c r="R330" s="28">
        <v>0.59</v>
      </c>
      <c r="S330" s="28">
        <v>0</v>
      </c>
      <c r="T330" s="40" t="str" cm="1">
        <f t="array" ref="T330">_xlfn.IFS(S330*18.6&lt;2,"Calm",S330*18.6&lt;6,"Light Breeze",S330*18.6&lt;14,"Gale",TRUE,"Extreme Storm")</f>
        <v>Calm</v>
      </c>
      <c r="U330" s="28">
        <v>1</v>
      </c>
      <c r="V330" s="28">
        <v>7</v>
      </c>
      <c r="W330" s="28">
        <v>8</v>
      </c>
      <c r="X330" s="44">
        <f>AVERAGE(INDEX($W:$W,MAX(ROW($W$3),ROW()-23)):INDEX($W:$W,ROW()))</f>
        <v>61.208333333333336</v>
      </c>
      <c r="Y330" s="44">
        <f>_xlfn.STDEV.S(INDEX($W:$W,MAX(ROW($W$3),ROW()-23)):INDEX($W:$W,ROW()))</f>
        <v>46.165090487403404</v>
      </c>
      <c r="Z330" s="44">
        <f t="shared" si="32"/>
        <v>-1.1525664256599204</v>
      </c>
      <c r="AA330" s="40" t="b">
        <f t="shared" si="30"/>
        <v>0</v>
      </c>
    </row>
    <row r="331" spans="1:27" x14ac:dyDescent="0.3">
      <c r="A331" s="32">
        <v>329</v>
      </c>
      <c r="B331" s="33">
        <v>40558</v>
      </c>
      <c r="C331" s="40" t="str">
        <f t="shared" si="33"/>
        <v>Saturday</v>
      </c>
      <c r="D331" s="28">
        <v>4</v>
      </c>
      <c r="E331" s="40" t="str" cm="1">
        <f t="array" ref="E331">_xlfn.IFS(D331&gt;=21,"Night",D331&gt;=17,"Evening",D331&gt;=12,"Midday",D331&gt;=6,"Morning", TRUE, "Night")</f>
        <v>Night</v>
      </c>
      <c r="F331" s="28">
        <v>1</v>
      </c>
      <c r="G331" s="28">
        <v>0</v>
      </c>
      <c r="H331" s="28">
        <v>1</v>
      </c>
      <c r="I331" s="28">
        <v>6</v>
      </c>
      <c r="J331" s="40" t="str">
        <f t="shared" si="34"/>
        <v>Weekday</v>
      </c>
      <c r="K331" s="28" t="b">
        <v>0</v>
      </c>
      <c r="L331" s="28">
        <v>2</v>
      </c>
      <c r="M331" s="40" t="str" cm="1">
        <f t="array" ref="M331">_xlfn.IFS(L331=1,"Clear / Partly Cloudy",L331=2,"Mist / Cloudy",L331=3,"Light Snow / Rain",L331=4,"Heavy Precipitation")</f>
        <v>Mist / Cloudy</v>
      </c>
      <c r="N331" s="28">
        <v>0.16</v>
      </c>
      <c r="O331" s="28" t="str">
        <f t="shared" si="35"/>
        <v>Cold</v>
      </c>
      <c r="P331" s="28">
        <v>0.2273</v>
      </c>
      <c r="Q331" s="38">
        <f t="shared" si="31"/>
        <v>0.2273</v>
      </c>
      <c r="R331" s="28">
        <v>0.59</v>
      </c>
      <c r="S331" s="28">
        <v>0</v>
      </c>
      <c r="T331" s="40" t="str" cm="1">
        <f t="array" ref="T331">_xlfn.IFS(S331*18.6&lt;2,"Calm",S331*18.6&lt;6,"Light Breeze",S331*18.6&lt;14,"Gale",TRUE,"Extreme Storm")</f>
        <v>Calm</v>
      </c>
      <c r="U331" s="28">
        <v>0</v>
      </c>
      <c r="V331" s="28">
        <v>5</v>
      </c>
      <c r="W331" s="28">
        <v>5</v>
      </c>
      <c r="X331" s="44">
        <f>AVERAGE(INDEX($W:$W,MAX(ROW($W$3),ROW()-23)):INDEX($W:$W,ROW()))</f>
        <v>61.375</v>
      </c>
      <c r="Y331" s="44">
        <f>_xlfn.STDEV.S(INDEX($W:$W,MAX(ROW($W$3),ROW()-23)):INDEX($W:$W,ROW()))</f>
        <v>45.944969445972042</v>
      </c>
      <c r="Z331" s="44">
        <f t="shared" si="32"/>
        <v>-1.2270113720783495</v>
      </c>
      <c r="AA331" s="40" t="b">
        <f t="shared" si="30"/>
        <v>0</v>
      </c>
    </row>
    <row r="332" spans="1:27" x14ac:dyDescent="0.3">
      <c r="A332" s="32">
        <v>330</v>
      </c>
      <c r="B332" s="33">
        <v>40558</v>
      </c>
      <c r="C332" s="40" t="str">
        <f t="shared" si="33"/>
        <v>Saturday</v>
      </c>
      <c r="D332" s="28">
        <v>5</v>
      </c>
      <c r="E332" s="40" t="str" cm="1">
        <f t="array" ref="E332">_xlfn.IFS(D332&gt;=21,"Night",D332&gt;=17,"Evening",D332&gt;=12,"Midday",D332&gt;=6,"Morning", TRUE, "Night")</f>
        <v>Night</v>
      </c>
      <c r="F332" s="28">
        <v>1</v>
      </c>
      <c r="G332" s="28">
        <v>0</v>
      </c>
      <c r="H332" s="28">
        <v>1</v>
      </c>
      <c r="I332" s="28">
        <v>6</v>
      </c>
      <c r="J332" s="40" t="str">
        <f t="shared" si="34"/>
        <v>Weekday</v>
      </c>
      <c r="K332" s="28" t="b">
        <v>0</v>
      </c>
      <c r="L332" s="28">
        <v>1</v>
      </c>
      <c r="M332" s="40" t="str" cm="1">
        <f t="array" ref="M332">_xlfn.IFS(L332=1,"Clear / Partly Cloudy",L332=2,"Mist / Cloudy",L332=3,"Light Snow / Rain",L332=4,"Heavy Precipitation")</f>
        <v>Clear / Partly Cloudy</v>
      </c>
      <c r="N332" s="28">
        <v>0.16</v>
      </c>
      <c r="O332" s="28" t="str">
        <f t="shared" si="35"/>
        <v>Cold</v>
      </c>
      <c r="P332" s="28">
        <v>0.2273</v>
      </c>
      <c r="Q332" s="38">
        <f t="shared" si="31"/>
        <v>0.2273</v>
      </c>
      <c r="R332" s="28">
        <v>0.59</v>
      </c>
      <c r="S332" s="28">
        <v>0</v>
      </c>
      <c r="T332" s="40" t="str" cm="1">
        <f t="array" ref="T332">_xlfn.IFS(S332*18.6&lt;2,"Calm",S332*18.6&lt;6,"Light Breeze",S332*18.6&lt;14,"Gale",TRUE,"Extreme Storm")</f>
        <v>Calm</v>
      </c>
      <c r="U332" s="28">
        <v>0</v>
      </c>
      <c r="V332" s="28">
        <v>1</v>
      </c>
      <c r="W332" s="28">
        <v>1</v>
      </c>
      <c r="X332" s="44">
        <f>AVERAGE(INDEX($W:$W,MAX(ROW($W$3),ROW()-23)):INDEX($W:$W,ROW()))</f>
        <v>61.083333333333336</v>
      </c>
      <c r="Y332" s="44">
        <f>_xlfn.STDEV.S(INDEX($W:$W,MAX(ROW($W$3),ROW()-23)):INDEX($W:$W,ROW()))</f>
        <v>46.319229424643424</v>
      </c>
      <c r="Z332" s="44">
        <f t="shared" si="32"/>
        <v>-1.2971574458310597</v>
      </c>
      <c r="AA332" s="40" t="b">
        <f t="shared" si="30"/>
        <v>0</v>
      </c>
    </row>
    <row r="333" spans="1:27" x14ac:dyDescent="0.3">
      <c r="A333" s="32">
        <v>331</v>
      </c>
      <c r="B333" s="33">
        <v>40558</v>
      </c>
      <c r="C333" s="40" t="str">
        <f t="shared" si="33"/>
        <v>Saturday</v>
      </c>
      <c r="D333" s="28">
        <v>6</v>
      </c>
      <c r="E333" s="40" t="str" cm="1">
        <f t="array" ref="E333">_xlfn.IFS(D333&gt;=21,"Night",D333&gt;=17,"Evening",D333&gt;=12,"Midday",D333&gt;=6,"Morning", TRUE, "Night")</f>
        <v>Morning</v>
      </c>
      <c r="F333" s="28">
        <v>1</v>
      </c>
      <c r="G333" s="28">
        <v>0</v>
      </c>
      <c r="H333" s="28">
        <v>1</v>
      </c>
      <c r="I333" s="28">
        <v>6</v>
      </c>
      <c r="J333" s="40" t="str">
        <f t="shared" si="34"/>
        <v>Weekday</v>
      </c>
      <c r="K333" s="28" t="b">
        <v>0</v>
      </c>
      <c r="L333" s="28">
        <v>1</v>
      </c>
      <c r="M333" s="40" t="str" cm="1">
        <f t="array" ref="M333">_xlfn.IFS(L333=1,"Clear / Partly Cloudy",L333=2,"Mist / Cloudy",L333=3,"Light Snow / Rain",L333=4,"Heavy Precipitation")</f>
        <v>Clear / Partly Cloudy</v>
      </c>
      <c r="N333" s="28">
        <v>0.14000000000000001</v>
      </c>
      <c r="O333" s="28" t="str">
        <f t="shared" si="35"/>
        <v>Cold</v>
      </c>
      <c r="P333" s="28">
        <v>0.16669999999999999</v>
      </c>
      <c r="Q333" s="38">
        <f t="shared" si="31"/>
        <v>0.16669999999999999</v>
      </c>
      <c r="R333" s="28">
        <v>0.63</v>
      </c>
      <c r="S333" s="28">
        <v>0.1045</v>
      </c>
      <c r="T333" s="40" t="str" cm="1">
        <f t="array" ref="T333">_xlfn.IFS(S333*18.6&lt;2,"Calm",S333*18.6&lt;6,"Light Breeze",S333*18.6&lt;14,"Gale",TRUE,"Extreme Storm")</f>
        <v>Calm</v>
      </c>
      <c r="U333" s="28">
        <v>1</v>
      </c>
      <c r="V333" s="28">
        <v>2</v>
      </c>
      <c r="W333" s="28">
        <v>3</v>
      </c>
      <c r="X333" s="44">
        <f>AVERAGE(INDEX($W:$W,MAX(ROW($W$3),ROW()-23)):INDEX($W:$W,ROW()))</f>
        <v>60.5</v>
      </c>
      <c r="Y333" s="44">
        <f>_xlfn.STDEV.S(INDEX($W:$W,MAX(ROW($W$3),ROW()-23)):INDEX($W:$W,ROW()))</f>
        <v>46.981957684052361</v>
      </c>
      <c r="Z333" s="44">
        <f t="shared" si="32"/>
        <v>-1.2238740749519235</v>
      </c>
      <c r="AA333" s="40" t="b">
        <f t="shared" si="30"/>
        <v>0</v>
      </c>
    </row>
    <row r="334" spans="1:27" x14ac:dyDescent="0.3">
      <c r="A334" s="32">
        <v>332</v>
      </c>
      <c r="B334" s="33">
        <v>40558</v>
      </c>
      <c r="C334" s="40" t="str">
        <f t="shared" si="33"/>
        <v>Saturday</v>
      </c>
      <c r="D334" s="28">
        <v>7</v>
      </c>
      <c r="E334" s="40" t="str" cm="1">
        <f t="array" ref="E334">_xlfn.IFS(D334&gt;=21,"Night",D334&gt;=17,"Evening",D334&gt;=12,"Midday",D334&gt;=6,"Morning", TRUE, "Night")</f>
        <v>Morning</v>
      </c>
      <c r="F334" s="28">
        <v>1</v>
      </c>
      <c r="G334" s="28">
        <v>0</v>
      </c>
      <c r="H334" s="28">
        <v>1</v>
      </c>
      <c r="I334" s="28">
        <v>6</v>
      </c>
      <c r="J334" s="40" t="str">
        <f t="shared" si="34"/>
        <v>Weekday</v>
      </c>
      <c r="K334" s="28" t="b">
        <v>0</v>
      </c>
      <c r="L334" s="28">
        <v>1</v>
      </c>
      <c r="M334" s="40" t="str" cm="1">
        <f t="array" ref="M334">_xlfn.IFS(L334=1,"Clear / Partly Cloudy",L334=2,"Mist / Cloudy",L334=3,"Light Snow / Rain",L334=4,"Heavy Precipitation")</f>
        <v>Clear / Partly Cloudy</v>
      </c>
      <c r="N334" s="28">
        <v>0.14000000000000001</v>
      </c>
      <c r="O334" s="28" t="str">
        <f t="shared" si="35"/>
        <v>Cold</v>
      </c>
      <c r="P334" s="28">
        <v>0.21210000000000001</v>
      </c>
      <c r="Q334" s="38">
        <f t="shared" si="31"/>
        <v>0.21210000000000001</v>
      </c>
      <c r="R334" s="28">
        <v>0.63</v>
      </c>
      <c r="S334" s="28">
        <v>0</v>
      </c>
      <c r="T334" s="40" t="str" cm="1">
        <f t="array" ref="T334">_xlfn.IFS(S334*18.6&lt;2,"Calm",S334*18.6&lt;6,"Light Breeze",S334*18.6&lt;14,"Gale",TRUE,"Extreme Storm")</f>
        <v>Calm</v>
      </c>
      <c r="U334" s="28">
        <v>1</v>
      </c>
      <c r="V334" s="28">
        <v>9</v>
      </c>
      <c r="W334" s="28">
        <v>10</v>
      </c>
      <c r="X334" s="44">
        <f>AVERAGE(INDEX($W:$W,MAX(ROW($W$3),ROW()-23)):INDEX($W:$W,ROW()))</f>
        <v>58</v>
      </c>
      <c r="Y334" s="44">
        <f>_xlfn.STDEV.S(INDEX($W:$W,MAX(ROW($W$3),ROW()-23)):INDEX($W:$W,ROW()))</f>
        <v>48.038933485609178</v>
      </c>
      <c r="Z334" s="44">
        <f t="shared" si="32"/>
        <v>-0.99918954308965158</v>
      </c>
      <c r="AA334" s="40" t="b">
        <f t="shared" si="30"/>
        <v>0</v>
      </c>
    </row>
    <row r="335" spans="1:27" x14ac:dyDescent="0.3">
      <c r="A335" s="32">
        <v>333</v>
      </c>
      <c r="B335" s="33">
        <v>40558</v>
      </c>
      <c r="C335" s="40" t="str">
        <f t="shared" si="33"/>
        <v>Saturday</v>
      </c>
      <c r="D335" s="28">
        <v>8</v>
      </c>
      <c r="E335" s="40" t="str" cm="1">
        <f t="array" ref="E335">_xlfn.IFS(D335&gt;=21,"Night",D335&gt;=17,"Evening",D335&gt;=12,"Midday",D335&gt;=6,"Morning", TRUE, "Night")</f>
        <v>Morning</v>
      </c>
      <c r="F335" s="28">
        <v>1</v>
      </c>
      <c r="G335" s="28">
        <v>0</v>
      </c>
      <c r="H335" s="28">
        <v>1</v>
      </c>
      <c r="I335" s="28">
        <v>6</v>
      </c>
      <c r="J335" s="40" t="str">
        <f t="shared" si="34"/>
        <v>Weekday</v>
      </c>
      <c r="K335" s="28" t="b">
        <v>0</v>
      </c>
      <c r="L335" s="28">
        <v>1</v>
      </c>
      <c r="M335" s="40" t="str" cm="1">
        <f t="array" ref="M335">_xlfn.IFS(L335=1,"Clear / Partly Cloudy",L335=2,"Mist / Cloudy",L335=3,"Light Snow / Rain",L335=4,"Heavy Precipitation")</f>
        <v>Clear / Partly Cloudy</v>
      </c>
      <c r="N335" s="28">
        <v>0.14000000000000001</v>
      </c>
      <c r="O335" s="28" t="str">
        <f t="shared" si="35"/>
        <v>Cold</v>
      </c>
      <c r="P335" s="28">
        <v>0.1515</v>
      </c>
      <c r="Q335" s="38">
        <f t="shared" si="31"/>
        <v>0.1515</v>
      </c>
      <c r="R335" s="28">
        <v>0.63</v>
      </c>
      <c r="S335" s="28">
        <v>0.1343</v>
      </c>
      <c r="T335" s="40" t="str" cm="1">
        <f t="array" ref="T335">_xlfn.IFS(S335*18.6&lt;2,"Calm",S335*18.6&lt;6,"Light Breeze",S335*18.6&lt;14,"Gale",TRUE,"Extreme Storm")</f>
        <v>Light Breeze</v>
      </c>
      <c r="U335" s="28">
        <v>1</v>
      </c>
      <c r="V335" s="28">
        <v>22</v>
      </c>
      <c r="W335" s="28">
        <v>23</v>
      </c>
      <c r="X335" s="44">
        <f>AVERAGE(INDEX($W:$W,MAX(ROW($W$3),ROW()-23)):INDEX($W:$W,ROW()))</f>
        <v>52.375</v>
      </c>
      <c r="Y335" s="44">
        <f>_xlfn.STDEV.S(INDEX($W:$W,MAX(ROW($W$3),ROW()-23)):INDEX($W:$W,ROW()))</f>
        <v>43.51093066065723</v>
      </c>
      <c r="Z335" s="44">
        <f t="shared" si="32"/>
        <v>-0.67511771304310442</v>
      </c>
      <c r="AA335" s="40" t="b">
        <f t="shared" si="30"/>
        <v>0</v>
      </c>
    </row>
    <row r="336" spans="1:27" x14ac:dyDescent="0.3">
      <c r="A336" s="32">
        <v>334</v>
      </c>
      <c r="B336" s="33">
        <v>40558</v>
      </c>
      <c r="C336" s="40" t="str">
        <f t="shared" si="33"/>
        <v>Saturday</v>
      </c>
      <c r="D336" s="28">
        <v>9</v>
      </c>
      <c r="E336" s="40" t="str" cm="1">
        <f t="array" ref="E336">_xlfn.IFS(D336&gt;=21,"Night",D336&gt;=17,"Evening",D336&gt;=12,"Midday",D336&gt;=6,"Morning", TRUE, "Night")</f>
        <v>Morning</v>
      </c>
      <c r="F336" s="28">
        <v>1</v>
      </c>
      <c r="G336" s="28">
        <v>0</v>
      </c>
      <c r="H336" s="28">
        <v>1</v>
      </c>
      <c r="I336" s="28">
        <v>6</v>
      </c>
      <c r="J336" s="40" t="str">
        <f t="shared" si="34"/>
        <v>Weekday</v>
      </c>
      <c r="K336" s="28" t="b">
        <v>0</v>
      </c>
      <c r="L336" s="28">
        <v>1</v>
      </c>
      <c r="M336" s="40" t="str" cm="1">
        <f t="array" ref="M336">_xlfn.IFS(L336=1,"Clear / Partly Cloudy",L336=2,"Mist / Cloudy",L336=3,"Light Snow / Rain",L336=4,"Heavy Precipitation")</f>
        <v>Clear / Partly Cloudy</v>
      </c>
      <c r="N336" s="28">
        <v>0.16</v>
      </c>
      <c r="O336" s="28" t="str">
        <f t="shared" si="35"/>
        <v>Cold</v>
      </c>
      <c r="P336" s="28">
        <v>0.18179999999999999</v>
      </c>
      <c r="Q336" s="38">
        <f t="shared" si="31"/>
        <v>0.18179999999999999</v>
      </c>
      <c r="R336" s="28">
        <v>0.64</v>
      </c>
      <c r="S336" s="28">
        <v>0.1343</v>
      </c>
      <c r="T336" s="40" t="str" cm="1">
        <f t="array" ref="T336">_xlfn.IFS(S336*18.6&lt;2,"Calm",S336*18.6&lt;6,"Light Breeze",S336*18.6&lt;14,"Gale",TRUE,"Extreme Storm")</f>
        <v>Light Breeze</v>
      </c>
      <c r="U336" s="28">
        <v>2</v>
      </c>
      <c r="V336" s="28">
        <v>31</v>
      </c>
      <c r="W336" s="28">
        <v>33</v>
      </c>
      <c r="X336" s="44">
        <f>AVERAGE(INDEX($W:$W,MAX(ROW($W$3),ROW()-23)):INDEX($W:$W,ROW()))</f>
        <v>48.875</v>
      </c>
      <c r="Y336" s="44">
        <f>_xlfn.STDEV.S(INDEX($W:$W,MAX(ROW($W$3),ROW()-23)):INDEX($W:$W,ROW()))</f>
        <v>41.414461347404391</v>
      </c>
      <c r="Z336" s="44">
        <f t="shared" si="32"/>
        <v>-0.38332020949959666</v>
      </c>
      <c r="AA336" s="40" t="b">
        <f t="shared" si="30"/>
        <v>0</v>
      </c>
    </row>
    <row r="337" spans="1:27" x14ac:dyDescent="0.3">
      <c r="A337" s="32">
        <v>335</v>
      </c>
      <c r="B337" s="33">
        <v>40558</v>
      </c>
      <c r="C337" s="40" t="str">
        <f t="shared" si="33"/>
        <v>Saturday</v>
      </c>
      <c r="D337" s="28">
        <v>10</v>
      </c>
      <c r="E337" s="40" t="str" cm="1">
        <f t="array" ref="E337">_xlfn.IFS(D337&gt;=21,"Night",D337&gt;=17,"Evening",D337&gt;=12,"Midday",D337&gt;=6,"Morning", TRUE, "Night")</f>
        <v>Morning</v>
      </c>
      <c r="F337" s="28">
        <v>1</v>
      </c>
      <c r="G337" s="28">
        <v>0</v>
      </c>
      <c r="H337" s="28">
        <v>1</v>
      </c>
      <c r="I337" s="28">
        <v>6</v>
      </c>
      <c r="J337" s="40" t="str">
        <f t="shared" si="34"/>
        <v>Weekday</v>
      </c>
      <c r="K337" s="28" t="b">
        <v>0</v>
      </c>
      <c r="L337" s="28">
        <v>1</v>
      </c>
      <c r="M337" s="40" t="str" cm="1">
        <f t="array" ref="M337">_xlfn.IFS(L337=1,"Clear / Partly Cloudy",L337=2,"Mist / Cloudy",L337=3,"Light Snow / Rain",L337=4,"Heavy Precipitation")</f>
        <v>Clear / Partly Cloudy</v>
      </c>
      <c r="N337" s="28">
        <v>0.18</v>
      </c>
      <c r="O337" s="28" t="str">
        <f t="shared" si="35"/>
        <v>Cold</v>
      </c>
      <c r="P337" s="28">
        <v>0.19700000000000001</v>
      </c>
      <c r="Q337" s="38">
        <f t="shared" si="31"/>
        <v>0.19700000000000001</v>
      </c>
      <c r="R337" s="28">
        <v>0.59</v>
      </c>
      <c r="S337" s="28">
        <v>0.16420000000000001</v>
      </c>
      <c r="T337" s="40" t="str" cm="1">
        <f t="array" ref="T337">_xlfn.IFS(S337*18.6&lt;2,"Calm",S337*18.6&lt;6,"Light Breeze",S337*18.6&lt;14,"Gale",TRUE,"Extreme Storm")</f>
        <v>Light Breeze</v>
      </c>
      <c r="U337" s="28">
        <v>2</v>
      </c>
      <c r="V337" s="28">
        <v>57</v>
      </c>
      <c r="W337" s="28">
        <v>59</v>
      </c>
      <c r="X337" s="44">
        <f>AVERAGE(INDEX($W:$W,MAX(ROW($W$3),ROW()-23)):INDEX($W:$W,ROW()))</f>
        <v>49.5</v>
      </c>
      <c r="Y337" s="44">
        <f>_xlfn.STDEV.S(INDEX($W:$W,MAX(ROW($W$3),ROW()-23)):INDEX($W:$W,ROW()))</f>
        <v>41.450861427037658</v>
      </c>
      <c r="Z337" s="44">
        <f t="shared" si="32"/>
        <v>0.22918703430861195</v>
      </c>
      <c r="AA337" s="40" t="b">
        <f t="shared" si="30"/>
        <v>0</v>
      </c>
    </row>
    <row r="338" spans="1:27" x14ac:dyDescent="0.3">
      <c r="A338" s="32">
        <v>336</v>
      </c>
      <c r="B338" s="33">
        <v>40558</v>
      </c>
      <c r="C338" s="40" t="str">
        <f t="shared" si="33"/>
        <v>Saturday</v>
      </c>
      <c r="D338" s="28">
        <v>11</v>
      </c>
      <c r="E338" s="40" t="str" cm="1">
        <f t="array" ref="E338">_xlfn.IFS(D338&gt;=21,"Night",D338&gt;=17,"Evening",D338&gt;=12,"Midday",D338&gt;=6,"Morning", TRUE, "Night")</f>
        <v>Morning</v>
      </c>
      <c r="F338" s="28">
        <v>1</v>
      </c>
      <c r="G338" s="28">
        <v>0</v>
      </c>
      <c r="H338" s="28">
        <v>1</v>
      </c>
      <c r="I338" s="28">
        <v>6</v>
      </c>
      <c r="J338" s="40" t="str">
        <f t="shared" si="34"/>
        <v>Weekday</v>
      </c>
      <c r="K338" s="28" t="b">
        <v>0</v>
      </c>
      <c r="L338" s="28">
        <v>1</v>
      </c>
      <c r="M338" s="40" t="str" cm="1">
        <f t="array" ref="M338">_xlfn.IFS(L338=1,"Clear / Partly Cloudy",L338=2,"Mist / Cloudy",L338=3,"Light Snow / Rain",L338=4,"Heavy Precipitation")</f>
        <v>Clear / Partly Cloudy</v>
      </c>
      <c r="N338" s="28">
        <v>0.2</v>
      </c>
      <c r="O338" s="28" t="str">
        <f t="shared" si="35"/>
        <v>Mild</v>
      </c>
      <c r="P338" s="28">
        <v>0.19700000000000001</v>
      </c>
      <c r="Q338" s="38">
        <f t="shared" si="31"/>
        <v>0.19700000000000001</v>
      </c>
      <c r="R338" s="28">
        <v>0.55000000000000004</v>
      </c>
      <c r="S338" s="28">
        <v>0.22389999999999999</v>
      </c>
      <c r="T338" s="40" t="str" cm="1">
        <f t="array" ref="T338">_xlfn.IFS(S338*18.6&lt;2,"Calm",S338*18.6&lt;6,"Light Breeze",S338*18.6&lt;14,"Gale",TRUE,"Extreme Storm")</f>
        <v>Light Breeze</v>
      </c>
      <c r="U338" s="28">
        <v>18</v>
      </c>
      <c r="V338" s="28">
        <v>54</v>
      </c>
      <c r="W338" s="28">
        <v>72</v>
      </c>
      <c r="X338" s="44">
        <f>AVERAGE(INDEX($W:$W,MAX(ROW($W$3),ROW()-23)):INDEX($W:$W,ROW()))</f>
        <v>50.291666666666664</v>
      </c>
      <c r="Y338" s="44">
        <f>_xlfn.STDEV.S(INDEX($W:$W,MAX(ROW($W$3),ROW()-23)):INDEX($W:$W,ROW()))</f>
        <v>41.701297202914411</v>
      </c>
      <c r="Z338" s="44">
        <f t="shared" si="32"/>
        <v>0.52056733937322675</v>
      </c>
      <c r="AA338" s="40" t="b">
        <f t="shared" si="30"/>
        <v>0</v>
      </c>
    </row>
    <row r="339" spans="1:27" x14ac:dyDescent="0.3">
      <c r="A339" s="32">
        <v>337</v>
      </c>
      <c r="B339" s="33">
        <v>40558</v>
      </c>
      <c r="C339" s="40" t="str">
        <f t="shared" si="33"/>
        <v>Saturday</v>
      </c>
      <c r="D339" s="28">
        <v>12</v>
      </c>
      <c r="E339" s="40" t="str" cm="1">
        <f t="array" ref="E339">_xlfn.IFS(D339&gt;=21,"Night",D339&gt;=17,"Evening",D339&gt;=12,"Midday",D339&gt;=6,"Morning", TRUE, "Night")</f>
        <v>Midday</v>
      </c>
      <c r="F339" s="28">
        <v>1</v>
      </c>
      <c r="G339" s="28">
        <v>0</v>
      </c>
      <c r="H339" s="28">
        <v>1</v>
      </c>
      <c r="I339" s="28">
        <v>6</v>
      </c>
      <c r="J339" s="40" t="str">
        <f t="shared" si="34"/>
        <v>Weekday</v>
      </c>
      <c r="K339" s="28" t="b">
        <v>0</v>
      </c>
      <c r="L339" s="28">
        <v>1</v>
      </c>
      <c r="M339" s="40" t="str" cm="1">
        <f t="array" ref="M339">_xlfn.IFS(L339=1,"Clear / Partly Cloudy",L339=2,"Mist / Cloudy",L339=3,"Light Snow / Rain",L339=4,"Heavy Precipitation")</f>
        <v>Clear / Partly Cloudy</v>
      </c>
      <c r="N339" s="28">
        <v>0.24</v>
      </c>
      <c r="O339" s="28" t="str">
        <f t="shared" si="35"/>
        <v>Mild</v>
      </c>
      <c r="P339" s="28">
        <v>0.2273</v>
      </c>
      <c r="Q339" s="38">
        <f t="shared" si="31"/>
        <v>0.2273</v>
      </c>
      <c r="R339" s="28">
        <v>0.48</v>
      </c>
      <c r="S339" s="28">
        <v>0.22389999999999999</v>
      </c>
      <c r="T339" s="40" t="str" cm="1">
        <f t="array" ref="T339">_xlfn.IFS(S339*18.6&lt;2,"Calm",S339*18.6&lt;6,"Light Breeze",S339*18.6&lt;14,"Gale",TRUE,"Extreme Storm")</f>
        <v>Light Breeze</v>
      </c>
      <c r="U339" s="28">
        <v>15</v>
      </c>
      <c r="V339" s="28">
        <v>74</v>
      </c>
      <c r="W339" s="28">
        <v>89</v>
      </c>
      <c r="X339" s="44">
        <f>AVERAGE(INDEX($W:$W,MAX(ROW($W$3),ROW()-23)):INDEX($W:$W,ROW()))</f>
        <v>51.458333333333336</v>
      </c>
      <c r="Y339" s="44">
        <f>_xlfn.STDEV.S(INDEX($W:$W,MAX(ROW($W$3),ROW()-23)):INDEX($W:$W,ROW()))</f>
        <v>42.399732532653786</v>
      </c>
      <c r="Z339" s="44">
        <f t="shared" si="32"/>
        <v>0.88542225208034686</v>
      </c>
      <c r="AA339" s="40" t="b">
        <f t="shared" si="30"/>
        <v>0</v>
      </c>
    </row>
    <row r="340" spans="1:27" x14ac:dyDescent="0.3">
      <c r="A340" s="32">
        <v>338</v>
      </c>
      <c r="B340" s="33">
        <v>40558</v>
      </c>
      <c r="C340" s="40" t="str">
        <f t="shared" si="33"/>
        <v>Saturday</v>
      </c>
      <c r="D340" s="28">
        <v>13</v>
      </c>
      <c r="E340" s="40" t="str" cm="1">
        <f t="array" ref="E340">_xlfn.IFS(D340&gt;=21,"Night",D340&gt;=17,"Evening",D340&gt;=12,"Midday",D340&gt;=6,"Morning", TRUE, "Night")</f>
        <v>Midday</v>
      </c>
      <c r="F340" s="28">
        <v>1</v>
      </c>
      <c r="G340" s="28">
        <v>0</v>
      </c>
      <c r="H340" s="28">
        <v>1</v>
      </c>
      <c r="I340" s="28">
        <v>6</v>
      </c>
      <c r="J340" s="40" t="str">
        <f t="shared" si="34"/>
        <v>Weekday</v>
      </c>
      <c r="K340" s="28" t="b">
        <v>0</v>
      </c>
      <c r="L340" s="28">
        <v>1</v>
      </c>
      <c r="M340" s="40" t="str" cm="1">
        <f t="array" ref="M340">_xlfn.IFS(L340=1,"Clear / Partly Cloudy",L340=2,"Mist / Cloudy",L340=3,"Light Snow / Rain",L340=4,"Heavy Precipitation")</f>
        <v>Clear / Partly Cloudy</v>
      </c>
      <c r="N340" s="28">
        <v>0.28000000000000003</v>
      </c>
      <c r="O340" s="28" t="str">
        <f t="shared" si="35"/>
        <v>Mild</v>
      </c>
      <c r="P340" s="28">
        <v>0.2576</v>
      </c>
      <c r="Q340" s="38">
        <f t="shared" si="31"/>
        <v>0.2576</v>
      </c>
      <c r="R340" s="28">
        <v>0.38</v>
      </c>
      <c r="S340" s="28">
        <v>0.29849999999999999</v>
      </c>
      <c r="T340" s="40" t="str" cm="1">
        <f t="array" ref="T340">_xlfn.IFS(S340*18.6&lt;2,"Calm",S340*18.6&lt;6,"Light Breeze",S340*18.6&lt;14,"Gale",TRUE,"Extreme Storm")</f>
        <v>Light Breeze</v>
      </c>
      <c r="U340" s="28">
        <v>21</v>
      </c>
      <c r="V340" s="28">
        <v>80</v>
      </c>
      <c r="W340" s="28">
        <v>101</v>
      </c>
      <c r="X340" s="44">
        <f>AVERAGE(INDEX($W:$W,MAX(ROW($W$3),ROW()-23)):INDEX($W:$W,ROW()))</f>
        <v>52.458333333333336</v>
      </c>
      <c r="Y340" s="44">
        <f>_xlfn.STDEV.S(INDEX($W:$W,MAX(ROW($W$3),ROW()-23)):INDEX($W:$W,ROW()))</f>
        <v>43.301751311773366</v>
      </c>
      <c r="Z340" s="44">
        <f t="shared" si="32"/>
        <v>1.121009317086642</v>
      </c>
      <c r="AA340" s="40" t="b">
        <f t="shared" si="30"/>
        <v>0</v>
      </c>
    </row>
    <row r="341" spans="1:27" x14ac:dyDescent="0.3">
      <c r="A341" s="32">
        <v>339</v>
      </c>
      <c r="B341" s="33">
        <v>40558</v>
      </c>
      <c r="C341" s="40" t="str">
        <f t="shared" si="33"/>
        <v>Saturday</v>
      </c>
      <c r="D341" s="28">
        <v>14</v>
      </c>
      <c r="E341" s="40" t="str" cm="1">
        <f t="array" ref="E341">_xlfn.IFS(D341&gt;=21,"Night",D341&gt;=17,"Evening",D341&gt;=12,"Midday",D341&gt;=6,"Morning", TRUE, "Night")</f>
        <v>Midday</v>
      </c>
      <c r="F341" s="28">
        <v>1</v>
      </c>
      <c r="G341" s="28">
        <v>0</v>
      </c>
      <c r="H341" s="28">
        <v>1</v>
      </c>
      <c r="I341" s="28">
        <v>6</v>
      </c>
      <c r="J341" s="40" t="str">
        <f t="shared" si="34"/>
        <v>Weekday</v>
      </c>
      <c r="K341" s="28" t="b">
        <v>0</v>
      </c>
      <c r="L341" s="28">
        <v>1</v>
      </c>
      <c r="M341" s="40" t="str" cm="1">
        <f t="array" ref="M341">_xlfn.IFS(L341=1,"Clear / Partly Cloudy",L341=2,"Mist / Cloudy",L341=3,"Light Snow / Rain",L341=4,"Heavy Precipitation")</f>
        <v>Clear / Partly Cloudy</v>
      </c>
      <c r="N341" s="28">
        <v>0.3</v>
      </c>
      <c r="O341" s="28" t="str">
        <f t="shared" si="35"/>
        <v>Mild</v>
      </c>
      <c r="P341" s="28">
        <v>0.28789999999999999</v>
      </c>
      <c r="Q341" s="38">
        <f t="shared" si="31"/>
        <v>0.28789999999999999</v>
      </c>
      <c r="R341" s="28">
        <v>0.39</v>
      </c>
      <c r="S341" s="28">
        <v>0.28360000000000002</v>
      </c>
      <c r="T341" s="40" t="str" cm="1">
        <f t="array" ref="T341">_xlfn.IFS(S341*18.6&lt;2,"Calm",S341*18.6&lt;6,"Light Breeze",S341*18.6&lt;14,"Gale",TRUE,"Extreme Storm")</f>
        <v>Light Breeze</v>
      </c>
      <c r="U341" s="28">
        <v>26</v>
      </c>
      <c r="V341" s="28">
        <v>92</v>
      </c>
      <c r="W341" s="28">
        <v>118</v>
      </c>
      <c r="X341" s="44">
        <f>AVERAGE(INDEX($W:$W,MAX(ROW($W$3),ROW()-23)):INDEX($W:$W,ROW()))</f>
        <v>54.708333333333336</v>
      </c>
      <c r="Y341" s="44">
        <f>_xlfn.STDEV.S(INDEX($W:$W,MAX(ROW($W$3),ROW()-23)):INDEX($W:$W,ROW()))</f>
        <v>45.285067283162775</v>
      </c>
      <c r="Z341" s="44">
        <f t="shared" si="32"/>
        <v>1.3976277493618485</v>
      </c>
      <c r="AA341" s="40" t="b">
        <f t="shared" si="30"/>
        <v>0</v>
      </c>
    </row>
    <row r="342" spans="1:27" x14ac:dyDescent="0.3">
      <c r="A342" s="32">
        <v>340</v>
      </c>
      <c r="B342" s="33">
        <v>40558</v>
      </c>
      <c r="C342" s="40" t="str">
        <f t="shared" si="33"/>
        <v>Saturday</v>
      </c>
      <c r="D342" s="28">
        <v>15</v>
      </c>
      <c r="E342" s="40" t="str" cm="1">
        <f t="array" ref="E342">_xlfn.IFS(D342&gt;=21,"Night",D342&gt;=17,"Evening",D342&gt;=12,"Midday",D342&gt;=6,"Morning", TRUE, "Night")</f>
        <v>Midday</v>
      </c>
      <c r="F342" s="28">
        <v>1</v>
      </c>
      <c r="G342" s="28">
        <v>0</v>
      </c>
      <c r="H342" s="28">
        <v>1</v>
      </c>
      <c r="I342" s="28">
        <v>6</v>
      </c>
      <c r="J342" s="40" t="str">
        <f t="shared" si="34"/>
        <v>Weekday</v>
      </c>
      <c r="K342" s="28" t="b">
        <v>0</v>
      </c>
      <c r="L342" s="28">
        <v>2</v>
      </c>
      <c r="M342" s="40" t="str" cm="1">
        <f t="array" ref="M342">_xlfn.IFS(L342=1,"Clear / Partly Cloudy",L342=2,"Mist / Cloudy",L342=3,"Light Snow / Rain",L342=4,"Heavy Precipitation")</f>
        <v>Mist / Cloudy</v>
      </c>
      <c r="N342" s="28">
        <v>0.32</v>
      </c>
      <c r="O342" s="28" t="str">
        <f t="shared" si="35"/>
        <v>Mild</v>
      </c>
      <c r="P342" s="28">
        <v>0.31819999999999998</v>
      </c>
      <c r="Q342" s="38">
        <f t="shared" si="31"/>
        <v>0.31819999999999998</v>
      </c>
      <c r="R342" s="28">
        <v>0.36</v>
      </c>
      <c r="S342" s="28">
        <v>0.19400000000000001</v>
      </c>
      <c r="T342" s="40" t="str" cm="1">
        <f t="array" ref="T342">_xlfn.IFS(S342*18.6&lt;2,"Calm",S342*18.6&lt;6,"Light Breeze",S342*18.6&lt;14,"Gale",TRUE,"Extreme Storm")</f>
        <v>Light Breeze</v>
      </c>
      <c r="U342" s="28">
        <v>21</v>
      </c>
      <c r="V342" s="28">
        <v>108</v>
      </c>
      <c r="W342" s="28">
        <v>129</v>
      </c>
      <c r="X342" s="44">
        <f>AVERAGE(INDEX($W:$W,MAX(ROW($W$3),ROW()-23)):INDEX($W:$W,ROW()))</f>
        <v>57.25</v>
      </c>
      <c r="Y342" s="44">
        <f>_xlfn.STDEV.S(INDEX($W:$W,MAX(ROW($W$3),ROW()-23)):INDEX($W:$W,ROW()))</f>
        <v>47.71040356877787</v>
      </c>
      <c r="Z342" s="44">
        <f t="shared" si="32"/>
        <v>1.503864872921634</v>
      </c>
      <c r="AA342" s="40" t="b">
        <f t="shared" si="30"/>
        <v>0</v>
      </c>
    </row>
    <row r="343" spans="1:27" x14ac:dyDescent="0.3">
      <c r="A343" s="32">
        <v>341</v>
      </c>
      <c r="B343" s="33">
        <v>40558</v>
      </c>
      <c r="C343" s="40" t="str">
        <f t="shared" si="33"/>
        <v>Saturday</v>
      </c>
      <c r="D343" s="28">
        <v>16</v>
      </c>
      <c r="E343" s="40" t="str" cm="1">
        <f t="array" ref="E343">_xlfn.IFS(D343&gt;=21,"Night",D343&gt;=17,"Evening",D343&gt;=12,"Midday",D343&gt;=6,"Morning", TRUE, "Night")</f>
        <v>Midday</v>
      </c>
      <c r="F343" s="28">
        <v>1</v>
      </c>
      <c r="G343" s="28">
        <v>0</v>
      </c>
      <c r="H343" s="28">
        <v>1</v>
      </c>
      <c r="I343" s="28">
        <v>6</v>
      </c>
      <c r="J343" s="40" t="str">
        <f t="shared" si="34"/>
        <v>Weekday</v>
      </c>
      <c r="K343" s="28" t="b">
        <v>0</v>
      </c>
      <c r="L343" s="28">
        <v>2</v>
      </c>
      <c r="M343" s="40" t="str" cm="1">
        <f t="array" ref="M343">_xlfn.IFS(L343=1,"Clear / Partly Cloudy",L343=2,"Mist / Cloudy",L343=3,"Light Snow / Rain",L343=4,"Heavy Precipitation")</f>
        <v>Mist / Cloudy</v>
      </c>
      <c r="N343" s="28">
        <v>0.34</v>
      </c>
      <c r="O343" s="28" t="str">
        <f t="shared" si="35"/>
        <v>Mild</v>
      </c>
      <c r="P343" s="28">
        <v>0.33329999999999999</v>
      </c>
      <c r="Q343" s="38">
        <f t="shared" si="31"/>
        <v>0.33329999999999999</v>
      </c>
      <c r="R343" s="28">
        <v>0.34</v>
      </c>
      <c r="S343" s="28">
        <v>0.19400000000000001</v>
      </c>
      <c r="T343" s="40" t="str" cm="1">
        <f t="array" ref="T343">_xlfn.IFS(S343*18.6&lt;2,"Calm",S343*18.6&lt;6,"Light Breeze",S343*18.6&lt;14,"Gale",TRUE,"Extreme Storm")</f>
        <v>Light Breeze</v>
      </c>
      <c r="U343" s="28">
        <v>33</v>
      </c>
      <c r="V343" s="28">
        <v>95</v>
      </c>
      <c r="W343" s="28">
        <v>128</v>
      </c>
      <c r="X343" s="44">
        <f>AVERAGE(INDEX($W:$W,MAX(ROW($W$3),ROW()-23)):INDEX($W:$W,ROW()))</f>
        <v>58.833333333333336</v>
      </c>
      <c r="Y343" s="44">
        <f>_xlfn.STDEV.S(INDEX($W:$W,MAX(ROW($W$3),ROW()-23)):INDEX($W:$W,ROW()))</f>
        <v>49.44357052910587</v>
      </c>
      <c r="Z343" s="44">
        <f t="shared" si="32"/>
        <v>1.3989011296413236</v>
      </c>
      <c r="AA343" s="40" t="b">
        <f t="shared" si="30"/>
        <v>0</v>
      </c>
    </row>
    <row r="344" spans="1:27" x14ac:dyDescent="0.3">
      <c r="A344" s="32">
        <v>342</v>
      </c>
      <c r="B344" s="33">
        <v>40558</v>
      </c>
      <c r="C344" s="40" t="str">
        <f t="shared" si="33"/>
        <v>Saturday</v>
      </c>
      <c r="D344" s="28">
        <v>17</v>
      </c>
      <c r="E344" s="40" t="str" cm="1">
        <f t="array" ref="E344">_xlfn.IFS(D344&gt;=21,"Night",D344&gt;=17,"Evening",D344&gt;=12,"Midday",D344&gt;=6,"Morning", TRUE, "Night")</f>
        <v>Evening</v>
      </c>
      <c r="F344" s="28">
        <v>1</v>
      </c>
      <c r="G344" s="28">
        <v>0</v>
      </c>
      <c r="H344" s="28">
        <v>1</v>
      </c>
      <c r="I344" s="28">
        <v>6</v>
      </c>
      <c r="J344" s="40" t="str">
        <f t="shared" si="34"/>
        <v>Weekday</v>
      </c>
      <c r="K344" s="28" t="b">
        <v>0</v>
      </c>
      <c r="L344" s="28">
        <v>2</v>
      </c>
      <c r="M344" s="40" t="str" cm="1">
        <f t="array" ref="M344">_xlfn.IFS(L344=1,"Clear / Partly Cloudy",L344=2,"Mist / Cloudy",L344=3,"Light Snow / Rain",L344=4,"Heavy Precipitation")</f>
        <v>Mist / Cloudy</v>
      </c>
      <c r="N344" s="28">
        <v>0.32</v>
      </c>
      <c r="O344" s="28" t="str">
        <f t="shared" si="35"/>
        <v>Mild</v>
      </c>
      <c r="P344" s="28">
        <v>0.30299999999999999</v>
      </c>
      <c r="Q344" s="38">
        <f t="shared" si="31"/>
        <v>0.30299999999999999</v>
      </c>
      <c r="R344" s="28">
        <v>0.36</v>
      </c>
      <c r="S344" s="28">
        <v>0.28360000000000002</v>
      </c>
      <c r="T344" s="40" t="str" cm="1">
        <f t="array" ref="T344">_xlfn.IFS(S344*18.6&lt;2,"Calm",S344*18.6&lt;6,"Light Breeze",S344*18.6&lt;14,"Gale",TRUE,"Extreme Storm")</f>
        <v>Light Breeze</v>
      </c>
      <c r="U344" s="28">
        <v>29</v>
      </c>
      <c r="V344" s="28">
        <v>54</v>
      </c>
      <c r="W344" s="28">
        <v>83</v>
      </c>
      <c r="X344" s="44">
        <f>AVERAGE(INDEX($W:$W,MAX(ROW($W$3),ROW()-23)):INDEX($W:$W,ROW()))</f>
        <v>55.666666666666664</v>
      </c>
      <c r="Y344" s="44">
        <f>_xlfn.STDEV.S(INDEX($W:$W,MAX(ROW($W$3),ROW()-23)):INDEX($W:$W,ROW()))</f>
        <v>44.98179986217292</v>
      </c>
      <c r="Z344" s="44">
        <f t="shared" si="32"/>
        <v>0.60765317121779028</v>
      </c>
      <c r="AA344" s="40" t="b">
        <f t="shared" si="30"/>
        <v>0</v>
      </c>
    </row>
    <row r="345" spans="1:27" x14ac:dyDescent="0.3">
      <c r="A345" s="32">
        <v>343</v>
      </c>
      <c r="B345" s="33">
        <v>40558</v>
      </c>
      <c r="C345" s="40" t="str">
        <f t="shared" si="33"/>
        <v>Saturday</v>
      </c>
      <c r="D345" s="28">
        <v>18</v>
      </c>
      <c r="E345" s="40" t="str" cm="1">
        <f t="array" ref="E345">_xlfn.IFS(D345&gt;=21,"Night",D345&gt;=17,"Evening",D345&gt;=12,"Midday",D345&gt;=6,"Morning", TRUE, "Night")</f>
        <v>Evening</v>
      </c>
      <c r="F345" s="28">
        <v>1</v>
      </c>
      <c r="G345" s="28">
        <v>0</v>
      </c>
      <c r="H345" s="28">
        <v>1</v>
      </c>
      <c r="I345" s="28">
        <v>6</v>
      </c>
      <c r="J345" s="40" t="str">
        <f t="shared" si="34"/>
        <v>Weekday</v>
      </c>
      <c r="K345" s="28" t="b">
        <v>0</v>
      </c>
      <c r="L345" s="28">
        <v>2</v>
      </c>
      <c r="M345" s="40" t="str" cm="1">
        <f t="array" ref="M345">_xlfn.IFS(L345=1,"Clear / Partly Cloudy",L345=2,"Mist / Cloudy",L345=3,"Light Snow / Rain",L345=4,"Heavy Precipitation")</f>
        <v>Mist / Cloudy</v>
      </c>
      <c r="N345" s="28">
        <v>0.3</v>
      </c>
      <c r="O345" s="28" t="str">
        <f t="shared" si="35"/>
        <v>Mild</v>
      </c>
      <c r="P345" s="28">
        <v>0.28789999999999999</v>
      </c>
      <c r="Q345" s="38">
        <f t="shared" si="31"/>
        <v>0.28789999999999999</v>
      </c>
      <c r="R345" s="28">
        <v>0.45</v>
      </c>
      <c r="S345" s="28">
        <v>0.25369999999999998</v>
      </c>
      <c r="T345" s="40" t="str" cm="1">
        <f t="array" ref="T345">_xlfn.IFS(S345*18.6&lt;2,"Calm",S345*18.6&lt;6,"Light Breeze",S345*18.6&lt;14,"Gale",TRUE,"Extreme Storm")</f>
        <v>Light Breeze</v>
      </c>
      <c r="U345" s="28">
        <v>15</v>
      </c>
      <c r="V345" s="28">
        <v>69</v>
      </c>
      <c r="W345" s="28">
        <v>84</v>
      </c>
      <c r="X345" s="44">
        <f>AVERAGE(INDEX($W:$W,MAX(ROW($W$3),ROW()-23)):INDEX($W:$W,ROW()))</f>
        <v>53.375</v>
      </c>
      <c r="Y345" s="44">
        <f>_xlfn.STDEV.S(INDEX($W:$W,MAX(ROW($W$3),ROW()-23)):INDEX($W:$W,ROW()))</f>
        <v>41.843198501901895</v>
      </c>
      <c r="Z345" s="44">
        <f t="shared" si="32"/>
        <v>0.7318991161396996</v>
      </c>
      <c r="AA345" s="40" t="b">
        <f t="shared" si="30"/>
        <v>0</v>
      </c>
    </row>
    <row r="346" spans="1:27" x14ac:dyDescent="0.3">
      <c r="A346" s="32">
        <v>344</v>
      </c>
      <c r="B346" s="33">
        <v>40558</v>
      </c>
      <c r="C346" s="40" t="str">
        <f t="shared" si="33"/>
        <v>Saturday</v>
      </c>
      <c r="D346" s="28">
        <v>19</v>
      </c>
      <c r="E346" s="40" t="str" cm="1">
        <f t="array" ref="E346">_xlfn.IFS(D346&gt;=21,"Night",D346&gt;=17,"Evening",D346&gt;=12,"Midday",D346&gt;=6,"Morning", TRUE, "Night")</f>
        <v>Evening</v>
      </c>
      <c r="F346" s="28">
        <v>1</v>
      </c>
      <c r="G346" s="28">
        <v>0</v>
      </c>
      <c r="H346" s="28">
        <v>1</v>
      </c>
      <c r="I346" s="28">
        <v>6</v>
      </c>
      <c r="J346" s="40" t="str">
        <f t="shared" si="34"/>
        <v>Weekday</v>
      </c>
      <c r="K346" s="28" t="b">
        <v>0</v>
      </c>
      <c r="L346" s="28">
        <v>2</v>
      </c>
      <c r="M346" s="40" t="str" cm="1">
        <f t="array" ref="M346">_xlfn.IFS(L346=1,"Clear / Partly Cloudy",L346=2,"Mist / Cloudy",L346=3,"Light Snow / Rain",L346=4,"Heavy Precipitation")</f>
        <v>Mist / Cloudy</v>
      </c>
      <c r="N346" s="28">
        <v>0.32</v>
      </c>
      <c r="O346" s="28" t="str">
        <f t="shared" si="35"/>
        <v>Mild</v>
      </c>
      <c r="P346" s="28">
        <v>0.30299999999999999</v>
      </c>
      <c r="Q346" s="38">
        <f t="shared" si="31"/>
        <v>0.30299999999999999</v>
      </c>
      <c r="R346" s="28">
        <v>0.39</v>
      </c>
      <c r="S346" s="28">
        <v>0.25369999999999998</v>
      </c>
      <c r="T346" s="40" t="str" cm="1">
        <f t="array" ref="T346">_xlfn.IFS(S346*18.6&lt;2,"Calm",S346*18.6&lt;6,"Light Breeze",S346*18.6&lt;14,"Gale",TRUE,"Extreme Storm")</f>
        <v>Light Breeze</v>
      </c>
      <c r="U346" s="28">
        <v>14</v>
      </c>
      <c r="V346" s="28">
        <v>60</v>
      </c>
      <c r="W346" s="28">
        <v>74</v>
      </c>
      <c r="X346" s="44">
        <f>AVERAGE(INDEX($W:$W,MAX(ROW($W$3),ROW()-23)):INDEX($W:$W,ROW()))</f>
        <v>52.625</v>
      </c>
      <c r="Y346" s="44">
        <f>_xlfn.STDEV.S(INDEX($W:$W,MAX(ROW($W$3),ROW()-23)):INDEX($W:$W,ROW()))</f>
        <v>41.278284110781961</v>
      </c>
      <c r="Z346" s="44">
        <f t="shared" si="32"/>
        <v>0.51782675710633075</v>
      </c>
      <c r="AA346" s="40" t="b">
        <f t="shared" si="30"/>
        <v>0</v>
      </c>
    </row>
    <row r="347" spans="1:27" x14ac:dyDescent="0.3">
      <c r="A347" s="32">
        <v>345</v>
      </c>
      <c r="B347" s="33">
        <v>40558</v>
      </c>
      <c r="C347" s="40" t="str">
        <f t="shared" si="33"/>
        <v>Saturday</v>
      </c>
      <c r="D347" s="28">
        <v>20</v>
      </c>
      <c r="E347" s="40" t="str" cm="1">
        <f t="array" ref="E347">_xlfn.IFS(D347&gt;=21,"Night",D347&gt;=17,"Evening",D347&gt;=12,"Midday",D347&gt;=6,"Morning", TRUE, "Night")</f>
        <v>Evening</v>
      </c>
      <c r="F347" s="28">
        <v>1</v>
      </c>
      <c r="G347" s="28">
        <v>0</v>
      </c>
      <c r="H347" s="28">
        <v>1</v>
      </c>
      <c r="I347" s="28">
        <v>6</v>
      </c>
      <c r="J347" s="40" t="str">
        <f t="shared" si="34"/>
        <v>Weekday</v>
      </c>
      <c r="K347" s="28" t="b">
        <v>0</v>
      </c>
      <c r="L347" s="28">
        <v>2</v>
      </c>
      <c r="M347" s="40" t="str" cm="1">
        <f t="array" ref="M347">_xlfn.IFS(L347=1,"Clear / Partly Cloudy",L347=2,"Mist / Cloudy",L347=3,"Light Snow / Rain",L347=4,"Heavy Precipitation")</f>
        <v>Mist / Cloudy</v>
      </c>
      <c r="N347" s="28">
        <v>0.32</v>
      </c>
      <c r="O347" s="28" t="str">
        <f t="shared" si="35"/>
        <v>Mild</v>
      </c>
      <c r="P347" s="28">
        <v>0.30299999999999999</v>
      </c>
      <c r="Q347" s="38">
        <f t="shared" si="31"/>
        <v>0.30299999999999999</v>
      </c>
      <c r="R347" s="28">
        <v>0.39</v>
      </c>
      <c r="S347" s="28">
        <v>0.25369999999999998</v>
      </c>
      <c r="T347" s="40" t="str" cm="1">
        <f t="array" ref="T347">_xlfn.IFS(S347*18.6&lt;2,"Calm",S347*18.6&lt;6,"Light Breeze",S347*18.6&lt;14,"Gale",TRUE,"Extreme Storm")</f>
        <v>Light Breeze</v>
      </c>
      <c r="U347" s="28">
        <v>6</v>
      </c>
      <c r="V347" s="28">
        <v>35</v>
      </c>
      <c r="W347" s="28">
        <v>41</v>
      </c>
      <c r="X347" s="44">
        <f>AVERAGE(INDEX($W:$W,MAX(ROW($W$3),ROW()-23)):INDEX($W:$W,ROW()))</f>
        <v>51.5</v>
      </c>
      <c r="Y347" s="44">
        <f>_xlfn.STDEV.S(INDEX($W:$W,MAX(ROW($W$3),ROW()-23)):INDEX($W:$W,ROW()))</f>
        <v>41.208905749163961</v>
      </c>
      <c r="Z347" s="44">
        <f t="shared" si="32"/>
        <v>-0.25479929178204452</v>
      </c>
      <c r="AA347" s="40" t="b">
        <f t="shared" si="30"/>
        <v>0</v>
      </c>
    </row>
    <row r="348" spans="1:27" x14ac:dyDescent="0.3">
      <c r="A348" s="32">
        <v>346</v>
      </c>
      <c r="B348" s="33">
        <v>40558</v>
      </c>
      <c r="C348" s="40" t="str">
        <f t="shared" si="33"/>
        <v>Saturday</v>
      </c>
      <c r="D348" s="28">
        <v>21</v>
      </c>
      <c r="E348" s="40" t="str" cm="1">
        <f t="array" ref="E348">_xlfn.IFS(D348&gt;=21,"Night",D348&gt;=17,"Evening",D348&gt;=12,"Midday",D348&gt;=6,"Morning", TRUE, "Night")</f>
        <v>Night</v>
      </c>
      <c r="F348" s="28">
        <v>1</v>
      </c>
      <c r="G348" s="28">
        <v>0</v>
      </c>
      <c r="H348" s="28">
        <v>1</v>
      </c>
      <c r="I348" s="28">
        <v>6</v>
      </c>
      <c r="J348" s="40" t="str">
        <f t="shared" si="34"/>
        <v>Weekday</v>
      </c>
      <c r="K348" s="28" t="b">
        <v>0</v>
      </c>
      <c r="L348" s="28">
        <v>2</v>
      </c>
      <c r="M348" s="40" t="str" cm="1">
        <f t="array" ref="M348">_xlfn.IFS(L348=1,"Clear / Partly Cloudy",L348=2,"Mist / Cloudy",L348=3,"Light Snow / Rain",L348=4,"Heavy Precipitation")</f>
        <v>Mist / Cloudy</v>
      </c>
      <c r="N348" s="28">
        <v>0.32</v>
      </c>
      <c r="O348" s="28" t="str">
        <f t="shared" si="35"/>
        <v>Mild</v>
      </c>
      <c r="P348" s="28">
        <v>0.30299999999999999</v>
      </c>
      <c r="Q348" s="38">
        <f t="shared" si="31"/>
        <v>0.30299999999999999</v>
      </c>
      <c r="R348" s="28">
        <v>0.39</v>
      </c>
      <c r="S348" s="28">
        <v>0.22389999999999999</v>
      </c>
      <c r="T348" s="40" t="str" cm="1">
        <f t="array" ref="T348">_xlfn.IFS(S348*18.6&lt;2,"Calm",S348*18.6&lt;6,"Light Breeze",S348*18.6&lt;14,"Gale",TRUE,"Extreme Storm")</f>
        <v>Light Breeze</v>
      </c>
      <c r="U348" s="28">
        <v>6</v>
      </c>
      <c r="V348" s="28">
        <v>51</v>
      </c>
      <c r="W348" s="28">
        <v>57</v>
      </c>
      <c r="X348" s="44">
        <f>AVERAGE(INDEX($W:$W,MAX(ROW($W$3),ROW()-23)):INDEX($W:$W,ROW()))</f>
        <v>51.708333333333336</v>
      </c>
      <c r="Y348" s="44">
        <f>_xlfn.STDEV.S(INDEX($W:$W,MAX(ROW($W$3),ROW()-23)):INDEX($W:$W,ROW()))</f>
        <v>41.224179446224184</v>
      </c>
      <c r="Z348" s="44">
        <f t="shared" si="32"/>
        <v>0.12836317757566282</v>
      </c>
      <c r="AA348" s="40" t="b">
        <f t="shared" si="30"/>
        <v>0</v>
      </c>
    </row>
    <row r="349" spans="1:27" x14ac:dyDescent="0.3">
      <c r="A349" s="32">
        <v>347</v>
      </c>
      <c r="B349" s="33">
        <v>40558</v>
      </c>
      <c r="C349" s="40" t="str">
        <f t="shared" si="33"/>
        <v>Saturday</v>
      </c>
      <c r="D349" s="28">
        <v>22</v>
      </c>
      <c r="E349" s="40" t="str" cm="1">
        <f t="array" ref="E349">_xlfn.IFS(D349&gt;=21,"Night",D349&gt;=17,"Evening",D349&gt;=12,"Midday",D349&gt;=6,"Morning", TRUE, "Night")</f>
        <v>Night</v>
      </c>
      <c r="F349" s="28">
        <v>1</v>
      </c>
      <c r="G349" s="28">
        <v>0</v>
      </c>
      <c r="H349" s="28">
        <v>1</v>
      </c>
      <c r="I349" s="28">
        <v>6</v>
      </c>
      <c r="J349" s="40" t="str">
        <f t="shared" si="34"/>
        <v>Weekday</v>
      </c>
      <c r="K349" s="28" t="b">
        <v>0</v>
      </c>
      <c r="L349" s="28">
        <v>2</v>
      </c>
      <c r="M349" s="40" t="str" cm="1">
        <f t="array" ref="M349">_xlfn.IFS(L349=1,"Clear / Partly Cloudy",L349=2,"Mist / Cloudy",L349=3,"Light Snow / Rain",L349=4,"Heavy Precipitation")</f>
        <v>Mist / Cloudy</v>
      </c>
      <c r="N349" s="28">
        <v>0.3</v>
      </c>
      <c r="O349" s="28" t="str">
        <f t="shared" si="35"/>
        <v>Mild</v>
      </c>
      <c r="P349" s="28">
        <v>0.31819999999999998</v>
      </c>
      <c r="Q349" s="38">
        <f t="shared" si="31"/>
        <v>0.31819999999999998</v>
      </c>
      <c r="R349" s="28">
        <v>0.42</v>
      </c>
      <c r="S349" s="28">
        <v>0.1045</v>
      </c>
      <c r="T349" s="40" t="str" cm="1">
        <f t="array" ref="T349">_xlfn.IFS(S349*18.6&lt;2,"Calm",S349*18.6&lt;6,"Light Breeze",S349*18.6&lt;14,"Gale",TRUE,"Extreme Storm")</f>
        <v>Calm</v>
      </c>
      <c r="U349" s="28">
        <v>0</v>
      </c>
      <c r="V349" s="28">
        <v>26</v>
      </c>
      <c r="W349" s="28">
        <v>26</v>
      </c>
      <c r="X349" s="44">
        <f>AVERAGE(INDEX($W:$W,MAX(ROW($W$3),ROW()-23)):INDEX($W:$W,ROW()))</f>
        <v>51.291666666666664</v>
      </c>
      <c r="Y349" s="44">
        <f>_xlfn.STDEV.S(INDEX($W:$W,MAX(ROW($W$3),ROW()-23)):INDEX($W:$W,ROW()))</f>
        <v>41.439824540784613</v>
      </c>
      <c r="Z349" s="44">
        <f t="shared" si="32"/>
        <v>-0.61032272570977919</v>
      </c>
      <c r="AA349" s="40" t="b">
        <f t="shared" si="30"/>
        <v>0</v>
      </c>
    </row>
    <row r="350" spans="1:27" x14ac:dyDescent="0.3">
      <c r="A350" s="32">
        <v>348</v>
      </c>
      <c r="B350" s="33">
        <v>40558</v>
      </c>
      <c r="C350" s="40" t="str">
        <f t="shared" si="33"/>
        <v>Saturday</v>
      </c>
      <c r="D350" s="28">
        <v>23</v>
      </c>
      <c r="E350" s="40" t="str" cm="1">
        <f t="array" ref="E350">_xlfn.IFS(D350&gt;=21,"Night",D350&gt;=17,"Evening",D350&gt;=12,"Midday",D350&gt;=6,"Morning", TRUE, "Night")</f>
        <v>Night</v>
      </c>
      <c r="F350" s="28">
        <v>1</v>
      </c>
      <c r="G350" s="28">
        <v>0</v>
      </c>
      <c r="H350" s="28">
        <v>1</v>
      </c>
      <c r="I350" s="28">
        <v>6</v>
      </c>
      <c r="J350" s="40" t="str">
        <f t="shared" si="34"/>
        <v>Weekday</v>
      </c>
      <c r="K350" s="28" t="b">
        <v>0</v>
      </c>
      <c r="L350" s="28">
        <v>1</v>
      </c>
      <c r="M350" s="40" t="str" cm="1">
        <f t="array" ref="M350">_xlfn.IFS(L350=1,"Clear / Partly Cloudy",L350=2,"Mist / Cloudy",L350=3,"Light Snow / Rain",L350=4,"Heavy Precipitation")</f>
        <v>Clear / Partly Cloudy</v>
      </c>
      <c r="N350" s="28">
        <v>0.3</v>
      </c>
      <c r="O350" s="28" t="str">
        <f t="shared" si="35"/>
        <v>Mild</v>
      </c>
      <c r="P350" s="28">
        <v>0.28789999999999999</v>
      </c>
      <c r="Q350" s="38">
        <f t="shared" si="31"/>
        <v>0.28789999999999999</v>
      </c>
      <c r="R350" s="28">
        <v>0.45</v>
      </c>
      <c r="S350" s="28">
        <v>0.28360000000000002</v>
      </c>
      <c r="T350" s="40" t="str" cm="1">
        <f t="array" ref="T350">_xlfn.IFS(S350*18.6&lt;2,"Calm",S350*18.6&lt;6,"Light Breeze",S350*18.6&lt;14,"Gale",TRUE,"Extreme Storm")</f>
        <v>Light Breeze</v>
      </c>
      <c r="U350" s="28">
        <v>5</v>
      </c>
      <c r="V350" s="28">
        <v>39</v>
      </c>
      <c r="W350" s="28">
        <v>44</v>
      </c>
      <c r="X350" s="44">
        <f>AVERAGE(INDEX($W:$W,MAX(ROW($W$3),ROW()-23)):INDEX($W:$W,ROW()))</f>
        <v>52</v>
      </c>
      <c r="Y350" s="44">
        <f>_xlfn.STDEV.S(INDEX($W:$W,MAX(ROW($W$3),ROW()-23)):INDEX($W:$W,ROW()))</f>
        <v>41.150836010314855</v>
      </c>
      <c r="Z350" s="44">
        <f t="shared" si="32"/>
        <v>-0.19440674298803365</v>
      </c>
      <c r="AA350" s="40" t="b">
        <f t="shared" si="30"/>
        <v>0</v>
      </c>
    </row>
    <row r="351" spans="1:27" x14ac:dyDescent="0.3">
      <c r="A351" s="32">
        <v>349</v>
      </c>
      <c r="B351" s="33">
        <v>40559</v>
      </c>
      <c r="C351" s="40" t="str">
        <f t="shared" si="33"/>
        <v>Sunday</v>
      </c>
      <c r="D351" s="28">
        <v>0</v>
      </c>
      <c r="E351" s="40" t="str" cm="1">
        <f t="array" ref="E351">_xlfn.IFS(D351&gt;=21,"Night",D351&gt;=17,"Evening",D351&gt;=12,"Midday",D351&gt;=6,"Morning", TRUE, "Night")</f>
        <v>Night</v>
      </c>
      <c r="F351" s="28">
        <v>1</v>
      </c>
      <c r="G351" s="28">
        <v>0</v>
      </c>
      <c r="H351" s="28">
        <v>1</v>
      </c>
      <c r="I351" s="28">
        <v>0</v>
      </c>
      <c r="J351" s="40" t="str">
        <f t="shared" si="34"/>
        <v>Weekday</v>
      </c>
      <c r="K351" s="28" t="b">
        <v>0</v>
      </c>
      <c r="L351" s="28">
        <v>1</v>
      </c>
      <c r="M351" s="40" t="str" cm="1">
        <f t="array" ref="M351">_xlfn.IFS(L351=1,"Clear / Partly Cloudy",L351=2,"Mist / Cloudy",L351=3,"Light Snow / Rain",L351=4,"Heavy Precipitation")</f>
        <v>Clear / Partly Cloudy</v>
      </c>
      <c r="N351" s="28">
        <v>0.26</v>
      </c>
      <c r="O351" s="28" t="str">
        <f t="shared" si="35"/>
        <v>Mild</v>
      </c>
      <c r="P351" s="28">
        <v>0.30299999999999999</v>
      </c>
      <c r="Q351" s="38">
        <f t="shared" si="31"/>
        <v>0.30299999999999999</v>
      </c>
      <c r="R351" s="28">
        <v>0.56000000000000005</v>
      </c>
      <c r="S351" s="28">
        <v>0</v>
      </c>
      <c r="T351" s="40" t="str" cm="1">
        <f t="array" ref="T351">_xlfn.IFS(S351*18.6&lt;2,"Calm",S351*18.6&lt;6,"Light Breeze",S351*18.6&lt;14,"Gale",TRUE,"Extreme Storm")</f>
        <v>Calm</v>
      </c>
      <c r="U351" s="28">
        <v>6</v>
      </c>
      <c r="V351" s="28">
        <v>33</v>
      </c>
      <c r="W351" s="28">
        <v>39</v>
      </c>
      <c r="X351" s="44">
        <f>AVERAGE(INDEX($W:$W,MAX(ROW($W$3),ROW()-23)):INDEX($W:$W,ROW()))</f>
        <v>52.458333333333336</v>
      </c>
      <c r="Y351" s="44">
        <f>_xlfn.STDEV.S(INDEX($W:$W,MAX(ROW($W$3),ROW()-23)):INDEX($W:$W,ROW()))</f>
        <v>40.932584199820099</v>
      </c>
      <c r="Z351" s="44">
        <f t="shared" si="32"/>
        <v>-0.32879266228669934</v>
      </c>
      <c r="AA351" s="40" t="b">
        <f t="shared" si="30"/>
        <v>0</v>
      </c>
    </row>
    <row r="352" spans="1:27" x14ac:dyDescent="0.3">
      <c r="A352" s="32">
        <v>350</v>
      </c>
      <c r="B352" s="33">
        <v>40559</v>
      </c>
      <c r="C352" s="40" t="str">
        <f t="shared" si="33"/>
        <v>Sunday</v>
      </c>
      <c r="D352" s="28">
        <v>1</v>
      </c>
      <c r="E352" s="40" t="str" cm="1">
        <f t="array" ref="E352">_xlfn.IFS(D352&gt;=21,"Night",D352&gt;=17,"Evening",D352&gt;=12,"Midday",D352&gt;=6,"Morning", TRUE, "Night")</f>
        <v>Night</v>
      </c>
      <c r="F352" s="28">
        <v>1</v>
      </c>
      <c r="G352" s="28">
        <v>0</v>
      </c>
      <c r="H352" s="28">
        <v>1</v>
      </c>
      <c r="I352" s="28">
        <v>0</v>
      </c>
      <c r="J352" s="40" t="str">
        <f t="shared" si="34"/>
        <v>Weekday</v>
      </c>
      <c r="K352" s="28" t="b">
        <v>0</v>
      </c>
      <c r="L352" s="28">
        <v>1</v>
      </c>
      <c r="M352" s="40" t="str" cm="1">
        <f t="array" ref="M352">_xlfn.IFS(L352=1,"Clear / Partly Cloudy",L352=2,"Mist / Cloudy",L352=3,"Light Snow / Rain",L352=4,"Heavy Precipitation")</f>
        <v>Clear / Partly Cloudy</v>
      </c>
      <c r="N352" s="28">
        <v>0.26</v>
      </c>
      <c r="O352" s="28" t="str">
        <f t="shared" si="35"/>
        <v>Mild</v>
      </c>
      <c r="P352" s="28">
        <v>0.2727</v>
      </c>
      <c r="Q352" s="38">
        <f t="shared" si="31"/>
        <v>0.2727</v>
      </c>
      <c r="R352" s="28">
        <v>0.56000000000000005</v>
      </c>
      <c r="S352" s="28">
        <v>0.1343</v>
      </c>
      <c r="T352" s="40" t="str" cm="1">
        <f t="array" ref="T352">_xlfn.IFS(S352*18.6&lt;2,"Calm",S352*18.6&lt;6,"Light Breeze",S352*18.6&lt;14,"Gale",TRUE,"Extreme Storm")</f>
        <v>Light Breeze</v>
      </c>
      <c r="U352" s="28">
        <v>4</v>
      </c>
      <c r="V352" s="28">
        <v>19</v>
      </c>
      <c r="W352" s="28">
        <v>23</v>
      </c>
      <c r="X352" s="44">
        <f>AVERAGE(INDEX($W:$W,MAX(ROW($W$3),ROW()-23)):INDEX($W:$W,ROW()))</f>
        <v>52.583333333333336</v>
      </c>
      <c r="Y352" s="44">
        <f>_xlfn.STDEV.S(INDEX($W:$W,MAX(ROW($W$3),ROW()-23)):INDEX($W:$W,ROW()))</f>
        <v>40.833614314324592</v>
      </c>
      <c r="Z352" s="44">
        <f t="shared" si="32"/>
        <v>-0.7244848106173003</v>
      </c>
      <c r="AA352" s="40" t="b">
        <f t="shared" si="30"/>
        <v>0</v>
      </c>
    </row>
    <row r="353" spans="1:27" x14ac:dyDescent="0.3">
      <c r="A353" s="32">
        <v>351</v>
      </c>
      <c r="B353" s="33">
        <v>40559</v>
      </c>
      <c r="C353" s="40" t="str">
        <f t="shared" si="33"/>
        <v>Sunday</v>
      </c>
      <c r="D353" s="28">
        <v>2</v>
      </c>
      <c r="E353" s="40" t="str" cm="1">
        <f t="array" ref="E353">_xlfn.IFS(D353&gt;=21,"Night",D353&gt;=17,"Evening",D353&gt;=12,"Midday",D353&gt;=6,"Morning", TRUE, "Night")</f>
        <v>Night</v>
      </c>
      <c r="F353" s="28">
        <v>1</v>
      </c>
      <c r="G353" s="28">
        <v>0</v>
      </c>
      <c r="H353" s="28">
        <v>1</v>
      </c>
      <c r="I353" s="28">
        <v>0</v>
      </c>
      <c r="J353" s="40" t="str">
        <f t="shared" si="34"/>
        <v>Weekday</v>
      </c>
      <c r="K353" s="28" t="b">
        <v>0</v>
      </c>
      <c r="L353" s="28">
        <v>1</v>
      </c>
      <c r="M353" s="40" t="str" cm="1">
        <f t="array" ref="M353">_xlfn.IFS(L353=1,"Clear / Partly Cloudy",L353=2,"Mist / Cloudy",L353=3,"Light Snow / Rain",L353=4,"Heavy Precipitation")</f>
        <v>Clear / Partly Cloudy</v>
      </c>
      <c r="N353" s="28">
        <v>0.26</v>
      </c>
      <c r="O353" s="28" t="str">
        <f t="shared" si="35"/>
        <v>Mild</v>
      </c>
      <c r="P353" s="28">
        <v>0.28789999999999999</v>
      </c>
      <c r="Q353" s="38">
        <f t="shared" si="31"/>
        <v>0.28789999999999999</v>
      </c>
      <c r="R353" s="28">
        <v>0.56000000000000005</v>
      </c>
      <c r="S353" s="28">
        <v>8.9599999999999999E-2</v>
      </c>
      <c r="T353" s="40" t="str" cm="1">
        <f t="array" ref="T353">_xlfn.IFS(S353*18.6&lt;2,"Calm",S353*18.6&lt;6,"Light Breeze",S353*18.6&lt;14,"Gale",TRUE,"Extreme Storm")</f>
        <v>Calm</v>
      </c>
      <c r="U353" s="28">
        <v>3</v>
      </c>
      <c r="V353" s="28">
        <v>13</v>
      </c>
      <c r="W353" s="28">
        <v>16</v>
      </c>
      <c r="X353" s="44">
        <f>AVERAGE(INDEX($W:$W,MAX(ROW($W$3),ROW()-23)):INDEX($W:$W,ROW()))</f>
        <v>52.75</v>
      </c>
      <c r="Y353" s="44">
        <f>_xlfn.STDEV.S(INDEX($W:$W,MAX(ROW($W$3),ROW()-23)):INDEX($W:$W,ROW()))</f>
        <v>40.668597008117892</v>
      </c>
      <c r="Z353" s="44">
        <f t="shared" si="32"/>
        <v>-0.90364563087003724</v>
      </c>
      <c r="AA353" s="40" t="b">
        <f t="shared" si="30"/>
        <v>0</v>
      </c>
    </row>
    <row r="354" spans="1:27" x14ac:dyDescent="0.3">
      <c r="A354" s="32">
        <v>352</v>
      </c>
      <c r="B354" s="33">
        <v>40559</v>
      </c>
      <c r="C354" s="40" t="str">
        <f t="shared" si="33"/>
        <v>Sunday</v>
      </c>
      <c r="D354" s="28">
        <v>3</v>
      </c>
      <c r="E354" s="40" t="str" cm="1">
        <f t="array" ref="E354">_xlfn.IFS(D354&gt;=21,"Night",D354&gt;=17,"Evening",D354&gt;=12,"Midday",D354&gt;=6,"Morning", TRUE, "Night")</f>
        <v>Night</v>
      </c>
      <c r="F354" s="28">
        <v>1</v>
      </c>
      <c r="G354" s="28">
        <v>0</v>
      </c>
      <c r="H354" s="28">
        <v>1</v>
      </c>
      <c r="I354" s="28">
        <v>0</v>
      </c>
      <c r="J354" s="40" t="str">
        <f t="shared" si="34"/>
        <v>Weekday</v>
      </c>
      <c r="K354" s="28" t="b">
        <v>0</v>
      </c>
      <c r="L354" s="28">
        <v>1</v>
      </c>
      <c r="M354" s="40" t="str" cm="1">
        <f t="array" ref="M354">_xlfn.IFS(L354=1,"Clear / Partly Cloudy",L354=2,"Mist / Cloudy",L354=3,"Light Snow / Rain",L354=4,"Heavy Precipitation")</f>
        <v>Clear / Partly Cloudy</v>
      </c>
      <c r="N354" s="28">
        <v>0.22</v>
      </c>
      <c r="O354" s="28" t="str">
        <f t="shared" si="35"/>
        <v>Mild</v>
      </c>
      <c r="P354" s="28">
        <v>0.2727</v>
      </c>
      <c r="Q354" s="38">
        <f t="shared" si="31"/>
        <v>0.2727</v>
      </c>
      <c r="R354" s="28">
        <v>0.69</v>
      </c>
      <c r="S354" s="28">
        <v>0</v>
      </c>
      <c r="T354" s="40" t="str" cm="1">
        <f t="array" ref="T354">_xlfn.IFS(S354*18.6&lt;2,"Calm",S354*18.6&lt;6,"Light Breeze",S354*18.6&lt;14,"Gale",TRUE,"Extreme Storm")</f>
        <v>Calm</v>
      </c>
      <c r="U354" s="28">
        <v>9</v>
      </c>
      <c r="V354" s="28">
        <v>6</v>
      </c>
      <c r="W354" s="28">
        <v>15</v>
      </c>
      <c r="X354" s="44">
        <f>AVERAGE(INDEX($W:$W,MAX(ROW($W$3),ROW()-23)):INDEX($W:$W,ROW()))</f>
        <v>53.041666666666664</v>
      </c>
      <c r="Y354" s="44">
        <f>_xlfn.STDEV.S(INDEX($W:$W,MAX(ROW($W$3),ROW()-23)):INDEX($W:$W,ROW()))</f>
        <v>40.357617853889487</v>
      </c>
      <c r="Z354" s="44">
        <f t="shared" si="32"/>
        <v>-0.94261427432096012</v>
      </c>
      <c r="AA354" s="40" t="b">
        <f t="shared" si="30"/>
        <v>0</v>
      </c>
    </row>
    <row r="355" spans="1:27" x14ac:dyDescent="0.3">
      <c r="A355" s="32">
        <v>353</v>
      </c>
      <c r="B355" s="33">
        <v>40559</v>
      </c>
      <c r="C355" s="40" t="str">
        <f t="shared" si="33"/>
        <v>Sunday</v>
      </c>
      <c r="D355" s="28">
        <v>4</v>
      </c>
      <c r="E355" s="40" t="str" cm="1">
        <f t="array" ref="E355">_xlfn.IFS(D355&gt;=21,"Night",D355&gt;=17,"Evening",D355&gt;=12,"Midday",D355&gt;=6,"Morning", TRUE, "Night")</f>
        <v>Night</v>
      </c>
      <c r="F355" s="28">
        <v>1</v>
      </c>
      <c r="G355" s="28">
        <v>0</v>
      </c>
      <c r="H355" s="28">
        <v>1</v>
      </c>
      <c r="I355" s="28">
        <v>0</v>
      </c>
      <c r="J355" s="40" t="str">
        <f t="shared" si="34"/>
        <v>Weekday</v>
      </c>
      <c r="K355" s="28" t="b">
        <v>0</v>
      </c>
      <c r="L355" s="28">
        <v>1</v>
      </c>
      <c r="M355" s="40" t="str" cm="1">
        <f t="array" ref="M355">_xlfn.IFS(L355=1,"Clear / Partly Cloudy",L355=2,"Mist / Cloudy",L355=3,"Light Snow / Rain",L355=4,"Heavy Precipitation")</f>
        <v>Clear / Partly Cloudy</v>
      </c>
      <c r="N355" s="28">
        <v>0.26</v>
      </c>
      <c r="O355" s="28" t="str">
        <f t="shared" si="35"/>
        <v>Mild</v>
      </c>
      <c r="P355" s="28">
        <v>0.2576</v>
      </c>
      <c r="Q355" s="38">
        <f t="shared" si="31"/>
        <v>0.2576</v>
      </c>
      <c r="R355" s="28">
        <v>0.56000000000000005</v>
      </c>
      <c r="S355" s="28">
        <v>0.16420000000000001</v>
      </c>
      <c r="T355" s="40" t="str" cm="1">
        <f t="array" ref="T355">_xlfn.IFS(S355*18.6&lt;2,"Calm",S355*18.6&lt;6,"Light Breeze",S355*18.6&lt;14,"Gale",TRUE,"Extreme Storm")</f>
        <v>Light Breeze</v>
      </c>
      <c r="U355" s="28">
        <v>0</v>
      </c>
      <c r="V355" s="28">
        <v>1</v>
      </c>
      <c r="W355" s="28">
        <v>1</v>
      </c>
      <c r="X355" s="44">
        <f>AVERAGE(INDEX($W:$W,MAX(ROW($W$3),ROW()-23)):INDEX($W:$W,ROW()))</f>
        <v>52.875</v>
      </c>
      <c r="Y355" s="44">
        <f>_xlfn.STDEV.S(INDEX($W:$W,MAX(ROW($W$3),ROW()-23)):INDEX($W:$W,ROW()))</f>
        <v>40.572332080307909</v>
      </c>
      <c r="Z355" s="44">
        <f t="shared" si="32"/>
        <v>-1.2785806814683429</v>
      </c>
      <c r="AA355" s="40" t="b">
        <f t="shared" si="30"/>
        <v>0</v>
      </c>
    </row>
    <row r="356" spans="1:27" x14ac:dyDescent="0.3">
      <c r="A356" s="32">
        <v>354</v>
      </c>
      <c r="B356" s="33">
        <v>40559</v>
      </c>
      <c r="C356" s="40" t="str">
        <f t="shared" si="33"/>
        <v>Sunday</v>
      </c>
      <c r="D356" s="28">
        <v>5</v>
      </c>
      <c r="E356" s="40" t="str" cm="1">
        <f t="array" ref="E356">_xlfn.IFS(D356&gt;=21,"Night",D356&gt;=17,"Evening",D356&gt;=12,"Midday",D356&gt;=6,"Morning", TRUE, "Night")</f>
        <v>Night</v>
      </c>
      <c r="F356" s="28">
        <v>1</v>
      </c>
      <c r="G356" s="28">
        <v>0</v>
      </c>
      <c r="H356" s="28">
        <v>1</v>
      </c>
      <c r="I356" s="28">
        <v>0</v>
      </c>
      <c r="J356" s="40" t="str">
        <f t="shared" si="34"/>
        <v>Weekday</v>
      </c>
      <c r="K356" s="28" t="b">
        <v>0</v>
      </c>
      <c r="L356" s="28">
        <v>2</v>
      </c>
      <c r="M356" s="40" t="str" cm="1">
        <f t="array" ref="M356">_xlfn.IFS(L356=1,"Clear / Partly Cloudy",L356=2,"Mist / Cloudy",L356=3,"Light Snow / Rain",L356=4,"Heavy Precipitation")</f>
        <v>Mist / Cloudy</v>
      </c>
      <c r="N356" s="28">
        <v>0.26</v>
      </c>
      <c r="O356" s="28" t="str">
        <f t="shared" si="35"/>
        <v>Mild</v>
      </c>
      <c r="P356" s="28">
        <v>0.2576</v>
      </c>
      <c r="Q356" s="38">
        <f t="shared" si="31"/>
        <v>0.2576</v>
      </c>
      <c r="R356" s="28">
        <v>0.56000000000000005</v>
      </c>
      <c r="S356" s="28">
        <v>0.16420000000000001</v>
      </c>
      <c r="T356" s="40" t="str" cm="1">
        <f t="array" ref="T356">_xlfn.IFS(S356*18.6&lt;2,"Calm",S356*18.6&lt;6,"Light Breeze",S356*18.6&lt;14,"Gale",TRUE,"Extreme Storm")</f>
        <v>Light Breeze</v>
      </c>
      <c r="U356" s="28">
        <v>1</v>
      </c>
      <c r="V356" s="28">
        <v>1</v>
      </c>
      <c r="W356" s="28">
        <v>2</v>
      </c>
      <c r="X356" s="44">
        <f>AVERAGE(INDEX($W:$W,MAX(ROW($W$3),ROW()-23)):INDEX($W:$W,ROW()))</f>
        <v>52.916666666666664</v>
      </c>
      <c r="Y356" s="44">
        <f>_xlfn.STDEV.S(INDEX($W:$W,MAX(ROW($W$3),ROW()-23)):INDEX($W:$W,ROW()))</f>
        <v>40.517217667754927</v>
      </c>
      <c r="Z356" s="44">
        <f t="shared" si="32"/>
        <v>-1.2566674020952824</v>
      </c>
      <c r="AA356" s="40" t="b">
        <f t="shared" si="30"/>
        <v>0</v>
      </c>
    </row>
    <row r="357" spans="1:27" x14ac:dyDescent="0.3">
      <c r="A357" s="32">
        <v>355</v>
      </c>
      <c r="B357" s="33">
        <v>40559</v>
      </c>
      <c r="C357" s="40" t="str">
        <f t="shared" si="33"/>
        <v>Sunday</v>
      </c>
      <c r="D357" s="28">
        <v>6</v>
      </c>
      <c r="E357" s="40" t="str" cm="1">
        <f t="array" ref="E357">_xlfn.IFS(D357&gt;=21,"Night",D357&gt;=17,"Evening",D357&gt;=12,"Midday",D357&gt;=6,"Morning", TRUE, "Night")</f>
        <v>Morning</v>
      </c>
      <c r="F357" s="28">
        <v>1</v>
      </c>
      <c r="G357" s="28">
        <v>0</v>
      </c>
      <c r="H357" s="28">
        <v>1</v>
      </c>
      <c r="I357" s="28">
        <v>0</v>
      </c>
      <c r="J357" s="40" t="str">
        <f t="shared" si="34"/>
        <v>Weekday</v>
      </c>
      <c r="K357" s="28" t="b">
        <v>0</v>
      </c>
      <c r="L357" s="28">
        <v>2</v>
      </c>
      <c r="M357" s="40" t="str" cm="1">
        <f t="array" ref="M357">_xlfn.IFS(L357=1,"Clear / Partly Cloudy",L357=2,"Mist / Cloudy",L357=3,"Light Snow / Rain",L357=4,"Heavy Precipitation")</f>
        <v>Mist / Cloudy</v>
      </c>
      <c r="N357" s="28">
        <v>0.26</v>
      </c>
      <c r="O357" s="28" t="str">
        <f t="shared" si="35"/>
        <v>Mild</v>
      </c>
      <c r="P357" s="28">
        <v>0.2576</v>
      </c>
      <c r="Q357" s="38">
        <f t="shared" si="31"/>
        <v>0.2576</v>
      </c>
      <c r="R357" s="28">
        <v>0.56000000000000005</v>
      </c>
      <c r="S357" s="28">
        <v>0.16420000000000001</v>
      </c>
      <c r="T357" s="40" t="str" cm="1">
        <f t="array" ref="T357">_xlfn.IFS(S357*18.6&lt;2,"Calm",S357*18.6&lt;6,"Light Breeze",S357*18.6&lt;14,"Gale",TRUE,"Extreme Storm")</f>
        <v>Light Breeze</v>
      </c>
      <c r="U357" s="28">
        <v>0</v>
      </c>
      <c r="V357" s="28">
        <v>1</v>
      </c>
      <c r="W357" s="28">
        <v>1</v>
      </c>
      <c r="X357" s="44">
        <f>AVERAGE(INDEX($W:$W,MAX(ROW($W$3),ROW()-23)):INDEX($W:$W,ROW()))</f>
        <v>52.833333333333336</v>
      </c>
      <c r="Y357" s="44">
        <f>_xlfn.STDEV.S(INDEX($W:$W,MAX(ROW($W$3),ROW()-23)):INDEX($W:$W,ROW()))</f>
        <v>40.626256948224857</v>
      </c>
      <c r="Z357" s="44">
        <f t="shared" si="32"/>
        <v>-1.2758579605153155</v>
      </c>
      <c r="AA357" s="40" t="b">
        <f t="shared" si="30"/>
        <v>0</v>
      </c>
    </row>
    <row r="358" spans="1:27" x14ac:dyDescent="0.3">
      <c r="A358" s="32">
        <v>356</v>
      </c>
      <c r="B358" s="33">
        <v>40559</v>
      </c>
      <c r="C358" s="40" t="str">
        <f t="shared" si="33"/>
        <v>Sunday</v>
      </c>
      <c r="D358" s="28">
        <v>7</v>
      </c>
      <c r="E358" s="40" t="str" cm="1">
        <f t="array" ref="E358">_xlfn.IFS(D358&gt;=21,"Night",D358&gt;=17,"Evening",D358&gt;=12,"Midday",D358&gt;=6,"Morning", TRUE, "Night")</f>
        <v>Morning</v>
      </c>
      <c r="F358" s="28">
        <v>1</v>
      </c>
      <c r="G358" s="28">
        <v>0</v>
      </c>
      <c r="H358" s="28">
        <v>1</v>
      </c>
      <c r="I358" s="28">
        <v>0</v>
      </c>
      <c r="J358" s="40" t="str">
        <f t="shared" si="34"/>
        <v>Weekday</v>
      </c>
      <c r="K358" s="28" t="b">
        <v>0</v>
      </c>
      <c r="L358" s="28">
        <v>2</v>
      </c>
      <c r="M358" s="40" t="str" cm="1">
        <f t="array" ref="M358">_xlfn.IFS(L358=1,"Clear / Partly Cloudy",L358=2,"Mist / Cloudy",L358=3,"Light Snow / Rain",L358=4,"Heavy Precipitation")</f>
        <v>Mist / Cloudy</v>
      </c>
      <c r="N358" s="28">
        <v>0.24</v>
      </c>
      <c r="O358" s="28" t="str">
        <f t="shared" si="35"/>
        <v>Mild</v>
      </c>
      <c r="P358" s="28">
        <v>0.21210000000000001</v>
      </c>
      <c r="Q358" s="38">
        <f t="shared" si="31"/>
        <v>0.21210000000000001</v>
      </c>
      <c r="R358" s="28">
        <v>0.56000000000000005</v>
      </c>
      <c r="S358" s="28">
        <v>0.29849999999999999</v>
      </c>
      <c r="T358" s="40" t="str" cm="1">
        <f t="array" ref="T358">_xlfn.IFS(S358*18.6&lt;2,"Calm",S358*18.6&lt;6,"Light Breeze",S358*18.6&lt;14,"Gale",TRUE,"Extreme Storm")</f>
        <v>Light Breeze</v>
      </c>
      <c r="U358" s="28">
        <v>0</v>
      </c>
      <c r="V358" s="28">
        <v>3</v>
      </c>
      <c r="W358" s="28">
        <v>3</v>
      </c>
      <c r="X358" s="44">
        <f>AVERAGE(INDEX($W:$W,MAX(ROW($W$3),ROW()-23)):INDEX($W:$W,ROW()))</f>
        <v>52.541666666666664</v>
      </c>
      <c r="Y358" s="44">
        <f>_xlfn.STDEV.S(INDEX($W:$W,MAX(ROW($W$3),ROW()-23)):INDEX($W:$W,ROW()))</f>
        <v>40.970805264944097</v>
      </c>
      <c r="Z358" s="44">
        <f t="shared" si="32"/>
        <v>-1.2091943603816853</v>
      </c>
      <c r="AA358" s="40" t="b">
        <f t="shared" si="30"/>
        <v>0</v>
      </c>
    </row>
    <row r="359" spans="1:27" x14ac:dyDescent="0.3">
      <c r="A359" s="32">
        <v>357</v>
      </c>
      <c r="B359" s="33">
        <v>40559</v>
      </c>
      <c r="C359" s="40" t="str">
        <f t="shared" si="33"/>
        <v>Sunday</v>
      </c>
      <c r="D359" s="28">
        <v>8</v>
      </c>
      <c r="E359" s="40" t="str" cm="1">
        <f t="array" ref="E359">_xlfn.IFS(D359&gt;=21,"Night",D359&gt;=17,"Evening",D359&gt;=12,"Midday",D359&gt;=6,"Morning", TRUE, "Night")</f>
        <v>Morning</v>
      </c>
      <c r="F359" s="28">
        <v>1</v>
      </c>
      <c r="G359" s="28">
        <v>0</v>
      </c>
      <c r="H359" s="28">
        <v>1</v>
      </c>
      <c r="I359" s="28">
        <v>0</v>
      </c>
      <c r="J359" s="40" t="str">
        <f t="shared" si="34"/>
        <v>Weekday</v>
      </c>
      <c r="K359" s="28" t="b">
        <v>0</v>
      </c>
      <c r="L359" s="28">
        <v>1</v>
      </c>
      <c r="M359" s="40" t="str" cm="1">
        <f t="array" ref="M359">_xlfn.IFS(L359=1,"Clear / Partly Cloudy",L359=2,"Mist / Cloudy",L359=3,"Light Snow / Rain",L359=4,"Heavy Precipitation")</f>
        <v>Clear / Partly Cloudy</v>
      </c>
      <c r="N359" s="28">
        <v>0.22</v>
      </c>
      <c r="O359" s="28" t="str">
        <f t="shared" si="35"/>
        <v>Mild</v>
      </c>
      <c r="P359" s="28">
        <v>0.21210000000000001</v>
      </c>
      <c r="Q359" s="38">
        <f t="shared" si="31"/>
        <v>0.21210000000000001</v>
      </c>
      <c r="R359" s="28">
        <v>0.55000000000000004</v>
      </c>
      <c r="S359" s="28">
        <v>0.28360000000000002</v>
      </c>
      <c r="T359" s="40" t="str" cm="1">
        <f t="array" ref="T359">_xlfn.IFS(S359*18.6&lt;2,"Calm",S359*18.6&lt;6,"Light Breeze",S359*18.6&lt;14,"Gale",TRUE,"Extreme Storm")</f>
        <v>Light Breeze</v>
      </c>
      <c r="U359" s="28">
        <v>0</v>
      </c>
      <c r="V359" s="28">
        <v>18</v>
      </c>
      <c r="W359" s="28">
        <v>18</v>
      </c>
      <c r="X359" s="44">
        <f>AVERAGE(INDEX($W:$W,MAX(ROW($W$3),ROW()-23)):INDEX($W:$W,ROW()))</f>
        <v>52.333333333333336</v>
      </c>
      <c r="Y359" s="44">
        <f>_xlfn.STDEV.S(INDEX($W:$W,MAX(ROW($W$3),ROW()-23)):INDEX($W:$W,ROW()))</f>
        <v>41.139916791641525</v>
      </c>
      <c r="Z359" s="44">
        <f t="shared" si="32"/>
        <v>-0.83455038344435606</v>
      </c>
      <c r="AA359" s="40" t="b">
        <f t="shared" si="30"/>
        <v>0</v>
      </c>
    </row>
    <row r="360" spans="1:27" x14ac:dyDescent="0.3">
      <c r="A360" s="32">
        <v>358</v>
      </c>
      <c r="B360" s="33">
        <v>40559</v>
      </c>
      <c r="C360" s="40" t="str">
        <f t="shared" si="33"/>
        <v>Sunday</v>
      </c>
      <c r="D360" s="28">
        <v>9</v>
      </c>
      <c r="E360" s="40" t="str" cm="1">
        <f t="array" ref="E360">_xlfn.IFS(D360&gt;=21,"Night",D360&gt;=17,"Evening",D360&gt;=12,"Midday",D360&gt;=6,"Morning", TRUE, "Night")</f>
        <v>Morning</v>
      </c>
      <c r="F360" s="28">
        <v>1</v>
      </c>
      <c r="G360" s="28">
        <v>0</v>
      </c>
      <c r="H360" s="28">
        <v>1</v>
      </c>
      <c r="I360" s="28">
        <v>0</v>
      </c>
      <c r="J360" s="40" t="str">
        <f t="shared" si="34"/>
        <v>Weekday</v>
      </c>
      <c r="K360" s="28" t="b">
        <v>0</v>
      </c>
      <c r="L360" s="28">
        <v>1</v>
      </c>
      <c r="M360" s="40" t="str" cm="1">
        <f t="array" ref="M360">_xlfn.IFS(L360=1,"Clear / Partly Cloudy",L360=2,"Mist / Cloudy",L360=3,"Light Snow / Rain",L360=4,"Heavy Precipitation")</f>
        <v>Clear / Partly Cloudy</v>
      </c>
      <c r="N360" s="28">
        <v>0.22</v>
      </c>
      <c r="O360" s="28" t="str">
        <f t="shared" si="35"/>
        <v>Mild</v>
      </c>
      <c r="P360" s="28">
        <v>0.21210000000000001</v>
      </c>
      <c r="Q360" s="38">
        <f t="shared" si="31"/>
        <v>0.21210000000000001</v>
      </c>
      <c r="R360" s="28">
        <v>0.51</v>
      </c>
      <c r="S360" s="28">
        <v>0.25369999999999998</v>
      </c>
      <c r="T360" s="40" t="str" cm="1">
        <f t="array" ref="T360">_xlfn.IFS(S360*18.6&lt;2,"Calm",S360*18.6&lt;6,"Light Breeze",S360*18.6&lt;14,"Gale",TRUE,"Extreme Storm")</f>
        <v>Light Breeze</v>
      </c>
      <c r="U360" s="28">
        <v>3</v>
      </c>
      <c r="V360" s="28">
        <v>29</v>
      </c>
      <c r="W360" s="28">
        <v>32</v>
      </c>
      <c r="X360" s="44">
        <f>AVERAGE(INDEX($W:$W,MAX(ROW($W$3),ROW()-23)):INDEX($W:$W,ROW()))</f>
        <v>52.291666666666664</v>
      </c>
      <c r="Y360" s="44">
        <f>_xlfn.STDEV.S(INDEX($W:$W,MAX(ROW($W$3),ROW()-23)):INDEX($W:$W,ROW()))</f>
        <v>41.160850084882171</v>
      </c>
      <c r="Z360" s="44">
        <f t="shared" si="32"/>
        <v>-0.4929846352740786</v>
      </c>
      <c r="AA360" s="40" t="b">
        <f t="shared" si="30"/>
        <v>0</v>
      </c>
    </row>
    <row r="361" spans="1:27" x14ac:dyDescent="0.3">
      <c r="A361" s="32">
        <v>359</v>
      </c>
      <c r="B361" s="33">
        <v>40559</v>
      </c>
      <c r="C361" s="40" t="str">
        <f t="shared" si="33"/>
        <v>Sunday</v>
      </c>
      <c r="D361" s="28">
        <v>10</v>
      </c>
      <c r="E361" s="40" t="str" cm="1">
        <f t="array" ref="E361">_xlfn.IFS(D361&gt;=21,"Night",D361&gt;=17,"Evening",D361&gt;=12,"Midday",D361&gt;=6,"Morning", TRUE, "Night")</f>
        <v>Morning</v>
      </c>
      <c r="F361" s="28">
        <v>1</v>
      </c>
      <c r="G361" s="28">
        <v>0</v>
      </c>
      <c r="H361" s="28">
        <v>1</v>
      </c>
      <c r="I361" s="28">
        <v>0</v>
      </c>
      <c r="J361" s="40" t="str">
        <f t="shared" si="34"/>
        <v>Weekday</v>
      </c>
      <c r="K361" s="28" t="b">
        <v>0</v>
      </c>
      <c r="L361" s="28">
        <v>1</v>
      </c>
      <c r="M361" s="40" t="str" cm="1">
        <f t="array" ref="M361">_xlfn.IFS(L361=1,"Clear / Partly Cloudy",L361=2,"Mist / Cloudy",L361=3,"Light Snow / Rain",L361=4,"Heavy Precipitation")</f>
        <v>Clear / Partly Cloudy</v>
      </c>
      <c r="N361" s="28">
        <v>0.22</v>
      </c>
      <c r="O361" s="28" t="str">
        <f t="shared" si="35"/>
        <v>Mild</v>
      </c>
      <c r="P361" s="28">
        <v>0.21210000000000001</v>
      </c>
      <c r="Q361" s="38">
        <f t="shared" si="31"/>
        <v>0.21210000000000001</v>
      </c>
      <c r="R361" s="28">
        <v>0.51</v>
      </c>
      <c r="S361" s="28">
        <v>0.28360000000000002</v>
      </c>
      <c r="T361" s="40" t="str" cm="1">
        <f t="array" ref="T361">_xlfn.IFS(S361*18.6&lt;2,"Calm",S361*18.6&lt;6,"Light Breeze",S361*18.6&lt;14,"Gale",TRUE,"Extreme Storm")</f>
        <v>Light Breeze</v>
      </c>
      <c r="U361" s="28">
        <v>8</v>
      </c>
      <c r="V361" s="28">
        <v>71</v>
      </c>
      <c r="W361" s="28">
        <v>79</v>
      </c>
      <c r="X361" s="44">
        <f>AVERAGE(INDEX($W:$W,MAX(ROW($W$3),ROW()-23)):INDEX($W:$W,ROW()))</f>
        <v>53.125</v>
      </c>
      <c r="Y361" s="44">
        <f>_xlfn.STDEV.S(INDEX($W:$W,MAX(ROW($W$3),ROW()-23)):INDEX($W:$W,ROW()))</f>
        <v>41.503601205720429</v>
      </c>
      <c r="Z361" s="44">
        <f t="shared" si="32"/>
        <v>0.62343987625906683</v>
      </c>
      <c r="AA361" s="40" t="b">
        <f t="shared" si="30"/>
        <v>0</v>
      </c>
    </row>
    <row r="362" spans="1:27" x14ac:dyDescent="0.3">
      <c r="A362" s="32">
        <v>360</v>
      </c>
      <c r="B362" s="33">
        <v>40559</v>
      </c>
      <c r="C362" s="40" t="str">
        <f t="shared" si="33"/>
        <v>Sunday</v>
      </c>
      <c r="D362" s="28">
        <v>11</v>
      </c>
      <c r="E362" s="40" t="str" cm="1">
        <f t="array" ref="E362">_xlfn.IFS(D362&gt;=21,"Night",D362&gt;=17,"Evening",D362&gt;=12,"Midday",D362&gt;=6,"Morning", TRUE, "Night")</f>
        <v>Morning</v>
      </c>
      <c r="F362" s="28">
        <v>1</v>
      </c>
      <c r="G362" s="28">
        <v>0</v>
      </c>
      <c r="H362" s="28">
        <v>1</v>
      </c>
      <c r="I362" s="28">
        <v>0</v>
      </c>
      <c r="J362" s="40" t="str">
        <f t="shared" si="34"/>
        <v>Weekday</v>
      </c>
      <c r="K362" s="28" t="b">
        <v>0</v>
      </c>
      <c r="L362" s="28">
        <v>1</v>
      </c>
      <c r="M362" s="40" t="str" cm="1">
        <f t="array" ref="M362">_xlfn.IFS(L362=1,"Clear / Partly Cloudy",L362=2,"Mist / Cloudy",L362=3,"Light Snow / Rain",L362=4,"Heavy Precipitation")</f>
        <v>Clear / Partly Cloudy</v>
      </c>
      <c r="N362" s="28">
        <v>0.24</v>
      </c>
      <c r="O362" s="28" t="str">
        <f t="shared" si="35"/>
        <v>Mild</v>
      </c>
      <c r="P362" s="28">
        <v>0.2273</v>
      </c>
      <c r="Q362" s="38">
        <f t="shared" si="31"/>
        <v>0.2273</v>
      </c>
      <c r="R362" s="28">
        <v>0.44</v>
      </c>
      <c r="S362" s="28">
        <v>0.25369999999999998</v>
      </c>
      <c r="T362" s="40" t="str" cm="1">
        <f t="array" ref="T362">_xlfn.IFS(S362*18.6&lt;2,"Calm",S362*18.6&lt;6,"Light Breeze",S362*18.6&lt;14,"Gale",TRUE,"Extreme Storm")</f>
        <v>Light Breeze</v>
      </c>
      <c r="U362" s="28">
        <v>23</v>
      </c>
      <c r="V362" s="28">
        <v>70</v>
      </c>
      <c r="W362" s="28">
        <v>93</v>
      </c>
      <c r="X362" s="44">
        <f>AVERAGE(INDEX($W:$W,MAX(ROW($W$3),ROW()-23)):INDEX($W:$W,ROW()))</f>
        <v>54</v>
      </c>
      <c r="Y362" s="44">
        <f>_xlfn.STDEV.S(INDEX($W:$W,MAX(ROW($W$3),ROW()-23)):INDEX($W:$W,ROW()))</f>
        <v>42.135392538195561</v>
      </c>
      <c r="Z362" s="44">
        <f t="shared" si="32"/>
        <v>0.92558767465253022</v>
      </c>
      <c r="AA362" s="40" t="b">
        <f t="shared" si="30"/>
        <v>0</v>
      </c>
    </row>
    <row r="363" spans="1:27" x14ac:dyDescent="0.3">
      <c r="A363" s="32">
        <v>361</v>
      </c>
      <c r="B363" s="33">
        <v>40559</v>
      </c>
      <c r="C363" s="40" t="str">
        <f t="shared" si="33"/>
        <v>Sunday</v>
      </c>
      <c r="D363" s="28">
        <v>12</v>
      </c>
      <c r="E363" s="40" t="str" cm="1">
        <f t="array" ref="E363">_xlfn.IFS(D363&gt;=21,"Night",D363&gt;=17,"Evening",D363&gt;=12,"Midday",D363&gt;=6,"Morning", TRUE, "Night")</f>
        <v>Midday</v>
      </c>
      <c r="F363" s="28">
        <v>1</v>
      </c>
      <c r="G363" s="28">
        <v>0</v>
      </c>
      <c r="H363" s="28">
        <v>1</v>
      </c>
      <c r="I363" s="28">
        <v>0</v>
      </c>
      <c r="J363" s="40" t="str">
        <f t="shared" si="34"/>
        <v>Weekday</v>
      </c>
      <c r="K363" s="28" t="b">
        <v>0</v>
      </c>
      <c r="L363" s="28">
        <v>1</v>
      </c>
      <c r="M363" s="40" t="str" cm="1">
        <f t="array" ref="M363">_xlfn.IFS(L363=1,"Clear / Partly Cloudy",L363=2,"Mist / Cloudy",L363=3,"Light Snow / Rain",L363=4,"Heavy Precipitation")</f>
        <v>Clear / Partly Cloudy</v>
      </c>
      <c r="N363" s="28">
        <v>0.24</v>
      </c>
      <c r="O363" s="28" t="str">
        <f t="shared" si="35"/>
        <v>Mild</v>
      </c>
      <c r="P363" s="28">
        <v>0.21210000000000001</v>
      </c>
      <c r="Q363" s="38">
        <f t="shared" si="31"/>
        <v>0.21210000000000001</v>
      </c>
      <c r="R363" s="28">
        <v>0.41</v>
      </c>
      <c r="S363" s="28">
        <v>0.28360000000000002</v>
      </c>
      <c r="T363" s="40" t="str" cm="1">
        <f t="array" ref="T363">_xlfn.IFS(S363*18.6&lt;2,"Calm",S363*18.6&lt;6,"Light Breeze",S363*18.6&lt;14,"Gale",TRUE,"Extreme Storm")</f>
        <v>Light Breeze</v>
      </c>
      <c r="U363" s="28">
        <v>29</v>
      </c>
      <c r="V363" s="28">
        <v>75</v>
      </c>
      <c r="W363" s="28">
        <v>104</v>
      </c>
      <c r="X363" s="44">
        <f>AVERAGE(INDEX($W:$W,MAX(ROW($W$3),ROW()-23)):INDEX($W:$W,ROW()))</f>
        <v>54.625</v>
      </c>
      <c r="Y363" s="44">
        <f>_xlfn.STDEV.S(INDEX($W:$W,MAX(ROW($W$3),ROW()-23)):INDEX($W:$W,ROW()))</f>
        <v>42.783390214671741</v>
      </c>
      <c r="Z363" s="44">
        <f t="shared" si="32"/>
        <v>1.1540693655237213</v>
      </c>
      <c r="AA363" s="40" t="b">
        <f t="shared" si="30"/>
        <v>0</v>
      </c>
    </row>
    <row r="364" spans="1:27" x14ac:dyDescent="0.3">
      <c r="A364" s="32">
        <v>362</v>
      </c>
      <c r="B364" s="33">
        <v>40559</v>
      </c>
      <c r="C364" s="40" t="str">
        <f t="shared" si="33"/>
        <v>Sunday</v>
      </c>
      <c r="D364" s="28">
        <v>13</v>
      </c>
      <c r="E364" s="40" t="str" cm="1">
        <f t="array" ref="E364">_xlfn.IFS(D364&gt;=21,"Night",D364&gt;=17,"Evening",D364&gt;=12,"Midday",D364&gt;=6,"Morning", TRUE, "Night")</f>
        <v>Midday</v>
      </c>
      <c r="F364" s="28">
        <v>1</v>
      </c>
      <c r="G364" s="28">
        <v>0</v>
      </c>
      <c r="H364" s="28">
        <v>1</v>
      </c>
      <c r="I364" s="28">
        <v>0</v>
      </c>
      <c r="J364" s="40" t="str">
        <f t="shared" si="34"/>
        <v>Weekday</v>
      </c>
      <c r="K364" s="28" t="b">
        <v>0</v>
      </c>
      <c r="L364" s="28">
        <v>1</v>
      </c>
      <c r="M364" s="40" t="str" cm="1">
        <f t="array" ref="M364">_xlfn.IFS(L364=1,"Clear / Partly Cloudy",L364=2,"Mist / Cloudy",L364=3,"Light Snow / Rain",L364=4,"Heavy Precipitation")</f>
        <v>Clear / Partly Cloudy</v>
      </c>
      <c r="N364" s="28">
        <v>0.26</v>
      </c>
      <c r="O364" s="28" t="str">
        <f t="shared" si="35"/>
        <v>Mild</v>
      </c>
      <c r="P364" s="28">
        <v>0.2273</v>
      </c>
      <c r="Q364" s="38">
        <f t="shared" si="31"/>
        <v>0.2273</v>
      </c>
      <c r="R364" s="28">
        <v>0.35</v>
      </c>
      <c r="S364" s="28">
        <v>0.29849999999999999</v>
      </c>
      <c r="T364" s="40" t="str" cm="1">
        <f t="array" ref="T364">_xlfn.IFS(S364*18.6&lt;2,"Calm",S364*18.6&lt;6,"Light Breeze",S364*18.6&lt;14,"Gale",TRUE,"Extreme Storm")</f>
        <v>Light Breeze</v>
      </c>
      <c r="U364" s="28">
        <v>23</v>
      </c>
      <c r="V364" s="28">
        <v>95</v>
      </c>
      <c r="W364" s="28">
        <v>118</v>
      </c>
      <c r="X364" s="44">
        <f>AVERAGE(INDEX($W:$W,MAX(ROW($W$3),ROW()-23)):INDEX($W:$W,ROW()))</f>
        <v>55.333333333333336</v>
      </c>
      <c r="Y364" s="44">
        <f>_xlfn.STDEV.S(INDEX($W:$W,MAX(ROW($W$3),ROW()-23)):INDEX($W:$W,ROW()))</f>
        <v>43.715151752608875</v>
      </c>
      <c r="Z364" s="44">
        <f t="shared" si="32"/>
        <v>1.4335227982578553</v>
      </c>
      <c r="AA364" s="40" t="b">
        <f t="shared" si="30"/>
        <v>0</v>
      </c>
    </row>
    <row r="365" spans="1:27" x14ac:dyDescent="0.3">
      <c r="A365" s="32">
        <v>363</v>
      </c>
      <c r="B365" s="33">
        <v>40559</v>
      </c>
      <c r="C365" s="40" t="str">
        <f t="shared" si="33"/>
        <v>Sunday</v>
      </c>
      <c r="D365" s="28">
        <v>14</v>
      </c>
      <c r="E365" s="40" t="str" cm="1">
        <f t="array" ref="E365">_xlfn.IFS(D365&gt;=21,"Night",D365&gt;=17,"Evening",D365&gt;=12,"Midday",D365&gt;=6,"Morning", TRUE, "Night")</f>
        <v>Midday</v>
      </c>
      <c r="F365" s="28">
        <v>1</v>
      </c>
      <c r="G365" s="28">
        <v>0</v>
      </c>
      <c r="H365" s="28">
        <v>1</v>
      </c>
      <c r="I365" s="28">
        <v>0</v>
      </c>
      <c r="J365" s="40" t="str">
        <f t="shared" si="34"/>
        <v>Weekday</v>
      </c>
      <c r="K365" s="28" t="b">
        <v>0</v>
      </c>
      <c r="L365" s="28">
        <v>1</v>
      </c>
      <c r="M365" s="40" t="str" cm="1">
        <f t="array" ref="M365">_xlfn.IFS(L365=1,"Clear / Partly Cloudy",L365=2,"Mist / Cloudy",L365=3,"Light Snow / Rain",L365=4,"Heavy Precipitation")</f>
        <v>Clear / Partly Cloudy</v>
      </c>
      <c r="N365" s="28">
        <v>0.28000000000000003</v>
      </c>
      <c r="O365" s="28" t="str">
        <f t="shared" si="35"/>
        <v>Mild</v>
      </c>
      <c r="P365" s="28">
        <v>0.2727</v>
      </c>
      <c r="Q365" s="38">
        <f t="shared" si="31"/>
        <v>0.2727</v>
      </c>
      <c r="R365" s="28">
        <v>0.36</v>
      </c>
      <c r="S365" s="28">
        <v>0.25369999999999998</v>
      </c>
      <c r="T365" s="40" t="str" cm="1">
        <f t="array" ref="T365">_xlfn.IFS(S365*18.6&lt;2,"Calm",S365*18.6&lt;6,"Light Breeze",S365*18.6&lt;14,"Gale",TRUE,"Extreme Storm")</f>
        <v>Light Breeze</v>
      </c>
      <c r="U365" s="28">
        <v>22</v>
      </c>
      <c r="V365" s="28">
        <v>69</v>
      </c>
      <c r="W365" s="28">
        <v>91</v>
      </c>
      <c r="X365" s="44">
        <f>AVERAGE(INDEX($W:$W,MAX(ROW($W$3),ROW()-23)):INDEX($W:$W,ROW()))</f>
        <v>54.208333333333336</v>
      </c>
      <c r="Y365" s="44">
        <f>_xlfn.STDEV.S(INDEX($W:$W,MAX(ROW($W$3),ROW()-23)):INDEX($W:$W,ROW()))</f>
        <v>42.358695187304981</v>
      </c>
      <c r="Z365" s="44">
        <f t="shared" si="32"/>
        <v>0.86857412637425213</v>
      </c>
      <c r="AA365" s="40" t="b">
        <f t="shared" si="30"/>
        <v>0</v>
      </c>
    </row>
    <row r="366" spans="1:27" x14ac:dyDescent="0.3">
      <c r="A366" s="32">
        <v>364</v>
      </c>
      <c r="B366" s="33">
        <v>40559</v>
      </c>
      <c r="C366" s="40" t="str">
        <f t="shared" si="33"/>
        <v>Sunday</v>
      </c>
      <c r="D366" s="28">
        <v>15</v>
      </c>
      <c r="E366" s="40" t="str" cm="1">
        <f t="array" ref="E366">_xlfn.IFS(D366&gt;=21,"Night",D366&gt;=17,"Evening",D366&gt;=12,"Midday",D366&gt;=6,"Morning", TRUE, "Night")</f>
        <v>Midday</v>
      </c>
      <c r="F366" s="28">
        <v>1</v>
      </c>
      <c r="G366" s="28">
        <v>0</v>
      </c>
      <c r="H366" s="28">
        <v>1</v>
      </c>
      <c r="I366" s="28">
        <v>0</v>
      </c>
      <c r="J366" s="40" t="str">
        <f t="shared" si="34"/>
        <v>Weekday</v>
      </c>
      <c r="K366" s="28" t="b">
        <v>0</v>
      </c>
      <c r="L366" s="28">
        <v>1</v>
      </c>
      <c r="M366" s="40" t="str" cm="1">
        <f t="array" ref="M366">_xlfn.IFS(L366=1,"Clear / Partly Cloudy",L366=2,"Mist / Cloudy",L366=3,"Light Snow / Rain",L366=4,"Heavy Precipitation")</f>
        <v>Clear / Partly Cloudy</v>
      </c>
      <c r="N366" s="28">
        <v>0.26</v>
      </c>
      <c r="O366" s="28" t="str">
        <f t="shared" si="35"/>
        <v>Mild</v>
      </c>
      <c r="P366" s="28">
        <v>0.2424</v>
      </c>
      <c r="Q366" s="38">
        <f t="shared" si="31"/>
        <v>0.2424</v>
      </c>
      <c r="R366" s="28">
        <v>0.38</v>
      </c>
      <c r="S366" s="28">
        <v>0.25369999999999998</v>
      </c>
      <c r="T366" s="40" t="str" cm="1">
        <f t="array" ref="T366">_xlfn.IFS(S366*18.6&lt;2,"Calm",S366*18.6&lt;6,"Light Breeze",S366*18.6&lt;14,"Gale",TRUE,"Extreme Storm")</f>
        <v>Light Breeze</v>
      </c>
      <c r="U366" s="28">
        <v>35</v>
      </c>
      <c r="V366" s="28">
        <v>78</v>
      </c>
      <c r="W366" s="28">
        <v>113</v>
      </c>
      <c r="X366" s="44">
        <f>AVERAGE(INDEX($W:$W,MAX(ROW($W$3),ROW()-23)):INDEX($W:$W,ROW()))</f>
        <v>53.541666666666664</v>
      </c>
      <c r="Y366" s="44">
        <f>_xlfn.STDEV.S(INDEX($W:$W,MAX(ROW($W$3),ROW()-23)):INDEX($W:$W,ROW()))</f>
        <v>41.241577972031919</v>
      </c>
      <c r="Z366" s="44">
        <f t="shared" si="32"/>
        <v>1.4417084955783011</v>
      </c>
      <c r="AA366" s="40" t="b">
        <f t="shared" si="30"/>
        <v>0</v>
      </c>
    </row>
    <row r="367" spans="1:27" x14ac:dyDescent="0.3">
      <c r="A367" s="32">
        <v>365</v>
      </c>
      <c r="B367" s="33">
        <v>40559</v>
      </c>
      <c r="C367" s="40" t="str">
        <f t="shared" si="33"/>
        <v>Sunday</v>
      </c>
      <c r="D367" s="28">
        <v>16</v>
      </c>
      <c r="E367" s="40" t="str" cm="1">
        <f t="array" ref="E367">_xlfn.IFS(D367&gt;=21,"Night",D367&gt;=17,"Evening",D367&gt;=12,"Midday",D367&gt;=6,"Morning", TRUE, "Night")</f>
        <v>Midday</v>
      </c>
      <c r="F367" s="28">
        <v>1</v>
      </c>
      <c r="G367" s="28">
        <v>0</v>
      </c>
      <c r="H367" s="28">
        <v>1</v>
      </c>
      <c r="I367" s="28">
        <v>0</v>
      </c>
      <c r="J367" s="40" t="str">
        <f t="shared" si="34"/>
        <v>Weekday</v>
      </c>
      <c r="K367" s="28" t="b">
        <v>0</v>
      </c>
      <c r="L367" s="28">
        <v>1</v>
      </c>
      <c r="M367" s="40" t="str" cm="1">
        <f t="array" ref="M367">_xlfn.IFS(L367=1,"Clear / Partly Cloudy",L367=2,"Mist / Cloudy",L367=3,"Light Snow / Rain",L367=4,"Heavy Precipitation")</f>
        <v>Clear / Partly Cloudy</v>
      </c>
      <c r="N367" s="28">
        <v>0.24</v>
      </c>
      <c r="O367" s="28" t="str">
        <f t="shared" si="35"/>
        <v>Mild</v>
      </c>
      <c r="P367" s="28">
        <v>0.2273</v>
      </c>
      <c r="Q367" s="38">
        <f t="shared" si="31"/>
        <v>0.2273</v>
      </c>
      <c r="R367" s="28">
        <v>0.38</v>
      </c>
      <c r="S367" s="28">
        <v>0.22389999999999999</v>
      </c>
      <c r="T367" s="40" t="str" cm="1">
        <f t="array" ref="T367">_xlfn.IFS(S367*18.6&lt;2,"Calm",S367*18.6&lt;6,"Light Breeze",S367*18.6&lt;14,"Gale",TRUE,"Extreme Storm")</f>
        <v>Light Breeze</v>
      </c>
      <c r="U367" s="28">
        <v>22</v>
      </c>
      <c r="V367" s="28">
        <v>77</v>
      </c>
      <c r="W367" s="28">
        <v>99</v>
      </c>
      <c r="X367" s="44">
        <f>AVERAGE(INDEX($W:$W,MAX(ROW($W$3),ROW()-23)):INDEX($W:$W,ROW()))</f>
        <v>52.333333333333336</v>
      </c>
      <c r="Y367" s="44">
        <f>_xlfn.STDEV.S(INDEX($W:$W,MAX(ROW($W$3),ROW()-23)):INDEX($W:$W,ROW()))</f>
        <v>39.346472872879367</v>
      </c>
      <c r="Z367" s="44">
        <f t="shared" si="32"/>
        <v>1.1860444725868413</v>
      </c>
      <c r="AA367" s="40" t="b">
        <f t="shared" si="30"/>
        <v>0</v>
      </c>
    </row>
    <row r="368" spans="1:27" x14ac:dyDescent="0.3">
      <c r="A368" s="32">
        <v>366</v>
      </c>
      <c r="B368" s="33">
        <v>40559</v>
      </c>
      <c r="C368" s="40" t="str">
        <f t="shared" si="33"/>
        <v>Sunday</v>
      </c>
      <c r="D368" s="28">
        <v>17</v>
      </c>
      <c r="E368" s="40" t="str" cm="1">
        <f t="array" ref="E368">_xlfn.IFS(D368&gt;=21,"Night",D368&gt;=17,"Evening",D368&gt;=12,"Midday",D368&gt;=6,"Morning", TRUE, "Night")</f>
        <v>Evening</v>
      </c>
      <c r="F368" s="28">
        <v>1</v>
      </c>
      <c r="G368" s="28">
        <v>0</v>
      </c>
      <c r="H368" s="28">
        <v>1</v>
      </c>
      <c r="I368" s="28">
        <v>0</v>
      </c>
      <c r="J368" s="40" t="str">
        <f t="shared" si="34"/>
        <v>Weekday</v>
      </c>
      <c r="K368" s="28" t="b">
        <v>0</v>
      </c>
      <c r="L368" s="28">
        <v>1</v>
      </c>
      <c r="M368" s="40" t="str" cm="1">
        <f t="array" ref="M368">_xlfn.IFS(L368=1,"Clear / Partly Cloudy",L368=2,"Mist / Cloudy",L368=3,"Light Snow / Rain",L368=4,"Heavy Precipitation")</f>
        <v>Clear / Partly Cloudy</v>
      </c>
      <c r="N368" s="28">
        <v>0.22</v>
      </c>
      <c r="O368" s="28" t="str">
        <f t="shared" si="35"/>
        <v>Mild</v>
      </c>
      <c r="P368" s="28">
        <v>0.21210000000000001</v>
      </c>
      <c r="Q368" s="38">
        <f t="shared" si="31"/>
        <v>0.21210000000000001</v>
      </c>
      <c r="R368" s="28">
        <v>0.37</v>
      </c>
      <c r="S368" s="28">
        <v>0.25369999999999998</v>
      </c>
      <c r="T368" s="40" t="str" cm="1">
        <f t="array" ref="T368">_xlfn.IFS(S368*18.6&lt;2,"Calm",S368*18.6&lt;6,"Light Breeze",S368*18.6&lt;14,"Gale",TRUE,"Extreme Storm")</f>
        <v>Light Breeze</v>
      </c>
      <c r="U368" s="28">
        <v>23</v>
      </c>
      <c r="V368" s="28">
        <v>82</v>
      </c>
      <c r="W368" s="28">
        <v>105</v>
      </c>
      <c r="X368" s="44">
        <f>AVERAGE(INDEX($W:$W,MAX(ROW($W$3),ROW()-23)):INDEX($W:$W,ROW()))</f>
        <v>53.25</v>
      </c>
      <c r="Y368" s="44">
        <f>_xlfn.STDEV.S(INDEX($W:$W,MAX(ROW($W$3),ROW()-23)):INDEX($W:$W,ROW()))</f>
        <v>40.335818584349632</v>
      </c>
      <c r="Z368" s="44">
        <f t="shared" si="32"/>
        <v>1.2829787969167208</v>
      </c>
      <c r="AA368" s="40" t="b">
        <f t="shared" si="30"/>
        <v>0</v>
      </c>
    </row>
    <row r="369" spans="1:27" x14ac:dyDescent="0.3">
      <c r="A369" s="32">
        <v>367</v>
      </c>
      <c r="B369" s="33">
        <v>40559</v>
      </c>
      <c r="C369" s="40" t="str">
        <f t="shared" si="33"/>
        <v>Sunday</v>
      </c>
      <c r="D369" s="28">
        <v>18</v>
      </c>
      <c r="E369" s="40" t="str" cm="1">
        <f t="array" ref="E369">_xlfn.IFS(D369&gt;=21,"Night",D369&gt;=17,"Evening",D369&gt;=12,"Midday",D369&gt;=6,"Morning", TRUE, "Night")</f>
        <v>Evening</v>
      </c>
      <c r="F369" s="28">
        <v>1</v>
      </c>
      <c r="G369" s="28">
        <v>0</v>
      </c>
      <c r="H369" s="28">
        <v>1</v>
      </c>
      <c r="I369" s="28">
        <v>0</v>
      </c>
      <c r="J369" s="40" t="str">
        <f t="shared" si="34"/>
        <v>Weekday</v>
      </c>
      <c r="K369" s="28" t="b">
        <v>0</v>
      </c>
      <c r="L369" s="28">
        <v>1</v>
      </c>
      <c r="M369" s="40" t="str" cm="1">
        <f t="array" ref="M369">_xlfn.IFS(L369=1,"Clear / Partly Cloudy",L369=2,"Mist / Cloudy",L369=3,"Light Snow / Rain",L369=4,"Heavy Precipitation")</f>
        <v>Clear / Partly Cloudy</v>
      </c>
      <c r="N369" s="28">
        <v>0.2</v>
      </c>
      <c r="O369" s="28" t="str">
        <f t="shared" si="35"/>
        <v>Mild</v>
      </c>
      <c r="P369" s="28">
        <v>0.21210000000000001</v>
      </c>
      <c r="Q369" s="38">
        <f t="shared" si="31"/>
        <v>0.21210000000000001</v>
      </c>
      <c r="R369" s="28">
        <v>0.4</v>
      </c>
      <c r="S369" s="28">
        <v>0.16420000000000001</v>
      </c>
      <c r="T369" s="40" t="str" cm="1">
        <f t="array" ref="T369">_xlfn.IFS(S369*18.6&lt;2,"Calm",S369*18.6&lt;6,"Light Breeze",S369*18.6&lt;14,"Gale",TRUE,"Extreme Storm")</f>
        <v>Light Breeze</v>
      </c>
      <c r="U369" s="28">
        <v>11</v>
      </c>
      <c r="V369" s="28">
        <v>56</v>
      </c>
      <c r="W369" s="28">
        <v>67</v>
      </c>
      <c r="X369" s="44">
        <f>AVERAGE(INDEX($W:$W,MAX(ROW($W$3),ROW()-23)):INDEX($W:$W,ROW()))</f>
        <v>52.541666666666664</v>
      </c>
      <c r="Y369" s="44">
        <f>_xlfn.STDEV.S(INDEX($W:$W,MAX(ROW($W$3),ROW()-23)):INDEX($W:$W,ROW()))</f>
        <v>39.919461491822524</v>
      </c>
      <c r="Z369" s="44">
        <f t="shared" si="32"/>
        <v>0.36218758452678818</v>
      </c>
      <c r="AA369" s="40" t="b">
        <f t="shared" si="30"/>
        <v>0</v>
      </c>
    </row>
    <row r="370" spans="1:27" x14ac:dyDescent="0.3">
      <c r="A370" s="32">
        <v>368</v>
      </c>
      <c r="B370" s="33">
        <v>40559</v>
      </c>
      <c r="C370" s="40" t="str">
        <f t="shared" si="33"/>
        <v>Sunday</v>
      </c>
      <c r="D370" s="28">
        <v>19</v>
      </c>
      <c r="E370" s="40" t="str" cm="1">
        <f t="array" ref="E370">_xlfn.IFS(D370&gt;=21,"Night",D370&gt;=17,"Evening",D370&gt;=12,"Midday",D370&gt;=6,"Morning", TRUE, "Night")</f>
        <v>Evening</v>
      </c>
      <c r="F370" s="28">
        <v>1</v>
      </c>
      <c r="G370" s="28">
        <v>0</v>
      </c>
      <c r="H370" s="28">
        <v>1</v>
      </c>
      <c r="I370" s="28">
        <v>0</v>
      </c>
      <c r="J370" s="40" t="str">
        <f t="shared" si="34"/>
        <v>Weekday</v>
      </c>
      <c r="K370" s="28" t="b">
        <v>0</v>
      </c>
      <c r="L370" s="28">
        <v>1</v>
      </c>
      <c r="M370" s="40" t="str" cm="1">
        <f t="array" ref="M370">_xlfn.IFS(L370=1,"Clear / Partly Cloudy",L370=2,"Mist / Cloudy",L370=3,"Light Snow / Rain",L370=4,"Heavy Precipitation")</f>
        <v>Clear / Partly Cloudy</v>
      </c>
      <c r="N370" s="28">
        <v>0.18</v>
      </c>
      <c r="O370" s="28" t="str">
        <f t="shared" si="35"/>
        <v>Cold</v>
      </c>
      <c r="P370" s="28">
        <v>0.19700000000000001</v>
      </c>
      <c r="Q370" s="38">
        <f t="shared" si="31"/>
        <v>0.19700000000000001</v>
      </c>
      <c r="R370" s="28">
        <v>0.47</v>
      </c>
      <c r="S370" s="28">
        <v>0.1343</v>
      </c>
      <c r="T370" s="40" t="str" cm="1">
        <f t="array" ref="T370">_xlfn.IFS(S370*18.6&lt;2,"Calm",S370*18.6&lt;6,"Light Breeze",S370*18.6&lt;14,"Gale",TRUE,"Extreme Storm")</f>
        <v>Light Breeze</v>
      </c>
      <c r="U370" s="28">
        <v>14</v>
      </c>
      <c r="V370" s="28">
        <v>47</v>
      </c>
      <c r="W370" s="28">
        <v>61</v>
      </c>
      <c r="X370" s="44">
        <f>AVERAGE(INDEX($W:$W,MAX(ROW($W$3),ROW()-23)):INDEX($W:$W,ROW()))</f>
        <v>52</v>
      </c>
      <c r="Y370" s="44">
        <f>_xlfn.STDEV.S(INDEX($W:$W,MAX(ROW($W$3),ROW()-23)):INDEX($W:$W,ROW()))</f>
        <v>39.703247047149134</v>
      </c>
      <c r="Z370" s="44">
        <f t="shared" si="32"/>
        <v>0.22668171168247658</v>
      </c>
      <c r="AA370" s="40" t="b">
        <f t="shared" si="30"/>
        <v>0</v>
      </c>
    </row>
    <row r="371" spans="1:27" x14ac:dyDescent="0.3">
      <c r="A371" s="32">
        <v>369</v>
      </c>
      <c r="B371" s="33">
        <v>40559</v>
      </c>
      <c r="C371" s="40" t="str">
        <f t="shared" si="33"/>
        <v>Sunday</v>
      </c>
      <c r="D371" s="28">
        <v>20</v>
      </c>
      <c r="E371" s="40" t="str" cm="1">
        <f t="array" ref="E371">_xlfn.IFS(D371&gt;=21,"Night",D371&gt;=17,"Evening",D371&gt;=12,"Midday",D371&gt;=6,"Morning", TRUE, "Night")</f>
        <v>Evening</v>
      </c>
      <c r="F371" s="28">
        <v>1</v>
      </c>
      <c r="G371" s="28">
        <v>0</v>
      </c>
      <c r="H371" s="28">
        <v>1</v>
      </c>
      <c r="I371" s="28">
        <v>0</v>
      </c>
      <c r="J371" s="40" t="str">
        <f t="shared" si="34"/>
        <v>Weekday</v>
      </c>
      <c r="K371" s="28" t="b">
        <v>0</v>
      </c>
      <c r="L371" s="28">
        <v>1</v>
      </c>
      <c r="M371" s="40" t="str" cm="1">
        <f t="array" ref="M371">_xlfn.IFS(L371=1,"Clear / Partly Cloudy",L371=2,"Mist / Cloudy",L371=3,"Light Snow / Rain",L371=4,"Heavy Precipitation")</f>
        <v>Clear / Partly Cloudy</v>
      </c>
      <c r="N371" s="28">
        <v>0.18</v>
      </c>
      <c r="O371" s="28" t="str">
        <f t="shared" si="35"/>
        <v>Cold</v>
      </c>
      <c r="P371" s="28">
        <v>0.19700000000000001</v>
      </c>
      <c r="Q371" s="38">
        <f t="shared" si="31"/>
        <v>0.19700000000000001</v>
      </c>
      <c r="R371" s="28">
        <v>0.47</v>
      </c>
      <c r="S371" s="28">
        <v>0.16420000000000001</v>
      </c>
      <c r="T371" s="40" t="str" cm="1">
        <f t="array" ref="T371">_xlfn.IFS(S371*18.6&lt;2,"Calm",S371*18.6&lt;6,"Light Breeze",S371*18.6&lt;14,"Gale",TRUE,"Extreme Storm")</f>
        <v>Light Breeze</v>
      </c>
      <c r="U371" s="28">
        <v>7</v>
      </c>
      <c r="V371" s="28">
        <v>50</v>
      </c>
      <c r="W371" s="28">
        <v>57</v>
      </c>
      <c r="X371" s="44">
        <f>AVERAGE(INDEX($W:$W,MAX(ROW($W$3),ROW()-23)):INDEX($W:$W,ROW()))</f>
        <v>52.666666666666664</v>
      </c>
      <c r="Y371" s="44">
        <f>_xlfn.STDEV.S(INDEX($W:$W,MAX(ROW($W$3),ROW()-23)):INDEX($W:$W,ROW()))</f>
        <v>39.644799721117728</v>
      </c>
      <c r="Z371" s="44">
        <f t="shared" si="32"/>
        <v>0.10930395319982117</v>
      </c>
      <c r="AA371" s="40" t="b">
        <f t="shared" si="30"/>
        <v>0</v>
      </c>
    </row>
    <row r="372" spans="1:27" x14ac:dyDescent="0.3">
      <c r="A372" s="32">
        <v>370</v>
      </c>
      <c r="B372" s="33">
        <v>40559</v>
      </c>
      <c r="C372" s="40" t="str">
        <f t="shared" si="33"/>
        <v>Sunday</v>
      </c>
      <c r="D372" s="28">
        <v>21</v>
      </c>
      <c r="E372" s="40" t="str" cm="1">
        <f t="array" ref="E372">_xlfn.IFS(D372&gt;=21,"Night",D372&gt;=17,"Evening",D372&gt;=12,"Midday",D372&gt;=6,"Morning", TRUE, "Night")</f>
        <v>Night</v>
      </c>
      <c r="F372" s="28">
        <v>1</v>
      </c>
      <c r="G372" s="28">
        <v>0</v>
      </c>
      <c r="H372" s="28">
        <v>1</v>
      </c>
      <c r="I372" s="28">
        <v>0</v>
      </c>
      <c r="J372" s="40" t="str">
        <f t="shared" si="34"/>
        <v>Weekday</v>
      </c>
      <c r="K372" s="28" t="b">
        <v>0</v>
      </c>
      <c r="L372" s="28">
        <v>1</v>
      </c>
      <c r="M372" s="40" t="str" cm="1">
        <f t="array" ref="M372">_xlfn.IFS(L372=1,"Clear / Partly Cloudy",L372=2,"Mist / Cloudy",L372=3,"Light Snow / Rain",L372=4,"Heavy Precipitation")</f>
        <v>Clear / Partly Cloudy</v>
      </c>
      <c r="N372" s="28">
        <v>0.18</v>
      </c>
      <c r="O372" s="28" t="str">
        <f t="shared" si="35"/>
        <v>Cold</v>
      </c>
      <c r="P372" s="28">
        <v>0.19700000000000001</v>
      </c>
      <c r="Q372" s="38">
        <f t="shared" si="31"/>
        <v>0.19700000000000001</v>
      </c>
      <c r="R372" s="28">
        <v>0.51</v>
      </c>
      <c r="S372" s="28">
        <v>0.16420000000000001</v>
      </c>
      <c r="T372" s="40" t="str" cm="1">
        <f t="array" ref="T372">_xlfn.IFS(S372*18.6&lt;2,"Calm",S372*18.6&lt;6,"Light Breeze",S372*18.6&lt;14,"Gale",TRUE,"Extreme Storm")</f>
        <v>Light Breeze</v>
      </c>
      <c r="U372" s="28">
        <v>6</v>
      </c>
      <c r="V372" s="28">
        <v>22</v>
      </c>
      <c r="W372" s="28">
        <v>28</v>
      </c>
      <c r="X372" s="44">
        <f>AVERAGE(INDEX($W:$W,MAX(ROW($W$3),ROW()-23)):INDEX($W:$W,ROW()))</f>
        <v>51.458333333333336</v>
      </c>
      <c r="Y372" s="44">
        <f>_xlfn.STDEV.S(INDEX($W:$W,MAX(ROW($W$3),ROW()-23)):INDEX($W:$W,ROW()))</f>
        <v>39.947769341507907</v>
      </c>
      <c r="Z372" s="44">
        <f t="shared" si="32"/>
        <v>-0.58722511219065365</v>
      </c>
      <c r="AA372" s="40" t="b">
        <f t="shared" si="30"/>
        <v>0</v>
      </c>
    </row>
    <row r="373" spans="1:27" x14ac:dyDescent="0.3">
      <c r="A373" s="32">
        <v>371</v>
      </c>
      <c r="B373" s="33">
        <v>40559</v>
      </c>
      <c r="C373" s="40" t="str">
        <f t="shared" si="33"/>
        <v>Sunday</v>
      </c>
      <c r="D373" s="28">
        <v>22</v>
      </c>
      <c r="E373" s="40" t="str" cm="1">
        <f t="array" ref="E373">_xlfn.IFS(D373&gt;=21,"Night",D373&gt;=17,"Evening",D373&gt;=12,"Midday",D373&gt;=6,"Morning", TRUE, "Night")</f>
        <v>Night</v>
      </c>
      <c r="F373" s="28">
        <v>1</v>
      </c>
      <c r="G373" s="28">
        <v>0</v>
      </c>
      <c r="H373" s="28">
        <v>1</v>
      </c>
      <c r="I373" s="28">
        <v>0</v>
      </c>
      <c r="J373" s="40" t="str">
        <f t="shared" si="34"/>
        <v>Weekday</v>
      </c>
      <c r="K373" s="28" t="b">
        <v>0</v>
      </c>
      <c r="L373" s="28">
        <v>2</v>
      </c>
      <c r="M373" s="40" t="str" cm="1">
        <f t="array" ref="M373">_xlfn.IFS(L373=1,"Clear / Partly Cloudy",L373=2,"Mist / Cloudy",L373=3,"Light Snow / Rain",L373=4,"Heavy Precipitation")</f>
        <v>Mist / Cloudy</v>
      </c>
      <c r="N373" s="28">
        <v>0.2</v>
      </c>
      <c r="O373" s="28" t="str">
        <f t="shared" si="35"/>
        <v>Mild</v>
      </c>
      <c r="P373" s="28">
        <v>0.21210000000000001</v>
      </c>
      <c r="Q373" s="38">
        <f t="shared" si="31"/>
        <v>0.21210000000000001</v>
      </c>
      <c r="R373" s="28">
        <v>0.49</v>
      </c>
      <c r="S373" s="28">
        <v>0.1343</v>
      </c>
      <c r="T373" s="40" t="str" cm="1">
        <f t="array" ref="T373">_xlfn.IFS(S373*18.6&lt;2,"Calm",S373*18.6&lt;6,"Light Breeze",S373*18.6&lt;14,"Gale",TRUE,"Extreme Storm")</f>
        <v>Light Breeze</v>
      </c>
      <c r="U373" s="28">
        <v>2</v>
      </c>
      <c r="V373" s="28">
        <v>19</v>
      </c>
      <c r="W373" s="28">
        <v>21</v>
      </c>
      <c r="X373" s="44">
        <f>AVERAGE(INDEX($W:$W,MAX(ROW($W$3),ROW()-23)):INDEX($W:$W,ROW()))</f>
        <v>51.25</v>
      </c>
      <c r="Y373" s="44">
        <f>_xlfn.STDEV.S(INDEX($W:$W,MAX(ROW($W$3),ROW()-23)):INDEX($W:$W,ROW()))</f>
        <v>40.099062116322571</v>
      </c>
      <c r="Z373" s="44">
        <f t="shared" si="32"/>
        <v>-0.75438173372355632</v>
      </c>
      <c r="AA373" s="40" t="b">
        <f t="shared" si="30"/>
        <v>0</v>
      </c>
    </row>
    <row r="374" spans="1:27" x14ac:dyDescent="0.3">
      <c r="A374" s="32">
        <v>372</v>
      </c>
      <c r="B374" s="33">
        <v>40559</v>
      </c>
      <c r="C374" s="40" t="str">
        <f t="shared" si="33"/>
        <v>Sunday</v>
      </c>
      <c r="D374" s="28">
        <v>23</v>
      </c>
      <c r="E374" s="40" t="str" cm="1">
        <f t="array" ref="E374">_xlfn.IFS(D374&gt;=21,"Night",D374&gt;=17,"Evening",D374&gt;=12,"Midday",D374&gt;=6,"Morning", TRUE, "Night")</f>
        <v>Night</v>
      </c>
      <c r="F374" s="28">
        <v>1</v>
      </c>
      <c r="G374" s="28">
        <v>0</v>
      </c>
      <c r="H374" s="28">
        <v>1</v>
      </c>
      <c r="I374" s="28">
        <v>0</v>
      </c>
      <c r="J374" s="40" t="str">
        <f t="shared" si="34"/>
        <v>Weekday</v>
      </c>
      <c r="K374" s="28" t="b">
        <v>0</v>
      </c>
      <c r="L374" s="28">
        <v>2</v>
      </c>
      <c r="M374" s="40" t="str" cm="1">
        <f t="array" ref="M374">_xlfn.IFS(L374=1,"Clear / Partly Cloudy",L374=2,"Mist / Cloudy",L374=3,"Light Snow / Rain",L374=4,"Heavy Precipitation")</f>
        <v>Mist / Cloudy</v>
      </c>
      <c r="N374" s="28">
        <v>0.2</v>
      </c>
      <c r="O374" s="28" t="str">
        <f t="shared" si="35"/>
        <v>Mild</v>
      </c>
      <c r="P374" s="28">
        <v>0.2273</v>
      </c>
      <c r="Q374" s="38">
        <f t="shared" si="31"/>
        <v>0.2273</v>
      </c>
      <c r="R374" s="28">
        <v>0.4</v>
      </c>
      <c r="S374" s="28">
        <v>0.1045</v>
      </c>
      <c r="T374" s="40" t="str" cm="1">
        <f t="array" ref="T374">_xlfn.IFS(S374*18.6&lt;2,"Calm",S374*18.6&lt;6,"Light Breeze",S374*18.6&lt;14,"Gale",TRUE,"Extreme Storm")</f>
        <v>Calm</v>
      </c>
      <c r="U374" s="28">
        <v>0</v>
      </c>
      <c r="V374" s="28">
        <v>18</v>
      </c>
      <c r="W374" s="28">
        <v>18</v>
      </c>
      <c r="X374" s="44">
        <f>AVERAGE(INDEX($W:$W,MAX(ROW($W$3),ROW()-23)):INDEX($W:$W,ROW()))</f>
        <v>50.166666666666664</v>
      </c>
      <c r="Y374" s="44">
        <f>_xlfn.STDEV.S(INDEX($W:$W,MAX(ROW($W$3),ROW()-23)):INDEX($W:$W,ROW()))</f>
        <v>40.650864119021975</v>
      </c>
      <c r="Z374" s="44">
        <f t="shared" si="32"/>
        <v>-0.79129109217667881</v>
      </c>
      <c r="AA374" s="40" t="b">
        <f t="shared" si="30"/>
        <v>0</v>
      </c>
    </row>
    <row r="375" spans="1:27" x14ac:dyDescent="0.3">
      <c r="A375" s="32">
        <v>373</v>
      </c>
      <c r="B375" s="33">
        <v>40560</v>
      </c>
      <c r="C375" s="40" t="str">
        <f t="shared" si="33"/>
        <v>Monday</v>
      </c>
      <c r="D375" s="28">
        <v>0</v>
      </c>
      <c r="E375" s="40" t="str" cm="1">
        <f t="array" ref="E375">_xlfn.IFS(D375&gt;=21,"Night",D375&gt;=17,"Evening",D375&gt;=12,"Midday",D375&gt;=6,"Morning", TRUE, "Night")</f>
        <v>Night</v>
      </c>
      <c r="F375" s="28">
        <v>1</v>
      </c>
      <c r="G375" s="28">
        <v>0</v>
      </c>
      <c r="H375" s="28">
        <v>1</v>
      </c>
      <c r="I375" s="28">
        <v>1</v>
      </c>
      <c r="J375" s="40" t="str">
        <f t="shared" si="34"/>
        <v>Weekday</v>
      </c>
      <c r="K375" s="28" t="b">
        <v>1</v>
      </c>
      <c r="L375" s="28">
        <v>2</v>
      </c>
      <c r="M375" s="40" t="str" cm="1">
        <f t="array" ref="M375">_xlfn.IFS(L375=1,"Clear / Partly Cloudy",L375=2,"Mist / Cloudy",L375=3,"Light Snow / Rain",L375=4,"Heavy Precipitation")</f>
        <v>Mist / Cloudy</v>
      </c>
      <c r="N375" s="28">
        <v>0.2</v>
      </c>
      <c r="O375" s="28" t="str">
        <f t="shared" si="35"/>
        <v>Mild</v>
      </c>
      <c r="P375" s="28">
        <v>0.19700000000000001</v>
      </c>
      <c r="Q375" s="38">
        <f t="shared" si="31"/>
        <v>0.19700000000000001</v>
      </c>
      <c r="R375" s="28">
        <v>0.47</v>
      </c>
      <c r="S375" s="28">
        <v>0.22389999999999999</v>
      </c>
      <c r="T375" s="40" t="str" cm="1">
        <f t="array" ref="T375">_xlfn.IFS(S375*18.6&lt;2,"Calm",S375*18.6&lt;6,"Light Breeze",S375*18.6&lt;14,"Gale",TRUE,"Extreme Storm")</f>
        <v>Light Breeze</v>
      </c>
      <c r="U375" s="28">
        <v>1</v>
      </c>
      <c r="V375" s="28">
        <v>16</v>
      </c>
      <c r="W375" s="28">
        <v>17</v>
      </c>
      <c r="X375" s="44">
        <f>AVERAGE(INDEX($W:$W,MAX(ROW($W$3),ROW()-23)):INDEX($W:$W,ROW()))</f>
        <v>49.25</v>
      </c>
      <c r="Y375" s="44">
        <f>_xlfn.STDEV.S(INDEX($W:$W,MAX(ROW($W$3),ROW()-23)):INDEX($W:$W,ROW()))</f>
        <v>41.158495345802365</v>
      </c>
      <c r="Z375" s="44">
        <f t="shared" si="32"/>
        <v>-0.78355634065444724</v>
      </c>
      <c r="AA375" s="40" t="b">
        <f t="shared" si="30"/>
        <v>0</v>
      </c>
    </row>
    <row r="376" spans="1:27" x14ac:dyDescent="0.3">
      <c r="A376" s="32">
        <v>374</v>
      </c>
      <c r="B376" s="33">
        <v>40560</v>
      </c>
      <c r="C376" s="40" t="str">
        <f t="shared" si="33"/>
        <v>Monday</v>
      </c>
      <c r="D376" s="28">
        <v>1</v>
      </c>
      <c r="E376" s="40" t="str" cm="1">
        <f t="array" ref="E376">_xlfn.IFS(D376&gt;=21,"Night",D376&gt;=17,"Evening",D376&gt;=12,"Midday",D376&gt;=6,"Morning", TRUE, "Night")</f>
        <v>Night</v>
      </c>
      <c r="F376" s="28">
        <v>1</v>
      </c>
      <c r="G376" s="28">
        <v>0</v>
      </c>
      <c r="H376" s="28">
        <v>1</v>
      </c>
      <c r="I376" s="28">
        <v>1</v>
      </c>
      <c r="J376" s="40" t="str">
        <f t="shared" si="34"/>
        <v>Weekday</v>
      </c>
      <c r="K376" s="28" t="b">
        <v>1</v>
      </c>
      <c r="L376" s="28">
        <v>2</v>
      </c>
      <c r="M376" s="40" t="str" cm="1">
        <f t="array" ref="M376">_xlfn.IFS(L376=1,"Clear / Partly Cloudy",L376=2,"Mist / Cloudy",L376=3,"Light Snow / Rain",L376=4,"Heavy Precipitation")</f>
        <v>Mist / Cloudy</v>
      </c>
      <c r="N376" s="28">
        <v>0.2</v>
      </c>
      <c r="O376" s="28" t="str">
        <f t="shared" si="35"/>
        <v>Mild</v>
      </c>
      <c r="P376" s="28">
        <v>0.19700000000000001</v>
      </c>
      <c r="Q376" s="38">
        <f t="shared" si="31"/>
        <v>0.19700000000000001</v>
      </c>
      <c r="R376" s="28">
        <v>0.44</v>
      </c>
      <c r="S376" s="28">
        <v>0.19400000000000001</v>
      </c>
      <c r="T376" s="40" t="str" cm="1">
        <f t="array" ref="T376">_xlfn.IFS(S376*18.6&lt;2,"Calm",S376*18.6&lt;6,"Light Breeze",S376*18.6&lt;14,"Gale",TRUE,"Extreme Storm")</f>
        <v>Light Breeze</v>
      </c>
      <c r="U376" s="28">
        <v>1</v>
      </c>
      <c r="V376" s="28">
        <v>15</v>
      </c>
      <c r="W376" s="28">
        <v>16</v>
      </c>
      <c r="X376" s="44">
        <f>AVERAGE(INDEX($W:$W,MAX(ROW($W$3),ROW()-23)):INDEX($W:$W,ROW()))</f>
        <v>48.958333333333336</v>
      </c>
      <c r="Y376" s="44">
        <f>_xlfn.STDEV.S(INDEX($W:$W,MAX(ROW($W$3),ROW()-23)):INDEX($W:$W,ROW()))</f>
        <v>41.376825236678883</v>
      </c>
      <c r="Z376" s="44">
        <f t="shared" si="32"/>
        <v>-0.7965408932369491</v>
      </c>
      <c r="AA376" s="40" t="b">
        <f t="shared" si="30"/>
        <v>0</v>
      </c>
    </row>
    <row r="377" spans="1:27" x14ac:dyDescent="0.3">
      <c r="A377" s="32">
        <v>375</v>
      </c>
      <c r="B377" s="33">
        <v>40560</v>
      </c>
      <c r="C377" s="40" t="str">
        <f t="shared" si="33"/>
        <v>Monday</v>
      </c>
      <c r="D377" s="28">
        <v>2</v>
      </c>
      <c r="E377" s="40" t="str" cm="1">
        <f t="array" ref="E377">_xlfn.IFS(D377&gt;=21,"Night",D377&gt;=17,"Evening",D377&gt;=12,"Midday",D377&gt;=6,"Morning", TRUE, "Night")</f>
        <v>Night</v>
      </c>
      <c r="F377" s="28">
        <v>1</v>
      </c>
      <c r="G377" s="28">
        <v>0</v>
      </c>
      <c r="H377" s="28">
        <v>1</v>
      </c>
      <c r="I377" s="28">
        <v>1</v>
      </c>
      <c r="J377" s="40" t="str">
        <f t="shared" si="34"/>
        <v>Weekday</v>
      </c>
      <c r="K377" s="28" t="b">
        <v>1</v>
      </c>
      <c r="L377" s="28">
        <v>2</v>
      </c>
      <c r="M377" s="40" t="str" cm="1">
        <f t="array" ref="M377">_xlfn.IFS(L377=1,"Clear / Partly Cloudy",L377=2,"Mist / Cloudy",L377=3,"Light Snow / Rain",L377=4,"Heavy Precipitation")</f>
        <v>Mist / Cloudy</v>
      </c>
      <c r="N377" s="28">
        <v>0.18</v>
      </c>
      <c r="O377" s="28" t="str">
        <f t="shared" si="35"/>
        <v>Cold</v>
      </c>
      <c r="P377" s="28">
        <v>0.16669999999999999</v>
      </c>
      <c r="Q377" s="38">
        <f t="shared" si="31"/>
        <v>0.16669999999999999</v>
      </c>
      <c r="R377" s="28">
        <v>0.43</v>
      </c>
      <c r="S377" s="28">
        <v>0.25369999999999998</v>
      </c>
      <c r="T377" s="40" t="str" cm="1">
        <f t="array" ref="T377">_xlfn.IFS(S377*18.6&lt;2,"Calm",S377*18.6&lt;6,"Light Breeze",S377*18.6&lt;14,"Gale",TRUE,"Extreme Storm")</f>
        <v>Light Breeze</v>
      </c>
      <c r="U377" s="28">
        <v>0</v>
      </c>
      <c r="V377" s="28">
        <v>8</v>
      </c>
      <c r="W377" s="28">
        <v>8</v>
      </c>
      <c r="X377" s="44">
        <f>AVERAGE(INDEX($W:$W,MAX(ROW($W$3),ROW()-23)):INDEX($W:$W,ROW()))</f>
        <v>48.625</v>
      </c>
      <c r="Y377" s="44">
        <f>_xlfn.STDEV.S(INDEX($W:$W,MAX(ROW($W$3),ROW()-23)):INDEX($W:$W,ROW()))</f>
        <v>41.684959752472082</v>
      </c>
      <c r="Z377" s="44">
        <f t="shared" si="32"/>
        <v>-0.9745721296418135</v>
      </c>
      <c r="AA377" s="40" t="b">
        <f t="shared" si="30"/>
        <v>0</v>
      </c>
    </row>
    <row r="378" spans="1:27" x14ac:dyDescent="0.3">
      <c r="A378" s="32">
        <v>376</v>
      </c>
      <c r="B378" s="33">
        <v>40560</v>
      </c>
      <c r="C378" s="40" t="str">
        <f t="shared" si="33"/>
        <v>Monday</v>
      </c>
      <c r="D378" s="28">
        <v>3</v>
      </c>
      <c r="E378" s="40" t="str" cm="1">
        <f t="array" ref="E378">_xlfn.IFS(D378&gt;=21,"Night",D378&gt;=17,"Evening",D378&gt;=12,"Midday",D378&gt;=6,"Morning", TRUE, "Night")</f>
        <v>Night</v>
      </c>
      <c r="F378" s="28">
        <v>1</v>
      </c>
      <c r="G378" s="28">
        <v>0</v>
      </c>
      <c r="H378" s="28">
        <v>1</v>
      </c>
      <c r="I378" s="28">
        <v>1</v>
      </c>
      <c r="J378" s="40" t="str">
        <f t="shared" si="34"/>
        <v>Weekday</v>
      </c>
      <c r="K378" s="28" t="b">
        <v>1</v>
      </c>
      <c r="L378" s="28">
        <v>2</v>
      </c>
      <c r="M378" s="40" t="str" cm="1">
        <f t="array" ref="M378">_xlfn.IFS(L378=1,"Clear / Partly Cloudy",L378=2,"Mist / Cloudy",L378=3,"Light Snow / Rain",L378=4,"Heavy Precipitation")</f>
        <v>Mist / Cloudy</v>
      </c>
      <c r="N378" s="28">
        <v>0.18</v>
      </c>
      <c r="O378" s="28" t="str">
        <f t="shared" si="35"/>
        <v>Cold</v>
      </c>
      <c r="P378" s="28">
        <v>0.18179999999999999</v>
      </c>
      <c r="Q378" s="38">
        <f t="shared" si="31"/>
        <v>0.18179999999999999</v>
      </c>
      <c r="R378" s="28">
        <v>0.43</v>
      </c>
      <c r="S378" s="28">
        <v>0.19400000000000001</v>
      </c>
      <c r="T378" s="40" t="str" cm="1">
        <f t="array" ref="T378">_xlfn.IFS(S378*18.6&lt;2,"Calm",S378*18.6&lt;6,"Light Breeze",S378*18.6&lt;14,"Gale",TRUE,"Extreme Storm")</f>
        <v>Light Breeze</v>
      </c>
      <c r="U378" s="28">
        <v>0</v>
      </c>
      <c r="V378" s="28">
        <v>2</v>
      </c>
      <c r="W378" s="28">
        <v>2</v>
      </c>
      <c r="X378" s="44">
        <f>AVERAGE(INDEX($W:$W,MAX(ROW($W$3),ROW()-23)):INDEX($W:$W,ROW()))</f>
        <v>48.083333333333336</v>
      </c>
      <c r="Y378" s="44">
        <f>_xlfn.STDEV.S(INDEX($W:$W,MAX(ROW($W$3),ROW()-23)):INDEX($W:$W,ROW()))</f>
        <v>42.22189486270247</v>
      </c>
      <c r="Z378" s="44">
        <f t="shared" si="32"/>
        <v>-1.0914558307529192</v>
      </c>
      <c r="AA378" s="40" t="b">
        <f t="shared" si="30"/>
        <v>0</v>
      </c>
    </row>
    <row r="379" spans="1:27" x14ac:dyDescent="0.3">
      <c r="A379" s="32">
        <v>377</v>
      </c>
      <c r="B379" s="33">
        <v>40560</v>
      </c>
      <c r="C379" s="40" t="str">
        <f t="shared" si="33"/>
        <v>Monday</v>
      </c>
      <c r="D379" s="28">
        <v>4</v>
      </c>
      <c r="E379" s="40" t="str" cm="1">
        <f t="array" ref="E379">_xlfn.IFS(D379&gt;=21,"Night",D379&gt;=17,"Evening",D379&gt;=12,"Midday",D379&gt;=6,"Morning", TRUE, "Night")</f>
        <v>Night</v>
      </c>
      <c r="F379" s="28">
        <v>1</v>
      </c>
      <c r="G379" s="28">
        <v>0</v>
      </c>
      <c r="H379" s="28">
        <v>1</v>
      </c>
      <c r="I379" s="28">
        <v>1</v>
      </c>
      <c r="J379" s="40" t="str">
        <f t="shared" si="34"/>
        <v>Weekday</v>
      </c>
      <c r="K379" s="28" t="b">
        <v>1</v>
      </c>
      <c r="L379" s="28">
        <v>2</v>
      </c>
      <c r="M379" s="40" t="str" cm="1">
        <f t="array" ref="M379">_xlfn.IFS(L379=1,"Clear / Partly Cloudy",L379=2,"Mist / Cloudy",L379=3,"Light Snow / Rain",L379=4,"Heavy Precipitation")</f>
        <v>Mist / Cloudy</v>
      </c>
      <c r="N379" s="28">
        <v>0.18</v>
      </c>
      <c r="O379" s="28" t="str">
        <f t="shared" si="35"/>
        <v>Cold</v>
      </c>
      <c r="P379" s="28">
        <v>0.19700000000000001</v>
      </c>
      <c r="Q379" s="38">
        <f t="shared" si="31"/>
        <v>0.19700000000000001</v>
      </c>
      <c r="R379" s="28">
        <v>0.43</v>
      </c>
      <c r="S379" s="28">
        <v>0.1343</v>
      </c>
      <c r="T379" s="40" t="str" cm="1">
        <f t="array" ref="T379">_xlfn.IFS(S379*18.6&lt;2,"Calm",S379*18.6&lt;6,"Light Breeze",S379*18.6&lt;14,"Gale",TRUE,"Extreme Storm")</f>
        <v>Light Breeze</v>
      </c>
      <c r="U379" s="28">
        <v>1</v>
      </c>
      <c r="V379" s="28">
        <v>2</v>
      </c>
      <c r="W379" s="28">
        <v>3</v>
      </c>
      <c r="X379" s="44">
        <f>AVERAGE(INDEX($W:$W,MAX(ROW($W$3),ROW()-23)):INDEX($W:$W,ROW()))</f>
        <v>48.166666666666664</v>
      </c>
      <c r="Y379" s="44">
        <f>_xlfn.STDEV.S(INDEX($W:$W,MAX(ROW($W$3),ROW()-23)):INDEX($W:$W,ROW()))</f>
        <v>42.126792741278877</v>
      </c>
      <c r="Z379" s="44">
        <f t="shared" si="32"/>
        <v>-1.0721601082725936</v>
      </c>
      <c r="AA379" s="40" t="b">
        <f t="shared" si="30"/>
        <v>0</v>
      </c>
    </row>
    <row r="380" spans="1:27" x14ac:dyDescent="0.3">
      <c r="A380" s="32">
        <v>378</v>
      </c>
      <c r="B380" s="33">
        <v>40560</v>
      </c>
      <c r="C380" s="40" t="str">
        <f t="shared" si="33"/>
        <v>Monday</v>
      </c>
      <c r="D380" s="28">
        <v>5</v>
      </c>
      <c r="E380" s="40" t="str" cm="1">
        <f t="array" ref="E380">_xlfn.IFS(D380&gt;=21,"Night",D380&gt;=17,"Evening",D380&gt;=12,"Midday",D380&gt;=6,"Morning", TRUE, "Night")</f>
        <v>Night</v>
      </c>
      <c r="F380" s="28">
        <v>1</v>
      </c>
      <c r="G380" s="28">
        <v>0</v>
      </c>
      <c r="H380" s="28">
        <v>1</v>
      </c>
      <c r="I380" s="28">
        <v>1</v>
      </c>
      <c r="J380" s="40" t="str">
        <f t="shared" si="34"/>
        <v>Weekday</v>
      </c>
      <c r="K380" s="28" t="b">
        <v>1</v>
      </c>
      <c r="L380" s="28">
        <v>2</v>
      </c>
      <c r="M380" s="40" t="str" cm="1">
        <f t="array" ref="M380">_xlfn.IFS(L380=1,"Clear / Partly Cloudy",L380=2,"Mist / Cloudy",L380=3,"Light Snow / Rain",L380=4,"Heavy Precipitation")</f>
        <v>Mist / Cloudy</v>
      </c>
      <c r="N380" s="28">
        <v>0.18</v>
      </c>
      <c r="O380" s="28" t="str">
        <f t="shared" si="35"/>
        <v>Cold</v>
      </c>
      <c r="P380" s="28">
        <v>0.19700000000000001</v>
      </c>
      <c r="Q380" s="38">
        <f t="shared" si="31"/>
        <v>0.19700000000000001</v>
      </c>
      <c r="R380" s="28">
        <v>0.43</v>
      </c>
      <c r="S380" s="28">
        <v>0.16420000000000001</v>
      </c>
      <c r="T380" s="40" t="str" cm="1">
        <f t="array" ref="T380">_xlfn.IFS(S380*18.6&lt;2,"Calm",S380*18.6&lt;6,"Light Breeze",S380*18.6&lt;14,"Gale",TRUE,"Extreme Storm")</f>
        <v>Light Breeze</v>
      </c>
      <c r="U380" s="28">
        <v>0</v>
      </c>
      <c r="V380" s="28">
        <v>1</v>
      </c>
      <c r="W380" s="28">
        <v>1</v>
      </c>
      <c r="X380" s="44">
        <f>AVERAGE(INDEX($W:$W,MAX(ROW($W$3),ROW()-23)):INDEX($W:$W,ROW()))</f>
        <v>48.125</v>
      </c>
      <c r="Y380" s="44">
        <f>_xlfn.STDEV.S(INDEX($W:$W,MAX(ROW($W$3),ROW()-23)):INDEX($W:$W,ROW()))</f>
        <v>42.174907540941412</v>
      </c>
      <c r="Z380" s="44">
        <f t="shared" si="32"/>
        <v>-1.1173705586491984</v>
      </c>
      <c r="AA380" s="40" t="b">
        <f t="shared" si="30"/>
        <v>0</v>
      </c>
    </row>
    <row r="381" spans="1:27" x14ac:dyDescent="0.3">
      <c r="A381" s="32">
        <v>379</v>
      </c>
      <c r="B381" s="33">
        <v>40560</v>
      </c>
      <c r="C381" s="40" t="str">
        <f t="shared" si="33"/>
        <v>Monday</v>
      </c>
      <c r="D381" s="28">
        <v>6</v>
      </c>
      <c r="E381" s="40" t="str" cm="1">
        <f t="array" ref="E381">_xlfn.IFS(D381&gt;=21,"Night",D381&gt;=17,"Evening",D381&gt;=12,"Midday",D381&gt;=6,"Morning", TRUE, "Night")</f>
        <v>Morning</v>
      </c>
      <c r="F381" s="28">
        <v>1</v>
      </c>
      <c r="G381" s="28">
        <v>0</v>
      </c>
      <c r="H381" s="28">
        <v>1</v>
      </c>
      <c r="I381" s="28">
        <v>1</v>
      </c>
      <c r="J381" s="40" t="str">
        <f t="shared" si="34"/>
        <v>Weekday</v>
      </c>
      <c r="K381" s="28" t="b">
        <v>1</v>
      </c>
      <c r="L381" s="28">
        <v>2</v>
      </c>
      <c r="M381" s="40" t="str" cm="1">
        <f t="array" ref="M381">_xlfn.IFS(L381=1,"Clear / Partly Cloudy",L381=2,"Mist / Cloudy",L381=3,"Light Snow / Rain",L381=4,"Heavy Precipitation")</f>
        <v>Mist / Cloudy</v>
      </c>
      <c r="N381" s="28">
        <v>0.18</v>
      </c>
      <c r="O381" s="28" t="str">
        <f t="shared" si="35"/>
        <v>Cold</v>
      </c>
      <c r="P381" s="28">
        <v>0.18179999999999999</v>
      </c>
      <c r="Q381" s="38">
        <f t="shared" si="31"/>
        <v>0.18179999999999999</v>
      </c>
      <c r="R381" s="28">
        <v>0.43</v>
      </c>
      <c r="S381" s="28">
        <v>0.19400000000000001</v>
      </c>
      <c r="T381" s="40" t="str" cm="1">
        <f t="array" ref="T381">_xlfn.IFS(S381*18.6&lt;2,"Calm",S381*18.6&lt;6,"Light Breeze",S381*18.6&lt;14,"Gale",TRUE,"Extreme Storm")</f>
        <v>Light Breeze</v>
      </c>
      <c r="U381" s="28">
        <v>0</v>
      </c>
      <c r="V381" s="28">
        <v>5</v>
      </c>
      <c r="W381" s="28">
        <v>5</v>
      </c>
      <c r="X381" s="44">
        <f>AVERAGE(INDEX($W:$W,MAX(ROW($W$3),ROW()-23)):INDEX($W:$W,ROW()))</f>
        <v>48.291666666666664</v>
      </c>
      <c r="Y381" s="44">
        <f>_xlfn.STDEV.S(INDEX($W:$W,MAX(ROW($W$3),ROW()-23)):INDEX($W:$W,ROW()))</f>
        <v>41.988071977715258</v>
      </c>
      <c r="Z381" s="44">
        <f t="shared" si="32"/>
        <v>-1.0310467860882795</v>
      </c>
      <c r="AA381" s="40" t="b">
        <f t="shared" si="30"/>
        <v>0</v>
      </c>
    </row>
    <row r="382" spans="1:27" x14ac:dyDescent="0.3">
      <c r="A382" s="32">
        <v>380</v>
      </c>
      <c r="B382" s="33">
        <v>40560</v>
      </c>
      <c r="C382" s="40" t="str">
        <f t="shared" si="33"/>
        <v>Monday</v>
      </c>
      <c r="D382" s="28">
        <v>7</v>
      </c>
      <c r="E382" s="40" t="str" cm="1">
        <f t="array" ref="E382">_xlfn.IFS(D382&gt;=21,"Night",D382&gt;=17,"Evening",D382&gt;=12,"Midday",D382&gt;=6,"Morning", TRUE, "Night")</f>
        <v>Morning</v>
      </c>
      <c r="F382" s="28">
        <v>1</v>
      </c>
      <c r="G382" s="28">
        <v>0</v>
      </c>
      <c r="H382" s="28">
        <v>1</v>
      </c>
      <c r="I382" s="28">
        <v>1</v>
      </c>
      <c r="J382" s="40" t="str">
        <f t="shared" si="34"/>
        <v>Weekday</v>
      </c>
      <c r="K382" s="28" t="b">
        <v>1</v>
      </c>
      <c r="L382" s="28">
        <v>2</v>
      </c>
      <c r="M382" s="40" t="str" cm="1">
        <f t="array" ref="M382">_xlfn.IFS(L382=1,"Clear / Partly Cloudy",L382=2,"Mist / Cloudy",L382=3,"Light Snow / Rain",L382=4,"Heavy Precipitation")</f>
        <v>Mist / Cloudy</v>
      </c>
      <c r="N382" s="28">
        <v>0.16</v>
      </c>
      <c r="O382" s="28" t="str">
        <f t="shared" si="35"/>
        <v>Cold</v>
      </c>
      <c r="P382" s="28">
        <v>0.18179999999999999</v>
      </c>
      <c r="Q382" s="38">
        <f t="shared" si="31"/>
        <v>0.18179999999999999</v>
      </c>
      <c r="R382" s="28">
        <v>0.5</v>
      </c>
      <c r="S382" s="28">
        <v>0.1343</v>
      </c>
      <c r="T382" s="40" t="str" cm="1">
        <f t="array" ref="T382">_xlfn.IFS(S382*18.6&lt;2,"Calm",S382*18.6&lt;6,"Light Breeze",S382*18.6&lt;14,"Gale",TRUE,"Extreme Storm")</f>
        <v>Light Breeze</v>
      </c>
      <c r="U382" s="28">
        <v>4</v>
      </c>
      <c r="V382" s="28">
        <v>9</v>
      </c>
      <c r="W382" s="28">
        <v>13</v>
      </c>
      <c r="X382" s="44">
        <f>AVERAGE(INDEX($W:$W,MAX(ROW($W$3),ROW()-23)):INDEX($W:$W,ROW()))</f>
        <v>48.708333333333336</v>
      </c>
      <c r="Y382" s="44">
        <f>_xlfn.STDEV.S(INDEX($W:$W,MAX(ROW($W$3),ROW()-23)):INDEX($W:$W,ROW()))</f>
        <v>41.566582696938767</v>
      </c>
      <c r="Z382" s="44">
        <f t="shared" si="32"/>
        <v>-0.85906348360850771</v>
      </c>
      <c r="AA382" s="40" t="b">
        <f t="shared" si="30"/>
        <v>0</v>
      </c>
    </row>
    <row r="383" spans="1:27" x14ac:dyDescent="0.3">
      <c r="A383" s="32">
        <v>381</v>
      </c>
      <c r="B383" s="33">
        <v>40560</v>
      </c>
      <c r="C383" s="40" t="str">
        <f t="shared" si="33"/>
        <v>Monday</v>
      </c>
      <c r="D383" s="28">
        <v>8</v>
      </c>
      <c r="E383" s="40" t="str" cm="1">
        <f t="array" ref="E383">_xlfn.IFS(D383&gt;=21,"Night",D383&gt;=17,"Evening",D383&gt;=12,"Midday",D383&gt;=6,"Morning", TRUE, "Night")</f>
        <v>Morning</v>
      </c>
      <c r="F383" s="28">
        <v>1</v>
      </c>
      <c r="G383" s="28">
        <v>0</v>
      </c>
      <c r="H383" s="28">
        <v>1</v>
      </c>
      <c r="I383" s="28">
        <v>1</v>
      </c>
      <c r="J383" s="40" t="str">
        <f t="shared" si="34"/>
        <v>Weekday</v>
      </c>
      <c r="K383" s="28" t="b">
        <v>1</v>
      </c>
      <c r="L383" s="28">
        <v>2</v>
      </c>
      <c r="M383" s="40" t="str" cm="1">
        <f t="array" ref="M383">_xlfn.IFS(L383=1,"Clear / Partly Cloudy",L383=2,"Mist / Cloudy",L383=3,"Light Snow / Rain",L383=4,"Heavy Precipitation")</f>
        <v>Mist / Cloudy</v>
      </c>
      <c r="N383" s="28">
        <v>0.16</v>
      </c>
      <c r="O383" s="28" t="str">
        <f t="shared" si="35"/>
        <v>Cold</v>
      </c>
      <c r="P383" s="28">
        <v>0.1515</v>
      </c>
      <c r="Q383" s="38">
        <f t="shared" si="31"/>
        <v>0.1515</v>
      </c>
      <c r="R383" s="28">
        <v>0.47</v>
      </c>
      <c r="S383" s="28">
        <v>0.22389999999999999</v>
      </c>
      <c r="T383" s="40" t="str" cm="1">
        <f t="array" ref="T383">_xlfn.IFS(S383*18.6&lt;2,"Calm",S383*18.6&lt;6,"Light Breeze",S383*18.6&lt;14,"Gale",TRUE,"Extreme Storm")</f>
        <v>Light Breeze</v>
      </c>
      <c r="U383" s="28">
        <v>3</v>
      </c>
      <c r="V383" s="28">
        <v>30</v>
      </c>
      <c r="W383" s="28">
        <v>33</v>
      </c>
      <c r="X383" s="44">
        <f>AVERAGE(INDEX($W:$W,MAX(ROW($W$3),ROW()-23)):INDEX($W:$W,ROW()))</f>
        <v>49.333333333333336</v>
      </c>
      <c r="Y383" s="44">
        <f>_xlfn.STDEV.S(INDEX($W:$W,MAX(ROW($W$3),ROW()-23)):INDEX($W:$W,ROW()))</f>
        <v>41.19589116981647</v>
      </c>
      <c r="Z383" s="44">
        <f t="shared" si="32"/>
        <v>-0.3964796699264147</v>
      </c>
      <c r="AA383" s="40" t="b">
        <f t="shared" si="30"/>
        <v>0</v>
      </c>
    </row>
    <row r="384" spans="1:27" x14ac:dyDescent="0.3">
      <c r="A384" s="32">
        <v>382</v>
      </c>
      <c r="B384" s="33">
        <v>40560</v>
      </c>
      <c r="C384" s="40" t="str">
        <f t="shared" si="33"/>
        <v>Monday</v>
      </c>
      <c r="D384" s="28">
        <v>9</v>
      </c>
      <c r="E384" s="40" t="str" cm="1">
        <f t="array" ref="E384">_xlfn.IFS(D384&gt;=21,"Night",D384&gt;=17,"Evening",D384&gt;=12,"Midday",D384&gt;=6,"Morning", TRUE, "Night")</f>
        <v>Morning</v>
      </c>
      <c r="F384" s="28">
        <v>1</v>
      </c>
      <c r="G384" s="28">
        <v>0</v>
      </c>
      <c r="H384" s="28">
        <v>1</v>
      </c>
      <c r="I384" s="28">
        <v>1</v>
      </c>
      <c r="J384" s="40" t="str">
        <f t="shared" si="34"/>
        <v>Weekday</v>
      </c>
      <c r="K384" s="28" t="b">
        <v>1</v>
      </c>
      <c r="L384" s="28">
        <v>2</v>
      </c>
      <c r="M384" s="40" t="str" cm="1">
        <f t="array" ref="M384">_xlfn.IFS(L384=1,"Clear / Partly Cloudy",L384=2,"Mist / Cloudy",L384=3,"Light Snow / Rain",L384=4,"Heavy Precipitation")</f>
        <v>Mist / Cloudy</v>
      </c>
      <c r="N384" s="28">
        <v>0.16</v>
      </c>
      <c r="O384" s="28" t="str">
        <f t="shared" si="35"/>
        <v>Cold</v>
      </c>
      <c r="P384" s="28">
        <v>0.1515</v>
      </c>
      <c r="Q384" s="38">
        <f t="shared" si="31"/>
        <v>0.1515</v>
      </c>
      <c r="R384" s="28">
        <v>0.47</v>
      </c>
      <c r="S384" s="28">
        <v>0.22389999999999999</v>
      </c>
      <c r="T384" s="40" t="str" cm="1">
        <f t="array" ref="T384">_xlfn.IFS(S384*18.6&lt;2,"Calm",S384*18.6&lt;6,"Light Breeze",S384*18.6&lt;14,"Gale",TRUE,"Extreme Storm")</f>
        <v>Light Breeze</v>
      </c>
      <c r="U384" s="28">
        <v>8</v>
      </c>
      <c r="V384" s="28">
        <v>39</v>
      </c>
      <c r="W384" s="28">
        <v>47</v>
      </c>
      <c r="X384" s="44">
        <f>AVERAGE(INDEX($W:$W,MAX(ROW($W$3),ROW()-23)):INDEX($W:$W,ROW()))</f>
        <v>49.958333333333336</v>
      </c>
      <c r="Y384" s="44">
        <f>_xlfn.STDEV.S(INDEX($W:$W,MAX(ROW($W$3),ROW()-23)):INDEX($W:$W,ROW()))</f>
        <v>41.034957702222485</v>
      </c>
      <c r="Z384" s="44">
        <f t="shared" si="32"/>
        <v>-7.2093003112151624E-2</v>
      </c>
      <c r="AA384" s="40" t="b">
        <f t="shared" si="30"/>
        <v>0</v>
      </c>
    </row>
    <row r="385" spans="1:27" x14ac:dyDescent="0.3">
      <c r="A385" s="32">
        <v>383</v>
      </c>
      <c r="B385" s="33">
        <v>40560</v>
      </c>
      <c r="C385" s="40" t="str">
        <f t="shared" si="33"/>
        <v>Monday</v>
      </c>
      <c r="D385" s="28">
        <v>10</v>
      </c>
      <c r="E385" s="40" t="str" cm="1">
        <f t="array" ref="E385">_xlfn.IFS(D385&gt;=21,"Night",D385&gt;=17,"Evening",D385&gt;=12,"Midday",D385&gt;=6,"Morning", TRUE, "Night")</f>
        <v>Morning</v>
      </c>
      <c r="F385" s="28">
        <v>1</v>
      </c>
      <c r="G385" s="28">
        <v>0</v>
      </c>
      <c r="H385" s="28">
        <v>1</v>
      </c>
      <c r="I385" s="28">
        <v>1</v>
      </c>
      <c r="J385" s="40" t="str">
        <f t="shared" si="34"/>
        <v>Weekday</v>
      </c>
      <c r="K385" s="28" t="b">
        <v>1</v>
      </c>
      <c r="L385" s="28">
        <v>2</v>
      </c>
      <c r="M385" s="40" t="str" cm="1">
        <f t="array" ref="M385">_xlfn.IFS(L385=1,"Clear / Partly Cloudy",L385=2,"Mist / Cloudy",L385=3,"Light Snow / Rain",L385=4,"Heavy Precipitation")</f>
        <v>Mist / Cloudy</v>
      </c>
      <c r="N385" s="28">
        <v>0.16</v>
      </c>
      <c r="O385" s="28" t="str">
        <f t="shared" si="35"/>
        <v>Cold</v>
      </c>
      <c r="P385" s="28">
        <v>0.1515</v>
      </c>
      <c r="Q385" s="38">
        <f t="shared" si="31"/>
        <v>0.1515</v>
      </c>
      <c r="R385" s="28">
        <v>0.5</v>
      </c>
      <c r="S385" s="28">
        <v>0.25369999999999998</v>
      </c>
      <c r="T385" s="40" t="str" cm="1">
        <f t="array" ref="T385">_xlfn.IFS(S385*18.6&lt;2,"Calm",S385*18.6&lt;6,"Light Breeze",S385*18.6&lt;14,"Gale",TRUE,"Extreme Storm")</f>
        <v>Light Breeze</v>
      </c>
      <c r="U385" s="28">
        <v>7</v>
      </c>
      <c r="V385" s="28">
        <v>50</v>
      </c>
      <c r="W385" s="28">
        <v>57</v>
      </c>
      <c r="X385" s="44">
        <f>AVERAGE(INDEX($W:$W,MAX(ROW($W$3),ROW()-23)):INDEX($W:$W,ROW()))</f>
        <v>49.041666666666664</v>
      </c>
      <c r="Y385" s="44">
        <f>_xlfn.STDEV.S(INDEX($W:$W,MAX(ROW($W$3),ROW()-23)):INDEX($W:$W,ROW()))</f>
        <v>40.601434079049014</v>
      </c>
      <c r="Z385" s="44">
        <f t="shared" si="32"/>
        <v>0.19601113886368762</v>
      </c>
      <c r="AA385" s="40" t="b">
        <f t="shared" si="30"/>
        <v>0</v>
      </c>
    </row>
    <row r="386" spans="1:27" x14ac:dyDescent="0.3">
      <c r="A386" s="32">
        <v>384</v>
      </c>
      <c r="B386" s="33">
        <v>40560</v>
      </c>
      <c r="C386" s="40" t="str">
        <f t="shared" si="33"/>
        <v>Monday</v>
      </c>
      <c r="D386" s="28">
        <v>11</v>
      </c>
      <c r="E386" s="40" t="str" cm="1">
        <f t="array" ref="E386">_xlfn.IFS(D386&gt;=21,"Night",D386&gt;=17,"Evening",D386&gt;=12,"Midday",D386&gt;=6,"Morning", TRUE, "Night")</f>
        <v>Morning</v>
      </c>
      <c r="F386" s="28">
        <v>1</v>
      </c>
      <c r="G386" s="28">
        <v>0</v>
      </c>
      <c r="H386" s="28">
        <v>1</v>
      </c>
      <c r="I386" s="28">
        <v>1</v>
      </c>
      <c r="J386" s="40" t="str">
        <f t="shared" si="34"/>
        <v>Weekday</v>
      </c>
      <c r="K386" s="28" t="b">
        <v>1</v>
      </c>
      <c r="L386" s="28">
        <v>2</v>
      </c>
      <c r="M386" s="40" t="str" cm="1">
        <f t="array" ref="M386">_xlfn.IFS(L386=1,"Clear / Partly Cloudy",L386=2,"Mist / Cloudy",L386=3,"Light Snow / Rain",L386=4,"Heavy Precipitation")</f>
        <v>Mist / Cloudy</v>
      </c>
      <c r="N386" s="28">
        <v>0.16</v>
      </c>
      <c r="O386" s="28" t="str">
        <f t="shared" si="35"/>
        <v>Cold</v>
      </c>
      <c r="P386" s="28">
        <v>0.1515</v>
      </c>
      <c r="Q386" s="38">
        <f t="shared" si="31"/>
        <v>0.1515</v>
      </c>
      <c r="R386" s="28">
        <v>0.55000000000000004</v>
      </c>
      <c r="S386" s="28">
        <v>0.19400000000000001</v>
      </c>
      <c r="T386" s="40" t="str" cm="1">
        <f t="array" ref="T386">_xlfn.IFS(S386*18.6&lt;2,"Calm",S386*18.6&lt;6,"Light Breeze",S386*18.6&lt;14,"Gale",TRUE,"Extreme Storm")</f>
        <v>Light Breeze</v>
      </c>
      <c r="U386" s="28">
        <v>9</v>
      </c>
      <c r="V386" s="28">
        <v>55</v>
      </c>
      <c r="W386" s="28">
        <v>64</v>
      </c>
      <c r="X386" s="44">
        <f>AVERAGE(INDEX($W:$W,MAX(ROW($W$3),ROW()-23)):INDEX($W:$W,ROW()))</f>
        <v>47.833333333333336</v>
      </c>
      <c r="Y386" s="44">
        <f>_xlfn.STDEV.S(INDEX($W:$W,MAX(ROW($W$3),ROW()-23)):INDEX($W:$W,ROW()))</f>
        <v>39.656861533241212</v>
      </c>
      <c r="Z386" s="44">
        <f t="shared" si="32"/>
        <v>0.40766379490508664</v>
      </c>
      <c r="AA386" s="40" t="b">
        <f t="shared" si="30"/>
        <v>0</v>
      </c>
    </row>
    <row r="387" spans="1:27" x14ac:dyDescent="0.3">
      <c r="A387" s="32">
        <v>385</v>
      </c>
      <c r="B387" s="33">
        <v>40560</v>
      </c>
      <c r="C387" s="40" t="str">
        <f t="shared" si="33"/>
        <v>Monday</v>
      </c>
      <c r="D387" s="28">
        <v>12</v>
      </c>
      <c r="E387" s="40" t="str" cm="1">
        <f t="array" ref="E387">_xlfn.IFS(D387&gt;=21,"Night",D387&gt;=17,"Evening",D387&gt;=12,"Midday",D387&gt;=6,"Morning", TRUE, "Night")</f>
        <v>Midday</v>
      </c>
      <c r="F387" s="28">
        <v>1</v>
      </c>
      <c r="G387" s="28">
        <v>0</v>
      </c>
      <c r="H387" s="28">
        <v>1</v>
      </c>
      <c r="I387" s="28">
        <v>1</v>
      </c>
      <c r="J387" s="40" t="str">
        <f t="shared" si="34"/>
        <v>Weekday</v>
      </c>
      <c r="K387" s="28" t="b">
        <v>1</v>
      </c>
      <c r="L387" s="28">
        <v>2</v>
      </c>
      <c r="M387" s="40" t="str" cm="1">
        <f t="array" ref="M387">_xlfn.IFS(L387=1,"Clear / Partly Cloudy",L387=2,"Mist / Cloudy",L387=3,"Light Snow / Rain",L387=4,"Heavy Precipitation")</f>
        <v>Mist / Cloudy</v>
      </c>
      <c r="N387" s="28">
        <v>0.18</v>
      </c>
      <c r="O387" s="28" t="str">
        <f t="shared" si="35"/>
        <v>Cold</v>
      </c>
      <c r="P387" s="28">
        <v>0.19700000000000001</v>
      </c>
      <c r="Q387" s="38">
        <f t="shared" si="31"/>
        <v>0.19700000000000001</v>
      </c>
      <c r="R387" s="28">
        <v>0.47</v>
      </c>
      <c r="S387" s="28">
        <v>0.1343</v>
      </c>
      <c r="T387" s="40" t="str" cm="1">
        <f t="array" ref="T387">_xlfn.IFS(S387*18.6&lt;2,"Calm",S387*18.6&lt;6,"Light Breeze",S387*18.6&lt;14,"Gale",TRUE,"Extreme Storm")</f>
        <v>Light Breeze</v>
      </c>
      <c r="U387" s="28">
        <v>10</v>
      </c>
      <c r="V387" s="28">
        <v>70</v>
      </c>
      <c r="W387" s="28">
        <v>80</v>
      </c>
      <c r="X387" s="44">
        <f>AVERAGE(INDEX($W:$W,MAX(ROW($W$3),ROW()-23)):INDEX($W:$W,ROW()))</f>
        <v>46.833333333333336</v>
      </c>
      <c r="Y387" s="44">
        <f>_xlfn.STDEV.S(INDEX($W:$W,MAX(ROW($W$3),ROW()-23)):INDEX($W:$W,ROW()))</f>
        <v>38.463609754706056</v>
      </c>
      <c r="Z387" s="44">
        <f t="shared" si="32"/>
        <v>0.86228689606046904</v>
      </c>
      <c r="AA387" s="40" t="b">
        <f t="shared" ref="AA387:AA450" si="36">IF(ABS(Z387)&gt;=3,TRUE,FALSE)</f>
        <v>0</v>
      </c>
    </row>
    <row r="388" spans="1:27" x14ac:dyDescent="0.3">
      <c r="A388" s="32">
        <v>386</v>
      </c>
      <c r="B388" s="33">
        <v>40560</v>
      </c>
      <c r="C388" s="40" t="str">
        <f t="shared" si="33"/>
        <v>Monday</v>
      </c>
      <c r="D388" s="28">
        <v>13</v>
      </c>
      <c r="E388" s="40" t="str" cm="1">
        <f t="array" ref="E388">_xlfn.IFS(D388&gt;=21,"Night",D388&gt;=17,"Evening",D388&gt;=12,"Midday",D388&gt;=6,"Morning", TRUE, "Night")</f>
        <v>Midday</v>
      </c>
      <c r="F388" s="28">
        <v>1</v>
      </c>
      <c r="G388" s="28">
        <v>0</v>
      </c>
      <c r="H388" s="28">
        <v>1</v>
      </c>
      <c r="I388" s="28">
        <v>1</v>
      </c>
      <c r="J388" s="40" t="str">
        <f t="shared" si="34"/>
        <v>Weekday</v>
      </c>
      <c r="K388" s="28" t="b">
        <v>1</v>
      </c>
      <c r="L388" s="28">
        <v>2</v>
      </c>
      <c r="M388" s="40" t="str" cm="1">
        <f t="array" ref="M388">_xlfn.IFS(L388=1,"Clear / Partly Cloudy",L388=2,"Mist / Cloudy",L388=3,"Light Snow / Rain",L388=4,"Heavy Precipitation")</f>
        <v>Mist / Cloudy</v>
      </c>
      <c r="N388" s="28">
        <v>0.18</v>
      </c>
      <c r="O388" s="28" t="str">
        <f t="shared" si="35"/>
        <v>Cold</v>
      </c>
      <c r="P388" s="28">
        <v>0.19700000000000001</v>
      </c>
      <c r="Q388" s="38">
        <f t="shared" ref="Q388:Q451" si="37">IF(P388="", AVERAGE($P$3:$P$1002), P388)</f>
        <v>0.19700000000000001</v>
      </c>
      <c r="R388" s="28">
        <v>0.47</v>
      </c>
      <c r="S388" s="28">
        <v>0.1343</v>
      </c>
      <c r="T388" s="40" t="str" cm="1">
        <f t="array" ref="T388">_xlfn.IFS(S388*18.6&lt;2,"Calm",S388*18.6&lt;6,"Light Breeze",S388*18.6&lt;14,"Gale",TRUE,"Extreme Storm")</f>
        <v>Light Breeze</v>
      </c>
      <c r="U388" s="28">
        <v>13</v>
      </c>
      <c r="V388" s="28">
        <v>80</v>
      </c>
      <c r="W388" s="28">
        <v>93</v>
      </c>
      <c r="X388" s="44">
        <f>AVERAGE(INDEX($W:$W,MAX(ROW($W$3),ROW()-23)):INDEX($W:$W,ROW()))</f>
        <v>45.791666666666664</v>
      </c>
      <c r="Y388" s="44">
        <f>_xlfn.STDEV.S(INDEX($W:$W,MAX(ROW($W$3),ROW()-23)):INDEX($W:$W,ROW()))</f>
        <v>36.752969908586294</v>
      </c>
      <c r="Z388" s="44">
        <f t="shared" ref="Z388:Z451" si="38">IFERROR((W388-X388)/Y388,0)</f>
        <v>1.2844766953732476</v>
      </c>
      <c r="AA388" s="40" t="b">
        <f t="shared" si="36"/>
        <v>0</v>
      </c>
    </row>
    <row r="389" spans="1:27" x14ac:dyDescent="0.3">
      <c r="A389" s="32">
        <v>387</v>
      </c>
      <c r="B389" s="33">
        <v>40560</v>
      </c>
      <c r="C389" s="40" t="str">
        <f t="shared" ref="C389:C452" si="39">TEXT(B389,"dddd")</f>
        <v>Monday</v>
      </c>
      <c r="D389" s="28">
        <v>14</v>
      </c>
      <c r="E389" s="40" t="str" cm="1">
        <f t="array" ref="E389">_xlfn.IFS(D389&gt;=21,"Night",D389&gt;=17,"Evening",D389&gt;=12,"Midday",D389&gt;=6,"Morning", TRUE, "Night")</f>
        <v>Midday</v>
      </c>
      <c r="F389" s="28">
        <v>1</v>
      </c>
      <c r="G389" s="28">
        <v>0</v>
      </c>
      <c r="H389" s="28">
        <v>1</v>
      </c>
      <c r="I389" s="28">
        <v>1</v>
      </c>
      <c r="J389" s="40" t="str">
        <f t="shared" ref="J389:J452" si="40">IF(OR(I389="Saturday", I389="Sunday"), "Weekend", "Weekday")</f>
        <v>Weekday</v>
      </c>
      <c r="K389" s="28" t="b">
        <v>1</v>
      </c>
      <c r="L389" s="28">
        <v>2</v>
      </c>
      <c r="M389" s="40" t="str" cm="1">
        <f t="array" ref="M389">_xlfn.IFS(L389=1,"Clear / Partly Cloudy",L389=2,"Mist / Cloudy",L389=3,"Light Snow / Rain",L389=4,"Heavy Precipitation")</f>
        <v>Mist / Cloudy</v>
      </c>
      <c r="N389" s="28">
        <v>0.18</v>
      </c>
      <c r="O389" s="28" t="str">
        <f t="shared" ref="O389:O452" si="41">IF(N389&lt;0.2,"Cold",IF(N389&lt;0.6,"Mild","Hot"))</f>
        <v>Cold</v>
      </c>
      <c r="P389" s="28">
        <v>0.21210000000000001</v>
      </c>
      <c r="Q389" s="38">
        <f t="shared" si="37"/>
        <v>0.21210000000000001</v>
      </c>
      <c r="R389" s="28">
        <v>0.43</v>
      </c>
      <c r="S389" s="28">
        <v>0.1045</v>
      </c>
      <c r="T389" s="40" t="str" cm="1">
        <f t="array" ref="T389">_xlfn.IFS(S389*18.6&lt;2,"Calm",S389*18.6&lt;6,"Light Breeze",S389*18.6&lt;14,"Gale",TRUE,"Extreme Storm")</f>
        <v>Calm</v>
      </c>
      <c r="U389" s="28">
        <v>12</v>
      </c>
      <c r="V389" s="28">
        <v>74</v>
      </c>
      <c r="W389" s="28">
        <v>86</v>
      </c>
      <c r="X389" s="44">
        <f>AVERAGE(INDEX($W:$W,MAX(ROW($W$3),ROW()-23)):INDEX($W:$W,ROW()))</f>
        <v>45.583333333333336</v>
      </c>
      <c r="Y389" s="44">
        <f>_xlfn.STDEV.S(INDEX($W:$W,MAX(ROW($W$3),ROW()-23)):INDEX($W:$W,ROW()))</f>
        <v>36.498858429636762</v>
      </c>
      <c r="Z389" s="44">
        <f t="shared" si="38"/>
        <v>1.1073405691463676</v>
      </c>
      <c r="AA389" s="40" t="b">
        <f t="shared" si="36"/>
        <v>0</v>
      </c>
    </row>
    <row r="390" spans="1:27" x14ac:dyDescent="0.3">
      <c r="A390" s="32">
        <v>388</v>
      </c>
      <c r="B390" s="33">
        <v>40560</v>
      </c>
      <c r="C390" s="40" t="str">
        <f t="shared" si="39"/>
        <v>Monday</v>
      </c>
      <c r="D390" s="28">
        <v>15</v>
      </c>
      <c r="E390" s="40" t="str" cm="1">
        <f t="array" ref="E390">_xlfn.IFS(D390&gt;=21,"Night",D390&gt;=17,"Evening",D390&gt;=12,"Midday",D390&gt;=6,"Morning", TRUE, "Night")</f>
        <v>Midday</v>
      </c>
      <c r="F390" s="28">
        <v>1</v>
      </c>
      <c r="G390" s="28">
        <v>0</v>
      </c>
      <c r="H390" s="28">
        <v>1</v>
      </c>
      <c r="I390" s="28">
        <v>1</v>
      </c>
      <c r="J390" s="40" t="str">
        <f t="shared" si="40"/>
        <v>Weekday</v>
      </c>
      <c r="K390" s="28" t="b">
        <v>1</v>
      </c>
      <c r="L390" s="28">
        <v>2</v>
      </c>
      <c r="M390" s="40" t="str" cm="1">
        <f t="array" ref="M390">_xlfn.IFS(L390=1,"Clear / Partly Cloudy",L390=2,"Mist / Cloudy",L390=3,"Light Snow / Rain",L390=4,"Heavy Precipitation")</f>
        <v>Mist / Cloudy</v>
      </c>
      <c r="N390" s="28">
        <v>0.2</v>
      </c>
      <c r="O390" s="28" t="str">
        <f t="shared" si="41"/>
        <v>Mild</v>
      </c>
      <c r="P390" s="28">
        <v>0.21210000000000001</v>
      </c>
      <c r="Q390" s="38">
        <f t="shared" si="37"/>
        <v>0.21210000000000001</v>
      </c>
      <c r="R390" s="28">
        <v>0.47</v>
      </c>
      <c r="S390" s="28">
        <v>0.16420000000000001</v>
      </c>
      <c r="T390" s="40" t="str" cm="1">
        <f t="array" ref="T390">_xlfn.IFS(S390*18.6&lt;2,"Calm",S390*18.6&lt;6,"Light Breeze",S390*18.6&lt;14,"Gale",TRUE,"Extreme Storm")</f>
        <v>Light Breeze</v>
      </c>
      <c r="U390" s="28">
        <v>21</v>
      </c>
      <c r="V390" s="28">
        <v>72</v>
      </c>
      <c r="W390" s="28">
        <v>93</v>
      </c>
      <c r="X390" s="44">
        <f>AVERAGE(INDEX($W:$W,MAX(ROW($W$3),ROW()-23)):INDEX($W:$W,ROW()))</f>
        <v>44.75</v>
      </c>
      <c r="Y390" s="44">
        <f>_xlfn.STDEV.S(INDEX($W:$W,MAX(ROW($W$3),ROW()-23)):INDEX($W:$W,ROW()))</f>
        <v>35.093973222217791</v>
      </c>
      <c r="Z390" s="44">
        <f t="shared" si="38"/>
        <v>1.3748799457524292</v>
      </c>
      <c r="AA390" s="40" t="b">
        <f t="shared" si="36"/>
        <v>0</v>
      </c>
    </row>
    <row r="391" spans="1:27" x14ac:dyDescent="0.3">
      <c r="A391" s="32">
        <v>389</v>
      </c>
      <c r="B391" s="33">
        <v>40560</v>
      </c>
      <c r="C391" s="40" t="str">
        <f t="shared" si="39"/>
        <v>Monday</v>
      </c>
      <c r="D391" s="28">
        <v>16</v>
      </c>
      <c r="E391" s="40" t="str" cm="1">
        <f t="array" ref="E391">_xlfn.IFS(D391&gt;=21,"Night",D391&gt;=17,"Evening",D391&gt;=12,"Midday",D391&gt;=6,"Morning", TRUE, "Night")</f>
        <v>Midday</v>
      </c>
      <c r="F391" s="28">
        <v>1</v>
      </c>
      <c r="G391" s="28">
        <v>0</v>
      </c>
      <c r="H391" s="28">
        <v>1</v>
      </c>
      <c r="I391" s="28">
        <v>1</v>
      </c>
      <c r="J391" s="40" t="str">
        <f t="shared" si="40"/>
        <v>Weekday</v>
      </c>
      <c r="K391" s="28" t="b">
        <v>1</v>
      </c>
      <c r="L391" s="28">
        <v>2</v>
      </c>
      <c r="M391" s="40" t="str" cm="1">
        <f t="array" ref="M391">_xlfn.IFS(L391=1,"Clear / Partly Cloudy",L391=2,"Mist / Cloudy",L391=3,"Light Snow / Rain",L391=4,"Heavy Precipitation")</f>
        <v>Mist / Cloudy</v>
      </c>
      <c r="N391" s="28">
        <v>0.2</v>
      </c>
      <c r="O391" s="28" t="str">
        <f t="shared" si="41"/>
        <v>Mild</v>
      </c>
      <c r="P391" s="28">
        <v>0.21210000000000001</v>
      </c>
      <c r="Q391" s="38">
        <f t="shared" si="37"/>
        <v>0.21210000000000001</v>
      </c>
      <c r="R391" s="28">
        <v>0.47</v>
      </c>
      <c r="S391" s="28">
        <v>0.16420000000000001</v>
      </c>
      <c r="T391" s="40" t="str" cm="1">
        <f t="array" ref="T391">_xlfn.IFS(S391*18.6&lt;2,"Calm",S391*18.6&lt;6,"Light Breeze",S391*18.6&lt;14,"Gale",TRUE,"Extreme Storm")</f>
        <v>Light Breeze</v>
      </c>
      <c r="U391" s="28">
        <v>6</v>
      </c>
      <c r="V391" s="28">
        <v>76</v>
      </c>
      <c r="W391" s="28">
        <v>82</v>
      </c>
      <c r="X391" s="44">
        <f>AVERAGE(INDEX($W:$W,MAX(ROW($W$3),ROW()-23)):INDEX($W:$W,ROW()))</f>
        <v>44.041666666666664</v>
      </c>
      <c r="Y391" s="44">
        <f>_xlfn.STDEV.S(INDEX($W:$W,MAX(ROW($W$3),ROW()-23)):INDEX($W:$W,ROW()))</f>
        <v>34.109133249241218</v>
      </c>
      <c r="Z391" s="44">
        <f t="shared" si="38"/>
        <v>1.1128495425540532</v>
      </c>
      <c r="AA391" s="40" t="b">
        <f t="shared" si="36"/>
        <v>0</v>
      </c>
    </row>
    <row r="392" spans="1:27" x14ac:dyDescent="0.3">
      <c r="A392" s="32">
        <v>390</v>
      </c>
      <c r="B392" s="33">
        <v>40560</v>
      </c>
      <c r="C392" s="40" t="str">
        <f t="shared" si="39"/>
        <v>Monday</v>
      </c>
      <c r="D392" s="28">
        <v>17</v>
      </c>
      <c r="E392" s="40" t="str" cm="1">
        <f t="array" ref="E392">_xlfn.IFS(D392&gt;=21,"Night",D392&gt;=17,"Evening",D392&gt;=12,"Midday",D392&gt;=6,"Morning", TRUE, "Night")</f>
        <v>Evening</v>
      </c>
      <c r="F392" s="28">
        <v>1</v>
      </c>
      <c r="G392" s="28">
        <v>0</v>
      </c>
      <c r="H392" s="28">
        <v>1</v>
      </c>
      <c r="I392" s="28">
        <v>1</v>
      </c>
      <c r="J392" s="40" t="str">
        <f t="shared" si="40"/>
        <v>Weekday</v>
      </c>
      <c r="K392" s="28" t="b">
        <v>1</v>
      </c>
      <c r="L392" s="28">
        <v>1</v>
      </c>
      <c r="M392" s="40" t="str" cm="1">
        <f t="array" ref="M392">_xlfn.IFS(L392=1,"Clear / Partly Cloudy",L392=2,"Mist / Cloudy",L392=3,"Light Snow / Rain",L392=4,"Heavy Precipitation")</f>
        <v>Clear / Partly Cloudy</v>
      </c>
      <c r="N392" s="28">
        <v>0.2</v>
      </c>
      <c r="O392" s="28" t="str">
        <f t="shared" si="41"/>
        <v>Mild</v>
      </c>
      <c r="P392" s="28">
        <v>0.19700000000000001</v>
      </c>
      <c r="Q392" s="38">
        <f t="shared" si="37"/>
        <v>0.19700000000000001</v>
      </c>
      <c r="R392" s="28">
        <v>0.51</v>
      </c>
      <c r="S392" s="28">
        <v>0.19400000000000001</v>
      </c>
      <c r="T392" s="40" t="str" cm="1">
        <f t="array" ref="T392">_xlfn.IFS(S392*18.6&lt;2,"Calm",S392*18.6&lt;6,"Light Breeze",S392*18.6&lt;14,"Gale",TRUE,"Extreme Storm")</f>
        <v>Light Breeze</v>
      </c>
      <c r="U392" s="28">
        <v>4</v>
      </c>
      <c r="V392" s="28">
        <v>67</v>
      </c>
      <c r="W392" s="28">
        <v>71</v>
      </c>
      <c r="X392" s="44">
        <f>AVERAGE(INDEX($W:$W,MAX(ROW($W$3),ROW()-23)):INDEX($W:$W,ROW()))</f>
        <v>42.625</v>
      </c>
      <c r="Y392" s="44">
        <f>_xlfn.STDEV.S(INDEX($W:$W,MAX(ROW($W$3),ROW()-23)):INDEX($W:$W,ROW()))</f>
        <v>32.115027635049607</v>
      </c>
      <c r="Z392" s="44">
        <f t="shared" si="38"/>
        <v>0.88354275520012859</v>
      </c>
      <c r="AA392" s="40" t="b">
        <f t="shared" si="36"/>
        <v>0</v>
      </c>
    </row>
    <row r="393" spans="1:27" x14ac:dyDescent="0.3">
      <c r="A393" s="32">
        <v>391</v>
      </c>
      <c r="B393" s="33">
        <v>40560</v>
      </c>
      <c r="C393" s="40" t="str">
        <f t="shared" si="39"/>
        <v>Monday</v>
      </c>
      <c r="D393" s="28">
        <v>18</v>
      </c>
      <c r="E393" s="40" t="str" cm="1">
        <f t="array" ref="E393">_xlfn.IFS(D393&gt;=21,"Night",D393&gt;=17,"Evening",D393&gt;=12,"Midday",D393&gt;=6,"Morning", TRUE, "Night")</f>
        <v>Evening</v>
      </c>
      <c r="F393" s="28">
        <v>1</v>
      </c>
      <c r="G393" s="28">
        <v>0</v>
      </c>
      <c r="H393" s="28">
        <v>1</v>
      </c>
      <c r="I393" s="28">
        <v>1</v>
      </c>
      <c r="J393" s="40" t="str">
        <f t="shared" si="40"/>
        <v>Weekday</v>
      </c>
      <c r="K393" s="28" t="b">
        <v>1</v>
      </c>
      <c r="L393" s="28">
        <v>2</v>
      </c>
      <c r="M393" s="40" t="str" cm="1">
        <f t="array" ref="M393">_xlfn.IFS(L393=1,"Clear / Partly Cloudy",L393=2,"Mist / Cloudy",L393=3,"Light Snow / Rain",L393=4,"Heavy Precipitation")</f>
        <v>Mist / Cloudy</v>
      </c>
      <c r="N393" s="28">
        <v>0.18</v>
      </c>
      <c r="O393" s="28" t="str">
        <f t="shared" si="41"/>
        <v>Cold</v>
      </c>
      <c r="P393" s="28">
        <v>0.16669999999999999</v>
      </c>
      <c r="Q393" s="38">
        <f t="shared" si="37"/>
        <v>0.16669999999999999</v>
      </c>
      <c r="R393" s="28">
        <v>0.55000000000000004</v>
      </c>
      <c r="S393" s="28">
        <v>0.25369999999999998</v>
      </c>
      <c r="T393" s="40" t="str" cm="1">
        <f t="array" ref="T393">_xlfn.IFS(S393*18.6&lt;2,"Calm",S393*18.6&lt;6,"Light Breeze",S393*18.6&lt;14,"Gale",TRUE,"Extreme Storm")</f>
        <v>Light Breeze</v>
      </c>
      <c r="U393" s="28">
        <v>7</v>
      </c>
      <c r="V393" s="28">
        <v>85</v>
      </c>
      <c r="W393" s="28">
        <v>92</v>
      </c>
      <c r="X393" s="44">
        <f>AVERAGE(INDEX($W:$W,MAX(ROW($W$3),ROW()-23)):INDEX($W:$W,ROW()))</f>
        <v>43.666666666666664</v>
      </c>
      <c r="Y393" s="44">
        <f>_xlfn.STDEV.S(INDEX($W:$W,MAX(ROW($W$3),ROW()-23)):INDEX($W:$W,ROW()))</f>
        <v>33.322751943701313</v>
      </c>
      <c r="Z393" s="44">
        <f t="shared" si="38"/>
        <v>1.4504604366107683</v>
      </c>
      <c r="AA393" s="40" t="b">
        <f t="shared" si="36"/>
        <v>0</v>
      </c>
    </row>
    <row r="394" spans="1:27" x14ac:dyDescent="0.3">
      <c r="A394" s="32">
        <v>392</v>
      </c>
      <c r="B394" s="33">
        <v>40560</v>
      </c>
      <c r="C394" s="40" t="str">
        <f t="shared" si="39"/>
        <v>Monday</v>
      </c>
      <c r="D394" s="28">
        <v>19</v>
      </c>
      <c r="E394" s="40" t="str" cm="1">
        <f t="array" ref="E394">_xlfn.IFS(D394&gt;=21,"Night",D394&gt;=17,"Evening",D394&gt;=12,"Midday",D394&gt;=6,"Morning", TRUE, "Night")</f>
        <v>Evening</v>
      </c>
      <c r="F394" s="28">
        <v>1</v>
      </c>
      <c r="G394" s="28">
        <v>0</v>
      </c>
      <c r="H394" s="28">
        <v>1</v>
      </c>
      <c r="I394" s="28">
        <v>1</v>
      </c>
      <c r="J394" s="40" t="str">
        <f t="shared" si="40"/>
        <v>Weekday</v>
      </c>
      <c r="K394" s="28" t="b">
        <v>1</v>
      </c>
      <c r="L394" s="28">
        <v>3</v>
      </c>
      <c r="M394" s="40" t="str" cm="1">
        <f t="array" ref="M394">_xlfn.IFS(L394=1,"Clear / Partly Cloudy",L394=2,"Mist / Cloudy",L394=3,"Light Snow / Rain",L394=4,"Heavy Precipitation")</f>
        <v>Light Snow / Rain</v>
      </c>
      <c r="N394" s="28">
        <v>0.18</v>
      </c>
      <c r="O394" s="28" t="str">
        <f t="shared" si="41"/>
        <v>Cold</v>
      </c>
      <c r="P394" s="28">
        <v>0.18179999999999999</v>
      </c>
      <c r="Q394" s="38">
        <f t="shared" si="37"/>
        <v>0.18179999999999999</v>
      </c>
      <c r="R394" s="28">
        <v>0.59</v>
      </c>
      <c r="S394" s="28">
        <v>0.19400000000000001</v>
      </c>
      <c r="T394" s="40" t="str" cm="1">
        <f t="array" ref="T394">_xlfn.IFS(S394*18.6&lt;2,"Calm",S394*18.6&lt;6,"Light Breeze",S394*18.6&lt;14,"Gale",TRUE,"Extreme Storm")</f>
        <v>Light Breeze</v>
      </c>
      <c r="U394" s="28">
        <v>2</v>
      </c>
      <c r="V394" s="28">
        <v>58</v>
      </c>
      <c r="W394" s="28">
        <v>60</v>
      </c>
      <c r="X394" s="44">
        <f>AVERAGE(INDEX($W:$W,MAX(ROW($W$3),ROW()-23)):INDEX($W:$W,ROW()))</f>
        <v>43.625</v>
      </c>
      <c r="Y394" s="44">
        <f>_xlfn.STDEV.S(INDEX($W:$W,MAX(ROW($W$3),ROW()-23)):INDEX($W:$W,ROW()))</f>
        <v>33.300754006348029</v>
      </c>
      <c r="Z394" s="44">
        <f t="shared" si="38"/>
        <v>0.4917306075675788</v>
      </c>
      <c r="AA394" s="40" t="b">
        <f t="shared" si="36"/>
        <v>0</v>
      </c>
    </row>
    <row r="395" spans="1:27" x14ac:dyDescent="0.3">
      <c r="A395" s="32">
        <v>393</v>
      </c>
      <c r="B395" s="33">
        <v>40560</v>
      </c>
      <c r="C395" s="40" t="str">
        <f t="shared" si="39"/>
        <v>Monday</v>
      </c>
      <c r="D395" s="28">
        <v>20</v>
      </c>
      <c r="E395" s="40" t="str" cm="1">
        <f t="array" ref="E395">_xlfn.IFS(D395&gt;=21,"Night",D395&gt;=17,"Evening",D395&gt;=12,"Midday",D395&gt;=6,"Morning", TRUE, "Night")</f>
        <v>Evening</v>
      </c>
      <c r="F395" s="28">
        <v>1</v>
      </c>
      <c r="G395" s="28">
        <v>0</v>
      </c>
      <c r="H395" s="28">
        <v>1</v>
      </c>
      <c r="I395" s="28">
        <v>1</v>
      </c>
      <c r="J395" s="40" t="str">
        <f t="shared" si="40"/>
        <v>Weekday</v>
      </c>
      <c r="K395" s="28" t="b">
        <v>1</v>
      </c>
      <c r="L395" s="28">
        <v>3</v>
      </c>
      <c r="M395" s="40" t="str" cm="1">
        <f t="array" ref="M395">_xlfn.IFS(L395=1,"Clear / Partly Cloudy",L395=2,"Mist / Cloudy",L395=3,"Light Snow / Rain",L395=4,"Heavy Precipitation")</f>
        <v>Light Snow / Rain</v>
      </c>
      <c r="N395" s="28">
        <v>0.16</v>
      </c>
      <c r="O395" s="28" t="str">
        <f t="shared" si="41"/>
        <v>Cold</v>
      </c>
      <c r="P395" s="28">
        <v>0.1515</v>
      </c>
      <c r="Q395" s="38">
        <f t="shared" si="37"/>
        <v>0.1515</v>
      </c>
      <c r="R395" s="28">
        <v>0.8</v>
      </c>
      <c r="S395" s="28">
        <v>0.19400000000000001</v>
      </c>
      <c r="T395" s="40" t="str" cm="1">
        <f t="array" ref="T395">_xlfn.IFS(S395*18.6&lt;2,"Calm",S395*18.6&lt;6,"Light Breeze",S395*18.6&lt;14,"Gale",TRUE,"Extreme Storm")</f>
        <v>Light Breeze</v>
      </c>
      <c r="U395" s="28">
        <v>4</v>
      </c>
      <c r="V395" s="28">
        <v>29</v>
      </c>
      <c r="W395" s="28">
        <v>33</v>
      </c>
      <c r="X395" s="44">
        <f>AVERAGE(INDEX($W:$W,MAX(ROW($W$3),ROW()-23)):INDEX($W:$W,ROW()))</f>
        <v>42.625</v>
      </c>
      <c r="Y395" s="44">
        <f>_xlfn.STDEV.S(INDEX($W:$W,MAX(ROW($W$3),ROW()-23)):INDEX($W:$W,ROW()))</f>
        <v>33.241949008941148</v>
      </c>
      <c r="Z395" s="44">
        <f t="shared" si="38"/>
        <v>-0.28954379291692994</v>
      </c>
      <c r="AA395" s="40" t="b">
        <f t="shared" si="36"/>
        <v>0</v>
      </c>
    </row>
    <row r="396" spans="1:27" x14ac:dyDescent="0.3">
      <c r="A396" s="32">
        <v>394</v>
      </c>
      <c r="B396" s="33">
        <v>40560</v>
      </c>
      <c r="C396" s="40" t="str">
        <f t="shared" si="39"/>
        <v>Monday</v>
      </c>
      <c r="D396" s="28">
        <v>21</v>
      </c>
      <c r="E396" s="40" t="str" cm="1">
        <f t="array" ref="E396">_xlfn.IFS(D396&gt;=21,"Night",D396&gt;=17,"Evening",D396&gt;=12,"Midday",D396&gt;=6,"Morning", TRUE, "Night")</f>
        <v>Night</v>
      </c>
      <c r="F396" s="28">
        <v>1</v>
      </c>
      <c r="G396" s="28">
        <v>0</v>
      </c>
      <c r="H396" s="28">
        <v>1</v>
      </c>
      <c r="I396" s="28">
        <v>1</v>
      </c>
      <c r="J396" s="40" t="str">
        <f t="shared" si="40"/>
        <v>Weekday</v>
      </c>
      <c r="K396" s="28" t="b">
        <v>1</v>
      </c>
      <c r="L396" s="28">
        <v>3</v>
      </c>
      <c r="M396" s="40" t="str" cm="1">
        <f t="array" ref="M396">_xlfn.IFS(L396=1,"Clear / Partly Cloudy",L396=2,"Mist / Cloudy",L396=3,"Light Snow / Rain",L396=4,"Heavy Precipitation")</f>
        <v>Light Snow / Rain</v>
      </c>
      <c r="N396" s="28">
        <v>0.16</v>
      </c>
      <c r="O396" s="28" t="str">
        <f t="shared" si="41"/>
        <v>Cold</v>
      </c>
      <c r="P396" s="28">
        <v>0.1515</v>
      </c>
      <c r="Q396" s="38">
        <f t="shared" si="37"/>
        <v>0.1515</v>
      </c>
      <c r="R396" s="28">
        <v>0.8</v>
      </c>
      <c r="S396" s="28">
        <v>0.19400000000000001</v>
      </c>
      <c r="T396" s="40" t="str" cm="1">
        <f t="array" ref="T396">_xlfn.IFS(S396*18.6&lt;2,"Calm",S396*18.6&lt;6,"Light Breeze",S396*18.6&lt;14,"Gale",TRUE,"Extreme Storm")</f>
        <v>Light Breeze</v>
      </c>
      <c r="U396" s="28">
        <v>3</v>
      </c>
      <c r="V396" s="28">
        <v>24</v>
      </c>
      <c r="W396" s="28">
        <v>27</v>
      </c>
      <c r="X396" s="44">
        <f>AVERAGE(INDEX($W:$W,MAX(ROW($W$3),ROW()-23)):INDEX($W:$W,ROW()))</f>
        <v>42.583333333333336</v>
      </c>
      <c r="Y396" s="44">
        <f>_xlfn.STDEV.S(INDEX($W:$W,MAX(ROW($W$3),ROW()-23)):INDEX($W:$W,ROW()))</f>
        <v>33.261698388839754</v>
      </c>
      <c r="Z396" s="44">
        <f t="shared" si="38"/>
        <v>-0.46850684385262742</v>
      </c>
      <c r="AA396" s="40" t="b">
        <f t="shared" si="36"/>
        <v>0</v>
      </c>
    </row>
    <row r="397" spans="1:27" x14ac:dyDescent="0.3">
      <c r="A397" s="32">
        <v>395</v>
      </c>
      <c r="B397" s="33">
        <v>40560</v>
      </c>
      <c r="C397" s="40" t="str">
        <f t="shared" si="39"/>
        <v>Monday</v>
      </c>
      <c r="D397" s="28">
        <v>22</v>
      </c>
      <c r="E397" s="40" t="str" cm="1">
        <f t="array" ref="E397">_xlfn.IFS(D397&gt;=21,"Night",D397&gt;=17,"Evening",D397&gt;=12,"Midday",D397&gt;=6,"Morning", TRUE, "Night")</f>
        <v>Night</v>
      </c>
      <c r="F397" s="28">
        <v>1</v>
      </c>
      <c r="G397" s="28">
        <v>0</v>
      </c>
      <c r="H397" s="28">
        <v>1</v>
      </c>
      <c r="I397" s="28">
        <v>1</v>
      </c>
      <c r="J397" s="40" t="str">
        <f t="shared" si="40"/>
        <v>Weekday</v>
      </c>
      <c r="K397" s="28" t="b">
        <v>1</v>
      </c>
      <c r="L397" s="28">
        <v>3</v>
      </c>
      <c r="M397" s="40" t="str" cm="1">
        <f t="array" ref="M397">_xlfn.IFS(L397=1,"Clear / Partly Cloudy",L397=2,"Mist / Cloudy",L397=3,"Light Snow / Rain",L397=4,"Heavy Precipitation")</f>
        <v>Light Snow / Rain</v>
      </c>
      <c r="N397" s="28">
        <v>0.14000000000000001</v>
      </c>
      <c r="O397" s="28" t="str">
        <f t="shared" si="41"/>
        <v>Cold</v>
      </c>
      <c r="P397" s="28">
        <v>0.1212</v>
      </c>
      <c r="Q397" s="38">
        <f t="shared" si="37"/>
        <v>0.1212</v>
      </c>
      <c r="R397" s="28">
        <v>0.93</v>
      </c>
      <c r="S397" s="28">
        <v>0.25369999999999998</v>
      </c>
      <c r="T397" s="40" t="str" cm="1">
        <f t="array" ref="T397">_xlfn.IFS(S397*18.6&lt;2,"Calm",S397*18.6&lt;6,"Light Breeze",S397*18.6&lt;14,"Gale",TRUE,"Extreme Storm")</f>
        <v>Light Breeze</v>
      </c>
      <c r="U397" s="28">
        <v>0</v>
      </c>
      <c r="V397" s="28">
        <v>13</v>
      </c>
      <c r="W397" s="28">
        <v>13</v>
      </c>
      <c r="X397" s="44">
        <f>AVERAGE(INDEX($W:$W,MAX(ROW($W$3),ROW()-23)):INDEX($W:$W,ROW()))</f>
        <v>42.25</v>
      </c>
      <c r="Y397" s="44">
        <f>_xlfn.STDEV.S(INDEX($W:$W,MAX(ROW($W$3),ROW()-23)):INDEX($W:$W,ROW()))</f>
        <v>33.526433438861858</v>
      </c>
      <c r="Z397" s="44">
        <f t="shared" si="38"/>
        <v>-0.87244591803478655</v>
      </c>
      <c r="AA397" s="40" t="b">
        <f t="shared" si="36"/>
        <v>0</v>
      </c>
    </row>
    <row r="398" spans="1:27" x14ac:dyDescent="0.3">
      <c r="A398" s="32">
        <v>396</v>
      </c>
      <c r="B398" s="33">
        <v>40560</v>
      </c>
      <c r="C398" s="40" t="str">
        <f t="shared" si="39"/>
        <v>Monday</v>
      </c>
      <c r="D398" s="28">
        <v>23</v>
      </c>
      <c r="E398" s="40" t="str" cm="1">
        <f t="array" ref="E398">_xlfn.IFS(D398&gt;=21,"Night",D398&gt;=17,"Evening",D398&gt;=12,"Midday",D398&gt;=6,"Morning", TRUE, "Night")</f>
        <v>Night</v>
      </c>
      <c r="F398" s="28">
        <v>1</v>
      </c>
      <c r="G398" s="28">
        <v>0</v>
      </c>
      <c r="H398" s="28">
        <v>1</v>
      </c>
      <c r="I398" s="28">
        <v>1</v>
      </c>
      <c r="J398" s="40" t="str">
        <f t="shared" si="40"/>
        <v>Weekday</v>
      </c>
      <c r="K398" s="28" t="b">
        <v>1</v>
      </c>
      <c r="L398" s="28">
        <v>3</v>
      </c>
      <c r="M398" s="40" t="str" cm="1">
        <f t="array" ref="M398">_xlfn.IFS(L398=1,"Clear / Partly Cloudy",L398=2,"Mist / Cloudy",L398=3,"Light Snow / Rain",L398=4,"Heavy Precipitation")</f>
        <v>Light Snow / Rain</v>
      </c>
      <c r="N398" s="28">
        <v>0.16</v>
      </c>
      <c r="O398" s="28" t="str">
        <f t="shared" si="41"/>
        <v>Cold</v>
      </c>
      <c r="P398" s="28">
        <v>0.13639999999999999</v>
      </c>
      <c r="Q398" s="38">
        <f t="shared" si="37"/>
        <v>0.13639999999999999</v>
      </c>
      <c r="R398" s="28">
        <v>0.86</v>
      </c>
      <c r="S398" s="28">
        <v>0.28360000000000002</v>
      </c>
      <c r="T398" s="40" t="str" cm="1">
        <f t="array" ref="T398">_xlfn.IFS(S398*18.6&lt;2,"Calm",S398*18.6&lt;6,"Light Breeze",S398*18.6&lt;14,"Gale",TRUE,"Extreme Storm")</f>
        <v>Light Breeze</v>
      </c>
      <c r="U398" s="28">
        <v>1</v>
      </c>
      <c r="V398" s="28">
        <v>3</v>
      </c>
      <c r="W398" s="28">
        <v>4</v>
      </c>
      <c r="X398" s="44">
        <f>AVERAGE(INDEX($W:$W,MAX(ROW($W$3),ROW()-23)):INDEX($W:$W,ROW()))</f>
        <v>41.666666666666664</v>
      </c>
      <c r="Y398" s="44">
        <f>_xlfn.STDEV.S(INDEX($W:$W,MAX(ROW($W$3),ROW()-23)):INDEX($W:$W,ROW()))</f>
        <v>34.083869277526816</v>
      </c>
      <c r="Z398" s="44">
        <f t="shared" si="38"/>
        <v>-1.1051170968872999</v>
      </c>
      <c r="AA398" s="40" t="b">
        <f t="shared" si="36"/>
        <v>0</v>
      </c>
    </row>
    <row r="399" spans="1:27" x14ac:dyDescent="0.3">
      <c r="A399" s="32">
        <v>397</v>
      </c>
      <c r="B399" s="33">
        <v>40561</v>
      </c>
      <c r="C399" s="40" t="str">
        <f t="shared" si="39"/>
        <v>Tuesday</v>
      </c>
      <c r="D399" s="28">
        <v>12</v>
      </c>
      <c r="E399" s="40" t="str" cm="1">
        <f t="array" ref="E399">_xlfn.IFS(D399&gt;=21,"Night",D399&gt;=17,"Evening",D399&gt;=12,"Midday",D399&gt;=6,"Morning", TRUE, "Night")</f>
        <v>Midday</v>
      </c>
      <c r="F399" s="28">
        <v>1</v>
      </c>
      <c r="G399" s="28">
        <v>0</v>
      </c>
      <c r="H399" s="28">
        <v>1</v>
      </c>
      <c r="I399" s="28">
        <v>2</v>
      </c>
      <c r="J399" s="40" t="str">
        <f t="shared" si="40"/>
        <v>Weekday</v>
      </c>
      <c r="K399" s="28" t="b">
        <v>0</v>
      </c>
      <c r="L399" s="28">
        <v>2</v>
      </c>
      <c r="M399" s="40" t="str" cm="1">
        <f t="array" ref="M399">_xlfn.IFS(L399=1,"Clear / Partly Cloudy",L399=2,"Mist / Cloudy",L399=3,"Light Snow / Rain",L399=4,"Heavy Precipitation")</f>
        <v>Mist / Cloudy</v>
      </c>
      <c r="N399" s="28">
        <v>0.2</v>
      </c>
      <c r="O399" s="28" t="str">
        <f t="shared" si="41"/>
        <v>Mild</v>
      </c>
      <c r="P399" s="28">
        <v>0.18179999999999999</v>
      </c>
      <c r="Q399" s="38">
        <f t="shared" si="37"/>
        <v>0.18179999999999999</v>
      </c>
      <c r="R399" s="28">
        <v>0.86</v>
      </c>
      <c r="S399" s="28">
        <v>0.32840000000000003</v>
      </c>
      <c r="T399" s="40" t="str" cm="1">
        <f t="array" ref="T399">_xlfn.IFS(S399*18.6&lt;2,"Calm",S399*18.6&lt;6,"Light Breeze",S399*18.6&lt;14,"Gale",TRUE,"Extreme Storm")</f>
        <v>Gale</v>
      </c>
      <c r="U399" s="28">
        <v>0</v>
      </c>
      <c r="V399" s="28">
        <v>3</v>
      </c>
      <c r="W399" s="28">
        <v>3</v>
      </c>
      <c r="X399" s="44">
        <f>AVERAGE(INDEX($W:$W,MAX(ROW($W$3),ROW()-23)):INDEX($W:$W,ROW()))</f>
        <v>41.083333333333336</v>
      </c>
      <c r="Y399" s="44">
        <f>_xlfn.STDEV.S(INDEX($W:$W,MAX(ROW($W$3),ROW()-23)):INDEX($W:$W,ROW()))</f>
        <v>34.639656422970617</v>
      </c>
      <c r="Z399" s="44">
        <f t="shared" si="38"/>
        <v>-1.0994142917676029</v>
      </c>
      <c r="AA399" s="40" t="b">
        <f t="shared" si="36"/>
        <v>0</v>
      </c>
    </row>
    <row r="400" spans="1:27" x14ac:dyDescent="0.3">
      <c r="A400" s="32">
        <v>398</v>
      </c>
      <c r="B400" s="33">
        <v>40561</v>
      </c>
      <c r="C400" s="40" t="str">
        <f t="shared" si="39"/>
        <v>Tuesday</v>
      </c>
      <c r="D400" s="28">
        <v>13</v>
      </c>
      <c r="E400" s="40" t="str" cm="1">
        <f t="array" ref="E400">_xlfn.IFS(D400&gt;=21,"Night",D400&gt;=17,"Evening",D400&gt;=12,"Midday",D400&gt;=6,"Morning", TRUE, "Night")</f>
        <v>Midday</v>
      </c>
      <c r="F400" s="28">
        <v>1</v>
      </c>
      <c r="G400" s="28">
        <v>0</v>
      </c>
      <c r="H400" s="28">
        <v>1</v>
      </c>
      <c r="I400" s="28">
        <v>2</v>
      </c>
      <c r="J400" s="40" t="str">
        <f t="shared" si="40"/>
        <v>Weekday</v>
      </c>
      <c r="K400" s="28" t="b">
        <v>0</v>
      </c>
      <c r="L400" s="28">
        <v>2</v>
      </c>
      <c r="M400" s="40" t="str" cm="1">
        <f t="array" ref="M400">_xlfn.IFS(L400=1,"Clear / Partly Cloudy",L400=2,"Mist / Cloudy",L400=3,"Light Snow / Rain",L400=4,"Heavy Precipitation")</f>
        <v>Mist / Cloudy</v>
      </c>
      <c r="N400" s="28">
        <v>0.2</v>
      </c>
      <c r="O400" s="28" t="str">
        <f t="shared" si="41"/>
        <v>Mild</v>
      </c>
      <c r="P400" s="28">
        <v>0.19700000000000001</v>
      </c>
      <c r="Q400" s="38">
        <f t="shared" si="37"/>
        <v>0.19700000000000001</v>
      </c>
      <c r="R400" s="28">
        <v>0.86</v>
      </c>
      <c r="S400" s="28">
        <v>0.22389999999999999</v>
      </c>
      <c r="T400" s="40" t="str" cm="1">
        <f t="array" ref="T400">_xlfn.IFS(S400*18.6&lt;2,"Calm",S400*18.6&lt;6,"Light Breeze",S400*18.6&lt;14,"Gale",TRUE,"Extreme Storm")</f>
        <v>Light Breeze</v>
      </c>
      <c r="U400" s="28">
        <v>0</v>
      </c>
      <c r="V400" s="28">
        <v>22</v>
      </c>
      <c r="W400" s="28">
        <v>22</v>
      </c>
      <c r="X400" s="44">
        <f>AVERAGE(INDEX($W:$W,MAX(ROW($W$3),ROW()-23)):INDEX($W:$W,ROW()))</f>
        <v>41.333333333333336</v>
      </c>
      <c r="Y400" s="44">
        <f>_xlfn.STDEV.S(INDEX($W:$W,MAX(ROW($W$3),ROW()-23)):INDEX($W:$W,ROW()))</f>
        <v>34.472000820661833</v>
      </c>
      <c r="Z400" s="44">
        <f t="shared" si="38"/>
        <v>-0.5608416359094921</v>
      </c>
      <c r="AA400" s="40" t="b">
        <f t="shared" si="36"/>
        <v>0</v>
      </c>
    </row>
    <row r="401" spans="1:27" x14ac:dyDescent="0.3">
      <c r="A401" s="32">
        <v>399</v>
      </c>
      <c r="B401" s="33">
        <v>40561</v>
      </c>
      <c r="C401" s="40" t="str">
        <f t="shared" si="39"/>
        <v>Tuesday</v>
      </c>
      <c r="D401" s="28">
        <v>14</v>
      </c>
      <c r="E401" s="40" t="str" cm="1">
        <f t="array" ref="E401">_xlfn.IFS(D401&gt;=21,"Night",D401&gt;=17,"Evening",D401&gt;=12,"Midday",D401&gt;=6,"Morning", TRUE, "Night")</f>
        <v>Midday</v>
      </c>
      <c r="F401" s="28">
        <v>1</v>
      </c>
      <c r="G401" s="28">
        <v>0</v>
      </c>
      <c r="H401" s="28">
        <v>1</v>
      </c>
      <c r="I401" s="28">
        <v>2</v>
      </c>
      <c r="J401" s="40" t="str">
        <f t="shared" si="40"/>
        <v>Weekday</v>
      </c>
      <c r="K401" s="28" t="b">
        <v>0</v>
      </c>
      <c r="L401" s="28">
        <v>2</v>
      </c>
      <c r="M401" s="40" t="str" cm="1">
        <f t="array" ref="M401">_xlfn.IFS(L401=1,"Clear / Partly Cloudy",L401=2,"Mist / Cloudy",L401=3,"Light Snow / Rain",L401=4,"Heavy Precipitation")</f>
        <v>Mist / Cloudy</v>
      </c>
      <c r="N401" s="28">
        <v>0.22</v>
      </c>
      <c r="O401" s="28" t="str">
        <f t="shared" si="41"/>
        <v>Mild</v>
      </c>
      <c r="P401" s="28">
        <v>0.2273</v>
      </c>
      <c r="Q401" s="38">
        <f t="shared" si="37"/>
        <v>0.2273</v>
      </c>
      <c r="R401" s="28">
        <v>0.8</v>
      </c>
      <c r="S401" s="28">
        <v>0.16420000000000001</v>
      </c>
      <c r="T401" s="40" t="str" cm="1">
        <f t="array" ref="T401">_xlfn.IFS(S401*18.6&lt;2,"Calm",S401*18.6&lt;6,"Light Breeze",S401*18.6&lt;14,"Gale",TRUE,"Extreme Storm")</f>
        <v>Light Breeze</v>
      </c>
      <c r="U401" s="28">
        <v>2</v>
      </c>
      <c r="V401" s="28">
        <v>26</v>
      </c>
      <c r="W401" s="28">
        <v>28</v>
      </c>
      <c r="X401" s="44">
        <f>AVERAGE(INDEX($W:$W,MAX(ROW($W$3),ROW()-23)):INDEX($W:$W,ROW()))</f>
        <v>42.166666666666664</v>
      </c>
      <c r="Y401" s="44">
        <f>_xlfn.STDEV.S(INDEX($W:$W,MAX(ROW($W$3),ROW()-23)):INDEX($W:$W,ROW()))</f>
        <v>33.867602406335514</v>
      </c>
      <c r="Z401" s="44">
        <f t="shared" si="38"/>
        <v>-0.41829552906339029</v>
      </c>
      <c r="AA401" s="40" t="b">
        <f t="shared" si="36"/>
        <v>0</v>
      </c>
    </row>
    <row r="402" spans="1:27" x14ac:dyDescent="0.3">
      <c r="A402" s="32">
        <v>400</v>
      </c>
      <c r="B402" s="33">
        <v>40561</v>
      </c>
      <c r="C402" s="40" t="str">
        <f t="shared" si="39"/>
        <v>Tuesday</v>
      </c>
      <c r="D402" s="28">
        <v>15</v>
      </c>
      <c r="E402" s="40" t="str" cm="1">
        <f t="array" ref="E402">_xlfn.IFS(D402&gt;=21,"Night",D402&gt;=17,"Evening",D402&gt;=12,"Midday",D402&gt;=6,"Morning", TRUE, "Night")</f>
        <v>Midday</v>
      </c>
      <c r="F402" s="28">
        <v>1</v>
      </c>
      <c r="G402" s="28">
        <v>0</v>
      </c>
      <c r="H402" s="28">
        <v>1</v>
      </c>
      <c r="I402" s="28">
        <v>2</v>
      </c>
      <c r="J402" s="40" t="str">
        <f t="shared" si="40"/>
        <v>Weekday</v>
      </c>
      <c r="K402" s="28" t="b">
        <v>0</v>
      </c>
      <c r="L402" s="28">
        <v>2</v>
      </c>
      <c r="M402" s="40" t="str" cm="1">
        <f t="array" ref="M402">_xlfn.IFS(L402=1,"Clear / Partly Cloudy",L402=2,"Mist / Cloudy",L402=3,"Light Snow / Rain",L402=4,"Heavy Precipitation")</f>
        <v>Mist / Cloudy</v>
      </c>
      <c r="N402" s="28">
        <v>0.22</v>
      </c>
      <c r="O402" s="28" t="str">
        <f t="shared" si="41"/>
        <v>Mild</v>
      </c>
      <c r="P402" s="28">
        <v>0.2273</v>
      </c>
      <c r="Q402" s="38">
        <f t="shared" si="37"/>
        <v>0.2273</v>
      </c>
      <c r="R402" s="28">
        <v>0.87</v>
      </c>
      <c r="S402" s="28">
        <v>0.16420000000000001</v>
      </c>
      <c r="T402" s="40" t="str" cm="1">
        <f t="array" ref="T402">_xlfn.IFS(S402*18.6&lt;2,"Calm",S402*18.6&lt;6,"Light Breeze",S402*18.6&lt;14,"Gale",TRUE,"Extreme Storm")</f>
        <v>Light Breeze</v>
      </c>
      <c r="U402" s="28">
        <v>3</v>
      </c>
      <c r="V402" s="28">
        <v>32</v>
      </c>
      <c r="W402" s="28">
        <v>35</v>
      </c>
      <c r="X402" s="44">
        <f>AVERAGE(INDEX($W:$W,MAX(ROW($W$3),ROW()-23)):INDEX($W:$W,ROW()))</f>
        <v>43.541666666666664</v>
      </c>
      <c r="Y402" s="44">
        <f>_xlfn.STDEV.S(INDEX($W:$W,MAX(ROW($W$3),ROW()-23)):INDEX($W:$W,ROW()))</f>
        <v>32.819637767477047</v>
      </c>
      <c r="Z402" s="44">
        <f t="shared" si="38"/>
        <v>-0.26026084526536475</v>
      </c>
      <c r="AA402" s="40" t="b">
        <f t="shared" si="36"/>
        <v>0</v>
      </c>
    </row>
    <row r="403" spans="1:27" x14ac:dyDescent="0.3">
      <c r="A403" s="32">
        <v>401</v>
      </c>
      <c r="B403" s="33">
        <v>40561</v>
      </c>
      <c r="C403" s="40" t="str">
        <f t="shared" si="39"/>
        <v>Tuesday</v>
      </c>
      <c r="D403" s="28">
        <v>16</v>
      </c>
      <c r="E403" s="40" t="str" cm="1">
        <f t="array" ref="E403">_xlfn.IFS(D403&gt;=21,"Night",D403&gt;=17,"Evening",D403&gt;=12,"Midday",D403&gt;=6,"Morning", TRUE, "Night")</f>
        <v>Midday</v>
      </c>
      <c r="F403" s="28">
        <v>1</v>
      </c>
      <c r="G403" s="28">
        <v>0</v>
      </c>
      <c r="H403" s="28">
        <v>1</v>
      </c>
      <c r="I403" s="28">
        <v>2</v>
      </c>
      <c r="J403" s="40" t="str">
        <f t="shared" si="40"/>
        <v>Weekday</v>
      </c>
      <c r="K403" s="28" t="b">
        <v>0</v>
      </c>
      <c r="L403" s="28">
        <v>2</v>
      </c>
      <c r="M403" s="40" t="str" cm="1">
        <f t="array" ref="M403">_xlfn.IFS(L403=1,"Clear / Partly Cloudy",L403=2,"Mist / Cloudy",L403=3,"Light Snow / Rain",L403=4,"Heavy Precipitation")</f>
        <v>Mist / Cloudy</v>
      </c>
      <c r="N403" s="28">
        <v>0.22</v>
      </c>
      <c r="O403" s="28" t="str">
        <f t="shared" si="41"/>
        <v>Mild</v>
      </c>
      <c r="P403" s="28">
        <v>0.2273</v>
      </c>
      <c r="Q403" s="38">
        <f t="shared" si="37"/>
        <v>0.2273</v>
      </c>
      <c r="R403" s="28">
        <v>0.87</v>
      </c>
      <c r="S403" s="28">
        <v>0.19400000000000001</v>
      </c>
      <c r="T403" s="40" t="str" cm="1">
        <f t="array" ref="T403">_xlfn.IFS(S403*18.6&lt;2,"Calm",S403*18.6&lt;6,"Light Breeze",S403*18.6&lt;14,"Gale",TRUE,"Extreme Storm")</f>
        <v>Light Breeze</v>
      </c>
      <c r="U403" s="28">
        <v>0</v>
      </c>
      <c r="V403" s="28">
        <v>61</v>
      </c>
      <c r="W403" s="28">
        <v>61</v>
      </c>
      <c r="X403" s="44">
        <f>AVERAGE(INDEX($W:$W,MAX(ROW($W$3),ROW()-23)):INDEX($W:$W,ROW()))</f>
        <v>45.958333333333336</v>
      </c>
      <c r="Y403" s="44">
        <f>_xlfn.STDEV.S(INDEX($W:$W,MAX(ROW($W$3),ROW()-23)):INDEX($W:$W,ROW()))</f>
        <v>31.824900241199799</v>
      </c>
      <c r="Z403" s="44">
        <f t="shared" si="38"/>
        <v>0.47263829745471003</v>
      </c>
      <c r="AA403" s="40" t="b">
        <f t="shared" si="36"/>
        <v>0</v>
      </c>
    </row>
    <row r="404" spans="1:27" x14ac:dyDescent="0.3">
      <c r="A404" s="32">
        <v>402</v>
      </c>
      <c r="B404" s="33">
        <v>40561</v>
      </c>
      <c r="C404" s="40" t="str">
        <f t="shared" si="39"/>
        <v>Tuesday</v>
      </c>
      <c r="D404" s="28">
        <v>17</v>
      </c>
      <c r="E404" s="40" t="str" cm="1">
        <f t="array" ref="E404">_xlfn.IFS(D404&gt;=21,"Night",D404&gt;=17,"Evening",D404&gt;=12,"Midday",D404&gt;=6,"Morning", TRUE, "Night")</f>
        <v>Evening</v>
      </c>
      <c r="F404" s="28">
        <v>1</v>
      </c>
      <c r="G404" s="28">
        <v>0</v>
      </c>
      <c r="H404" s="28">
        <v>1</v>
      </c>
      <c r="I404" s="28">
        <v>2</v>
      </c>
      <c r="J404" s="40" t="str">
        <f t="shared" si="40"/>
        <v>Weekday</v>
      </c>
      <c r="K404" s="28" t="b">
        <v>0</v>
      </c>
      <c r="L404" s="28">
        <v>2</v>
      </c>
      <c r="M404" s="40" t="str" cm="1">
        <f t="array" ref="M404">_xlfn.IFS(L404=1,"Clear / Partly Cloudy",L404=2,"Mist / Cloudy",L404=3,"Light Snow / Rain",L404=4,"Heavy Precipitation")</f>
        <v>Mist / Cloudy</v>
      </c>
      <c r="N404" s="28">
        <v>0.22</v>
      </c>
      <c r="O404" s="28" t="str">
        <f t="shared" si="41"/>
        <v>Mild</v>
      </c>
      <c r="P404" s="28">
        <v>0.2273</v>
      </c>
      <c r="Q404" s="38">
        <f t="shared" si="37"/>
        <v>0.2273</v>
      </c>
      <c r="R404" s="28">
        <v>0.82</v>
      </c>
      <c r="S404" s="28">
        <v>0.19400000000000001</v>
      </c>
      <c r="T404" s="40" t="str" cm="1">
        <f t="array" ref="T404">_xlfn.IFS(S404*18.6&lt;2,"Calm",S404*18.6&lt;6,"Light Breeze",S404*18.6&lt;14,"Gale",TRUE,"Extreme Storm")</f>
        <v>Light Breeze</v>
      </c>
      <c r="U404" s="28">
        <v>1</v>
      </c>
      <c r="V404" s="28">
        <v>124</v>
      </c>
      <c r="W404" s="28">
        <v>125</v>
      </c>
      <c r="X404" s="44">
        <f>AVERAGE(INDEX($W:$W,MAX(ROW($W$3),ROW()-23)):INDEX($W:$W,ROW()))</f>
        <v>51.125</v>
      </c>
      <c r="Y404" s="44">
        <f>_xlfn.STDEV.S(INDEX($W:$W,MAX(ROW($W$3),ROW()-23)):INDEX($W:$W,ROW()))</f>
        <v>34.186588394967941</v>
      </c>
      <c r="Z404" s="44">
        <f t="shared" si="38"/>
        <v>2.1609351347522572</v>
      </c>
      <c r="AA404" s="40" t="b">
        <f t="shared" si="36"/>
        <v>0</v>
      </c>
    </row>
    <row r="405" spans="1:27" x14ac:dyDescent="0.3">
      <c r="A405" s="32">
        <v>403</v>
      </c>
      <c r="B405" s="33">
        <v>40561</v>
      </c>
      <c r="C405" s="40" t="str">
        <f t="shared" si="39"/>
        <v>Tuesday</v>
      </c>
      <c r="D405" s="28">
        <v>18</v>
      </c>
      <c r="E405" s="40" t="str" cm="1">
        <f t="array" ref="E405">_xlfn.IFS(D405&gt;=21,"Night",D405&gt;=17,"Evening",D405&gt;=12,"Midday",D405&gt;=6,"Morning", TRUE, "Night")</f>
        <v>Evening</v>
      </c>
      <c r="F405" s="28">
        <v>1</v>
      </c>
      <c r="G405" s="28">
        <v>0</v>
      </c>
      <c r="H405" s="28">
        <v>1</v>
      </c>
      <c r="I405" s="28">
        <v>2</v>
      </c>
      <c r="J405" s="40" t="str">
        <f t="shared" si="40"/>
        <v>Weekday</v>
      </c>
      <c r="K405" s="28" t="b">
        <v>0</v>
      </c>
      <c r="L405" s="28">
        <v>2</v>
      </c>
      <c r="M405" s="40" t="str" cm="1">
        <f t="array" ref="M405">_xlfn.IFS(L405=1,"Clear / Partly Cloudy",L405=2,"Mist / Cloudy",L405=3,"Light Snow / Rain",L405=4,"Heavy Precipitation")</f>
        <v>Mist / Cloudy</v>
      </c>
      <c r="N405" s="28">
        <v>0.22</v>
      </c>
      <c r="O405" s="28" t="str">
        <f t="shared" si="41"/>
        <v>Mild</v>
      </c>
      <c r="P405" s="28">
        <v>0.2273</v>
      </c>
      <c r="Q405" s="38">
        <f t="shared" si="37"/>
        <v>0.2273</v>
      </c>
      <c r="R405" s="28">
        <v>0.8</v>
      </c>
      <c r="S405" s="28">
        <v>0.16420000000000001</v>
      </c>
      <c r="T405" s="40" t="str" cm="1">
        <f t="array" ref="T405">_xlfn.IFS(S405*18.6&lt;2,"Calm",S405*18.6&lt;6,"Light Breeze",S405*18.6&lt;14,"Gale",TRUE,"Extreme Storm")</f>
        <v>Light Breeze</v>
      </c>
      <c r="U405" s="28">
        <v>1</v>
      </c>
      <c r="V405" s="28">
        <v>132</v>
      </c>
      <c r="W405" s="28">
        <v>133</v>
      </c>
      <c r="X405" s="44">
        <f>AVERAGE(INDEX($W:$W,MAX(ROW($W$3),ROW()-23)):INDEX($W:$W,ROW()))</f>
        <v>56.458333333333336</v>
      </c>
      <c r="Y405" s="44">
        <f>_xlfn.STDEV.S(INDEX($W:$W,MAX(ROW($W$3),ROW()-23)):INDEX($W:$W,ROW()))</f>
        <v>36.578657553357488</v>
      </c>
      <c r="Z405" s="44">
        <f t="shared" si="38"/>
        <v>2.0925225742638287</v>
      </c>
      <c r="AA405" s="40" t="b">
        <f t="shared" si="36"/>
        <v>0</v>
      </c>
    </row>
    <row r="406" spans="1:27" x14ac:dyDescent="0.3">
      <c r="A406" s="32">
        <v>404</v>
      </c>
      <c r="B406" s="33">
        <v>40561</v>
      </c>
      <c r="C406" s="40" t="str">
        <f t="shared" si="39"/>
        <v>Tuesday</v>
      </c>
      <c r="D406" s="28">
        <v>19</v>
      </c>
      <c r="E406" s="40" t="str" cm="1">
        <f t="array" ref="E406">_xlfn.IFS(D406&gt;=21,"Night",D406&gt;=17,"Evening",D406&gt;=12,"Midday",D406&gt;=6,"Morning", TRUE, "Night")</f>
        <v>Evening</v>
      </c>
      <c r="F406" s="28">
        <v>1</v>
      </c>
      <c r="G406" s="28">
        <v>0</v>
      </c>
      <c r="H406" s="28">
        <v>1</v>
      </c>
      <c r="I406" s="28">
        <v>2</v>
      </c>
      <c r="J406" s="40" t="str">
        <f t="shared" si="40"/>
        <v>Weekday</v>
      </c>
      <c r="K406" s="28" t="b">
        <v>0</v>
      </c>
      <c r="L406" s="28">
        <v>2</v>
      </c>
      <c r="M406" s="40" t="str" cm="1">
        <f t="array" ref="M406">_xlfn.IFS(L406=1,"Clear / Partly Cloudy",L406=2,"Mist / Cloudy",L406=3,"Light Snow / Rain",L406=4,"Heavy Precipitation")</f>
        <v>Mist / Cloudy</v>
      </c>
      <c r="N406" s="28">
        <v>0.22</v>
      </c>
      <c r="O406" s="28" t="str">
        <f t="shared" si="41"/>
        <v>Mild</v>
      </c>
      <c r="P406" s="28">
        <v>0.2273</v>
      </c>
      <c r="Q406" s="38">
        <f t="shared" si="37"/>
        <v>0.2273</v>
      </c>
      <c r="R406" s="28">
        <v>0.8</v>
      </c>
      <c r="S406" s="28">
        <v>0.1343</v>
      </c>
      <c r="T406" s="40" t="str" cm="1">
        <f t="array" ref="T406">_xlfn.IFS(S406*18.6&lt;2,"Calm",S406*18.6&lt;6,"Light Breeze",S406*18.6&lt;14,"Gale",TRUE,"Extreme Storm")</f>
        <v>Light Breeze</v>
      </c>
      <c r="U406" s="28">
        <v>1</v>
      </c>
      <c r="V406" s="28">
        <v>98</v>
      </c>
      <c r="W406" s="28">
        <v>99</v>
      </c>
      <c r="X406" s="44">
        <f>AVERAGE(INDEX($W:$W,MAX(ROW($W$3),ROW()-23)):INDEX($W:$W,ROW()))</f>
        <v>60.041666666666664</v>
      </c>
      <c r="Y406" s="44">
        <f>_xlfn.STDEV.S(INDEX($W:$W,MAX(ROW($W$3),ROW()-23)):INDEX($W:$W,ROW()))</f>
        <v>36.347931185272088</v>
      </c>
      <c r="Z406" s="44">
        <f t="shared" si="38"/>
        <v>1.071817076321498</v>
      </c>
      <c r="AA406" s="40" t="b">
        <f t="shared" si="36"/>
        <v>0</v>
      </c>
    </row>
    <row r="407" spans="1:27" x14ac:dyDescent="0.3">
      <c r="A407" s="32">
        <v>405</v>
      </c>
      <c r="B407" s="33">
        <v>40561</v>
      </c>
      <c r="C407" s="40" t="str">
        <f t="shared" si="39"/>
        <v>Tuesday</v>
      </c>
      <c r="D407" s="28">
        <v>20</v>
      </c>
      <c r="E407" s="40" t="str" cm="1">
        <f t="array" ref="E407">_xlfn.IFS(D407&gt;=21,"Night",D407&gt;=17,"Evening",D407&gt;=12,"Midday",D407&gt;=6,"Morning", TRUE, "Night")</f>
        <v>Evening</v>
      </c>
      <c r="F407" s="28">
        <v>1</v>
      </c>
      <c r="G407" s="28">
        <v>0</v>
      </c>
      <c r="H407" s="28">
        <v>1</v>
      </c>
      <c r="I407" s="28">
        <v>2</v>
      </c>
      <c r="J407" s="40" t="str">
        <f t="shared" si="40"/>
        <v>Weekday</v>
      </c>
      <c r="K407" s="28" t="b">
        <v>0</v>
      </c>
      <c r="L407" s="28">
        <v>2</v>
      </c>
      <c r="M407" s="40" t="str" cm="1">
        <f t="array" ref="M407">_xlfn.IFS(L407=1,"Clear / Partly Cloudy",L407=2,"Mist / Cloudy",L407=3,"Light Snow / Rain",L407=4,"Heavy Precipitation")</f>
        <v>Mist / Cloudy</v>
      </c>
      <c r="N407" s="28">
        <v>0.22</v>
      </c>
      <c r="O407" s="28" t="str">
        <f t="shared" si="41"/>
        <v>Mild</v>
      </c>
      <c r="P407" s="28">
        <v>0.2727</v>
      </c>
      <c r="Q407" s="38">
        <f t="shared" si="37"/>
        <v>0.2727</v>
      </c>
      <c r="R407" s="28">
        <v>0.87</v>
      </c>
      <c r="S407" s="28">
        <v>0</v>
      </c>
      <c r="T407" s="40" t="str" cm="1">
        <f t="array" ref="T407">_xlfn.IFS(S407*18.6&lt;2,"Calm",S407*18.6&lt;6,"Light Breeze",S407*18.6&lt;14,"Gale",TRUE,"Extreme Storm")</f>
        <v>Calm</v>
      </c>
      <c r="U407" s="28">
        <v>0</v>
      </c>
      <c r="V407" s="28">
        <v>83</v>
      </c>
      <c r="W407" s="28">
        <v>83</v>
      </c>
      <c r="X407" s="44">
        <f>AVERAGE(INDEX($W:$W,MAX(ROW($W$3),ROW()-23)):INDEX($W:$W,ROW()))</f>
        <v>62.125</v>
      </c>
      <c r="Y407" s="44">
        <f>_xlfn.STDEV.S(INDEX($W:$W,MAX(ROW($W$3),ROW()-23)):INDEX($W:$W,ROW()))</f>
        <v>36.163051645952478</v>
      </c>
      <c r="Z407" s="44">
        <f t="shared" si="38"/>
        <v>0.57724663848540059</v>
      </c>
      <c r="AA407" s="40" t="b">
        <f t="shared" si="36"/>
        <v>0</v>
      </c>
    </row>
    <row r="408" spans="1:27" x14ac:dyDescent="0.3">
      <c r="A408" s="32">
        <v>406</v>
      </c>
      <c r="B408" s="33">
        <v>40561</v>
      </c>
      <c r="C408" s="40" t="str">
        <f t="shared" si="39"/>
        <v>Tuesday</v>
      </c>
      <c r="D408" s="28">
        <v>21</v>
      </c>
      <c r="E408" s="40" t="str" cm="1">
        <f t="array" ref="E408">_xlfn.IFS(D408&gt;=21,"Night",D408&gt;=17,"Evening",D408&gt;=12,"Midday",D408&gt;=6,"Morning", TRUE, "Night")</f>
        <v>Night</v>
      </c>
      <c r="F408" s="28">
        <v>1</v>
      </c>
      <c r="G408" s="28">
        <v>0</v>
      </c>
      <c r="H408" s="28">
        <v>1</v>
      </c>
      <c r="I408" s="28">
        <v>2</v>
      </c>
      <c r="J408" s="40" t="str">
        <f t="shared" si="40"/>
        <v>Weekday</v>
      </c>
      <c r="K408" s="28" t="b">
        <v>0</v>
      </c>
      <c r="L408" s="28">
        <v>2</v>
      </c>
      <c r="M408" s="40" t="str" cm="1">
        <f t="array" ref="M408">_xlfn.IFS(L408=1,"Clear / Partly Cloudy",L408=2,"Mist / Cloudy",L408=3,"Light Snow / Rain",L408=4,"Heavy Precipitation")</f>
        <v>Mist / Cloudy</v>
      </c>
      <c r="N408" s="28">
        <v>0.22</v>
      </c>
      <c r="O408" s="28" t="str">
        <f t="shared" si="41"/>
        <v>Mild</v>
      </c>
      <c r="P408" s="28">
        <v>0.2424</v>
      </c>
      <c r="Q408" s="38">
        <f t="shared" si="37"/>
        <v>0.2424</v>
      </c>
      <c r="R408" s="28">
        <v>0.93</v>
      </c>
      <c r="S408" s="28">
        <v>0.1045</v>
      </c>
      <c r="T408" s="40" t="str" cm="1">
        <f t="array" ref="T408">_xlfn.IFS(S408*18.6&lt;2,"Calm",S408*18.6&lt;6,"Light Breeze",S408*18.6&lt;14,"Gale",TRUE,"Extreme Storm")</f>
        <v>Calm</v>
      </c>
      <c r="U408" s="28">
        <v>0</v>
      </c>
      <c r="V408" s="28">
        <v>41</v>
      </c>
      <c r="W408" s="28">
        <v>41</v>
      </c>
      <c r="X408" s="44">
        <f>AVERAGE(INDEX($W:$W,MAX(ROW($W$3),ROW()-23)):INDEX($W:$W,ROW()))</f>
        <v>61.875</v>
      </c>
      <c r="Y408" s="44">
        <f>_xlfn.STDEV.S(INDEX($W:$W,MAX(ROW($W$3),ROW()-23)):INDEX($W:$W,ROW()))</f>
        <v>36.292666045575274</v>
      </c>
      <c r="Z408" s="44">
        <f t="shared" si="38"/>
        <v>-0.5751850793707407</v>
      </c>
      <c r="AA408" s="40" t="b">
        <f t="shared" si="36"/>
        <v>0</v>
      </c>
    </row>
    <row r="409" spans="1:27" x14ac:dyDescent="0.3">
      <c r="A409" s="32">
        <v>407</v>
      </c>
      <c r="B409" s="33">
        <v>40561</v>
      </c>
      <c r="C409" s="40" t="str">
        <f t="shared" si="39"/>
        <v>Tuesday</v>
      </c>
      <c r="D409" s="28">
        <v>22</v>
      </c>
      <c r="E409" s="40" t="str" cm="1">
        <f t="array" ref="E409">_xlfn.IFS(D409&gt;=21,"Night",D409&gt;=17,"Evening",D409&gt;=12,"Midday",D409&gt;=6,"Morning", TRUE, "Night")</f>
        <v>Night</v>
      </c>
      <c r="F409" s="28">
        <v>1</v>
      </c>
      <c r="G409" s="28">
        <v>0</v>
      </c>
      <c r="H409" s="28">
        <v>1</v>
      </c>
      <c r="I409" s="28">
        <v>2</v>
      </c>
      <c r="J409" s="40" t="str">
        <f t="shared" si="40"/>
        <v>Weekday</v>
      </c>
      <c r="K409" s="28" t="b">
        <v>0</v>
      </c>
      <c r="L409" s="28">
        <v>2</v>
      </c>
      <c r="M409" s="40" t="str" cm="1">
        <f t="array" ref="M409">_xlfn.IFS(L409=1,"Clear / Partly Cloudy",L409=2,"Mist / Cloudy",L409=3,"Light Snow / Rain",L409=4,"Heavy Precipitation")</f>
        <v>Mist / Cloudy</v>
      </c>
      <c r="N409" s="28">
        <v>0.22</v>
      </c>
      <c r="O409" s="28" t="str">
        <f t="shared" si="41"/>
        <v>Mild</v>
      </c>
      <c r="P409" s="28">
        <v>0.2576</v>
      </c>
      <c r="Q409" s="38">
        <f t="shared" si="37"/>
        <v>0.2576</v>
      </c>
      <c r="R409" s="28">
        <v>0.93</v>
      </c>
      <c r="S409" s="28">
        <v>8.9599999999999999E-2</v>
      </c>
      <c r="T409" s="40" t="str" cm="1">
        <f t="array" ref="T409">_xlfn.IFS(S409*18.6&lt;2,"Calm",S409*18.6&lt;6,"Light Breeze",S409*18.6&lt;14,"Gale",TRUE,"Extreme Storm")</f>
        <v>Calm</v>
      </c>
      <c r="U409" s="28">
        <v>0</v>
      </c>
      <c r="V409" s="28">
        <v>33</v>
      </c>
      <c r="W409" s="28">
        <v>33</v>
      </c>
      <c r="X409" s="44">
        <f>AVERAGE(INDEX($W:$W,MAX(ROW($W$3),ROW()-23)):INDEX($W:$W,ROW()))</f>
        <v>60.875</v>
      </c>
      <c r="Y409" s="44">
        <f>_xlfn.STDEV.S(INDEX($W:$W,MAX(ROW($W$3),ROW()-23)):INDEX($W:$W,ROW()))</f>
        <v>36.760461391815127</v>
      </c>
      <c r="Z409" s="44">
        <f t="shared" si="38"/>
        <v>-0.758287544405155</v>
      </c>
      <c r="AA409" s="40" t="b">
        <f t="shared" si="36"/>
        <v>0</v>
      </c>
    </row>
    <row r="410" spans="1:27" x14ac:dyDescent="0.3">
      <c r="A410" s="32">
        <v>408</v>
      </c>
      <c r="B410" s="33">
        <v>40561</v>
      </c>
      <c r="C410" s="40" t="str">
        <f t="shared" si="39"/>
        <v>Tuesday</v>
      </c>
      <c r="D410" s="28">
        <v>23</v>
      </c>
      <c r="E410" s="40" t="str" cm="1">
        <f t="array" ref="E410">_xlfn.IFS(D410&gt;=21,"Night",D410&gt;=17,"Evening",D410&gt;=12,"Midday",D410&gt;=6,"Morning", TRUE, "Night")</f>
        <v>Night</v>
      </c>
      <c r="F410" s="28">
        <v>1</v>
      </c>
      <c r="G410" s="28">
        <v>0</v>
      </c>
      <c r="H410" s="28">
        <v>1</v>
      </c>
      <c r="I410" s="28">
        <v>2</v>
      </c>
      <c r="J410" s="40" t="str">
        <f t="shared" si="40"/>
        <v>Weekday</v>
      </c>
      <c r="K410" s="28" t="b">
        <v>0</v>
      </c>
      <c r="L410" s="28">
        <v>2</v>
      </c>
      <c r="M410" s="40" t="str" cm="1">
        <f t="array" ref="M410">_xlfn.IFS(L410=1,"Clear / Partly Cloudy",L410=2,"Mist / Cloudy",L410=3,"Light Snow / Rain",L410=4,"Heavy Precipitation")</f>
        <v>Mist / Cloudy</v>
      </c>
      <c r="N410" s="28">
        <v>0.22</v>
      </c>
      <c r="O410" s="28" t="str">
        <f t="shared" si="41"/>
        <v>Mild</v>
      </c>
      <c r="P410" s="28">
        <v>0.2727</v>
      </c>
      <c r="Q410" s="38">
        <f t="shared" si="37"/>
        <v>0.2727</v>
      </c>
      <c r="R410" s="28">
        <v>0.93</v>
      </c>
      <c r="S410" s="28">
        <v>0</v>
      </c>
      <c r="T410" s="40" t="str" cm="1">
        <f t="array" ref="T410">_xlfn.IFS(S410*18.6&lt;2,"Calm",S410*18.6&lt;6,"Light Breeze",S410*18.6&lt;14,"Gale",TRUE,"Extreme Storm")</f>
        <v>Calm</v>
      </c>
      <c r="U410" s="28">
        <v>1</v>
      </c>
      <c r="V410" s="28">
        <v>19</v>
      </c>
      <c r="W410" s="28">
        <v>20</v>
      </c>
      <c r="X410" s="44">
        <f>AVERAGE(INDEX($W:$W,MAX(ROW($W$3),ROW()-23)):INDEX($W:$W,ROW()))</f>
        <v>59.041666666666664</v>
      </c>
      <c r="Y410" s="44">
        <f>_xlfn.STDEV.S(INDEX($W:$W,MAX(ROW($W$3),ROW()-23)):INDEX($W:$W,ROW()))</f>
        <v>37.683440218040957</v>
      </c>
      <c r="Z410" s="44">
        <f t="shared" si="38"/>
        <v>-1.0360430587219969</v>
      </c>
      <c r="AA410" s="40" t="b">
        <f t="shared" si="36"/>
        <v>0</v>
      </c>
    </row>
    <row r="411" spans="1:27" x14ac:dyDescent="0.3">
      <c r="A411" s="32">
        <v>409</v>
      </c>
      <c r="B411" s="33">
        <v>40562</v>
      </c>
      <c r="C411" s="40" t="str">
        <f t="shared" si="39"/>
        <v>Wednesday</v>
      </c>
      <c r="D411" s="28">
        <v>0</v>
      </c>
      <c r="E411" s="40" t="str" cm="1">
        <f t="array" ref="E411">_xlfn.IFS(D411&gt;=21,"Night",D411&gt;=17,"Evening",D411&gt;=12,"Midday",D411&gt;=6,"Morning", TRUE, "Night")</f>
        <v>Night</v>
      </c>
      <c r="F411" s="28">
        <v>1</v>
      </c>
      <c r="G411" s="28">
        <v>0</v>
      </c>
      <c r="H411" s="28">
        <v>1</v>
      </c>
      <c r="I411" s="28">
        <v>3</v>
      </c>
      <c r="J411" s="40" t="str">
        <f t="shared" si="40"/>
        <v>Weekday</v>
      </c>
      <c r="K411" s="28" t="b">
        <v>0</v>
      </c>
      <c r="L411" s="28">
        <v>2</v>
      </c>
      <c r="M411" s="40" t="str" cm="1">
        <f t="array" ref="M411">_xlfn.IFS(L411=1,"Clear / Partly Cloudy",L411=2,"Mist / Cloudy",L411=3,"Light Snow / Rain",L411=4,"Heavy Precipitation")</f>
        <v>Mist / Cloudy</v>
      </c>
      <c r="N411" s="28">
        <v>0.22</v>
      </c>
      <c r="O411" s="28" t="str">
        <f t="shared" si="41"/>
        <v>Mild</v>
      </c>
      <c r="P411" s="28">
        <v>0.2727</v>
      </c>
      <c r="Q411" s="38">
        <f t="shared" si="37"/>
        <v>0.2727</v>
      </c>
      <c r="R411" s="28">
        <v>0.93</v>
      </c>
      <c r="S411" s="28">
        <v>0</v>
      </c>
      <c r="T411" s="40" t="str" cm="1">
        <f t="array" ref="T411">_xlfn.IFS(S411*18.6&lt;2,"Calm",S411*18.6&lt;6,"Light Breeze",S411*18.6&lt;14,"Gale",TRUE,"Extreme Storm")</f>
        <v>Calm</v>
      </c>
      <c r="U411" s="28">
        <v>0</v>
      </c>
      <c r="V411" s="28">
        <v>3</v>
      </c>
      <c r="W411" s="28">
        <v>3</v>
      </c>
      <c r="X411" s="44">
        <f>AVERAGE(INDEX($W:$W,MAX(ROW($W$3),ROW()-23)):INDEX($W:$W,ROW()))</f>
        <v>55.833333333333336</v>
      </c>
      <c r="Y411" s="44">
        <f>_xlfn.STDEV.S(INDEX($W:$W,MAX(ROW($W$3),ROW()-23)):INDEX($W:$W,ROW()))</f>
        <v>39.073694772678017</v>
      </c>
      <c r="Z411" s="44">
        <f t="shared" si="38"/>
        <v>-1.3521458270252098</v>
      </c>
      <c r="AA411" s="40" t="b">
        <f t="shared" si="36"/>
        <v>0</v>
      </c>
    </row>
    <row r="412" spans="1:27" x14ac:dyDescent="0.3">
      <c r="A412" s="32">
        <v>410</v>
      </c>
      <c r="B412" s="33">
        <v>40562</v>
      </c>
      <c r="C412" s="40" t="str">
        <f t="shared" si="39"/>
        <v>Wednesday</v>
      </c>
      <c r="D412" s="28">
        <v>1</v>
      </c>
      <c r="E412" s="40" t="str" cm="1">
        <f t="array" ref="E412">_xlfn.IFS(D412&gt;=21,"Night",D412&gt;=17,"Evening",D412&gt;=12,"Midday",D412&gt;=6,"Morning", TRUE, "Night")</f>
        <v>Night</v>
      </c>
      <c r="F412" s="28">
        <v>1</v>
      </c>
      <c r="G412" s="28">
        <v>0</v>
      </c>
      <c r="H412" s="28">
        <v>1</v>
      </c>
      <c r="I412" s="28">
        <v>3</v>
      </c>
      <c r="J412" s="40" t="str">
        <f t="shared" si="40"/>
        <v>Weekday</v>
      </c>
      <c r="K412" s="28" t="b">
        <v>0</v>
      </c>
      <c r="L412" s="28">
        <v>3</v>
      </c>
      <c r="M412" s="40" t="str" cm="1">
        <f t="array" ref="M412">_xlfn.IFS(L412=1,"Clear / Partly Cloudy",L412=2,"Mist / Cloudy",L412=3,"Light Snow / Rain",L412=4,"Heavy Precipitation")</f>
        <v>Light Snow / Rain</v>
      </c>
      <c r="N412" s="28">
        <v>0.22</v>
      </c>
      <c r="O412" s="28" t="str">
        <f t="shared" si="41"/>
        <v>Mild</v>
      </c>
      <c r="P412" s="28">
        <v>0.2273</v>
      </c>
      <c r="Q412" s="38">
        <f t="shared" si="37"/>
        <v>0.2273</v>
      </c>
      <c r="R412" s="28">
        <v>0.93</v>
      </c>
      <c r="S412" s="28">
        <v>0.1343</v>
      </c>
      <c r="T412" s="40" t="str" cm="1">
        <f t="array" ref="T412">_xlfn.IFS(S412*18.6&lt;2,"Calm",S412*18.6&lt;6,"Light Breeze",S412*18.6&lt;14,"Gale",TRUE,"Extreme Storm")</f>
        <v>Light Breeze</v>
      </c>
      <c r="U412" s="28">
        <v>1</v>
      </c>
      <c r="V412" s="28">
        <v>6</v>
      </c>
      <c r="W412" s="28">
        <v>7</v>
      </c>
      <c r="X412" s="44">
        <f>AVERAGE(INDEX($W:$W,MAX(ROW($W$3),ROW()-23)):INDEX($W:$W,ROW()))</f>
        <v>52.25</v>
      </c>
      <c r="Y412" s="44">
        <f>_xlfn.STDEV.S(INDEX($W:$W,MAX(ROW($W$3),ROW()-23)):INDEX($W:$W,ROW()))</f>
        <v>39.458563847022681</v>
      </c>
      <c r="Z412" s="44">
        <f t="shared" si="38"/>
        <v>-1.146772603671796</v>
      </c>
      <c r="AA412" s="40" t="b">
        <f t="shared" si="36"/>
        <v>0</v>
      </c>
    </row>
    <row r="413" spans="1:27" x14ac:dyDescent="0.3">
      <c r="A413" s="32">
        <v>411</v>
      </c>
      <c r="B413" s="33">
        <v>40562</v>
      </c>
      <c r="C413" s="40" t="str">
        <f t="shared" si="39"/>
        <v>Wednesday</v>
      </c>
      <c r="D413" s="28">
        <v>2</v>
      </c>
      <c r="E413" s="40" t="str" cm="1">
        <f t="array" ref="E413">_xlfn.IFS(D413&gt;=21,"Night",D413&gt;=17,"Evening",D413&gt;=12,"Midday",D413&gt;=6,"Morning", TRUE, "Night")</f>
        <v>Night</v>
      </c>
      <c r="F413" s="28">
        <v>1</v>
      </c>
      <c r="G413" s="28">
        <v>0</v>
      </c>
      <c r="H413" s="28">
        <v>1</v>
      </c>
      <c r="I413" s="28">
        <v>3</v>
      </c>
      <c r="J413" s="40" t="str">
        <f t="shared" si="40"/>
        <v>Weekday</v>
      </c>
      <c r="K413" s="28" t="b">
        <v>0</v>
      </c>
      <c r="L413" s="28">
        <v>3</v>
      </c>
      <c r="M413" s="40" t="str" cm="1">
        <f t="array" ref="M413">_xlfn.IFS(L413=1,"Clear / Partly Cloudy",L413=2,"Mist / Cloudy",L413=3,"Light Snow / Rain",L413=4,"Heavy Precipitation")</f>
        <v>Light Snow / Rain</v>
      </c>
      <c r="N413" s="28">
        <v>0.22</v>
      </c>
      <c r="O413" s="28" t="str">
        <f t="shared" si="41"/>
        <v>Mild</v>
      </c>
      <c r="P413" s="28">
        <v>0.2273</v>
      </c>
      <c r="Q413" s="38">
        <f t="shared" si="37"/>
        <v>0.2273</v>
      </c>
      <c r="R413" s="28">
        <v>0.93</v>
      </c>
      <c r="S413" s="28">
        <v>0.1343</v>
      </c>
      <c r="T413" s="40" t="str" cm="1">
        <f t="array" ref="T413">_xlfn.IFS(S413*18.6&lt;2,"Calm",S413*18.6&lt;6,"Light Breeze",S413*18.6&lt;14,"Gale",TRUE,"Extreme Storm")</f>
        <v>Light Breeze</v>
      </c>
      <c r="U413" s="28">
        <v>0</v>
      </c>
      <c r="V413" s="28">
        <v>3</v>
      </c>
      <c r="W413" s="28">
        <v>3</v>
      </c>
      <c r="X413" s="44">
        <f>AVERAGE(INDEX($W:$W,MAX(ROW($W$3),ROW()-23)):INDEX($W:$W,ROW()))</f>
        <v>48.791666666666664</v>
      </c>
      <c r="Y413" s="44">
        <f>_xlfn.STDEV.S(INDEX($W:$W,MAX(ROW($W$3),ROW()-23)):INDEX($W:$W,ROW()))</f>
        <v>40.005411771590261</v>
      </c>
      <c r="Z413" s="44">
        <f t="shared" si="38"/>
        <v>-1.1446368038432615</v>
      </c>
      <c r="AA413" s="40" t="b">
        <f t="shared" si="36"/>
        <v>0</v>
      </c>
    </row>
    <row r="414" spans="1:27" x14ac:dyDescent="0.3">
      <c r="A414" s="32">
        <v>412</v>
      </c>
      <c r="B414" s="33">
        <v>40562</v>
      </c>
      <c r="C414" s="40" t="str">
        <f t="shared" si="39"/>
        <v>Wednesday</v>
      </c>
      <c r="D414" s="28">
        <v>4</v>
      </c>
      <c r="E414" s="40" t="str" cm="1">
        <f t="array" ref="E414">_xlfn.IFS(D414&gt;=21,"Night",D414&gt;=17,"Evening",D414&gt;=12,"Midday",D414&gt;=6,"Morning", TRUE, "Night")</f>
        <v>Night</v>
      </c>
      <c r="F414" s="28">
        <v>1</v>
      </c>
      <c r="G414" s="28">
        <v>0</v>
      </c>
      <c r="H414" s="28">
        <v>1</v>
      </c>
      <c r="I414" s="28">
        <v>3</v>
      </c>
      <c r="J414" s="40" t="str">
        <f t="shared" si="40"/>
        <v>Weekday</v>
      </c>
      <c r="K414" s="28" t="b">
        <v>0</v>
      </c>
      <c r="L414" s="28">
        <v>3</v>
      </c>
      <c r="M414" s="40" t="str" cm="1">
        <f t="array" ref="M414">_xlfn.IFS(L414=1,"Clear / Partly Cloudy",L414=2,"Mist / Cloudy",L414=3,"Light Snow / Rain",L414=4,"Heavy Precipitation")</f>
        <v>Light Snow / Rain</v>
      </c>
      <c r="N414" s="28">
        <v>0.22</v>
      </c>
      <c r="O414" s="28" t="str">
        <f t="shared" si="41"/>
        <v>Mild</v>
      </c>
      <c r="P414" s="28">
        <v>0.2273</v>
      </c>
      <c r="Q414" s="38">
        <f t="shared" si="37"/>
        <v>0.2273</v>
      </c>
      <c r="R414" s="28">
        <v>0.93</v>
      </c>
      <c r="S414" s="28">
        <v>0.1343</v>
      </c>
      <c r="T414" s="40" t="str" cm="1">
        <f t="array" ref="T414">_xlfn.IFS(S414*18.6&lt;2,"Calm",S414*18.6&lt;6,"Light Breeze",S414*18.6&lt;14,"Gale",TRUE,"Extreme Storm")</f>
        <v>Light Breeze</v>
      </c>
      <c r="U414" s="28">
        <v>1</v>
      </c>
      <c r="V414" s="28">
        <v>1</v>
      </c>
      <c r="W414" s="28">
        <v>2</v>
      </c>
      <c r="X414" s="44">
        <f>AVERAGE(INDEX($W:$W,MAX(ROW($W$3),ROW()-23)):INDEX($W:$W,ROW()))</f>
        <v>45</v>
      </c>
      <c r="Y414" s="44">
        <f>_xlfn.STDEV.S(INDEX($W:$W,MAX(ROW($W$3),ROW()-23)):INDEX($W:$W,ROW()))</f>
        <v>39.945615202585671</v>
      </c>
      <c r="Z414" s="44">
        <f t="shared" si="38"/>
        <v>-1.0764635813448835</v>
      </c>
      <c r="AA414" s="40" t="b">
        <f t="shared" si="36"/>
        <v>0</v>
      </c>
    </row>
    <row r="415" spans="1:27" x14ac:dyDescent="0.3">
      <c r="A415" s="32">
        <v>413</v>
      </c>
      <c r="B415" s="33">
        <v>40562</v>
      </c>
      <c r="C415" s="40" t="str">
        <f t="shared" si="39"/>
        <v>Wednesday</v>
      </c>
      <c r="D415" s="28">
        <v>5</v>
      </c>
      <c r="E415" s="40" t="str" cm="1">
        <f t="array" ref="E415">_xlfn.IFS(D415&gt;=21,"Night",D415&gt;=17,"Evening",D415&gt;=12,"Midday",D415&gt;=6,"Morning", TRUE, "Night")</f>
        <v>Night</v>
      </c>
      <c r="F415" s="28">
        <v>1</v>
      </c>
      <c r="G415" s="28">
        <v>0</v>
      </c>
      <c r="H415" s="28">
        <v>1</v>
      </c>
      <c r="I415" s="28">
        <v>3</v>
      </c>
      <c r="J415" s="40" t="str">
        <f t="shared" si="40"/>
        <v>Weekday</v>
      </c>
      <c r="K415" s="28" t="b">
        <v>0</v>
      </c>
      <c r="L415" s="28">
        <v>2</v>
      </c>
      <c r="M415" s="40" t="str" cm="1">
        <f t="array" ref="M415">_xlfn.IFS(L415=1,"Clear / Partly Cloudy",L415=2,"Mist / Cloudy",L415=3,"Light Snow / Rain",L415=4,"Heavy Precipitation")</f>
        <v>Mist / Cloudy</v>
      </c>
      <c r="N415" s="28">
        <v>0.22</v>
      </c>
      <c r="O415" s="28" t="str">
        <f t="shared" si="41"/>
        <v>Mild</v>
      </c>
      <c r="P415" s="28">
        <v>0.2576</v>
      </c>
      <c r="Q415" s="38">
        <f t="shared" si="37"/>
        <v>0.2576</v>
      </c>
      <c r="R415" s="28">
        <v>0.93</v>
      </c>
      <c r="S415" s="28">
        <v>8.9599999999999999E-2</v>
      </c>
      <c r="T415" s="40" t="str" cm="1">
        <f t="array" ref="T415">_xlfn.IFS(S415*18.6&lt;2,"Calm",S415*18.6&lt;6,"Light Breeze",S415*18.6&lt;14,"Gale",TRUE,"Extreme Storm")</f>
        <v>Calm</v>
      </c>
      <c r="U415" s="28">
        <v>0</v>
      </c>
      <c r="V415" s="28">
        <v>7</v>
      </c>
      <c r="W415" s="28">
        <v>7</v>
      </c>
      <c r="X415" s="44">
        <f>AVERAGE(INDEX($W:$W,MAX(ROW($W$3),ROW()-23)):INDEX($W:$W,ROW()))</f>
        <v>41.875</v>
      </c>
      <c r="Y415" s="44">
        <f>_xlfn.STDEV.S(INDEX($W:$W,MAX(ROW($W$3),ROW()-23)):INDEX($W:$W,ROW()))</f>
        <v>39.858786058872347</v>
      </c>
      <c r="Z415" s="44">
        <f t="shared" si="38"/>
        <v>-0.87496392761407282</v>
      </c>
      <c r="AA415" s="40" t="b">
        <f t="shared" si="36"/>
        <v>0</v>
      </c>
    </row>
    <row r="416" spans="1:27" x14ac:dyDescent="0.3">
      <c r="A416" s="32">
        <v>414</v>
      </c>
      <c r="B416" s="33">
        <v>40562</v>
      </c>
      <c r="C416" s="40" t="str">
        <f t="shared" si="39"/>
        <v>Wednesday</v>
      </c>
      <c r="D416" s="28">
        <v>6</v>
      </c>
      <c r="E416" s="40" t="str" cm="1">
        <f t="array" ref="E416">_xlfn.IFS(D416&gt;=21,"Night",D416&gt;=17,"Evening",D416&gt;=12,"Midday",D416&gt;=6,"Morning", TRUE, "Night")</f>
        <v>Morning</v>
      </c>
      <c r="F416" s="28">
        <v>1</v>
      </c>
      <c r="G416" s="28">
        <v>0</v>
      </c>
      <c r="H416" s="28">
        <v>1</v>
      </c>
      <c r="I416" s="28">
        <v>3</v>
      </c>
      <c r="J416" s="40" t="str">
        <f t="shared" si="40"/>
        <v>Weekday</v>
      </c>
      <c r="K416" s="28" t="b">
        <v>0</v>
      </c>
      <c r="L416" s="28">
        <v>2</v>
      </c>
      <c r="M416" s="40" t="str" cm="1">
        <f t="array" ref="M416">_xlfn.IFS(L416=1,"Clear / Partly Cloudy",L416=2,"Mist / Cloudy",L416=3,"Light Snow / Rain",L416=4,"Heavy Precipitation")</f>
        <v>Mist / Cloudy</v>
      </c>
      <c r="N416" s="28">
        <v>0.22</v>
      </c>
      <c r="O416" s="28" t="str">
        <f t="shared" si="41"/>
        <v>Mild</v>
      </c>
      <c r="P416" s="28">
        <v>0.2576</v>
      </c>
      <c r="Q416" s="38">
        <f t="shared" si="37"/>
        <v>0.2576</v>
      </c>
      <c r="R416" s="28">
        <v>0.93</v>
      </c>
      <c r="S416" s="28">
        <v>8.9599999999999999E-2</v>
      </c>
      <c r="T416" s="40" t="str" cm="1">
        <f t="array" ref="T416">_xlfn.IFS(S416*18.6&lt;2,"Calm",S416*18.6&lt;6,"Light Breeze",S416*18.6&lt;14,"Gale",TRUE,"Extreme Storm")</f>
        <v>Calm</v>
      </c>
      <c r="U416" s="28">
        <v>0</v>
      </c>
      <c r="V416" s="28">
        <v>32</v>
      </c>
      <c r="W416" s="28">
        <v>32</v>
      </c>
      <c r="X416" s="44">
        <f>AVERAGE(INDEX($W:$W,MAX(ROW($W$3),ROW()-23)):INDEX($W:$W,ROW()))</f>
        <v>40.25</v>
      </c>
      <c r="Y416" s="44">
        <f>_xlfn.STDEV.S(INDEX($W:$W,MAX(ROW($W$3),ROW()-23)):INDEX($W:$W,ROW()))</f>
        <v>39.412258079898464</v>
      </c>
      <c r="Z416" s="44">
        <f t="shared" si="38"/>
        <v>-0.20932573777618108</v>
      </c>
      <c r="AA416" s="40" t="b">
        <f t="shared" si="36"/>
        <v>0</v>
      </c>
    </row>
    <row r="417" spans="1:27" x14ac:dyDescent="0.3">
      <c r="A417" s="32">
        <v>415</v>
      </c>
      <c r="B417" s="33">
        <v>40562</v>
      </c>
      <c r="C417" s="40" t="str">
        <f t="shared" si="39"/>
        <v>Wednesday</v>
      </c>
      <c r="D417" s="28">
        <v>7</v>
      </c>
      <c r="E417" s="40" t="str" cm="1">
        <f t="array" ref="E417">_xlfn.IFS(D417&gt;=21,"Night",D417&gt;=17,"Evening",D417&gt;=12,"Midday",D417&gt;=6,"Morning", TRUE, "Night")</f>
        <v>Morning</v>
      </c>
      <c r="F417" s="28">
        <v>1</v>
      </c>
      <c r="G417" s="28">
        <v>0</v>
      </c>
      <c r="H417" s="28">
        <v>1</v>
      </c>
      <c r="I417" s="28">
        <v>3</v>
      </c>
      <c r="J417" s="40" t="str">
        <f t="shared" si="40"/>
        <v>Weekday</v>
      </c>
      <c r="K417" s="28" t="b">
        <v>0</v>
      </c>
      <c r="L417" s="28">
        <v>2</v>
      </c>
      <c r="M417" s="40" t="str" cm="1">
        <f t="array" ref="M417">_xlfn.IFS(L417=1,"Clear / Partly Cloudy",L417=2,"Mist / Cloudy",L417=3,"Light Snow / Rain",L417=4,"Heavy Precipitation")</f>
        <v>Mist / Cloudy</v>
      </c>
      <c r="N417" s="28">
        <v>0.24</v>
      </c>
      <c r="O417" s="28" t="str">
        <f t="shared" si="41"/>
        <v>Mild</v>
      </c>
      <c r="P417" s="28">
        <v>0.2576</v>
      </c>
      <c r="Q417" s="38">
        <f t="shared" si="37"/>
        <v>0.2576</v>
      </c>
      <c r="R417" s="28">
        <v>0.92</v>
      </c>
      <c r="S417" s="28">
        <v>0.1045</v>
      </c>
      <c r="T417" s="40" t="str" cm="1">
        <f t="array" ref="T417">_xlfn.IFS(S417*18.6&lt;2,"Calm",S417*18.6&lt;6,"Light Breeze",S417*18.6&lt;14,"Gale",TRUE,"Extreme Storm")</f>
        <v>Calm</v>
      </c>
      <c r="U417" s="28">
        <v>1</v>
      </c>
      <c r="V417" s="28">
        <v>89</v>
      </c>
      <c r="W417" s="28">
        <v>90</v>
      </c>
      <c r="X417" s="44">
        <f>AVERAGE(INDEX($W:$W,MAX(ROW($W$3),ROW()-23)):INDEX($W:$W,ROW()))</f>
        <v>40.166666666666664</v>
      </c>
      <c r="Y417" s="44">
        <f>_xlfn.STDEV.S(INDEX($W:$W,MAX(ROW($W$3),ROW()-23)):INDEX($W:$W,ROW()))</f>
        <v>39.300035033358284</v>
      </c>
      <c r="Z417" s="44">
        <f t="shared" si="38"/>
        <v>1.2680226185812373</v>
      </c>
      <c r="AA417" s="40" t="b">
        <f t="shared" si="36"/>
        <v>0</v>
      </c>
    </row>
    <row r="418" spans="1:27" x14ac:dyDescent="0.3">
      <c r="A418" s="32">
        <v>416</v>
      </c>
      <c r="B418" s="33">
        <v>40562</v>
      </c>
      <c r="C418" s="40" t="str">
        <f t="shared" si="39"/>
        <v>Wednesday</v>
      </c>
      <c r="D418" s="28">
        <v>8</v>
      </c>
      <c r="E418" s="40" t="str" cm="1">
        <f t="array" ref="E418">_xlfn.IFS(D418&gt;=21,"Night",D418&gt;=17,"Evening",D418&gt;=12,"Midday",D418&gt;=6,"Morning", TRUE, "Night")</f>
        <v>Morning</v>
      </c>
      <c r="F418" s="28">
        <v>1</v>
      </c>
      <c r="G418" s="28">
        <v>0</v>
      </c>
      <c r="H418" s="28">
        <v>1</v>
      </c>
      <c r="I418" s="28">
        <v>3</v>
      </c>
      <c r="J418" s="40" t="str">
        <f t="shared" si="40"/>
        <v>Weekday</v>
      </c>
      <c r="K418" s="28" t="b">
        <v>0</v>
      </c>
      <c r="L418" s="28">
        <v>2</v>
      </c>
      <c r="M418" s="40" t="str" cm="1">
        <f t="array" ref="M418">_xlfn.IFS(L418=1,"Clear / Partly Cloudy",L418=2,"Mist / Cloudy",L418=3,"Light Snow / Rain",L418=4,"Heavy Precipitation")</f>
        <v>Mist / Cloudy</v>
      </c>
      <c r="N418" s="28">
        <v>0.24</v>
      </c>
      <c r="O418" s="28" t="str">
        <f t="shared" si="41"/>
        <v>Mild</v>
      </c>
      <c r="P418" s="28">
        <v>0.2576</v>
      </c>
      <c r="Q418" s="38">
        <f t="shared" si="37"/>
        <v>0.2576</v>
      </c>
      <c r="R418" s="28">
        <v>0.93</v>
      </c>
      <c r="S418" s="28">
        <v>0.1045</v>
      </c>
      <c r="T418" s="40" t="str" cm="1">
        <f t="array" ref="T418">_xlfn.IFS(S418*18.6&lt;2,"Calm",S418*18.6&lt;6,"Light Breeze",S418*18.6&lt;14,"Gale",TRUE,"Extreme Storm")</f>
        <v>Calm</v>
      </c>
      <c r="U418" s="28">
        <v>1</v>
      </c>
      <c r="V418" s="28">
        <v>196</v>
      </c>
      <c r="W418" s="28">
        <v>197</v>
      </c>
      <c r="X418" s="44">
        <f>AVERAGE(INDEX($W:$W,MAX(ROW($W$3),ROW()-23)):INDEX($W:$W,ROW()))</f>
        <v>45.875</v>
      </c>
      <c r="Y418" s="44">
        <f>_xlfn.STDEV.S(INDEX($W:$W,MAX(ROW($W$3),ROW()-23)):INDEX($W:$W,ROW()))</f>
        <v>50.624201550332579</v>
      </c>
      <c r="Z418" s="44">
        <f t="shared" si="38"/>
        <v>2.9852322678066452</v>
      </c>
      <c r="AA418" s="40" t="b">
        <f t="shared" si="36"/>
        <v>0</v>
      </c>
    </row>
    <row r="419" spans="1:27" x14ac:dyDescent="0.3">
      <c r="A419" s="32">
        <v>417</v>
      </c>
      <c r="B419" s="33">
        <v>40562</v>
      </c>
      <c r="C419" s="40" t="str">
        <f t="shared" si="39"/>
        <v>Wednesday</v>
      </c>
      <c r="D419" s="28">
        <v>9</v>
      </c>
      <c r="E419" s="40" t="str" cm="1">
        <f t="array" ref="E419">_xlfn.IFS(D419&gt;=21,"Night",D419&gt;=17,"Evening",D419&gt;=12,"Midday",D419&gt;=6,"Morning", TRUE, "Night")</f>
        <v>Morning</v>
      </c>
      <c r="F419" s="28">
        <v>1</v>
      </c>
      <c r="G419" s="28">
        <v>0</v>
      </c>
      <c r="H419" s="28">
        <v>1</v>
      </c>
      <c r="I419" s="28">
        <v>3</v>
      </c>
      <c r="J419" s="40" t="str">
        <f t="shared" si="40"/>
        <v>Weekday</v>
      </c>
      <c r="K419" s="28" t="b">
        <v>0</v>
      </c>
      <c r="L419" s="28">
        <v>2</v>
      </c>
      <c r="M419" s="40" t="str" cm="1">
        <f t="array" ref="M419">_xlfn.IFS(L419=1,"Clear / Partly Cloudy",L419=2,"Mist / Cloudy",L419=3,"Light Snow / Rain",L419=4,"Heavy Precipitation")</f>
        <v>Mist / Cloudy</v>
      </c>
      <c r="N419" s="28">
        <v>0.24</v>
      </c>
      <c r="O419" s="28" t="str">
        <f t="shared" si="41"/>
        <v>Mild</v>
      </c>
      <c r="P419" s="28">
        <v>0.2576</v>
      </c>
      <c r="Q419" s="38">
        <f t="shared" si="37"/>
        <v>0.2576</v>
      </c>
      <c r="R419" s="28">
        <v>0.93</v>
      </c>
      <c r="S419" s="28">
        <v>0.1045</v>
      </c>
      <c r="T419" s="40" t="str" cm="1">
        <f t="array" ref="T419">_xlfn.IFS(S419*18.6&lt;2,"Calm",S419*18.6&lt;6,"Light Breeze",S419*18.6&lt;14,"Gale",TRUE,"Extreme Storm")</f>
        <v>Calm</v>
      </c>
      <c r="U419" s="28">
        <v>2</v>
      </c>
      <c r="V419" s="28">
        <v>107</v>
      </c>
      <c r="W419" s="28">
        <v>109</v>
      </c>
      <c r="X419" s="44">
        <f>AVERAGE(INDEX($W:$W,MAX(ROW($W$3),ROW()-23)):INDEX($W:$W,ROW()))</f>
        <v>49.041666666666664</v>
      </c>
      <c r="Y419" s="44">
        <f>_xlfn.STDEV.S(INDEX($W:$W,MAX(ROW($W$3),ROW()-23)):INDEX($W:$W,ROW()))</f>
        <v>52.138176922036919</v>
      </c>
      <c r="Z419" s="44">
        <f t="shared" si="38"/>
        <v>1.1499890650758662</v>
      </c>
      <c r="AA419" s="40" t="b">
        <f t="shared" si="36"/>
        <v>0</v>
      </c>
    </row>
    <row r="420" spans="1:27" x14ac:dyDescent="0.3">
      <c r="A420" s="32">
        <v>418</v>
      </c>
      <c r="B420" s="33">
        <v>40562</v>
      </c>
      <c r="C420" s="40" t="str">
        <f t="shared" si="39"/>
        <v>Wednesday</v>
      </c>
      <c r="D420" s="28">
        <v>10</v>
      </c>
      <c r="E420" s="40" t="str" cm="1">
        <f t="array" ref="E420">_xlfn.IFS(D420&gt;=21,"Night",D420&gt;=17,"Evening",D420&gt;=12,"Midday",D420&gt;=6,"Morning", TRUE, "Night")</f>
        <v>Morning</v>
      </c>
      <c r="F420" s="28">
        <v>1</v>
      </c>
      <c r="G420" s="28">
        <v>0</v>
      </c>
      <c r="H420" s="28">
        <v>1</v>
      </c>
      <c r="I420" s="28">
        <v>3</v>
      </c>
      <c r="J420" s="40" t="str">
        <f t="shared" si="40"/>
        <v>Weekday</v>
      </c>
      <c r="K420" s="28" t="b">
        <v>0</v>
      </c>
      <c r="L420" s="28">
        <v>2</v>
      </c>
      <c r="M420" s="40" t="str" cm="1">
        <f t="array" ref="M420">_xlfn.IFS(L420=1,"Clear / Partly Cloudy",L420=2,"Mist / Cloudy",L420=3,"Light Snow / Rain",L420=4,"Heavy Precipitation")</f>
        <v>Mist / Cloudy</v>
      </c>
      <c r="N420" s="28">
        <v>0.26</v>
      </c>
      <c r="O420" s="28" t="str">
        <f t="shared" si="41"/>
        <v>Mild</v>
      </c>
      <c r="P420" s="28">
        <v>0.2727</v>
      </c>
      <c r="Q420" s="38">
        <f t="shared" si="37"/>
        <v>0.2727</v>
      </c>
      <c r="R420" s="28">
        <v>0.93</v>
      </c>
      <c r="S420" s="28">
        <v>0.1343</v>
      </c>
      <c r="T420" s="40" t="str" cm="1">
        <f t="array" ref="T420">_xlfn.IFS(S420*18.6&lt;2,"Calm",S420*18.6&lt;6,"Light Breeze",S420*18.6&lt;14,"Gale",TRUE,"Extreme Storm")</f>
        <v>Light Breeze</v>
      </c>
      <c r="U420" s="28">
        <v>1</v>
      </c>
      <c r="V420" s="28">
        <v>46</v>
      </c>
      <c r="W420" s="28">
        <v>47</v>
      </c>
      <c r="X420" s="44">
        <f>AVERAGE(INDEX($W:$W,MAX(ROW($W$3),ROW()-23)):INDEX($W:$W,ROW()))</f>
        <v>49.875</v>
      </c>
      <c r="Y420" s="44">
        <f>_xlfn.STDEV.S(INDEX($W:$W,MAX(ROW($W$3),ROW()-23)):INDEX($W:$W,ROW()))</f>
        <v>51.929980031644114</v>
      </c>
      <c r="Z420" s="44">
        <f t="shared" si="38"/>
        <v>-5.5363009926984119E-2</v>
      </c>
      <c r="AA420" s="40" t="b">
        <f t="shared" si="36"/>
        <v>0</v>
      </c>
    </row>
    <row r="421" spans="1:27" x14ac:dyDescent="0.3">
      <c r="A421" s="32">
        <v>419</v>
      </c>
      <c r="B421" s="33">
        <v>40562</v>
      </c>
      <c r="C421" s="40" t="str">
        <f t="shared" si="39"/>
        <v>Wednesday</v>
      </c>
      <c r="D421" s="28">
        <v>11</v>
      </c>
      <c r="E421" s="40" t="str" cm="1">
        <f t="array" ref="E421">_xlfn.IFS(D421&gt;=21,"Night",D421&gt;=17,"Evening",D421&gt;=12,"Midday",D421&gt;=6,"Morning", TRUE, "Night")</f>
        <v>Morning</v>
      </c>
      <c r="F421" s="28">
        <v>1</v>
      </c>
      <c r="G421" s="28">
        <v>0</v>
      </c>
      <c r="H421" s="28">
        <v>1</v>
      </c>
      <c r="I421" s="28">
        <v>3</v>
      </c>
      <c r="J421" s="40" t="str">
        <f t="shared" si="40"/>
        <v>Weekday</v>
      </c>
      <c r="K421" s="28" t="b">
        <v>0</v>
      </c>
      <c r="L421" s="28">
        <v>2</v>
      </c>
      <c r="M421" s="40" t="str" cm="1">
        <f t="array" ref="M421">_xlfn.IFS(L421=1,"Clear / Partly Cloudy",L421=2,"Mist / Cloudy",L421=3,"Light Snow / Rain",L421=4,"Heavy Precipitation")</f>
        <v>Mist / Cloudy</v>
      </c>
      <c r="N421" s="28">
        <v>0.28000000000000003</v>
      </c>
      <c r="O421" s="28" t="str">
        <f t="shared" si="41"/>
        <v>Mild</v>
      </c>
      <c r="P421" s="28">
        <v>0.30299999999999999</v>
      </c>
      <c r="Q421" s="38">
        <f t="shared" si="37"/>
        <v>0.30299999999999999</v>
      </c>
      <c r="R421" s="28">
        <v>0.87</v>
      </c>
      <c r="S421" s="28">
        <v>8.9599999999999999E-2</v>
      </c>
      <c r="T421" s="40" t="str" cm="1">
        <f t="array" ref="T421">_xlfn.IFS(S421*18.6&lt;2,"Calm",S421*18.6&lt;6,"Light Breeze",S421*18.6&lt;14,"Gale",TRUE,"Extreme Storm")</f>
        <v>Calm</v>
      </c>
      <c r="U421" s="28">
        <v>5</v>
      </c>
      <c r="V421" s="28">
        <v>47</v>
      </c>
      <c r="W421" s="28">
        <v>52</v>
      </c>
      <c r="X421" s="44">
        <f>AVERAGE(INDEX($W:$W,MAX(ROW($W$3),ROW()-23)):INDEX($W:$W,ROW()))</f>
        <v>51.5</v>
      </c>
      <c r="Y421" s="44">
        <f>_xlfn.STDEV.S(INDEX($W:$W,MAX(ROW($W$3),ROW()-23)):INDEX($W:$W,ROW()))</f>
        <v>51.332674567578003</v>
      </c>
      <c r="Z421" s="44">
        <f t="shared" si="38"/>
        <v>9.7403847395826654E-3</v>
      </c>
      <c r="AA421" s="40" t="b">
        <f t="shared" si="36"/>
        <v>0</v>
      </c>
    </row>
    <row r="422" spans="1:27" x14ac:dyDescent="0.3">
      <c r="A422" s="32">
        <v>420</v>
      </c>
      <c r="B422" s="33">
        <v>40562</v>
      </c>
      <c r="C422" s="40" t="str">
        <f t="shared" si="39"/>
        <v>Wednesday</v>
      </c>
      <c r="D422" s="28">
        <v>12</v>
      </c>
      <c r="E422" s="40" t="str" cm="1">
        <f t="array" ref="E422">_xlfn.IFS(D422&gt;=21,"Night",D422&gt;=17,"Evening",D422&gt;=12,"Midday",D422&gt;=6,"Morning", TRUE, "Night")</f>
        <v>Midday</v>
      </c>
      <c r="F422" s="28">
        <v>1</v>
      </c>
      <c r="G422" s="28">
        <v>0</v>
      </c>
      <c r="H422" s="28">
        <v>1</v>
      </c>
      <c r="I422" s="28">
        <v>3</v>
      </c>
      <c r="J422" s="40" t="str">
        <f t="shared" si="40"/>
        <v>Weekday</v>
      </c>
      <c r="K422" s="28" t="b">
        <v>0</v>
      </c>
      <c r="L422" s="28">
        <v>2</v>
      </c>
      <c r="M422" s="40" t="str" cm="1">
        <f t="array" ref="M422">_xlfn.IFS(L422=1,"Clear / Partly Cloudy",L422=2,"Mist / Cloudy",L422=3,"Light Snow / Rain",L422=4,"Heavy Precipitation")</f>
        <v>Mist / Cloudy</v>
      </c>
      <c r="N422" s="28">
        <v>0.3</v>
      </c>
      <c r="O422" s="28" t="str">
        <f t="shared" si="41"/>
        <v>Mild</v>
      </c>
      <c r="P422" s="28">
        <v>0.31819999999999998</v>
      </c>
      <c r="Q422" s="38">
        <f t="shared" si="37"/>
        <v>0.31819999999999998</v>
      </c>
      <c r="R422" s="28">
        <v>0.81</v>
      </c>
      <c r="S422" s="28">
        <v>8.9599999999999999E-2</v>
      </c>
      <c r="T422" s="40" t="str" cm="1">
        <f t="array" ref="T422">_xlfn.IFS(S422*18.6&lt;2,"Calm",S422*18.6&lt;6,"Light Breeze",S422*18.6&lt;14,"Gale",TRUE,"Extreme Storm")</f>
        <v>Calm</v>
      </c>
      <c r="U422" s="28">
        <v>5</v>
      </c>
      <c r="V422" s="28">
        <v>65</v>
      </c>
      <c r="W422" s="28">
        <v>70</v>
      </c>
      <c r="X422" s="44">
        <f>AVERAGE(INDEX($W:$W,MAX(ROW($W$3),ROW()-23)):INDEX($W:$W,ROW()))</f>
        <v>54.25</v>
      </c>
      <c r="Y422" s="44">
        <f>_xlfn.STDEV.S(INDEX($W:$W,MAX(ROW($W$3),ROW()-23)):INDEX($W:$W,ROW()))</f>
        <v>50.437434338085595</v>
      </c>
      <c r="Z422" s="44">
        <f t="shared" si="38"/>
        <v>0.31226806451784733</v>
      </c>
      <c r="AA422" s="40" t="b">
        <f t="shared" si="36"/>
        <v>0</v>
      </c>
    </row>
    <row r="423" spans="1:27" x14ac:dyDescent="0.3">
      <c r="A423" s="32">
        <v>421</v>
      </c>
      <c r="B423" s="33">
        <v>40562</v>
      </c>
      <c r="C423" s="40" t="str">
        <f t="shared" si="39"/>
        <v>Wednesday</v>
      </c>
      <c r="D423" s="28">
        <v>13</v>
      </c>
      <c r="E423" s="40" t="str" cm="1">
        <f t="array" ref="E423">_xlfn.IFS(D423&gt;=21,"Night",D423&gt;=17,"Evening",D423&gt;=12,"Midday",D423&gt;=6,"Morning", TRUE, "Night")</f>
        <v>Midday</v>
      </c>
      <c r="F423" s="28">
        <v>1</v>
      </c>
      <c r="G423" s="28">
        <v>0</v>
      </c>
      <c r="H423" s="28">
        <v>1</v>
      </c>
      <c r="I423" s="28">
        <v>3</v>
      </c>
      <c r="J423" s="40" t="str">
        <f t="shared" si="40"/>
        <v>Weekday</v>
      </c>
      <c r="K423" s="28" t="b">
        <v>0</v>
      </c>
      <c r="L423" s="28">
        <v>1</v>
      </c>
      <c r="M423" s="40" t="str" cm="1">
        <f t="array" ref="M423">_xlfn.IFS(L423=1,"Clear / Partly Cloudy",L423=2,"Mist / Cloudy",L423=3,"Light Snow / Rain",L423=4,"Heavy Precipitation")</f>
        <v>Clear / Partly Cloudy</v>
      </c>
      <c r="N423" s="28">
        <v>0.4</v>
      </c>
      <c r="O423" s="28" t="str">
        <f t="shared" si="41"/>
        <v>Mild</v>
      </c>
      <c r="P423" s="28">
        <v>0.40910000000000002</v>
      </c>
      <c r="Q423" s="38">
        <f t="shared" si="37"/>
        <v>0.40910000000000002</v>
      </c>
      <c r="R423" s="28">
        <v>0.62</v>
      </c>
      <c r="S423" s="28">
        <v>0.28360000000000002</v>
      </c>
      <c r="T423" s="40" t="str" cm="1">
        <f t="array" ref="T423">_xlfn.IFS(S423*18.6&lt;2,"Calm",S423*18.6&lt;6,"Light Breeze",S423*18.6&lt;14,"Gale",TRUE,"Extreme Storm")</f>
        <v>Light Breeze</v>
      </c>
      <c r="U423" s="28">
        <v>11</v>
      </c>
      <c r="V423" s="28">
        <v>67</v>
      </c>
      <c r="W423" s="28">
        <v>78</v>
      </c>
      <c r="X423" s="44">
        <f>AVERAGE(INDEX($W:$W,MAX(ROW($W$3),ROW()-23)):INDEX($W:$W,ROW()))</f>
        <v>57.375</v>
      </c>
      <c r="Y423" s="44">
        <f>_xlfn.STDEV.S(INDEX($W:$W,MAX(ROW($W$3),ROW()-23)):INDEX($W:$W,ROW()))</f>
        <v>49.437542942321812</v>
      </c>
      <c r="Z423" s="44">
        <f t="shared" si="38"/>
        <v>0.41719306366141495</v>
      </c>
      <c r="AA423" s="40" t="b">
        <f t="shared" si="36"/>
        <v>0</v>
      </c>
    </row>
    <row r="424" spans="1:27" x14ac:dyDescent="0.3">
      <c r="A424" s="32">
        <v>422</v>
      </c>
      <c r="B424" s="33">
        <v>40562</v>
      </c>
      <c r="C424" s="40" t="str">
        <f t="shared" si="39"/>
        <v>Wednesday</v>
      </c>
      <c r="D424" s="28">
        <v>14</v>
      </c>
      <c r="E424" s="40" t="str" cm="1">
        <f t="array" ref="E424">_xlfn.IFS(D424&gt;=21,"Night",D424&gt;=17,"Evening",D424&gt;=12,"Midday",D424&gt;=6,"Morning", TRUE, "Night")</f>
        <v>Midday</v>
      </c>
      <c r="F424" s="28">
        <v>1</v>
      </c>
      <c r="G424" s="28">
        <v>0</v>
      </c>
      <c r="H424" s="28">
        <v>1</v>
      </c>
      <c r="I424" s="28">
        <v>3</v>
      </c>
      <c r="J424" s="40" t="str">
        <f t="shared" si="40"/>
        <v>Weekday</v>
      </c>
      <c r="K424" s="28" t="b">
        <v>0</v>
      </c>
      <c r="L424" s="28">
        <v>1</v>
      </c>
      <c r="M424" s="40" t="str" cm="1">
        <f t="array" ref="M424">_xlfn.IFS(L424=1,"Clear / Partly Cloudy",L424=2,"Mist / Cloudy",L424=3,"Light Snow / Rain",L424=4,"Heavy Precipitation")</f>
        <v>Clear / Partly Cloudy</v>
      </c>
      <c r="N424" s="28">
        <v>0.4</v>
      </c>
      <c r="O424" s="28" t="str">
        <f t="shared" si="41"/>
        <v>Mild</v>
      </c>
      <c r="P424" s="28">
        <v>0.40910000000000002</v>
      </c>
      <c r="Q424" s="38">
        <f t="shared" si="37"/>
        <v>0.40910000000000002</v>
      </c>
      <c r="R424" s="28">
        <v>0.57999999999999996</v>
      </c>
      <c r="S424" s="28">
        <v>0.25369999999999998</v>
      </c>
      <c r="T424" s="40" t="str" cm="1">
        <f t="array" ref="T424">_xlfn.IFS(S424*18.6&lt;2,"Calm",S424*18.6&lt;6,"Light Breeze",S424*18.6&lt;14,"Gale",TRUE,"Extreme Storm")</f>
        <v>Light Breeze</v>
      </c>
      <c r="U424" s="28">
        <v>7</v>
      </c>
      <c r="V424" s="28">
        <v>68</v>
      </c>
      <c r="W424" s="28">
        <v>75</v>
      </c>
      <c r="X424" s="44">
        <f>AVERAGE(INDEX($W:$W,MAX(ROW($W$3),ROW()-23)):INDEX($W:$W,ROW()))</f>
        <v>59.583333333333336</v>
      </c>
      <c r="Y424" s="44">
        <f>_xlfn.STDEV.S(INDEX($W:$W,MAX(ROW($W$3),ROW()-23)):INDEX($W:$W,ROW()))</f>
        <v>48.970192057464175</v>
      </c>
      <c r="Z424" s="44">
        <f t="shared" si="38"/>
        <v>0.31481736172437191</v>
      </c>
      <c r="AA424" s="40" t="b">
        <f t="shared" si="36"/>
        <v>0</v>
      </c>
    </row>
    <row r="425" spans="1:27" x14ac:dyDescent="0.3">
      <c r="A425" s="32">
        <v>423</v>
      </c>
      <c r="B425" s="33">
        <v>40562</v>
      </c>
      <c r="C425" s="40" t="str">
        <f t="shared" si="39"/>
        <v>Wednesday</v>
      </c>
      <c r="D425" s="28">
        <v>15</v>
      </c>
      <c r="E425" s="40" t="str" cm="1">
        <f t="array" ref="E425">_xlfn.IFS(D425&gt;=21,"Night",D425&gt;=17,"Evening",D425&gt;=12,"Midday",D425&gt;=6,"Morning", TRUE, "Night")</f>
        <v>Midday</v>
      </c>
      <c r="F425" s="28">
        <v>1</v>
      </c>
      <c r="G425" s="28">
        <v>0</v>
      </c>
      <c r="H425" s="28">
        <v>1</v>
      </c>
      <c r="I425" s="28">
        <v>3</v>
      </c>
      <c r="J425" s="40" t="str">
        <f t="shared" si="40"/>
        <v>Weekday</v>
      </c>
      <c r="K425" s="28" t="b">
        <v>0</v>
      </c>
      <c r="L425" s="28">
        <v>1</v>
      </c>
      <c r="M425" s="40" t="str" cm="1">
        <f t="array" ref="M425">_xlfn.IFS(L425=1,"Clear / Partly Cloudy",L425=2,"Mist / Cloudy",L425=3,"Light Snow / Rain",L425=4,"Heavy Precipitation")</f>
        <v>Clear / Partly Cloudy</v>
      </c>
      <c r="N425" s="28">
        <v>0.4</v>
      </c>
      <c r="O425" s="28" t="str">
        <f t="shared" si="41"/>
        <v>Mild</v>
      </c>
      <c r="P425" s="28">
        <v>0.40910000000000002</v>
      </c>
      <c r="Q425" s="38">
        <f t="shared" si="37"/>
        <v>0.40910000000000002</v>
      </c>
      <c r="R425" s="28">
        <v>0.54</v>
      </c>
      <c r="S425" s="28">
        <v>0.28360000000000002</v>
      </c>
      <c r="T425" s="40" t="str" cm="1">
        <f t="array" ref="T425">_xlfn.IFS(S425*18.6&lt;2,"Calm",S425*18.6&lt;6,"Light Breeze",S425*18.6&lt;14,"Gale",TRUE,"Extreme Storm")</f>
        <v>Light Breeze</v>
      </c>
      <c r="U425" s="28">
        <v>4</v>
      </c>
      <c r="V425" s="28">
        <v>78</v>
      </c>
      <c r="W425" s="28">
        <v>82</v>
      </c>
      <c r="X425" s="44">
        <f>AVERAGE(INDEX($W:$W,MAX(ROW($W$3),ROW()-23)):INDEX($W:$W,ROW()))</f>
        <v>61.833333333333336</v>
      </c>
      <c r="Y425" s="44">
        <f>_xlfn.STDEV.S(INDEX($W:$W,MAX(ROW($W$3),ROW()-23)):INDEX($W:$W,ROW()))</f>
        <v>48.695742753538944</v>
      </c>
      <c r="Z425" s="44">
        <f t="shared" si="38"/>
        <v>0.41413613442010921</v>
      </c>
      <c r="AA425" s="40" t="b">
        <f t="shared" si="36"/>
        <v>0</v>
      </c>
    </row>
    <row r="426" spans="1:27" x14ac:dyDescent="0.3">
      <c r="A426" s="32">
        <v>424</v>
      </c>
      <c r="B426" s="33">
        <v>40562</v>
      </c>
      <c r="C426" s="40" t="str">
        <f t="shared" si="39"/>
        <v>Wednesday</v>
      </c>
      <c r="D426" s="28">
        <v>16</v>
      </c>
      <c r="E426" s="40" t="str" cm="1">
        <f t="array" ref="E426">_xlfn.IFS(D426&gt;=21,"Night",D426&gt;=17,"Evening",D426&gt;=12,"Midday",D426&gt;=6,"Morning", TRUE, "Night")</f>
        <v>Midday</v>
      </c>
      <c r="F426" s="28">
        <v>1</v>
      </c>
      <c r="G426" s="28">
        <v>0</v>
      </c>
      <c r="H426" s="28">
        <v>1</v>
      </c>
      <c r="I426" s="28">
        <v>3</v>
      </c>
      <c r="J426" s="40" t="str">
        <f t="shared" si="40"/>
        <v>Weekday</v>
      </c>
      <c r="K426" s="28" t="b">
        <v>0</v>
      </c>
      <c r="L426" s="28">
        <v>1</v>
      </c>
      <c r="M426" s="40" t="str" cm="1">
        <f t="array" ref="M426">_xlfn.IFS(L426=1,"Clear / Partly Cloudy",L426=2,"Mist / Cloudy",L426=3,"Light Snow / Rain",L426=4,"Heavy Precipitation")</f>
        <v>Clear / Partly Cloudy</v>
      </c>
      <c r="N426" s="28">
        <v>0.38</v>
      </c>
      <c r="O426" s="28" t="str">
        <f t="shared" si="41"/>
        <v>Mild</v>
      </c>
      <c r="P426" s="28">
        <v>0.39389999999999997</v>
      </c>
      <c r="Q426" s="38">
        <f t="shared" si="37"/>
        <v>0.39389999999999997</v>
      </c>
      <c r="R426" s="28">
        <v>0.57999999999999996</v>
      </c>
      <c r="S426" s="28">
        <v>0.3881</v>
      </c>
      <c r="T426" s="40" t="str" cm="1">
        <f t="array" ref="T426">_xlfn.IFS(S426*18.6&lt;2,"Calm",S426*18.6&lt;6,"Light Breeze",S426*18.6&lt;14,"Gale",TRUE,"Extreme Storm")</f>
        <v>Gale</v>
      </c>
      <c r="U426" s="28">
        <v>10</v>
      </c>
      <c r="V426" s="28">
        <v>94</v>
      </c>
      <c r="W426" s="28">
        <v>104</v>
      </c>
      <c r="X426" s="44">
        <f>AVERAGE(INDEX($W:$W,MAX(ROW($W$3),ROW()-23)):INDEX($W:$W,ROW()))</f>
        <v>64.708333333333329</v>
      </c>
      <c r="Y426" s="44">
        <f>_xlfn.STDEV.S(INDEX($W:$W,MAX(ROW($W$3),ROW()-23)):INDEX($W:$W,ROW()))</f>
        <v>49.078002835474472</v>
      </c>
      <c r="Z426" s="44">
        <f t="shared" si="38"/>
        <v>0.8005962833977821</v>
      </c>
      <c r="AA426" s="40" t="b">
        <f t="shared" si="36"/>
        <v>0</v>
      </c>
    </row>
    <row r="427" spans="1:27" x14ac:dyDescent="0.3">
      <c r="A427" s="32">
        <v>425</v>
      </c>
      <c r="B427" s="33">
        <v>40562</v>
      </c>
      <c r="C427" s="40" t="str">
        <f t="shared" si="39"/>
        <v>Wednesday</v>
      </c>
      <c r="D427" s="28">
        <v>17</v>
      </c>
      <c r="E427" s="40" t="str" cm="1">
        <f t="array" ref="E427">_xlfn.IFS(D427&gt;=21,"Night",D427&gt;=17,"Evening",D427&gt;=12,"Midday",D427&gt;=6,"Morning", TRUE, "Night")</f>
        <v>Evening</v>
      </c>
      <c r="F427" s="28">
        <v>1</v>
      </c>
      <c r="G427" s="28">
        <v>0</v>
      </c>
      <c r="H427" s="28">
        <v>1</v>
      </c>
      <c r="I427" s="28">
        <v>3</v>
      </c>
      <c r="J427" s="40" t="str">
        <f t="shared" si="40"/>
        <v>Weekday</v>
      </c>
      <c r="K427" s="28" t="b">
        <v>0</v>
      </c>
      <c r="L427" s="28">
        <v>1</v>
      </c>
      <c r="M427" s="40" t="str" cm="1">
        <f t="array" ref="M427">_xlfn.IFS(L427=1,"Clear / Partly Cloudy",L427=2,"Mist / Cloudy",L427=3,"Light Snow / Rain",L427=4,"Heavy Precipitation")</f>
        <v>Clear / Partly Cloudy</v>
      </c>
      <c r="N427" s="28">
        <v>0.36</v>
      </c>
      <c r="O427" s="28" t="str">
        <f t="shared" si="41"/>
        <v>Mild</v>
      </c>
      <c r="P427" s="28">
        <v>0.33329999999999999</v>
      </c>
      <c r="Q427" s="38">
        <f t="shared" si="37"/>
        <v>0.33329999999999999</v>
      </c>
      <c r="R427" s="28">
        <v>0.56999999999999995</v>
      </c>
      <c r="S427" s="28">
        <v>0.32840000000000003</v>
      </c>
      <c r="T427" s="40" t="str" cm="1">
        <f t="array" ref="T427">_xlfn.IFS(S427*18.6&lt;2,"Calm",S427*18.6&lt;6,"Light Breeze",S427*18.6&lt;14,"Gale",TRUE,"Extreme Storm")</f>
        <v>Gale</v>
      </c>
      <c r="U427" s="28">
        <v>7</v>
      </c>
      <c r="V427" s="28">
        <v>190</v>
      </c>
      <c r="W427" s="28">
        <v>197</v>
      </c>
      <c r="X427" s="44">
        <f>AVERAGE(INDEX($W:$W,MAX(ROW($W$3),ROW()-23)):INDEX($W:$W,ROW()))</f>
        <v>70.375</v>
      </c>
      <c r="Y427" s="44">
        <f>_xlfn.STDEV.S(INDEX($W:$W,MAX(ROW($W$3),ROW()-23)):INDEX($W:$W,ROW()))</f>
        <v>55.995195834301171</v>
      </c>
      <c r="Z427" s="44">
        <f t="shared" si="38"/>
        <v>2.261354712906154</v>
      </c>
      <c r="AA427" s="40" t="b">
        <f t="shared" si="36"/>
        <v>0</v>
      </c>
    </row>
    <row r="428" spans="1:27" x14ac:dyDescent="0.3">
      <c r="A428" s="32">
        <v>426</v>
      </c>
      <c r="B428" s="33">
        <v>40562</v>
      </c>
      <c r="C428" s="40" t="str">
        <f t="shared" si="39"/>
        <v>Wednesday</v>
      </c>
      <c r="D428" s="28">
        <v>18</v>
      </c>
      <c r="E428" s="40" t="str" cm="1">
        <f t="array" ref="E428">_xlfn.IFS(D428&gt;=21,"Night",D428&gt;=17,"Evening",D428&gt;=12,"Midday",D428&gt;=6,"Morning", TRUE, "Night")</f>
        <v>Evening</v>
      </c>
      <c r="F428" s="28">
        <v>1</v>
      </c>
      <c r="G428" s="28">
        <v>0</v>
      </c>
      <c r="H428" s="28">
        <v>1</v>
      </c>
      <c r="I428" s="28">
        <v>3</v>
      </c>
      <c r="J428" s="40" t="str">
        <f t="shared" si="40"/>
        <v>Weekday</v>
      </c>
      <c r="K428" s="28" t="b">
        <v>0</v>
      </c>
      <c r="L428" s="28">
        <v>1</v>
      </c>
      <c r="M428" s="40" t="str" cm="1">
        <f t="array" ref="M428">_xlfn.IFS(L428=1,"Clear / Partly Cloudy",L428=2,"Mist / Cloudy",L428=3,"Light Snow / Rain",L428=4,"Heavy Precipitation")</f>
        <v>Clear / Partly Cloudy</v>
      </c>
      <c r="N428" s="28">
        <v>0.34</v>
      </c>
      <c r="O428" s="28" t="str">
        <f t="shared" si="41"/>
        <v>Mild</v>
      </c>
      <c r="P428" s="28">
        <v>0.31819999999999998</v>
      </c>
      <c r="Q428" s="38">
        <f t="shared" si="37"/>
        <v>0.31819999999999998</v>
      </c>
      <c r="R428" s="28">
        <v>0.61</v>
      </c>
      <c r="S428" s="28">
        <v>0.28360000000000002</v>
      </c>
      <c r="T428" s="40" t="str" cm="1">
        <f t="array" ref="T428">_xlfn.IFS(S428*18.6&lt;2,"Calm",S428*18.6&lt;6,"Light Breeze",S428*18.6&lt;14,"Gale",TRUE,"Extreme Storm")</f>
        <v>Light Breeze</v>
      </c>
      <c r="U428" s="28">
        <v>5</v>
      </c>
      <c r="V428" s="28">
        <v>156</v>
      </c>
      <c r="W428" s="28">
        <v>161</v>
      </c>
      <c r="X428" s="44">
        <f>AVERAGE(INDEX($W:$W,MAX(ROW($W$3),ROW()-23)):INDEX($W:$W,ROW()))</f>
        <v>71.875</v>
      </c>
      <c r="Y428" s="44">
        <f>_xlfn.STDEV.S(INDEX($W:$W,MAX(ROW($W$3),ROW()-23)):INDEX($W:$W,ROW()))</f>
        <v>57.969491601373726</v>
      </c>
      <c r="Z428" s="44">
        <f t="shared" si="38"/>
        <v>1.537446638533017</v>
      </c>
      <c r="AA428" s="40" t="b">
        <f t="shared" si="36"/>
        <v>0</v>
      </c>
    </row>
    <row r="429" spans="1:27" x14ac:dyDescent="0.3">
      <c r="A429" s="32">
        <v>427</v>
      </c>
      <c r="B429" s="33">
        <v>40562</v>
      </c>
      <c r="C429" s="40" t="str">
        <f t="shared" si="39"/>
        <v>Wednesday</v>
      </c>
      <c r="D429" s="28">
        <v>19</v>
      </c>
      <c r="E429" s="40" t="str" cm="1">
        <f t="array" ref="E429">_xlfn.IFS(D429&gt;=21,"Night",D429&gt;=17,"Evening",D429&gt;=12,"Midday",D429&gt;=6,"Morning", TRUE, "Night")</f>
        <v>Evening</v>
      </c>
      <c r="F429" s="28">
        <v>1</v>
      </c>
      <c r="G429" s="28">
        <v>0</v>
      </c>
      <c r="H429" s="28">
        <v>1</v>
      </c>
      <c r="I429" s="28">
        <v>3</v>
      </c>
      <c r="J429" s="40" t="str">
        <f t="shared" si="40"/>
        <v>Weekday</v>
      </c>
      <c r="K429" s="28" t="b">
        <v>0</v>
      </c>
      <c r="L429" s="28">
        <v>1</v>
      </c>
      <c r="M429" s="40" t="str" cm="1">
        <f t="array" ref="M429">_xlfn.IFS(L429=1,"Clear / Partly Cloudy",L429=2,"Mist / Cloudy",L429=3,"Light Snow / Rain",L429=4,"Heavy Precipitation")</f>
        <v>Clear / Partly Cloudy</v>
      </c>
      <c r="N429" s="28">
        <v>0.32</v>
      </c>
      <c r="O429" s="28" t="str">
        <f t="shared" si="41"/>
        <v>Mild</v>
      </c>
      <c r="P429" s="28">
        <v>0.28789999999999999</v>
      </c>
      <c r="Q429" s="38">
        <f t="shared" si="37"/>
        <v>0.28789999999999999</v>
      </c>
      <c r="R429" s="28">
        <v>0.56999999999999995</v>
      </c>
      <c r="S429" s="28">
        <v>0.41789999999999999</v>
      </c>
      <c r="T429" s="40" t="str" cm="1">
        <f t="array" ref="T429">_xlfn.IFS(S429*18.6&lt;2,"Calm",S429*18.6&lt;6,"Light Breeze",S429*18.6&lt;14,"Gale",TRUE,"Extreme Storm")</f>
        <v>Gale</v>
      </c>
      <c r="U429" s="28">
        <v>4</v>
      </c>
      <c r="V429" s="28">
        <v>108</v>
      </c>
      <c r="W429" s="28">
        <v>112</v>
      </c>
      <c r="X429" s="44">
        <f>AVERAGE(INDEX($W:$W,MAX(ROW($W$3),ROW()-23)):INDEX($W:$W,ROW()))</f>
        <v>71</v>
      </c>
      <c r="Y429" s="44">
        <f>_xlfn.STDEV.S(INDEX($W:$W,MAX(ROW($W$3),ROW()-23)):INDEX($W:$W,ROW()))</f>
        <v>57.159578298867359</v>
      </c>
      <c r="Z429" s="44">
        <f t="shared" si="38"/>
        <v>0.71729010640395907</v>
      </c>
      <c r="AA429" s="40" t="b">
        <f t="shared" si="36"/>
        <v>0</v>
      </c>
    </row>
    <row r="430" spans="1:27" x14ac:dyDescent="0.3">
      <c r="A430" s="32">
        <v>428</v>
      </c>
      <c r="B430" s="33">
        <v>40562</v>
      </c>
      <c r="C430" s="40" t="str">
        <f t="shared" si="39"/>
        <v>Wednesday</v>
      </c>
      <c r="D430" s="28">
        <v>20</v>
      </c>
      <c r="E430" s="40" t="str" cm="1">
        <f t="array" ref="E430">_xlfn.IFS(D430&gt;=21,"Night",D430&gt;=17,"Evening",D430&gt;=12,"Midday",D430&gt;=6,"Morning", TRUE, "Night")</f>
        <v>Evening</v>
      </c>
      <c r="F430" s="28">
        <v>1</v>
      </c>
      <c r="G430" s="28">
        <v>0</v>
      </c>
      <c r="H430" s="28">
        <v>1</v>
      </c>
      <c r="I430" s="28">
        <v>3</v>
      </c>
      <c r="J430" s="40" t="str">
        <f t="shared" si="40"/>
        <v>Weekday</v>
      </c>
      <c r="K430" s="28" t="b">
        <v>0</v>
      </c>
      <c r="L430" s="28">
        <v>1</v>
      </c>
      <c r="M430" s="40" t="str" cm="1">
        <f t="array" ref="M430">_xlfn.IFS(L430=1,"Clear / Partly Cloudy",L430=2,"Mist / Cloudy",L430=3,"Light Snow / Rain",L430=4,"Heavy Precipitation")</f>
        <v>Clear / Partly Cloudy</v>
      </c>
      <c r="N430" s="28">
        <v>0.32</v>
      </c>
      <c r="O430" s="28" t="str">
        <f t="shared" si="41"/>
        <v>Mild</v>
      </c>
      <c r="P430" s="28">
        <v>0.30299999999999999</v>
      </c>
      <c r="Q430" s="38">
        <f t="shared" si="37"/>
        <v>0.30299999999999999</v>
      </c>
      <c r="R430" s="28">
        <v>0.49</v>
      </c>
      <c r="S430" s="28">
        <v>0.29849999999999999</v>
      </c>
      <c r="T430" s="40" t="str" cm="1">
        <f t="array" ref="T430">_xlfn.IFS(S430*18.6&lt;2,"Calm",S430*18.6&lt;6,"Light Breeze",S430*18.6&lt;14,"Gale",TRUE,"Extreme Storm")</f>
        <v>Light Breeze</v>
      </c>
      <c r="U430" s="28">
        <v>2</v>
      </c>
      <c r="V430" s="28">
        <v>74</v>
      </c>
      <c r="W430" s="28">
        <v>76</v>
      </c>
      <c r="X430" s="44">
        <f>AVERAGE(INDEX($W:$W,MAX(ROW($W$3),ROW()-23)):INDEX($W:$W,ROW()))</f>
        <v>70.041666666666671</v>
      </c>
      <c r="Y430" s="44">
        <f>_xlfn.STDEV.S(INDEX($W:$W,MAX(ROW($W$3),ROW()-23)):INDEX($W:$W,ROW()))</f>
        <v>56.861753912194921</v>
      </c>
      <c r="Z430" s="44">
        <f t="shared" si="38"/>
        <v>0.10478630930966532</v>
      </c>
      <c r="AA430" s="40" t="b">
        <f t="shared" si="36"/>
        <v>0</v>
      </c>
    </row>
    <row r="431" spans="1:27" x14ac:dyDescent="0.3">
      <c r="A431" s="32">
        <v>429</v>
      </c>
      <c r="B431" s="33">
        <v>40562</v>
      </c>
      <c r="C431" s="40" t="str">
        <f t="shared" si="39"/>
        <v>Wednesday</v>
      </c>
      <c r="D431" s="28">
        <v>21</v>
      </c>
      <c r="E431" s="40" t="str" cm="1">
        <f t="array" ref="E431">_xlfn.IFS(D431&gt;=21,"Night",D431&gt;=17,"Evening",D431&gt;=12,"Midday",D431&gt;=6,"Morning", TRUE, "Night")</f>
        <v>Night</v>
      </c>
      <c r="F431" s="28">
        <v>1</v>
      </c>
      <c r="G431" s="28">
        <v>0</v>
      </c>
      <c r="H431" s="28">
        <v>1</v>
      </c>
      <c r="I431" s="28">
        <v>3</v>
      </c>
      <c r="J431" s="40" t="str">
        <f t="shared" si="40"/>
        <v>Weekday</v>
      </c>
      <c r="K431" s="28" t="b">
        <v>0</v>
      </c>
      <c r="L431" s="28">
        <v>1</v>
      </c>
      <c r="M431" s="40" t="str" cm="1">
        <f t="array" ref="M431">_xlfn.IFS(L431=1,"Clear / Partly Cloudy",L431=2,"Mist / Cloudy",L431=3,"Light Snow / Rain",L431=4,"Heavy Precipitation")</f>
        <v>Clear / Partly Cloudy</v>
      </c>
      <c r="N431" s="28">
        <v>0.32</v>
      </c>
      <c r="O431" s="28" t="str">
        <f t="shared" si="41"/>
        <v>Mild</v>
      </c>
      <c r="P431" s="28">
        <v>0.28789999999999999</v>
      </c>
      <c r="Q431" s="38">
        <f t="shared" si="37"/>
        <v>0.28789999999999999</v>
      </c>
      <c r="R431" s="28">
        <v>0.49</v>
      </c>
      <c r="S431" s="28">
        <v>0.41789999999999999</v>
      </c>
      <c r="T431" s="40" t="str" cm="1">
        <f t="array" ref="T431">_xlfn.IFS(S431*18.6&lt;2,"Calm",S431*18.6&lt;6,"Light Breeze",S431*18.6&lt;14,"Gale",TRUE,"Extreme Storm")</f>
        <v>Gale</v>
      </c>
      <c r="U431" s="28">
        <v>4</v>
      </c>
      <c r="V431" s="28">
        <v>55</v>
      </c>
      <c r="W431" s="28">
        <v>59</v>
      </c>
      <c r="X431" s="44">
        <f>AVERAGE(INDEX($W:$W,MAX(ROW($W$3),ROW()-23)):INDEX($W:$W,ROW()))</f>
        <v>69.041666666666671</v>
      </c>
      <c r="Y431" s="44">
        <f>_xlfn.STDEV.S(INDEX($W:$W,MAX(ROW($W$3),ROW()-23)):INDEX($W:$W,ROW()))</f>
        <v>56.83498552573181</v>
      </c>
      <c r="Z431" s="44">
        <f t="shared" si="38"/>
        <v>-0.17668108074243016</v>
      </c>
      <c r="AA431" s="40" t="b">
        <f t="shared" si="36"/>
        <v>0</v>
      </c>
    </row>
    <row r="432" spans="1:27" x14ac:dyDescent="0.3">
      <c r="A432" s="32">
        <v>430</v>
      </c>
      <c r="B432" s="33">
        <v>40562</v>
      </c>
      <c r="C432" s="40" t="str">
        <f t="shared" si="39"/>
        <v>Wednesday</v>
      </c>
      <c r="D432" s="28">
        <v>22</v>
      </c>
      <c r="E432" s="40" t="str" cm="1">
        <f t="array" ref="E432">_xlfn.IFS(D432&gt;=21,"Night",D432&gt;=17,"Evening",D432&gt;=12,"Midday",D432&gt;=6,"Morning", TRUE, "Night")</f>
        <v>Night</v>
      </c>
      <c r="F432" s="28">
        <v>1</v>
      </c>
      <c r="G432" s="28">
        <v>0</v>
      </c>
      <c r="H432" s="28">
        <v>1</v>
      </c>
      <c r="I432" s="28">
        <v>3</v>
      </c>
      <c r="J432" s="40" t="str">
        <f t="shared" si="40"/>
        <v>Weekday</v>
      </c>
      <c r="K432" s="28" t="b">
        <v>0</v>
      </c>
      <c r="L432" s="28">
        <v>1</v>
      </c>
      <c r="M432" s="40" t="str" cm="1">
        <f t="array" ref="M432">_xlfn.IFS(L432=1,"Clear / Partly Cloudy",L432=2,"Mist / Cloudy",L432=3,"Light Snow / Rain",L432=4,"Heavy Precipitation")</f>
        <v>Clear / Partly Cloudy</v>
      </c>
      <c r="N432" s="28">
        <v>0.3</v>
      </c>
      <c r="O432" s="28" t="str">
        <f t="shared" si="41"/>
        <v>Mild</v>
      </c>
      <c r="P432" s="28">
        <v>0.30299999999999999</v>
      </c>
      <c r="Q432" s="38">
        <f t="shared" si="37"/>
        <v>0.30299999999999999</v>
      </c>
      <c r="R432" s="28">
        <v>0.52</v>
      </c>
      <c r="S432" s="28">
        <v>0.16420000000000001</v>
      </c>
      <c r="T432" s="40" t="str" cm="1">
        <f t="array" ref="T432">_xlfn.IFS(S432*18.6&lt;2,"Calm",S432*18.6&lt;6,"Light Breeze",S432*18.6&lt;14,"Gale",TRUE,"Extreme Storm")</f>
        <v>Light Breeze</v>
      </c>
      <c r="U432" s="28">
        <v>6</v>
      </c>
      <c r="V432" s="28">
        <v>53</v>
      </c>
      <c r="W432" s="28">
        <v>59</v>
      </c>
      <c r="X432" s="44">
        <f>AVERAGE(INDEX($W:$W,MAX(ROW($W$3),ROW()-23)):INDEX($W:$W,ROW()))</f>
        <v>69.791666666666671</v>
      </c>
      <c r="Y432" s="44">
        <f>_xlfn.STDEV.S(INDEX($W:$W,MAX(ROW($W$3),ROW()-23)):INDEX($W:$W,ROW()))</f>
        <v>56.566989272563539</v>
      </c>
      <c r="Z432" s="44">
        <f t="shared" si="38"/>
        <v>-0.19077675523206447</v>
      </c>
      <c r="AA432" s="40" t="b">
        <f t="shared" si="36"/>
        <v>0</v>
      </c>
    </row>
    <row r="433" spans="1:27" x14ac:dyDescent="0.3">
      <c r="A433" s="32">
        <v>431</v>
      </c>
      <c r="B433" s="33">
        <v>40562</v>
      </c>
      <c r="C433" s="40" t="str">
        <f t="shared" si="39"/>
        <v>Wednesday</v>
      </c>
      <c r="D433" s="28">
        <v>23</v>
      </c>
      <c r="E433" s="40" t="str" cm="1">
        <f t="array" ref="E433">_xlfn.IFS(D433&gt;=21,"Night",D433&gt;=17,"Evening",D433&gt;=12,"Midday",D433&gt;=6,"Morning", TRUE, "Night")</f>
        <v>Night</v>
      </c>
      <c r="F433" s="28">
        <v>1</v>
      </c>
      <c r="G433" s="28">
        <v>0</v>
      </c>
      <c r="H433" s="28">
        <v>1</v>
      </c>
      <c r="I433" s="28">
        <v>3</v>
      </c>
      <c r="J433" s="40" t="str">
        <f t="shared" si="40"/>
        <v>Weekday</v>
      </c>
      <c r="K433" s="28" t="b">
        <v>0</v>
      </c>
      <c r="L433" s="28">
        <v>1</v>
      </c>
      <c r="M433" s="40" t="str" cm="1">
        <f t="array" ref="M433">_xlfn.IFS(L433=1,"Clear / Partly Cloudy",L433=2,"Mist / Cloudy",L433=3,"Light Snow / Rain",L433=4,"Heavy Precipitation")</f>
        <v>Clear / Partly Cloudy</v>
      </c>
      <c r="N433" s="28">
        <v>0.3</v>
      </c>
      <c r="O433" s="28" t="str">
        <f t="shared" si="41"/>
        <v>Mild</v>
      </c>
      <c r="P433" s="28">
        <v>0.2727</v>
      </c>
      <c r="Q433" s="38">
        <f t="shared" si="37"/>
        <v>0.2727</v>
      </c>
      <c r="R433" s="28">
        <v>0.52</v>
      </c>
      <c r="S433" s="28">
        <v>0.4627</v>
      </c>
      <c r="T433" s="40" t="str" cm="1">
        <f t="array" ref="T433">_xlfn.IFS(S433*18.6&lt;2,"Calm",S433*18.6&lt;6,"Light Breeze",S433*18.6&lt;14,"Gale",TRUE,"Extreme Storm")</f>
        <v>Gale</v>
      </c>
      <c r="U433" s="28">
        <v>1</v>
      </c>
      <c r="V433" s="28">
        <v>27</v>
      </c>
      <c r="W433" s="28">
        <v>28</v>
      </c>
      <c r="X433" s="44">
        <f>AVERAGE(INDEX($W:$W,MAX(ROW($W$3),ROW()-23)):INDEX($W:$W,ROW()))</f>
        <v>69.583333333333329</v>
      </c>
      <c r="Y433" s="44">
        <f>_xlfn.STDEV.S(INDEX($W:$W,MAX(ROW($W$3),ROW()-23)):INDEX($W:$W,ROW()))</f>
        <v>56.717389915620934</v>
      </c>
      <c r="Z433" s="44">
        <f t="shared" si="38"/>
        <v>-0.73316725955121165</v>
      </c>
      <c r="AA433" s="40" t="b">
        <f t="shared" si="36"/>
        <v>0</v>
      </c>
    </row>
    <row r="434" spans="1:27" x14ac:dyDescent="0.3">
      <c r="A434" s="32">
        <v>432</v>
      </c>
      <c r="B434" s="33">
        <v>40563</v>
      </c>
      <c r="C434" s="40" t="str">
        <f t="shared" si="39"/>
        <v>Thursday</v>
      </c>
      <c r="D434" s="28">
        <v>0</v>
      </c>
      <c r="E434" s="40" t="str" cm="1">
        <f t="array" ref="E434">_xlfn.IFS(D434&gt;=21,"Night",D434&gt;=17,"Evening",D434&gt;=12,"Midday",D434&gt;=6,"Morning", TRUE, "Night")</f>
        <v>Night</v>
      </c>
      <c r="F434" s="28">
        <v>1</v>
      </c>
      <c r="G434" s="28">
        <v>0</v>
      </c>
      <c r="H434" s="28">
        <v>1</v>
      </c>
      <c r="I434" s="28">
        <v>4</v>
      </c>
      <c r="J434" s="40" t="str">
        <f t="shared" si="40"/>
        <v>Weekday</v>
      </c>
      <c r="K434" s="28" t="b">
        <v>0</v>
      </c>
      <c r="L434" s="28">
        <v>1</v>
      </c>
      <c r="M434" s="40" t="str" cm="1">
        <f t="array" ref="M434">_xlfn.IFS(L434=1,"Clear / Partly Cloudy",L434=2,"Mist / Cloudy",L434=3,"Light Snow / Rain",L434=4,"Heavy Precipitation")</f>
        <v>Clear / Partly Cloudy</v>
      </c>
      <c r="N434" s="28">
        <v>0.26</v>
      </c>
      <c r="O434" s="28" t="str">
        <f t="shared" si="41"/>
        <v>Mild</v>
      </c>
      <c r="P434" s="28">
        <v>0.2273</v>
      </c>
      <c r="Q434" s="38">
        <f t="shared" si="37"/>
        <v>0.2273</v>
      </c>
      <c r="R434" s="28">
        <v>0.56000000000000005</v>
      </c>
      <c r="S434" s="28">
        <v>0.3881</v>
      </c>
      <c r="T434" s="40" t="str" cm="1">
        <f t="array" ref="T434">_xlfn.IFS(S434*18.6&lt;2,"Calm",S434*18.6&lt;6,"Light Breeze",S434*18.6&lt;14,"Gale",TRUE,"Extreme Storm")</f>
        <v>Gale</v>
      </c>
      <c r="U434" s="28">
        <v>5</v>
      </c>
      <c r="V434" s="28">
        <v>8</v>
      </c>
      <c r="W434" s="28">
        <v>13</v>
      </c>
      <c r="X434" s="44">
        <f>AVERAGE(INDEX($W:$W,MAX(ROW($W$3),ROW()-23)):INDEX($W:$W,ROW()))</f>
        <v>69.291666666666671</v>
      </c>
      <c r="Y434" s="44">
        <f>_xlfn.STDEV.S(INDEX($W:$W,MAX(ROW($W$3),ROW()-23)):INDEX($W:$W,ROW()))</f>
        <v>57.000746880436012</v>
      </c>
      <c r="Z434" s="44">
        <f t="shared" si="38"/>
        <v>-0.98756015925095342</v>
      </c>
      <c r="AA434" s="40" t="b">
        <f t="shared" si="36"/>
        <v>0</v>
      </c>
    </row>
    <row r="435" spans="1:27" x14ac:dyDescent="0.3">
      <c r="A435" s="32">
        <v>433</v>
      </c>
      <c r="B435" s="33">
        <v>40563</v>
      </c>
      <c r="C435" s="40" t="str">
        <f t="shared" si="39"/>
        <v>Thursday</v>
      </c>
      <c r="D435" s="28">
        <v>1</v>
      </c>
      <c r="E435" s="40" t="str" cm="1">
        <f t="array" ref="E435">_xlfn.IFS(D435&gt;=21,"Night",D435&gt;=17,"Evening",D435&gt;=12,"Midday",D435&gt;=6,"Morning", TRUE, "Night")</f>
        <v>Night</v>
      </c>
      <c r="F435" s="28">
        <v>1</v>
      </c>
      <c r="G435" s="28">
        <v>0</v>
      </c>
      <c r="H435" s="28">
        <v>1</v>
      </c>
      <c r="I435" s="28">
        <v>4</v>
      </c>
      <c r="J435" s="40" t="str">
        <f t="shared" si="40"/>
        <v>Weekday</v>
      </c>
      <c r="K435" s="28" t="b">
        <v>0</v>
      </c>
      <c r="L435" s="28">
        <v>1</v>
      </c>
      <c r="M435" s="40" t="str" cm="1">
        <f t="array" ref="M435">_xlfn.IFS(L435=1,"Clear / Partly Cloudy",L435=2,"Mist / Cloudy",L435=3,"Light Snow / Rain",L435=4,"Heavy Precipitation")</f>
        <v>Clear / Partly Cloudy</v>
      </c>
      <c r="N435" s="28">
        <v>0.26</v>
      </c>
      <c r="O435" s="28" t="str">
        <f t="shared" si="41"/>
        <v>Mild</v>
      </c>
      <c r="P435" s="28">
        <v>0.2727</v>
      </c>
      <c r="Q435" s="38">
        <f t="shared" si="37"/>
        <v>0.2727</v>
      </c>
      <c r="R435" s="28">
        <v>0.56000000000000005</v>
      </c>
      <c r="S435" s="28">
        <v>0</v>
      </c>
      <c r="T435" s="40" t="str" cm="1">
        <f t="array" ref="T435">_xlfn.IFS(S435*18.6&lt;2,"Calm",S435*18.6&lt;6,"Light Breeze",S435*18.6&lt;14,"Gale",TRUE,"Extreme Storm")</f>
        <v>Calm</v>
      </c>
      <c r="U435" s="28">
        <v>2</v>
      </c>
      <c r="V435" s="28">
        <v>3</v>
      </c>
      <c r="W435" s="28">
        <v>5</v>
      </c>
      <c r="X435" s="44">
        <f>AVERAGE(INDEX($W:$W,MAX(ROW($W$3),ROW()-23)):INDEX($W:$W,ROW()))</f>
        <v>69.375</v>
      </c>
      <c r="Y435" s="44">
        <f>_xlfn.STDEV.S(INDEX($W:$W,MAX(ROW($W$3),ROW()-23)):INDEX($W:$W,ROW()))</f>
        <v>56.900991433251463</v>
      </c>
      <c r="Z435" s="44">
        <f t="shared" si="38"/>
        <v>-1.1313511131966134</v>
      </c>
      <c r="AA435" s="40" t="b">
        <f t="shared" si="36"/>
        <v>0</v>
      </c>
    </row>
    <row r="436" spans="1:27" x14ac:dyDescent="0.3">
      <c r="A436" s="32">
        <v>434</v>
      </c>
      <c r="B436" s="33">
        <v>40563</v>
      </c>
      <c r="C436" s="40" t="str">
        <f t="shared" si="39"/>
        <v>Thursday</v>
      </c>
      <c r="D436" s="28">
        <v>2</v>
      </c>
      <c r="E436" s="40" t="str" cm="1">
        <f t="array" ref="E436">_xlfn.IFS(D436&gt;=21,"Night",D436&gt;=17,"Evening",D436&gt;=12,"Midday",D436&gt;=6,"Morning", TRUE, "Night")</f>
        <v>Night</v>
      </c>
      <c r="F436" s="28">
        <v>1</v>
      </c>
      <c r="G436" s="28">
        <v>0</v>
      </c>
      <c r="H436" s="28">
        <v>1</v>
      </c>
      <c r="I436" s="28">
        <v>4</v>
      </c>
      <c r="J436" s="40" t="str">
        <f t="shared" si="40"/>
        <v>Weekday</v>
      </c>
      <c r="K436" s="28" t="b">
        <v>0</v>
      </c>
      <c r="L436" s="28">
        <v>1</v>
      </c>
      <c r="M436" s="40" t="str" cm="1">
        <f t="array" ref="M436">_xlfn.IFS(L436=1,"Clear / Partly Cloudy",L436=2,"Mist / Cloudy",L436=3,"Light Snow / Rain",L436=4,"Heavy Precipitation")</f>
        <v>Clear / Partly Cloudy</v>
      </c>
      <c r="N436" s="28">
        <v>0.26</v>
      </c>
      <c r="O436" s="28" t="str">
        <f t="shared" si="41"/>
        <v>Mild</v>
      </c>
      <c r="P436" s="28">
        <v>0.2727</v>
      </c>
      <c r="Q436" s="38">
        <f t="shared" si="37"/>
        <v>0.2727</v>
      </c>
      <c r="R436" s="28">
        <v>0.56000000000000005</v>
      </c>
      <c r="S436" s="28">
        <v>0</v>
      </c>
      <c r="T436" s="40" t="str" cm="1">
        <f t="array" ref="T436">_xlfn.IFS(S436*18.6&lt;2,"Calm",S436*18.6&lt;6,"Light Breeze",S436*18.6&lt;14,"Gale",TRUE,"Extreme Storm")</f>
        <v>Calm</v>
      </c>
      <c r="U436" s="28">
        <v>0</v>
      </c>
      <c r="V436" s="28">
        <v>2</v>
      </c>
      <c r="W436" s="28">
        <v>2</v>
      </c>
      <c r="X436" s="44">
        <f>AVERAGE(INDEX($W:$W,MAX(ROW($W$3),ROW()-23)):INDEX($W:$W,ROW()))</f>
        <v>69.166666666666671</v>
      </c>
      <c r="Y436" s="44">
        <f>_xlfn.STDEV.S(INDEX($W:$W,MAX(ROW($W$3),ROW()-23)):INDEX($W:$W,ROW()))</f>
        <v>57.147913854934501</v>
      </c>
      <c r="Z436" s="44">
        <f t="shared" si="38"/>
        <v>-1.1753126603564916</v>
      </c>
      <c r="AA436" s="40" t="b">
        <f t="shared" si="36"/>
        <v>0</v>
      </c>
    </row>
    <row r="437" spans="1:27" x14ac:dyDescent="0.3">
      <c r="A437" s="32">
        <v>435</v>
      </c>
      <c r="B437" s="33">
        <v>40563</v>
      </c>
      <c r="C437" s="40" t="str">
        <f t="shared" si="39"/>
        <v>Thursday</v>
      </c>
      <c r="D437" s="28">
        <v>3</v>
      </c>
      <c r="E437" s="40" t="str" cm="1">
        <f t="array" ref="E437">_xlfn.IFS(D437&gt;=21,"Night",D437&gt;=17,"Evening",D437&gt;=12,"Midday",D437&gt;=6,"Morning", TRUE, "Night")</f>
        <v>Night</v>
      </c>
      <c r="F437" s="28">
        <v>1</v>
      </c>
      <c r="G437" s="28">
        <v>0</v>
      </c>
      <c r="H437" s="28">
        <v>1</v>
      </c>
      <c r="I437" s="28">
        <v>4</v>
      </c>
      <c r="J437" s="40" t="str">
        <f t="shared" si="40"/>
        <v>Weekday</v>
      </c>
      <c r="K437" s="28" t="b">
        <v>0</v>
      </c>
      <c r="L437" s="28">
        <v>1</v>
      </c>
      <c r="M437" s="40" t="str" cm="1">
        <f t="array" ref="M437">_xlfn.IFS(L437=1,"Clear / Partly Cloudy",L437=2,"Mist / Cloudy",L437=3,"Light Snow / Rain",L437=4,"Heavy Precipitation")</f>
        <v>Clear / Partly Cloudy</v>
      </c>
      <c r="N437" s="28">
        <v>0.26</v>
      </c>
      <c r="O437" s="28" t="str">
        <f t="shared" si="41"/>
        <v>Mild</v>
      </c>
      <c r="P437" s="28">
        <v>0.2576</v>
      </c>
      <c r="Q437" s="38">
        <f t="shared" si="37"/>
        <v>0.2576</v>
      </c>
      <c r="R437" s="28">
        <v>0.56000000000000005</v>
      </c>
      <c r="S437" s="28">
        <v>0.16420000000000001</v>
      </c>
      <c r="T437" s="40" t="str" cm="1">
        <f t="array" ref="T437">_xlfn.IFS(S437*18.6&lt;2,"Calm",S437*18.6&lt;6,"Light Breeze",S437*18.6&lt;14,"Gale",TRUE,"Extreme Storm")</f>
        <v>Light Breeze</v>
      </c>
      <c r="U437" s="28">
        <v>0</v>
      </c>
      <c r="V437" s="28">
        <v>1</v>
      </c>
      <c r="W437" s="28">
        <v>1</v>
      </c>
      <c r="X437" s="44">
        <f>AVERAGE(INDEX($W:$W,MAX(ROW($W$3),ROW()-23)):INDEX($W:$W,ROW()))</f>
        <v>69.083333333333329</v>
      </c>
      <c r="Y437" s="44">
        <f>_xlfn.STDEV.S(INDEX($W:$W,MAX(ROW($W$3),ROW()-23)):INDEX($W:$W,ROW()))</f>
        <v>57.249960445527755</v>
      </c>
      <c r="Z437" s="44">
        <f t="shared" si="38"/>
        <v>-1.1892293514877328</v>
      </c>
      <c r="AA437" s="40" t="b">
        <f t="shared" si="36"/>
        <v>0</v>
      </c>
    </row>
    <row r="438" spans="1:27" x14ac:dyDescent="0.3">
      <c r="A438" s="32">
        <v>436</v>
      </c>
      <c r="B438" s="33">
        <v>40563</v>
      </c>
      <c r="C438" s="40" t="str">
        <f t="shared" si="39"/>
        <v>Thursday</v>
      </c>
      <c r="D438" s="28">
        <v>4</v>
      </c>
      <c r="E438" s="40" t="str" cm="1">
        <f t="array" ref="E438">_xlfn.IFS(D438&gt;=21,"Night",D438&gt;=17,"Evening",D438&gt;=12,"Midday",D438&gt;=6,"Morning", TRUE, "Night")</f>
        <v>Night</v>
      </c>
      <c r="F438" s="28">
        <v>1</v>
      </c>
      <c r="G438" s="28">
        <v>0</v>
      </c>
      <c r="H438" s="28">
        <v>1</v>
      </c>
      <c r="I438" s="28">
        <v>4</v>
      </c>
      <c r="J438" s="40" t="str">
        <f t="shared" si="40"/>
        <v>Weekday</v>
      </c>
      <c r="K438" s="28" t="b">
        <v>0</v>
      </c>
      <c r="L438" s="28">
        <v>1</v>
      </c>
      <c r="M438" s="40" t="str" cm="1">
        <f t="array" ref="M438">_xlfn.IFS(L438=1,"Clear / Partly Cloudy",L438=2,"Mist / Cloudy",L438=3,"Light Snow / Rain",L438=4,"Heavy Precipitation")</f>
        <v>Clear / Partly Cloudy</v>
      </c>
      <c r="N438" s="28">
        <v>0.26</v>
      </c>
      <c r="O438" s="28" t="str">
        <f t="shared" si="41"/>
        <v>Mild</v>
      </c>
      <c r="P438" s="28">
        <v>0.2576</v>
      </c>
      <c r="Q438" s="38">
        <f t="shared" si="37"/>
        <v>0.2576</v>
      </c>
      <c r="R438" s="28">
        <v>0.56000000000000005</v>
      </c>
      <c r="S438" s="28">
        <v>0.16420000000000001</v>
      </c>
      <c r="T438" s="40" t="str" cm="1">
        <f t="array" ref="T438">_xlfn.IFS(S438*18.6&lt;2,"Calm",S438*18.6&lt;6,"Light Breeze",S438*18.6&lt;14,"Gale",TRUE,"Extreme Storm")</f>
        <v>Light Breeze</v>
      </c>
      <c r="U438" s="28">
        <v>0</v>
      </c>
      <c r="V438" s="28">
        <v>1</v>
      </c>
      <c r="W438" s="28">
        <v>1</v>
      </c>
      <c r="X438" s="44">
        <f>AVERAGE(INDEX($W:$W,MAX(ROW($W$3),ROW()-23)):INDEX($W:$W,ROW()))</f>
        <v>69.041666666666671</v>
      </c>
      <c r="Y438" s="44">
        <f>_xlfn.STDEV.S(INDEX($W:$W,MAX(ROW($W$3),ROW()-23)):INDEX($W:$W,ROW()))</f>
        <v>57.301247551990457</v>
      </c>
      <c r="Z438" s="44">
        <f t="shared" si="38"/>
        <v>-1.1874377884169318</v>
      </c>
      <c r="AA438" s="40" t="b">
        <f t="shared" si="36"/>
        <v>0</v>
      </c>
    </row>
    <row r="439" spans="1:27" x14ac:dyDescent="0.3">
      <c r="A439" s="32">
        <v>437</v>
      </c>
      <c r="B439" s="33">
        <v>40563</v>
      </c>
      <c r="C439" s="40" t="str">
        <f t="shared" si="39"/>
        <v>Thursday</v>
      </c>
      <c r="D439" s="28">
        <v>5</v>
      </c>
      <c r="E439" s="40" t="str" cm="1">
        <f t="array" ref="E439">_xlfn.IFS(D439&gt;=21,"Night",D439&gt;=17,"Evening",D439&gt;=12,"Midday",D439&gt;=6,"Morning", TRUE, "Night")</f>
        <v>Night</v>
      </c>
      <c r="F439" s="28">
        <v>1</v>
      </c>
      <c r="G439" s="28">
        <v>0</v>
      </c>
      <c r="H439" s="28">
        <v>1</v>
      </c>
      <c r="I439" s="28">
        <v>4</v>
      </c>
      <c r="J439" s="40" t="str">
        <f t="shared" si="40"/>
        <v>Weekday</v>
      </c>
      <c r="K439" s="28" t="b">
        <v>0</v>
      </c>
      <c r="L439" s="28">
        <v>1</v>
      </c>
      <c r="M439" s="40" t="str" cm="1">
        <f t="array" ref="M439">_xlfn.IFS(L439=1,"Clear / Partly Cloudy",L439=2,"Mist / Cloudy",L439=3,"Light Snow / Rain",L439=4,"Heavy Precipitation")</f>
        <v>Clear / Partly Cloudy</v>
      </c>
      <c r="N439" s="28">
        <v>0.24</v>
      </c>
      <c r="O439" s="28" t="str">
        <f t="shared" si="41"/>
        <v>Mild</v>
      </c>
      <c r="P439" s="28">
        <v>0.2273</v>
      </c>
      <c r="Q439" s="38">
        <f t="shared" si="37"/>
        <v>0.2273</v>
      </c>
      <c r="R439" s="28">
        <v>0.6</v>
      </c>
      <c r="S439" s="28">
        <v>0.22389999999999999</v>
      </c>
      <c r="T439" s="40" t="str" cm="1">
        <f t="array" ref="T439">_xlfn.IFS(S439*18.6&lt;2,"Calm",S439*18.6&lt;6,"Light Breeze",S439*18.6&lt;14,"Gale",TRUE,"Extreme Storm")</f>
        <v>Light Breeze</v>
      </c>
      <c r="U439" s="28">
        <v>0</v>
      </c>
      <c r="V439" s="28">
        <v>6</v>
      </c>
      <c r="W439" s="28">
        <v>6</v>
      </c>
      <c r="X439" s="44">
        <f>AVERAGE(INDEX($W:$W,MAX(ROW($W$3),ROW()-23)):INDEX($W:$W,ROW()))</f>
        <v>69</v>
      </c>
      <c r="Y439" s="44">
        <f>_xlfn.STDEV.S(INDEX($W:$W,MAX(ROW($W$3),ROW()-23)):INDEX($W:$W,ROW()))</f>
        <v>57.348666638531284</v>
      </c>
      <c r="Z439" s="44">
        <f t="shared" si="38"/>
        <v>-1.0985434133471503</v>
      </c>
      <c r="AA439" s="40" t="b">
        <f t="shared" si="36"/>
        <v>0</v>
      </c>
    </row>
    <row r="440" spans="1:27" x14ac:dyDescent="0.3">
      <c r="A440" s="32">
        <v>438</v>
      </c>
      <c r="B440" s="33">
        <v>40563</v>
      </c>
      <c r="C440" s="40" t="str">
        <f t="shared" si="39"/>
        <v>Thursday</v>
      </c>
      <c r="D440" s="28">
        <v>6</v>
      </c>
      <c r="E440" s="40" t="str" cm="1">
        <f t="array" ref="E440">_xlfn.IFS(D440&gt;=21,"Night",D440&gt;=17,"Evening",D440&gt;=12,"Midday",D440&gt;=6,"Morning", TRUE, "Night")</f>
        <v>Morning</v>
      </c>
      <c r="F440" s="28">
        <v>1</v>
      </c>
      <c r="G440" s="28">
        <v>0</v>
      </c>
      <c r="H440" s="28">
        <v>1</v>
      </c>
      <c r="I440" s="28">
        <v>4</v>
      </c>
      <c r="J440" s="40" t="str">
        <f t="shared" si="40"/>
        <v>Weekday</v>
      </c>
      <c r="K440" s="28" t="b">
        <v>0</v>
      </c>
      <c r="L440" s="28">
        <v>1</v>
      </c>
      <c r="M440" s="40" t="str" cm="1">
        <f t="array" ref="M440">_xlfn.IFS(L440=1,"Clear / Partly Cloudy",L440=2,"Mist / Cloudy",L440=3,"Light Snow / Rain",L440=4,"Heavy Precipitation")</f>
        <v>Clear / Partly Cloudy</v>
      </c>
      <c r="N440" s="28">
        <v>0.22</v>
      </c>
      <c r="O440" s="28" t="str">
        <f t="shared" si="41"/>
        <v>Mild</v>
      </c>
      <c r="P440" s="28">
        <v>0.21210000000000001</v>
      </c>
      <c r="Q440" s="38">
        <f t="shared" si="37"/>
        <v>0.21210000000000001</v>
      </c>
      <c r="R440" s="28">
        <v>0.6</v>
      </c>
      <c r="S440" s="28">
        <v>0.22389999999999999</v>
      </c>
      <c r="T440" s="40" t="str" cm="1">
        <f t="array" ref="T440">_xlfn.IFS(S440*18.6&lt;2,"Calm",S440*18.6&lt;6,"Light Breeze",S440*18.6&lt;14,"Gale",TRUE,"Extreme Storm")</f>
        <v>Light Breeze</v>
      </c>
      <c r="U440" s="28">
        <v>0</v>
      </c>
      <c r="V440" s="28">
        <v>35</v>
      </c>
      <c r="W440" s="28">
        <v>35</v>
      </c>
      <c r="X440" s="44">
        <f>AVERAGE(INDEX($W:$W,MAX(ROW($W$3),ROW()-23)):INDEX($W:$W,ROW()))</f>
        <v>69.125</v>
      </c>
      <c r="Y440" s="44">
        <f>_xlfn.STDEV.S(INDEX($W:$W,MAX(ROW($W$3),ROW()-23)):INDEX($W:$W,ROW()))</f>
        <v>57.267725564268289</v>
      </c>
      <c r="Z440" s="44">
        <f t="shared" si="38"/>
        <v>-0.59588537284763421</v>
      </c>
      <c r="AA440" s="40" t="b">
        <f t="shared" si="36"/>
        <v>0</v>
      </c>
    </row>
    <row r="441" spans="1:27" x14ac:dyDescent="0.3">
      <c r="A441" s="32">
        <v>439</v>
      </c>
      <c r="B441" s="33">
        <v>40563</v>
      </c>
      <c r="C441" s="40" t="str">
        <f t="shared" si="39"/>
        <v>Thursday</v>
      </c>
      <c r="D441" s="28">
        <v>7</v>
      </c>
      <c r="E441" s="40" t="str" cm="1">
        <f t="array" ref="E441">_xlfn.IFS(D441&gt;=21,"Night",D441&gt;=17,"Evening",D441&gt;=12,"Midday",D441&gt;=6,"Morning", TRUE, "Night")</f>
        <v>Morning</v>
      </c>
      <c r="F441" s="28">
        <v>1</v>
      </c>
      <c r="G441" s="28">
        <v>0</v>
      </c>
      <c r="H441" s="28">
        <v>1</v>
      </c>
      <c r="I441" s="28">
        <v>4</v>
      </c>
      <c r="J441" s="40" t="str">
        <f t="shared" si="40"/>
        <v>Weekday</v>
      </c>
      <c r="K441" s="28" t="b">
        <v>0</v>
      </c>
      <c r="L441" s="28">
        <v>1</v>
      </c>
      <c r="M441" s="40" t="str" cm="1">
        <f t="array" ref="M441">_xlfn.IFS(L441=1,"Clear / Partly Cloudy",L441=2,"Mist / Cloudy",L441=3,"Light Snow / Rain",L441=4,"Heavy Precipitation")</f>
        <v>Clear / Partly Cloudy</v>
      </c>
      <c r="N441" s="28">
        <v>0.22</v>
      </c>
      <c r="O441" s="28" t="str">
        <f t="shared" si="41"/>
        <v>Mild</v>
      </c>
      <c r="P441" s="28">
        <v>0.21210000000000001</v>
      </c>
      <c r="Q441" s="38">
        <f t="shared" si="37"/>
        <v>0.21210000000000001</v>
      </c>
      <c r="R441" s="28">
        <v>0.55000000000000004</v>
      </c>
      <c r="S441" s="28">
        <v>0.22389999999999999</v>
      </c>
      <c r="T441" s="40" t="str" cm="1">
        <f t="array" ref="T441">_xlfn.IFS(S441*18.6&lt;2,"Calm",S441*18.6&lt;6,"Light Breeze",S441*18.6&lt;14,"Gale",TRUE,"Extreme Storm")</f>
        <v>Light Breeze</v>
      </c>
      <c r="U441" s="28">
        <v>1</v>
      </c>
      <c r="V441" s="28">
        <v>100</v>
      </c>
      <c r="W441" s="28">
        <v>101</v>
      </c>
      <c r="X441" s="44">
        <f>AVERAGE(INDEX($W:$W,MAX(ROW($W$3),ROW()-23)):INDEX($W:$W,ROW()))</f>
        <v>69.583333333333329</v>
      </c>
      <c r="Y441" s="44">
        <f>_xlfn.STDEV.S(INDEX($W:$W,MAX(ROW($W$3),ROW()-23)):INDEX($W:$W,ROW()))</f>
        <v>57.485662988917177</v>
      </c>
      <c r="Z441" s="44">
        <f t="shared" si="38"/>
        <v>0.54651307879537858</v>
      </c>
      <c r="AA441" s="40" t="b">
        <f t="shared" si="36"/>
        <v>0</v>
      </c>
    </row>
    <row r="442" spans="1:27" x14ac:dyDescent="0.3">
      <c r="A442" s="32">
        <v>440</v>
      </c>
      <c r="B442" s="33">
        <v>40563</v>
      </c>
      <c r="C442" s="40" t="str">
        <f t="shared" si="39"/>
        <v>Thursday</v>
      </c>
      <c r="D442" s="28">
        <v>8</v>
      </c>
      <c r="E442" s="40" t="str" cm="1">
        <f t="array" ref="E442">_xlfn.IFS(D442&gt;=21,"Night",D442&gt;=17,"Evening",D442&gt;=12,"Midday",D442&gt;=6,"Morning", TRUE, "Night")</f>
        <v>Morning</v>
      </c>
      <c r="F442" s="28">
        <v>1</v>
      </c>
      <c r="G442" s="28">
        <v>0</v>
      </c>
      <c r="H442" s="28">
        <v>1</v>
      </c>
      <c r="I442" s="28">
        <v>4</v>
      </c>
      <c r="J442" s="40" t="str">
        <f t="shared" si="40"/>
        <v>Weekday</v>
      </c>
      <c r="K442" s="28" t="b">
        <v>0</v>
      </c>
      <c r="L442" s="28">
        <v>1</v>
      </c>
      <c r="M442" s="40" t="str" cm="1">
        <f t="array" ref="M442">_xlfn.IFS(L442=1,"Clear / Partly Cloudy",L442=2,"Mist / Cloudy",L442=3,"Light Snow / Rain",L442=4,"Heavy Precipitation")</f>
        <v>Clear / Partly Cloudy</v>
      </c>
      <c r="N442" s="28">
        <v>0.22</v>
      </c>
      <c r="O442" s="28" t="str">
        <f t="shared" si="41"/>
        <v>Mild</v>
      </c>
      <c r="P442" s="28">
        <v>0.21210000000000001</v>
      </c>
      <c r="Q442" s="38">
        <f t="shared" si="37"/>
        <v>0.21210000000000001</v>
      </c>
      <c r="R442" s="28">
        <v>0.55000000000000004</v>
      </c>
      <c r="S442" s="28">
        <v>0.28360000000000002</v>
      </c>
      <c r="T442" s="40" t="str" cm="1">
        <f t="array" ref="T442">_xlfn.IFS(S442*18.6&lt;2,"Calm",S442*18.6&lt;6,"Light Breeze",S442*18.6&lt;14,"Gale",TRUE,"Extreme Storm")</f>
        <v>Light Breeze</v>
      </c>
      <c r="U442" s="28">
        <v>2</v>
      </c>
      <c r="V442" s="28">
        <v>247</v>
      </c>
      <c r="W442" s="28">
        <v>249</v>
      </c>
      <c r="X442" s="44">
        <f>AVERAGE(INDEX($W:$W,MAX(ROW($W$3),ROW()-23)):INDEX($W:$W,ROW()))</f>
        <v>71.75</v>
      </c>
      <c r="Y442" s="44">
        <f>_xlfn.STDEV.S(INDEX($W:$W,MAX(ROW($W$3),ROW()-23)):INDEX($W:$W,ROW()))</f>
        <v>63.193457283790551</v>
      </c>
      <c r="Z442" s="44">
        <f t="shared" si="38"/>
        <v>2.8048789798602387</v>
      </c>
      <c r="AA442" s="40" t="b">
        <f t="shared" si="36"/>
        <v>0</v>
      </c>
    </row>
    <row r="443" spans="1:27" x14ac:dyDescent="0.3">
      <c r="A443" s="32">
        <v>441</v>
      </c>
      <c r="B443" s="33">
        <v>40563</v>
      </c>
      <c r="C443" s="40" t="str">
        <f t="shared" si="39"/>
        <v>Thursday</v>
      </c>
      <c r="D443" s="28">
        <v>9</v>
      </c>
      <c r="E443" s="40" t="str" cm="1">
        <f t="array" ref="E443">_xlfn.IFS(D443&gt;=21,"Night",D443&gt;=17,"Evening",D443&gt;=12,"Midday",D443&gt;=6,"Morning", TRUE, "Night")</f>
        <v>Morning</v>
      </c>
      <c r="F443" s="28">
        <v>1</v>
      </c>
      <c r="G443" s="28">
        <v>0</v>
      </c>
      <c r="H443" s="28">
        <v>1</v>
      </c>
      <c r="I443" s="28">
        <v>4</v>
      </c>
      <c r="J443" s="40" t="str">
        <f t="shared" si="40"/>
        <v>Weekday</v>
      </c>
      <c r="K443" s="28" t="b">
        <v>0</v>
      </c>
      <c r="L443" s="28">
        <v>2</v>
      </c>
      <c r="M443" s="40" t="str" cm="1">
        <f t="array" ref="M443">_xlfn.IFS(L443=1,"Clear / Partly Cloudy",L443=2,"Mist / Cloudy",L443=3,"Light Snow / Rain",L443=4,"Heavy Precipitation")</f>
        <v>Mist / Cloudy</v>
      </c>
      <c r="N443" s="28">
        <v>0.24</v>
      </c>
      <c r="O443" s="28" t="str">
        <f t="shared" si="41"/>
        <v>Mild</v>
      </c>
      <c r="P443" s="28">
        <v>0.2273</v>
      </c>
      <c r="Q443" s="38">
        <f t="shared" si="37"/>
        <v>0.2273</v>
      </c>
      <c r="R443" s="28">
        <v>0.52</v>
      </c>
      <c r="S443" s="28">
        <v>0.22389999999999999</v>
      </c>
      <c r="T443" s="40" t="str" cm="1">
        <f t="array" ref="T443">_xlfn.IFS(S443*18.6&lt;2,"Calm",S443*18.6&lt;6,"Light Breeze",S443*18.6&lt;14,"Gale",TRUE,"Extreme Storm")</f>
        <v>Light Breeze</v>
      </c>
      <c r="U443" s="28">
        <v>3</v>
      </c>
      <c r="V443" s="28">
        <v>140</v>
      </c>
      <c r="W443" s="28">
        <v>143</v>
      </c>
      <c r="X443" s="44">
        <f>AVERAGE(INDEX($W:$W,MAX(ROW($W$3),ROW()-23)):INDEX($W:$W,ROW()))</f>
        <v>73.166666666666671</v>
      </c>
      <c r="Y443" s="44">
        <f>_xlfn.STDEV.S(INDEX($W:$W,MAX(ROW($W$3),ROW()-23)):INDEX($W:$W,ROW()))</f>
        <v>64.433765565327136</v>
      </c>
      <c r="Z443" s="44">
        <f t="shared" si="38"/>
        <v>1.0838002826721613</v>
      </c>
      <c r="AA443" s="40" t="b">
        <f t="shared" si="36"/>
        <v>0</v>
      </c>
    </row>
    <row r="444" spans="1:27" x14ac:dyDescent="0.3">
      <c r="A444" s="32">
        <v>442</v>
      </c>
      <c r="B444" s="33">
        <v>40563</v>
      </c>
      <c r="C444" s="40" t="str">
        <f t="shared" si="39"/>
        <v>Thursday</v>
      </c>
      <c r="D444" s="28">
        <v>10</v>
      </c>
      <c r="E444" s="40" t="str" cm="1">
        <f t="array" ref="E444">_xlfn.IFS(D444&gt;=21,"Night",D444&gt;=17,"Evening",D444&gt;=12,"Midday",D444&gt;=6,"Morning", TRUE, "Night")</f>
        <v>Morning</v>
      </c>
      <c r="F444" s="28">
        <v>1</v>
      </c>
      <c r="G444" s="28">
        <v>0</v>
      </c>
      <c r="H444" s="28">
        <v>1</v>
      </c>
      <c r="I444" s="28">
        <v>4</v>
      </c>
      <c r="J444" s="40" t="str">
        <f t="shared" si="40"/>
        <v>Weekday</v>
      </c>
      <c r="K444" s="28" t="b">
        <v>0</v>
      </c>
      <c r="L444" s="28">
        <v>1</v>
      </c>
      <c r="M444" s="40" t="str" cm="1">
        <f t="array" ref="M444">_xlfn.IFS(L444=1,"Clear / Partly Cloudy",L444=2,"Mist / Cloudy",L444=3,"Light Snow / Rain",L444=4,"Heavy Precipitation")</f>
        <v>Clear / Partly Cloudy</v>
      </c>
      <c r="N444" s="28">
        <v>0.26</v>
      </c>
      <c r="O444" s="28" t="str">
        <f t="shared" si="41"/>
        <v>Mild</v>
      </c>
      <c r="P444" s="28">
        <v>0.2273</v>
      </c>
      <c r="Q444" s="38">
        <f t="shared" si="37"/>
        <v>0.2273</v>
      </c>
      <c r="R444" s="28">
        <v>0.48</v>
      </c>
      <c r="S444" s="28">
        <v>0.29849999999999999</v>
      </c>
      <c r="T444" s="40" t="str" cm="1">
        <f t="array" ref="T444">_xlfn.IFS(S444*18.6&lt;2,"Calm",S444*18.6&lt;6,"Light Breeze",S444*18.6&lt;14,"Gale",TRUE,"Extreme Storm")</f>
        <v>Light Breeze</v>
      </c>
      <c r="U444" s="28">
        <v>1</v>
      </c>
      <c r="V444" s="28">
        <v>56</v>
      </c>
      <c r="W444" s="28">
        <v>57</v>
      </c>
      <c r="X444" s="44">
        <f>AVERAGE(INDEX($W:$W,MAX(ROW($W$3),ROW()-23)):INDEX($W:$W,ROW()))</f>
        <v>73.583333333333329</v>
      </c>
      <c r="Y444" s="44">
        <f>_xlfn.STDEV.S(INDEX($W:$W,MAX(ROW($W$3),ROW()-23)):INDEX($W:$W,ROW()))</f>
        <v>64.289370726472328</v>
      </c>
      <c r="Z444" s="44">
        <f t="shared" si="38"/>
        <v>-0.25794829138846798</v>
      </c>
      <c r="AA444" s="40" t="b">
        <f t="shared" si="36"/>
        <v>0</v>
      </c>
    </row>
    <row r="445" spans="1:27" x14ac:dyDescent="0.3">
      <c r="A445" s="32">
        <v>443</v>
      </c>
      <c r="B445" s="33">
        <v>40563</v>
      </c>
      <c r="C445" s="40" t="str">
        <f t="shared" si="39"/>
        <v>Thursday</v>
      </c>
      <c r="D445" s="28">
        <v>11</v>
      </c>
      <c r="E445" s="40" t="str" cm="1">
        <f t="array" ref="E445">_xlfn.IFS(D445&gt;=21,"Night",D445&gt;=17,"Evening",D445&gt;=12,"Midday",D445&gt;=6,"Morning", TRUE, "Night")</f>
        <v>Morning</v>
      </c>
      <c r="F445" s="28">
        <v>1</v>
      </c>
      <c r="G445" s="28">
        <v>0</v>
      </c>
      <c r="H445" s="28">
        <v>1</v>
      </c>
      <c r="I445" s="28">
        <v>4</v>
      </c>
      <c r="J445" s="40" t="str">
        <f t="shared" si="40"/>
        <v>Weekday</v>
      </c>
      <c r="K445" s="28" t="b">
        <v>0</v>
      </c>
      <c r="L445" s="28">
        <v>2</v>
      </c>
      <c r="M445" s="40" t="str" cm="1">
        <f t="array" ref="M445">_xlfn.IFS(L445=1,"Clear / Partly Cloudy",L445=2,"Mist / Cloudy",L445=3,"Light Snow / Rain",L445=4,"Heavy Precipitation")</f>
        <v>Mist / Cloudy</v>
      </c>
      <c r="N445" s="28">
        <v>0.28000000000000003</v>
      </c>
      <c r="O445" s="28" t="str">
        <f t="shared" si="41"/>
        <v>Mild</v>
      </c>
      <c r="P445" s="28">
        <v>0.2727</v>
      </c>
      <c r="Q445" s="38">
        <f t="shared" si="37"/>
        <v>0.2727</v>
      </c>
      <c r="R445" s="28">
        <v>0.45</v>
      </c>
      <c r="S445" s="28">
        <v>0.16420000000000001</v>
      </c>
      <c r="T445" s="40" t="str" cm="1">
        <f t="array" ref="T445">_xlfn.IFS(S445*18.6&lt;2,"Calm",S445*18.6&lt;6,"Light Breeze",S445*18.6&lt;14,"Gale",TRUE,"Extreme Storm")</f>
        <v>Light Breeze</v>
      </c>
      <c r="U445" s="28">
        <v>5</v>
      </c>
      <c r="V445" s="28">
        <v>63</v>
      </c>
      <c r="W445" s="28">
        <v>68</v>
      </c>
      <c r="X445" s="44">
        <f>AVERAGE(INDEX($W:$W,MAX(ROW($W$3),ROW()-23)):INDEX($W:$W,ROW()))</f>
        <v>74.25</v>
      </c>
      <c r="Y445" s="44">
        <f>_xlfn.STDEV.S(INDEX($W:$W,MAX(ROW($W$3),ROW()-23)):INDEX($W:$W,ROW()))</f>
        <v>64.138606701153222</v>
      </c>
      <c r="Z445" s="44">
        <f t="shared" si="38"/>
        <v>-9.7445210014012101E-2</v>
      </c>
      <c r="AA445" s="40" t="b">
        <f t="shared" si="36"/>
        <v>0</v>
      </c>
    </row>
    <row r="446" spans="1:27" x14ac:dyDescent="0.3">
      <c r="A446" s="32">
        <v>444</v>
      </c>
      <c r="B446" s="33">
        <v>40563</v>
      </c>
      <c r="C446" s="40" t="str">
        <f t="shared" si="39"/>
        <v>Thursday</v>
      </c>
      <c r="D446" s="28">
        <v>12</v>
      </c>
      <c r="E446" s="40" t="str" cm="1">
        <f t="array" ref="E446">_xlfn.IFS(D446&gt;=21,"Night",D446&gt;=17,"Evening",D446&gt;=12,"Midday",D446&gt;=6,"Morning", TRUE, "Night")</f>
        <v>Midday</v>
      </c>
      <c r="F446" s="28">
        <v>1</v>
      </c>
      <c r="G446" s="28">
        <v>0</v>
      </c>
      <c r="H446" s="28">
        <v>1</v>
      </c>
      <c r="I446" s="28">
        <v>4</v>
      </c>
      <c r="J446" s="40" t="str">
        <f t="shared" si="40"/>
        <v>Weekday</v>
      </c>
      <c r="K446" s="28" t="b">
        <v>0</v>
      </c>
      <c r="L446" s="28">
        <v>2</v>
      </c>
      <c r="M446" s="40" t="str" cm="1">
        <f t="array" ref="M446">_xlfn.IFS(L446=1,"Clear / Partly Cloudy",L446=2,"Mist / Cloudy",L446=3,"Light Snow / Rain",L446=4,"Heavy Precipitation")</f>
        <v>Mist / Cloudy</v>
      </c>
      <c r="N446" s="28">
        <v>0.3</v>
      </c>
      <c r="O446" s="28" t="str">
        <f t="shared" si="41"/>
        <v>Mild</v>
      </c>
      <c r="P446" s="28">
        <v>0.33329999999999999</v>
      </c>
      <c r="Q446" s="38">
        <f t="shared" si="37"/>
        <v>0.33329999999999999</v>
      </c>
      <c r="R446" s="28">
        <v>0.42</v>
      </c>
      <c r="S446" s="28">
        <v>0</v>
      </c>
      <c r="T446" s="40" t="str" cm="1">
        <f t="array" ref="T446">_xlfn.IFS(S446*18.6&lt;2,"Calm",S446*18.6&lt;6,"Light Breeze",S446*18.6&lt;14,"Gale",TRUE,"Extreme Storm")</f>
        <v>Calm</v>
      </c>
      <c r="U446" s="28">
        <v>7</v>
      </c>
      <c r="V446" s="28">
        <v>77</v>
      </c>
      <c r="W446" s="28">
        <v>84</v>
      </c>
      <c r="X446" s="44">
        <f>AVERAGE(INDEX($W:$W,MAX(ROW($W$3),ROW()-23)):INDEX($W:$W,ROW()))</f>
        <v>74.833333333333329</v>
      </c>
      <c r="Y446" s="44">
        <f>_xlfn.STDEV.S(INDEX($W:$W,MAX(ROW($W$3),ROW()-23)):INDEX($W:$W,ROW()))</f>
        <v>64.161932819923734</v>
      </c>
      <c r="Z446" s="44">
        <f t="shared" si="38"/>
        <v>0.14286768281114209</v>
      </c>
      <c r="AA446" s="40" t="b">
        <f t="shared" si="36"/>
        <v>0</v>
      </c>
    </row>
    <row r="447" spans="1:27" x14ac:dyDescent="0.3">
      <c r="A447" s="32">
        <v>445</v>
      </c>
      <c r="B447" s="33">
        <v>40563</v>
      </c>
      <c r="C447" s="40" t="str">
        <f t="shared" si="39"/>
        <v>Thursday</v>
      </c>
      <c r="D447" s="28">
        <v>13</v>
      </c>
      <c r="E447" s="40" t="str" cm="1">
        <f t="array" ref="E447">_xlfn.IFS(D447&gt;=21,"Night",D447&gt;=17,"Evening",D447&gt;=12,"Midday",D447&gt;=6,"Morning", TRUE, "Night")</f>
        <v>Midday</v>
      </c>
      <c r="F447" s="28">
        <v>1</v>
      </c>
      <c r="G447" s="28">
        <v>0</v>
      </c>
      <c r="H447" s="28">
        <v>1</v>
      </c>
      <c r="I447" s="28">
        <v>4</v>
      </c>
      <c r="J447" s="40" t="str">
        <f t="shared" si="40"/>
        <v>Weekday</v>
      </c>
      <c r="K447" s="28" t="b">
        <v>0</v>
      </c>
      <c r="L447" s="28">
        <v>2</v>
      </c>
      <c r="M447" s="40" t="str" cm="1">
        <f t="array" ref="M447">_xlfn.IFS(L447=1,"Clear / Partly Cloudy",L447=2,"Mist / Cloudy",L447=3,"Light Snow / Rain",L447=4,"Heavy Precipitation")</f>
        <v>Mist / Cloudy</v>
      </c>
      <c r="N447" s="28">
        <v>0.28000000000000003</v>
      </c>
      <c r="O447" s="28" t="str">
        <f t="shared" si="41"/>
        <v>Mild</v>
      </c>
      <c r="P447" s="28">
        <v>0.28789999999999999</v>
      </c>
      <c r="Q447" s="38">
        <f t="shared" si="37"/>
        <v>0.28789999999999999</v>
      </c>
      <c r="R447" s="28">
        <v>0.45</v>
      </c>
      <c r="S447" s="28">
        <v>0.1045</v>
      </c>
      <c r="T447" s="40" t="str" cm="1">
        <f t="array" ref="T447">_xlfn.IFS(S447*18.6&lt;2,"Calm",S447*18.6&lt;6,"Light Breeze",S447*18.6&lt;14,"Gale",TRUE,"Extreme Storm")</f>
        <v>Calm</v>
      </c>
      <c r="U447" s="28">
        <v>12</v>
      </c>
      <c r="V447" s="28">
        <v>86</v>
      </c>
      <c r="W447" s="28">
        <v>98</v>
      </c>
      <c r="X447" s="44">
        <f>AVERAGE(INDEX($W:$W,MAX(ROW($W$3),ROW()-23)):INDEX($W:$W,ROW()))</f>
        <v>75.666666666666671</v>
      </c>
      <c r="Y447" s="44">
        <f>_xlfn.STDEV.S(INDEX($W:$W,MAX(ROW($W$3),ROW()-23)):INDEX($W:$W,ROW()))</f>
        <v>64.334497248613715</v>
      </c>
      <c r="Z447" s="44">
        <f t="shared" si="38"/>
        <v>0.34714397855676987</v>
      </c>
      <c r="AA447" s="40" t="b">
        <f t="shared" si="36"/>
        <v>0</v>
      </c>
    </row>
    <row r="448" spans="1:27" x14ac:dyDescent="0.3">
      <c r="A448" s="32">
        <v>446</v>
      </c>
      <c r="B448" s="33">
        <v>40563</v>
      </c>
      <c r="C448" s="40" t="str">
        <f t="shared" si="39"/>
        <v>Thursday</v>
      </c>
      <c r="D448" s="28">
        <v>14</v>
      </c>
      <c r="E448" s="40" t="str" cm="1">
        <f t="array" ref="E448">_xlfn.IFS(D448&gt;=21,"Night",D448&gt;=17,"Evening",D448&gt;=12,"Midday",D448&gt;=6,"Morning", TRUE, "Night")</f>
        <v>Midday</v>
      </c>
      <c r="F448" s="28">
        <v>1</v>
      </c>
      <c r="G448" s="28">
        <v>0</v>
      </c>
      <c r="H448" s="28">
        <v>1</v>
      </c>
      <c r="I448" s="28">
        <v>4</v>
      </c>
      <c r="J448" s="40" t="str">
        <f t="shared" si="40"/>
        <v>Weekday</v>
      </c>
      <c r="K448" s="28" t="b">
        <v>0</v>
      </c>
      <c r="L448" s="28">
        <v>2</v>
      </c>
      <c r="M448" s="40" t="str" cm="1">
        <f t="array" ref="M448">_xlfn.IFS(L448=1,"Clear / Partly Cloudy",L448=2,"Mist / Cloudy",L448=3,"Light Snow / Rain",L448=4,"Heavy Precipitation")</f>
        <v>Mist / Cloudy</v>
      </c>
      <c r="N448" s="28">
        <v>0.3</v>
      </c>
      <c r="O448" s="28" t="str">
        <f t="shared" si="41"/>
        <v>Mild</v>
      </c>
      <c r="P448" s="28">
        <v>0.30299999999999999</v>
      </c>
      <c r="Q448" s="38">
        <f t="shared" si="37"/>
        <v>0.30299999999999999</v>
      </c>
      <c r="R448" s="28">
        <v>0.45</v>
      </c>
      <c r="S448" s="28">
        <v>0.1343</v>
      </c>
      <c r="T448" s="40" t="str" cm="1">
        <f t="array" ref="T448">_xlfn.IFS(S448*18.6&lt;2,"Calm",S448*18.6&lt;6,"Light Breeze",S448*18.6&lt;14,"Gale",TRUE,"Extreme Storm")</f>
        <v>Light Breeze</v>
      </c>
      <c r="U448" s="28">
        <v>6</v>
      </c>
      <c r="V448" s="28">
        <v>75</v>
      </c>
      <c r="W448" s="28">
        <v>81</v>
      </c>
      <c r="X448" s="44">
        <f>AVERAGE(INDEX($W:$W,MAX(ROW($W$3),ROW()-23)):INDEX($W:$W,ROW()))</f>
        <v>75.916666666666671</v>
      </c>
      <c r="Y448" s="44">
        <f>_xlfn.STDEV.S(INDEX($W:$W,MAX(ROW($W$3),ROW()-23)):INDEX($W:$W,ROW()))</f>
        <v>64.343451183045261</v>
      </c>
      <c r="Z448" s="44">
        <f t="shared" si="38"/>
        <v>7.9003119041162126E-2</v>
      </c>
      <c r="AA448" s="40" t="b">
        <f t="shared" si="36"/>
        <v>0</v>
      </c>
    </row>
    <row r="449" spans="1:27" x14ac:dyDescent="0.3">
      <c r="A449" s="32">
        <v>447</v>
      </c>
      <c r="B449" s="33">
        <v>40563</v>
      </c>
      <c r="C449" s="40" t="str">
        <f t="shared" si="39"/>
        <v>Thursday</v>
      </c>
      <c r="D449" s="28">
        <v>15</v>
      </c>
      <c r="E449" s="40" t="str" cm="1">
        <f t="array" ref="E449">_xlfn.IFS(D449&gt;=21,"Night",D449&gt;=17,"Evening",D449&gt;=12,"Midday",D449&gt;=6,"Morning", TRUE, "Night")</f>
        <v>Midday</v>
      </c>
      <c r="F449" s="28">
        <v>1</v>
      </c>
      <c r="G449" s="28">
        <v>0</v>
      </c>
      <c r="H449" s="28">
        <v>1</v>
      </c>
      <c r="I449" s="28">
        <v>4</v>
      </c>
      <c r="J449" s="40" t="str">
        <f t="shared" si="40"/>
        <v>Weekday</v>
      </c>
      <c r="K449" s="28" t="b">
        <v>0</v>
      </c>
      <c r="L449" s="28">
        <v>2</v>
      </c>
      <c r="M449" s="40" t="str" cm="1">
        <f t="array" ref="M449">_xlfn.IFS(L449=1,"Clear / Partly Cloudy",L449=2,"Mist / Cloudy",L449=3,"Light Snow / Rain",L449=4,"Heavy Precipitation")</f>
        <v>Mist / Cloudy</v>
      </c>
      <c r="N449" s="28">
        <v>0.32</v>
      </c>
      <c r="O449" s="28" t="str">
        <f t="shared" si="41"/>
        <v>Mild</v>
      </c>
      <c r="P449" s="28">
        <v>0.31819999999999998</v>
      </c>
      <c r="Q449" s="38">
        <f t="shared" si="37"/>
        <v>0.31819999999999998</v>
      </c>
      <c r="R449" s="28">
        <v>0.45</v>
      </c>
      <c r="S449" s="28">
        <v>0.19400000000000001</v>
      </c>
      <c r="T449" s="40" t="str" cm="1">
        <f t="array" ref="T449">_xlfn.IFS(S449*18.6&lt;2,"Calm",S449*18.6&lt;6,"Light Breeze",S449*18.6&lt;14,"Gale",TRUE,"Extreme Storm")</f>
        <v>Light Breeze</v>
      </c>
      <c r="U449" s="28">
        <v>8</v>
      </c>
      <c r="V449" s="28">
        <v>62</v>
      </c>
      <c r="W449" s="28">
        <v>70</v>
      </c>
      <c r="X449" s="44">
        <f>AVERAGE(INDEX($W:$W,MAX(ROW($W$3),ROW()-23)):INDEX($W:$W,ROW()))</f>
        <v>75.416666666666671</v>
      </c>
      <c r="Y449" s="44">
        <f>_xlfn.STDEV.S(INDEX($W:$W,MAX(ROW($W$3),ROW()-23)):INDEX($W:$W,ROW()))</f>
        <v>64.340748239805009</v>
      </c>
      <c r="Z449" s="44">
        <f t="shared" si="38"/>
        <v>-8.4187187977332226E-2</v>
      </c>
      <c r="AA449" s="40" t="b">
        <f t="shared" si="36"/>
        <v>0</v>
      </c>
    </row>
    <row r="450" spans="1:27" x14ac:dyDescent="0.3">
      <c r="A450" s="32">
        <v>448</v>
      </c>
      <c r="B450" s="33">
        <v>40563</v>
      </c>
      <c r="C450" s="40" t="str">
        <f t="shared" si="39"/>
        <v>Thursday</v>
      </c>
      <c r="D450" s="28">
        <v>16</v>
      </c>
      <c r="E450" s="40" t="str" cm="1">
        <f t="array" ref="E450">_xlfn.IFS(D450&gt;=21,"Night",D450&gt;=17,"Evening",D450&gt;=12,"Midday",D450&gt;=6,"Morning", TRUE, "Night")</f>
        <v>Midday</v>
      </c>
      <c r="F450" s="28">
        <v>1</v>
      </c>
      <c r="G450" s="28">
        <v>0</v>
      </c>
      <c r="H450" s="28">
        <v>1</v>
      </c>
      <c r="I450" s="28">
        <v>4</v>
      </c>
      <c r="J450" s="40" t="str">
        <f t="shared" si="40"/>
        <v>Weekday</v>
      </c>
      <c r="K450" s="28" t="b">
        <v>0</v>
      </c>
      <c r="L450" s="28">
        <v>2</v>
      </c>
      <c r="M450" s="40" t="str" cm="1">
        <f t="array" ref="M450">_xlfn.IFS(L450=1,"Clear / Partly Cloudy",L450=2,"Mist / Cloudy",L450=3,"Light Snow / Rain",L450=4,"Heavy Precipitation")</f>
        <v>Mist / Cloudy</v>
      </c>
      <c r="N450" s="28">
        <v>0.3</v>
      </c>
      <c r="O450" s="28" t="str">
        <f t="shared" si="41"/>
        <v>Mild</v>
      </c>
      <c r="P450" s="28">
        <v>0.30299999999999999</v>
      </c>
      <c r="Q450" s="38">
        <f t="shared" si="37"/>
        <v>0.30299999999999999</v>
      </c>
      <c r="R450" s="28">
        <v>0.49</v>
      </c>
      <c r="S450" s="28">
        <v>0.1343</v>
      </c>
      <c r="T450" s="40" t="str" cm="1">
        <f t="array" ref="T450">_xlfn.IFS(S450*18.6&lt;2,"Calm",S450*18.6&lt;6,"Light Breeze",S450*18.6&lt;14,"Gale",TRUE,"Extreme Storm")</f>
        <v>Light Breeze</v>
      </c>
      <c r="U450" s="28">
        <v>8</v>
      </c>
      <c r="V450" s="28">
        <v>83</v>
      </c>
      <c r="W450" s="28">
        <v>91</v>
      </c>
      <c r="X450" s="44">
        <f>AVERAGE(INDEX($W:$W,MAX(ROW($W$3),ROW()-23)):INDEX($W:$W,ROW()))</f>
        <v>74.875</v>
      </c>
      <c r="Y450" s="44">
        <f>_xlfn.STDEV.S(INDEX($W:$W,MAX(ROW($W$3),ROW()-23)):INDEX($W:$W,ROW()))</f>
        <v>64.144071873570198</v>
      </c>
      <c r="Z450" s="44">
        <f t="shared" si="38"/>
        <v>0.25138722143774778</v>
      </c>
      <c r="AA450" s="40" t="b">
        <f t="shared" si="36"/>
        <v>0</v>
      </c>
    </row>
    <row r="451" spans="1:27" x14ac:dyDescent="0.3">
      <c r="A451" s="32">
        <v>449</v>
      </c>
      <c r="B451" s="33">
        <v>40563</v>
      </c>
      <c r="C451" s="40" t="str">
        <f t="shared" si="39"/>
        <v>Thursday</v>
      </c>
      <c r="D451" s="28">
        <v>17</v>
      </c>
      <c r="E451" s="40" t="str" cm="1">
        <f t="array" ref="E451">_xlfn.IFS(D451&gt;=21,"Night",D451&gt;=17,"Evening",D451&gt;=12,"Midday",D451&gt;=6,"Morning", TRUE, "Night")</f>
        <v>Evening</v>
      </c>
      <c r="F451" s="28">
        <v>1</v>
      </c>
      <c r="G451" s="28">
        <v>0</v>
      </c>
      <c r="H451" s="28">
        <v>1</v>
      </c>
      <c r="I451" s="28">
        <v>4</v>
      </c>
      <c r="J451" s="40" t="str">
        <f t="shared" si="40"/>
        <v>Weekday</v>
      </c>
      <c r="K451" s="28" t="b">
        <v>0</v>
      </c>
      <c r="L451" s="28">
        <v>2</v>
      </c>
      <c r="M451" s="40" t="str" cm="1">
        <f t="array" ref="M451">_xlfn.IFS(L451=1,"Clear / Partly Cloudy",L451=2,"Mist / Cloudy",L451=3,"Light Snow / Rain",L451=4,"Heavy Precipitation")</f>
        <v>Mist / Cloudy</v>
      </c>
      <c r="N451" s="28">
        <v>0.3</v>
      </c>
      <c r="O451" s="28" t="str">
        <f t="shared" si="41"/>
        <v>Mild</v>
      </c>
      <c r="P451" s="28">
        <v>0.31819999999999998</v>
      </c>
      <c r="Q451" s="38">
        <f t="shared" si="37"/>
        <v>0.31819999999999998</v>
      </c>
      <c r="R451" s="28">
        <v>0.49</v>
      </c>
      <c r="S451" s="28">
        <v>0.1045</v>
      </c>
      <c r="T451" s="40" t="str" cm="1">
        <f t="array" ref="T451">_xlfn.IFS(S451*18.6&lt;2,"Calm",S451*18.6&lt;6,"Light Breeze",S451*18.6&lt;14,"Gale",TRUE,"Extreme Storm")</f>
        <v>Calm</v>
      </c>
      <c r="U451" s="28">
        <v>8</v>
      </c>
      <c r="V451" s="28">
        <v>207</v>
      </c>
      <c r="W451" s="28">
        <v>215</v>
      </c>
      <c r="X451" s="44">
        <f>AVERAGE(INDEX($W:$W,MAX(ROW($W$3),ROW()-23)):INDEX($W:$W,ROW()))</f>
        <v>75.625</v>
      </c>
      <c r="Y451" s="44">
        <f>_xlfn.STDEV.S(INDEX($W:$W,MAX(ROW($W$3),ROW()-23)):INDEX($W:$W,ROW()))</f>
        <v>65.719967516994274</v>
      </c>
      <c r="Z451" s="44">
        <f t="shared" si="38"/>
        <v>2.120740549117885</v>
      </c>
      <c r="AA451" s="40" t="b">
        <f t="shared" ref="AA451:AA514" si="42">IF(ABS(Z451)&gt;=3,TRUE,FALSE)</f>
        <v>0</v>
      </c>
    </row>
    <row r="452" spans="1:27" x14ac:dyDescent="0.3">
      <c r="A452" s="32">
        <v>450</v>
      </c>
      <c r="B452" s="33">
        <v>40563</v>
      </c>
      <c r="C452" s="40" t="str">
        <f t="shared" si="39"/>
        <v>Thursday</v>
      </c>
      <c r="D452" s="28">
        <v>18</v>
      </c>
      <c r="E452" s="40" t="str" cm="1">
        <f t="array" ref="E452">_xlfn.IFS(D452&gt;=21,"Night",D452&gt;=17,"Evening",D452&gt;=12,"Midday",D452&gt;=6,"Morning", TRUE, "Night")</f>
        <v>Evening</v>
      </c>
      <c r="F452" s="28">
        <v>1</v>
      </c>
      <c r="G452" s="28">
        <v>0</v>
      </c>
      <c r="H452" s="28">
        <v>1</v>
      </c>
      <c r="I452" s="28">
        <v>4</v>
      </c>
      <c r="J452" s="40" t="str">
        <f t="shared" si="40"/>
        <v>Weekday</v>
      </c>
      <c r="K452" s="28" t="b">
        <v>0</v>
      </c>
      <c r="L452" s="28">
        <v>2</v>
      </c>
      <c r="M452" s="40" t="str" cm="1">
        <f t="array" ref="M452">_xlfn.IFS(L452=1,"Clear / Partly Cloudy",L452=2,"Mist / Cloudy",L452=3,"Light Snow / Rain",L452=4,"Heavy Precipitation")</f>
        <v>Mist / Cloudy</v>
      </c>
      <c r="N452" s="28">
        <v>0.26</v>
      </c>
      <c r="O452" s="28" t="str">
        <f t="shared" si="41"/>
        <v>Mild</v>
      </c>
      <c r="P452" s="28">
        <v>0.2576</v>
      </c>
      <c r="Q452" s="38">
        <f t="shared" ref="Q452:Q515" si="43">IF(P452="", AVERAGE($P$3:$P$1002), P452)</f>
        <v>0.2576</v>
      </c>
      <c r="R452" s="28">
        <v>0.56000000000000005</v>
      </c>
      <c r="S452" s="28">
        <v>0.19400000000000001</v>
      </c>
      <c r="T452" s="40" t="str" cm="1">
        <f t="array" ref="T452">_xlfn.IFS(S452*18.6&lt;2,"Calm",S452*18.6&lt;6,"Light Breeze",S452*18.6&lt;14,"Gale",TRUE,"Extreme Storm")</f>
        <v>Light Breeze</v>
      </c>
      <c r="U452" s="28">
        <v>1</v>
      </c>
      <c r="V452" s="28">
        <v>184</v>
      </c>
      <c r="W452" s="28">
        <v>185</v>
      </c>
      <c r="X452" s="44">
        <f>AVERAGE(INDEX($W:$W,MAX(ROW($W$3),ROW()-23)):INDEX($W:$W,ROW()))</f>
        <v>76.625</v>
      </c>
      <c r="Y452" s="44">
        <f>_xlfn.STDEV.S(INDEX($W:$W,MAX(ROW($W$3),ROW()-23)):INDEX($W:$W,ROW()))</f>
        <v>67.240523819184077</v>
      </c>
      <c r="Z452" s="44">
        <f t="shared" ref="Z452:Z515" si="44">IFERROR((W452-X452)/Y452,0)</f>
        <v>1.6117512750410794</v>
      </c>
      <c r="AA452" s="40" t="b">
        <f t="shared" si="42"/>
        <v>0</v>
      </c>
    </row>
    <row r="453" spans="1:27" x14ac:dyDescent="0.3">
      <c r="A453" s="32">
        <v>451</v>
      </c>
      <c r="B453" s="33">
        <v>40563</v>
      </c>
      <c r="C453" s="40" t="str">
        <f t="shared" ref="C453:C516" si="45">TEXT(B453,"dddd")</f>
        <v>Thursday</v>
      </c>
      <c r="D453" s="28">
        <v>19</v>
      </c>
      <c r="E453" s="40" t="str" cm="1">
        <f t="array" ref="E453">_xlfn.IFS(D453&gt;=21,"Night",D453&gt;=17,"Evening",D453&gt;=12,"Midday",D453&gt;=6,"Morning", TRUE, "Night")</f>
        <v>Evening</v>
      </c>
      <c r="F453" s="28">
        <v>1</v>
      </c>
      <c r="G453" s="28">
        <v>0</v>
      </c>
      <c r="H453" s="28">
        <v>1</v>
      </c>
      <c r="I453" s="28">
        <v>4</v>
      </c>
      <c r="J453" s="40" t="str">
        <f t="shared" ref="J453:J516" si="46">IF(OR(I453="Saturday", I453="Sunday"), "Weekend", "Weekday")</f>
        <v>Weekday</v>
      </c>
      <c r="K453" s="28" t="b">
        <v>0</v>
      </c>
      <c r="L453" s="28">
        <v>1</v>
      </c>
      <c r="M453" s="40" t="str" cm="1">
        <f t="array" ref="M453">_xlfn.IFS(L453=1,"Clear / Partly Cloudy",L453=2,"Mist / Cloudy",L453=3,"Light Snow / Rain",L453=4,"Heavy Precipitation")</f>
        <v>Clear / Partly Cloudy</v>
      </c>
      <c r="N453" s="28">
        <v>0.26</v>
      </c>
      <c r="O453" s="28" t="str">
        <f t="shared" ref="O453:O516" si="47">IF(N453&lt;0.2,"Cold",IF(N453&lt;0.6,"Mild","Hot"))</f>
        <v>Mild</v>
      </c>
      <c r="P453" s="28">
        <v>0.2273</v>
      </c>
      <c r="Q453" s="38">
        <f t="shared" si="43"/>
        <v>0.2273</v>
      </c>
      <c r="R453" s="28">
        <v>0.56000000000000005</v>
      </c>
      <c r="S453" s="28">
        <v>0.32840000000000003</v>
      </c>
      <c r="T453" s="40" t="str" cm="1">
        <f t="array" ref="T453">_xlfn.IFS(S453*18.6&lt;2,"Calm",S453*18.6&lt;6,"Light Breeze",S453*18.6&lt;14,"Gale",TRUE,"Extreme Storm")</f>
        <v>Gale</v>
      </c>
      <c r="U453" s="28">
        <v>6</v>
      </c>
      <c r="V453" s="28">
        <v>146</v>
      </c>
      <c r="W453" s="28">
        <v>152</v>
      </c>
      <c r="X453" s="44">
        <f>AVERAGE(INDEX($W:$W,MAX(ROW($W$3),ROW()-23)):INDEX($W:$W,ROW()))</f>
        <v>78.291666666666671</v>
      </c>
      <c r="Y453" s="44">
        <f>_xlfn.STDEV.S(INDEX($W:$W,MAX(ROW($W$3),ROW()-23)):INDEX($W:$W,ROW()))</f>
        <v>68.636711666613209</v>
      </c>
      <c r="Z453" s="44">
        <f t="shared" si="44"/>
        <v>1.073890801927609</v>
      </c>
      <c r="AA453" s="40" t="b">
        <f t="shared" si="42"/>
        <v>0</v>
      </c>
    </row>
    <row r="454" spans="1:27" x14ac:dyDescent="0.3">
      <c r="A454" s="32">
        <v>452</v>
      </c>
      <c r="B454" s="33">
        <v>40563</v>
      </c>
      <c r="C454" s="40" t="str">
        <f t="shared" si="45"/>
        <v>Thursday</v>
      </c>
      <c r="D454" s="28">
        <v>20</v>
      </c>
      <c r="E454" s="40" t="str" cm="1">
        <f t="array" ref="E454">_xlfn.IFS(D454&gt;=21,"Night",D454&gt;=17,"Evening",D454&gt;=12,"Midday",D454&gt;=6,"Morning", TRUE, "Night")</f>
        <v>Evening</v>
      </c>
      <c r="F454" s="28">
        <v>1</v>
      </c>
      <c r="G454" s="28">
        <v>0</v>
      </c>
      <c r="H454" s="28">
        <v>1</v>
      </c>
      <c r="I454" s="28">
        <v>4</v>
      </c>
      <c r="J454" s="40" t="str">
        <f t="shared" si="46"/>
        <v>Weekday</v>
      </c>
      <c r="K454" s="28" t="b">
        <v>0</v>
      </c>
      <c r="L454" s="28">
        <v>2</v>
      </c>
      <c r="M454" s="40" t="str" cm="1">
        <f t="array" ref="M454">_xlfn.IFS(L454=1,"Clear / Partly Cloudy",L454=2,"Mist / Cloudy",L454=3,"Light Snow / Rain",L454=4,"Heavy Precipitation")</f>
        <v>Mist / Cloudy</v>
      </c>
      <c r="N454" s="28">
        <v>0.26</v>
      </c>
      <c r="O454" s="28" t="str">
        <f t="shared" si="47"/>
        <v>Mild</v>
      </c>
      <c r="P454" s="28">
        <v>0.2424</v>
      </c>
      <c r="Q454" s="38">
        <f t="shared" si="43"/>
        <v>0.2424</v>
      </c>
      <c r="R454" s="28">
        <v>0.6</v>
      </c>
      <c r="S454" s="28">
        <v>0.28360000000000002</v>
      </c>
      <c r="T454" s="40" t="str" cm="1">
        <f t="array" ref="T454">_xlfn.IFS(S454*18.6&lt;2,"Calm",S454*18.6&lt;6,"Light Breeze",S454*18.6&lt;14,"Gale",TRUE,"Extreme Storm")</f>
        <v>Light Breeze</v>
      </c>
      <c r="U454" s="28">
        <v>2</v>
      </c>
      <c r="V454" s="28">
        <v>124</v>
      </c>
      <c r="W454" s="28">
        <v>126</v>
      </c>
      <c r="X454" s="44">
        <f>AVERAGE(INDEX($W:$W,MAX(ROW($W$3),ROW()-23)):INDEX($W:$W,ROW()))</f>
        <v>80.375</v>
      </c>
      <c r="Y454" s="44">
        <f>_xlfn.STDEV.S(INDEX($W:$W,MAX(ROW($W$3),ROW()-23)):INDEX($W:$W,ROW()))</f>
        <v>69.319557752170653</v>
      </c>
      <c r="Z454" s="44">
        <f t="shared" si="44"/>
        <v>0.65818365666897682</v>
      </c>
      <c r="AA454" s="40" t="b">
        <f t="shared" si="42"/>
        <v>0</v>
      </c>
    </row>
    <row r="455" spans="1:27" x14ac:dyDescent="0.3">
      <c r="A455" s="32">
        <v>453</v>
      </c>
      <c r="B455" s="33">
        <v>40563</v>
      </c>
      <c r="C455" s="40" t="str">
        <f t="shared" si="45"/>
        <v>Thursday</v>
      </c>
      <c r="D455" s="28">
        <v>21</v>
      </c>
      <c r="E455" s="40" t="str" cm="1">
        <f t="array" ref="E455">_xlfn.IFS(D455&gt;=21,"Night",D455&gt;=17,"Evening",D455&gt;=12,"Midday",D455&gt;=6,"Morning", TRUE, "Night")</f>
        <v>Night</v>
      </c>
      <c r="F455" s="28">
        <v>1</v>
      </c>
      <c r="G455" s="28">
        <v>0</v>
      </c>
      <c r="H455" s="28">
        <v>1</v>
      </c>
      <c r="I455" s="28">
        <v>4</v>
      </c>
      <c r="J455" s="40" t="str">
        <f t="shared" si="46"/>
        <v>Weekday</v>
      </c>
      <c r="K455" s="28" t="b">
        <v>0</v>
      </c>
      <c r="L455" s="28">
        <v>2</v>
      </c>
      <c r="M455" s="40" t="str" cm="1">
        <f t="array" ref="M455">_xlfn.IFS(L455=1,"Clear / Partly Cloudy",L455=2,"Mist / Cloudy",L455=3,"Light Snow / Rain",L455=4,"Heavy Precipitation")</f>
        <v>Mist / Cloudy</v>
      </c>
      <c r="N455" s="28">
        <v>0.24</v>
      </c>
      <c r="O455" s="28" t="str">
        <f t="shared" si="47"/>
        <v>Mild</v>
      </c>
      <c r="P455" s="28">
        <v>0.2273</v>
      </c>
      <c r="Q455" s="38">
        <f t="shared" si="43"/>
        <v>0.2273</v>
      </c>
      <c r="R455" s="28">
        <v>0.6</v>
      </c>
      <c r="S455" s="28">
        <v>0.25369999999999998</v>
      </c>
      <c r="T455" s="40" t="str" cm="1">
        <f t="array" ref="T455">_xlfn.IFS(S455*18.6&lt;2,"Calm",S455*18.6&lt;6,"Light Breeze",S455*18.6&lt;14,"Gale",TRUE,"Extreme Storm")</f>
        <v>Light Breeze</v>
      </c>
      <c r="U455" s="28">
        <v>3</v>
      </c>
      <c r="V455" s="28">
        <v>54</v>
      </c>
      <c r="W455" s="28">
        <v>57</v>
      </c>
      <c r="X455" s="44">
        <f>AVERAGE(INDEX($W:$W,MAX(ROW($W$3),ROW()-23)):INDEX($W:$W,ROW()))</f>
        <v>80.291666666666671</v>
      </c>
      <c r="Y455" s="44">
        <f>_xlfn.STDEV.S(INDEX($W:$W,MAX(ROW($W$3),ROW()-23)):INDEX($W:$W,ROW()))</f>
        <v>69.347567692944622</v>
      </c>
      <c r="Z455" s="44">
        <f t="shared" si="44"/>
        <v>-0.33586854509154401</v>
      </c>
      <c r="AA455" s="40" t="b">
        <f t="shared" si="42"/>
        <v>0</v>
      </c>
    </row>
    <row r="456" spans="1:27" x14ac:dyDescent="0.3">
      <c r="A456" s="32">
        <v>454</v>
      </c>
      <c r="B456" s="33">
        <v>40563</v>
      </c>
      <c r="C456" s="40" t="str">
        <f t="shared" si="45"/>
        <v>Thursday</v>
      </c>
      <c r="D456" s="28">
        <v>22</v>
      </c>
      <c r="E456" s="40" t="str" cm="1">
        <f t="array" ref="E456">_xlfn.IFS(D456&gt;=21,"Night",D456&gt;=17,"Evening",D456&gt;=12,"Midday",D456&gt;=6,"Morning", TRUE, "Night")</f>
        <v>Night</v>
      </c>
      <c r="F456" s="28">
        <v>1</v>
      </c>
      <c r="G456" s="28">
        <v>0</v>
      </c>
      <c r="H456" s="28">
        <v>1</v>
      </c>
      <c r="I456" s="28">
        <v>4</v>
      </c>
      <c r="J456" s="40" t="str">
        <f t="shared" si="46"/>
        <v>Weekday</v>
      </c>
      <c r="K456" s="28" t="b">
        <v>0</v>
      </c>
      <c r="L456" s="28">
        <v>2</v>
      </c>
      <c r="M456" s="40" t="str" cm="1">
        <f t="array" ref="M456">_xlfn.IFS(L456=1,"Clear / Partly Cloudy",L456=2,"Mist / Cloudy",L456=3,"Light Snow / Rain",L456=4,"Heavy Precipitation")</f>
        <v>Mist / Cloudy</v>
      </c>
      <c r="N456" s="28">
        <v>0.24</v>
      </c>
      <c r="O456" s="28" t="str">
        <f t="shared" si="47"/>
        <v>Mild</v>
      </c>
      <c r="P456" s="28">
        <v>0.21210000000000001</v>
      </c>
      <c r="Q456" s="38">
        <f t="shared" si="43"/>
        <v>0.21210000000000001</v>
      </c>
      <c r="R456" s="28">
        <v>0.65</v>
      </c>
      <c r="S456" s="28">
        <v>0.28360000000000002</v>
      </c>
      <c r="T456" s="40" t="str" cm="1">
        <f t="array" ref="T456">_xlfn.IFS(S456*18.6&lt;2,"Calm",S456*18.6&lt;6,"Light Breeze",S456*18.6&lt;14,"Gale",TRUE,"Extreme Storm")</f>
        <v>Light Breeze</v>
      </c>
      <c r="U456" s="28">
        <v>0</v>
      </c>
      <c r="V456" s="28">
        <v>56</v>
      </c>
      <c r="W456" s="28">
        <v>56</v>
      </c>
      <c r="X456" s="44">
        <f>AVERAGE(INDEX($W:$W,MAX(ROW($W$3),ROW()-23)):INDEX($W:$W,ROW()))</f>
        <v>80.166666666666671</v>
      </c>
      <c r="Y456" s="44">
        <f>_xlfn.STDEV.S(INDEX($W:$W,MAX(ROW($W$3),ROW()-23)):INDEX($W:$W,ROW()))</f>
        <v>69.3903054666401</v>
      </c>
      <c r="Z456" s="44">
        <f t="shared" si="44"/>
        <v>-0.34827151291739122</v>
      </c>
      <c r="AA456" s="40" t="b">
        <f t="shared" si="42"/>
        <v>0</v>
      </c>
    </row>
    <row r="457" spans="1:27" x14ac:dyDescent="0.3">
      <c r="A457" s="32">
        <v>455</v>
      </c>
      <c r="B457" s="33">
        <v>40563</v>
      </c>
      <c r="C457" s="40" t="str">
        <f t="shared" si="45"/>
        <v>Thursday</v>
      </c>
      <c r="D457" s="28">
        <v>23</v>
      </c>
      <c r="E457" s="40" t="str" cm="1">
        <f t="array" ref="E457">_xlfn.IFS(D457&gt;=21,"Night",D457&gt;=17,"Evening",D457&gt;=12,"Midday",D457&gt;=6,"Morning", TRUE, "Night")</f>
        <v>Night</v>
      </c>
      <c r="F457" s="28">
        <v>1</v>
      </c>
      <c r="G457" s="28">
        <v>0</v>
      </c>
      <c r="H457" s="28">
        <v>1</v>
      </c>
      <c r="I457" s="28">
        <v>4</v>
      </c>
      <c r="J457" s="40" t="str">
        <f t="shared" si="46"/>
        <v>Weekday</v>
      </c>
      <c r="K457" s="28" t="b">
        <v>0</v>
      </c>
      <c r="L457" s="28">
        <v>2</v>
      </c>
      <c r="M457" s="40" t="str" cm="1">
        <f t="array" ref="M457">_xlfn.IFS(L457=1,"Clear / Partly Cloudy",L457=2,"Mist / Cloudy",L457=3,"Light Snow / Rain",L457=4,"Heavy Precipitation")</f>
        <v>Mist / Cloudy</v>
      </c>
      <c r="N457" s="28">
        <v>0.24</v>
      </c>
      <c r="O457" s="28" t="str">
        <f t="shared" si="47"/>
        <v>Mild</v>
      </c>
      <c r="P457" s="28">
        <v>0.21210000000000001</v>
      </c>
      <c r="Q457" s="38">
        <f t="shared" si="43"/>
        <v>0.21210000000000001</v>
      </c>
      <c r="R457" s="28">
        <v>0.65</v>
      </c>
      <c r="S457" s="28">
        <v>0.32840000000000003</v>
      </c>
      <c r="T457" s="40" t="str" cm="1">
        <f t="array" ref="T457">_xlfn.IFS(S457*18.6&lt;2,"Calm",S457*18.6&lt;6,"Light Breeze",S457*18.6&lt;14,"Gale",TRUE,"Extreme Storm")</f>
        <v>Gale</v>
      </c>
      <c r="U457" s="28">
        <v>3</v>
      </c>
      <c r="V457" s="28">
        <v>28</v>
      </c>
      <c r="W457" s="28">
        <v>31</v>
      </c>
      <c r="X457" s="44">
        <f>AVERAGE(INDEX($W:$W,MAX(ROW($W$3),ROW()-23)):INDEX($W:$W,ROW()))</f>
        <v>80.291666666666671</v>
      </c>
      <c r="Y457" s="44">
        <f>_xlfn.STDEV.S(INDEX($W:$W,MAX(ROW($W$3),ROW()-23)):INDEX($W:$W,ROW()))</f>
        <v>69.294882907047693</v>
      </c>
      <c r="Z457" s="44">
        <f t="shared" si="44"/>
        <v>-0.71133198583778001</v>
      </c>
      <c r="AA457" s="40" t="b">
        <f t="shared" si="42"/>
        <v>0</v>
      </c>
    </row>
    <row r="458" spans="1:27" x14ac:dyDescent="0.3">
      <c r="A458" s="32">
        <v>456</v>
      </c>
      <c r="B458" s="33">
        <v>40564</v>
      </c>
      <c r="C458" s="40" t="str">
        <f t="shared" si="45"/>
        <v>Friday</v>
      </c>
      <c r="D458" s="28">
        <v>0</v>
      </c>
      <c r="E458" s="40" t="str" cm="1">
        <f t="array" ref="E458">_xlfn.IFS(D458&gt;=21,"Night",D458&gt;=17,"Evening",D458&gt;=12,"Midday",D458&gt;=6,"Morning", TRUE, "Night")</f>
        <v>Night</v>
      </c>
      <c r="F458" s="28">
        <v>1</v>
      </c>
      <c r="G458" s="28">
        <v>0</v>
      </c>
      <c r="H458" s="28">
        <v>1</v>
      </c>
      <c r="I458" s="28">
        <v>5</v>
      </c>
      <c r="J458" s="40" t="str">
        <f t="shared" si="46"/>
        <v>Weekday</v>
      </c>
      <c r="K458" s="28" t="b">
        <v>0</v>
      </c>
      <c r="L458" s="28">
        <v>2</v>
      </c>
      <c r="M458" s="40" t="str" cm="1">
        <f t="array" ref="M458">_xlfn.IFS(L458=1,"Clear / Partly Cloudy",L458=2,"Mist / Cloudy",L458=3,"Light Snow / Rain",L458=4,"Heavy Precipitation")</f>
        <v>Mist / Cloudy</v>
      </c>
      <c r="N458" s="28">
        <v>0.24</v>
      </c>
      <c r="O458" s="28" t="str">
        <f t="shared" si="47"/>
        <v>Mild</v>
      </c>
      <c r="P458" s="28">
        <v>0.2273</v>
      </c>
      <c r="Q458" s="38">
        <f t="shared" si="43"/>
        <v>0.2273</v>
      </c>
      <c r="R458" s="28">
        <v>0.7</v>
      </c>
      <c r="S458" s="28">
        <v>0.25369999999999998</v>
      </c>
      <c r="T458" s="40" t="str" cm="1">
        <f t="array" ref="T458">_xlfn.IFS(S458*18.6&lt;2,"Calm",S458*18.6&lt;6,"Light Breeze",S458*18.6&lt;14,"Gale",TRUE,"Extreme Storm")</f>
        <v>Light Breeze</v>
      </c>
      <c r="U458" s="28">
        <v>1</v>
      </c>
      <c r="V458" s="28">
        <v>20</v>
      </c>
      <c r="W458" s="28">
        <v>21</v>
      </c>
      <c r="X458" s="44">
        <f>AVERAGE(INDEX($W:$W,MAX(ROW($W$3),ROW()-23)):INDEX($W:$W,ROW()))</f>
        <v>80.625</v>
      </c>
      <c r="Y458" s="44">
        <f>_xlfn.STDEV.S(INDEX($W:$W,MAX(ROW($W$3),ROW()-23)):INDEX($W:$W,ROW()))</f>
        <v>68.975617935363346</v>
      </c>
      <c r="Z458" s="44">
        <f t="shared" si="44"/>
        <v>-0.86443589466460802</v>
      </c>
      <c r="AA458" s="40" t="b">
        <f t="shared" si="42"/>
        <v>0</v>
      </c>
    </row>
    <row r="459" spans="1:27" x14ac:dyDescent="0.3">
      <c r="A459" s="32">
        <v>457</v>
      </c>
      <c r="B459" s="33">
        <v>40564</v>
      </c>
      <c r="C459" s="40" t="str">
        <f t="shared" si="45"/>
        <v>Friday</v>
      </c>
      <c r="D459" s="28">
        <v>1</v>
      </c>
      <c r="E459" s="40" t="str" cm="1">
        <f t="array" ref="E459">_xlfn.IFS(D459&gt;=21,"Night",D459&gt;=17,"Evening",D459&gt;=12,"Midday",D459&gt;=6,"Morning", TRUE, "Night")</f>
        <v>Night</v>
      </c>
      <c r="F459" s="28">
        <v>1</v>
      </c>
      <c r="G459" s="28">
        <v>0</v>
      </c>
      <c r="H459" s="28">
        <v>1</v>
      </c>
      <c r="I459" s="28">
        <v>5</v>
      </c>
      <c r="J459" s="40" t="str">
        <f t="shared" si="46"/>
        <v>Weekday</v>
      </c>
      <c r="K459" s="28" t="b">
        <v>0</v>
      </c>
      <c r="L459" s="28">
        <v>2</v>
      </c>
      <c r="M459" s="40" t="str" cm="1">
        <f t="array" ref="M459">_xlfn.IFS(L459=1,"Clear / Partly Cloudy",L459=2,"Mist / Cloudy",L459=3,"Light Snow / Rain",L459=4,"Heavy Precipitation")</f>
        <v>Mist / Cloudy</v>
      </c>
      <c r="N459" s="28">
        <v>0.24</v>
      </c>
      <c r="O459" s="28" t="str">
        <f t="shared" si="47"/>
        <v>Mild</v>
      </c>
      <c r="P459" s="28">
        <v>0.2273</v>
      </c>
      <c r="Q459" s="38">
        <f t="shared" si="43"/>
        <v>0.2273</v>
      </c>
      <c r="R459" s="28">
        <v>0.7</v>
      </c>
      <c r="S459" s="28">
        <v>0.25369999999999998</v>
      </c>
      <c r="T459" s="40" t="str" cm="1">
        <f t="array" ref="T459">_xlfn.IFS(S459*18.6&lt;2,"Calm",S459*18.6&lt;6,"Light Breeze",S459*18.6&lt;14,"Gale",TRUE,"Extreme Storm")</f>
        <v>Light Breeze</v>
      </c>
      <c r="U459" s="28">
        <v>0</v>
      </c>
      <c r="V459" s="28">
        <v>6</v>
      </c>
      <c r="W459" s="28">
        <v>6</v>
      </c>
      <c r="X459" s="44">
        <f>AVERAGE(INDEX($W:$W,MAX(ROW($W$3),ROW()-23)):INDEX($W:$W,ROW()))</f>
        <v>80.666666666666671</v>
      </c>
      <c r="Y459" s="44">
        <f>_xlfn.STDEV.S(INDEX($W:$W,MAX(ROW($W$3),ROW()-23)):INDEX($W:$W,ROW()))</f>
        <v>68.92823405017252</v>
      </c>
      <c r="Z459" s="44">
        <f t="shared" si="44"/>
        <v>-1.0832522796437405</v>
      </c>
      <c r="AA459" s="40" t="b">
        <f t="shared" si="42"/>
        <v>0</v>
      </c>
    </row>
    <row r="460" spans="1:27" x14ac:dyDescent="0.3">
      <c r="A460" s="32">
        <v>458</v>
      </c>
      <c r="B460" s="33">
        <v>40564</v>
      </c>
      <c r="C460" s="40" t="str">
        <f t="shared" si="45"/>
        <v>Friday</v>
      </c>
      <c r="D460" s="28">
        <v>2</v>
      </c>
      <c r="E460" s="40" t="str" cm="1">
        <f t="array" ref="E460">_xlfn.IFS(D460&gt;=21,"Night",D460&gt;=17,"Evening",D460&gt;=12,"Midday",D460&gt;=6,"Morning", TRUE, "Night")</f>
        <v>Night</v>
      </c>
      <c r="F460" s="28">
        <v>1</v>
      </c>
      <c r="G460" s="28">
        <v>0</v>
      </c>
      <c r="H460" s="28">
        <v>1</v>
      </c>
      <c r="I460" s="28">
        <v>5</v>
      </c>
      <c r="J460" s="40" t="str">
        <f t="shared" si="46"/>
        <v>Weekday</v>
      </c>
      <c r="K460" s="28" t="b">
        <v>0</v>
      </c>
      <c r="L460" s="28">
        <v>3</v>
      </c>
      <c r="M460" s="40" t="str" cm="1">
        <f t="array" ref="M460">_xlfn.IFS(L460=1,"Clear / Partly Cloudy",L460=2,"Mist / Cloudy",L460=3,"Light Snow / Rain",L460=4,"Heavy Precipitation")</f>
        <v>Light Snow / Rain</v>
      </c>
      <c r="N460" s="28">
        <v>0.24</v>
      </c>
      <c r="O460" s="28" t="str">
        <f t="shared" si="47"/>
        <v>Mild</v>
      </c>
      <c r="P460" s="28">
        <v>0.2424</v>
      </c>
      <c r="Q460" s="38">
        <f t="shared" si="43"/>
        <v>0.2424</v>
      </c>
      <c r="R460" s="28">
        <v>0.75</v>
      </c>
      <c r="S460" s="28">
        <v>0.16420000000000001</v>
      </c>
      <c r="T460" s="40" t="str" cm="1">
        <f t="array" ref="T460">_xlfn.IFS(S460*18.6&lt;2,"Calm",S460*18.6&lt;6,"Light Breeze",S460*18.6&lt;14,"Gale",TRUE,"Extreme Storm")</f>
        <v>Light Breeze</v>
      </c>
      <c r="U460" s="28">
        <v>0</v>
      </c>
      <c r="V460" s="28">
        <v>2</v>
      </c>
      <c r="W460" s="28">
        <v>2</v>
      </c>
      <c r="X460" s="44">
        <f>AVERAGE(INDEX($W:$W,MAX(ROW($W$3),ROW()-23)):INDEX($W:$W,ROW()))</f>
        <v>80.666666666666671</v>
      </c>
      <c r="Y460" s="44">
        <f>_xlfn.STDEV.S(INDEX($W:$W,MAX(ROW($W$3),ROW()-23)):INDEX($W:$W,ROW()))</f>
        <v>68.92823405017252</v>
      </c>
      <c r="Z460" s="44">
        <f t="shared" si="44"/>
        <v>-1.1412836517675122</v>
      </c>
      <c r="AA460" s="40" t="b">
        <f t="shared" si="42"/>
        <v>0</v>
      </c>
    </row>
    <row r="461" spans="1:27" x14ac:dyDescent="0.3">
      <c r="A461" s="32">
        <v>459</v>
      </c>
      <c r="B461" s="33">
        <v>40564</v>
      </c>
      <c r="C461" s="40" t="str">
        <f t="shared" si="45"/>
        <v>Friday</v>
      </c>
      <c r="D461" s="28">
        <v>3</v>
      </c>
      <c r="E461" s="40" t="str" cm="1">
        <f t="array" ref="E461">_xlfn.IFS(D461&gt;=21,"Night",D461&gt;=17,"Evening",D461&gt;=12,"Midday",D461&gt;=6,"Morning", TRUE, "Night")</f>
        <v>Night</v>
      </c>
      <c r="F461" s="28">
        <v>1</v>
      </c>
      <c r="G461" s="28">
        <v>0</v>
      </c>
      <c r="H461" s="28">
        <v>1</v>
      </c>
      <c r="I461" s="28">
        <v>5</v>
      </c>
      <c r="J461" s="40" t="str">
        <f t="shared" si="46"/>
        <v>Weekday</v>
      </c>
      <c r="K461" s="28" t="b">
        <v>0</v>
      </c>
      <c r="L461" s="28">
        <v>3</v>
      </c>
      <c r="M461" s="40" t="str" cm="1">
        <f t="array" ref="M461">_xlfn.IFS(L461=1,"Clear / Partly Cloudy",L461=2,"Mist / Cloudy",L461=3,"Light Snow / Rain",L461=4,"Heavy Precipitation")</f>
        <v>Light Snow / Rain</v>
      </c>
      <c r="N461" s="28">
        <v>0.22</v>
      </c>
      <c r="O461" s="28" t="str">
        <f t="shared" si="47"/>
        <v>Mild</v>
      </c>
      <c r="P461" s="28">
        <v>0.21210000000000001</v>
      </c>
      <c r="Q461" s="38">
        <f t="shared" si="43"/>
        <v>0.21210000000000001</v>
      </c>
      <c r="R461" s="28">
        <v>0.8</v>
      </c>
      <c r="S461" s="28">
        <v>0.29849999999999999</v>
      </c>
      <c r="T461" s="40" t="str" cm="1">
        <f t="array" ref="T461">_xlfn.IFS(S461*18.6&lt;2,"Calm",S461*18.6&lt;6,"Light Breeze",S461*18.6&lt;14,"Gale",TRUE,"Extreme Storm")</f>
        <v>Light Breeze</v>
      </c>
      <c r="U461" s="28">
        <v>0</v>
      </c>
      <c r="V461" s="28">
        <v>1</v>
      </c>
      <c r="W461" s="28">
        <v>1</v>
      </c>
      <c r="X461" s="44">
        <f>AVERAGE(INDEX($W:$W,MAX(ROW($W$3),ROW()-23)):INDEX($W:$W,ROW()))</f>
        <v>80.666666666666671</v>
      </c>
      <c r="Y461" s="44">
        <f>_xlfn.STDEV.S(INDEX($W:$W,MAX(ROW($W$3),ROW()-23)):INDEX($W:$W,ROW()))</f>
        <v>68.92823405017252</v>
      </c>
      <c r="Z461" s="44">
        <f t="shared" si="44"/>
        <v>-1.1557914947984551</v>
      </c>
      <c r="AA461" s="40" t="b">
        <f t="shared" si="42"/>
        <v>0</v>
      </c>
    </row>
    <row r="462" spans="1:27" x14ac:dyDescent="0.3">
      <c r="A462" s="32">
        <v>460</v>
      </c>
      <c r="B462" s="33">
        <v>40564</v>
      </c>
      <c r="C462" s="40" t="str">
        <f t="shared" si="45"/>
        <v>Friday</v>
      </c>
      <c r="D462" s="28">
        <v>4</v>
      </c>
      <c r="E462" s="40" t="str" cm="1">
        <f t="array" ref="E462">_xlfn.IFS(D462&gt;=21,"Night",D462&gt;=17,"Evening",D462&gt;=12,"Midday",D462&gt;=6,"Morning", TRUE, "Night")</f>
        <v>Night</v>
      </c>
      <c r="F462" s="28">
        <v>1</v>
      </c>
      <c r="G462" s="28">
        <v>0</v>
      </c>
      <c r="H462" s="28">
        <v>1</v>
      </c>
      <c r="I462" s="28">
        <v>5</v>
      </c>
      <c r="J462" s="40" t="str">
        <f t="shared" si="46"/>
        <v>Weekday</v>
      </c>
      <c r="K462" s="28" t="b">
        <v>0</v>
      </c>
      <c r="L462" s="28">
        <v>2</v>
      </c>
      <c r="M462" s="40" t="str" cm="1">
        <f t="array" ref="M462">_xlfn.IFS(L462=1,"Clear / Partly Cloudy",L462=2,"Mist / Cloudy",L462=3,"Light Snow / Rain",L462=4,"Heavy Precipitation")</f>
        <v>Mist / Cloudy</v>
      </c>
      <c r="N462" s="28">
        <v>0.22</v>
      </c>
      <c r="O462" s="28" t="str">
        <f t="shared" si="47"/>
        <v>Mild</v>
      </c>
      <c r="P462" s="28">
        <v>0.2576</v>
      </c>
      <c r="Q462" s="38">
        <f t="shared" si="43"/>
        <v>0.2576</v>
      </c>
      <c r="R462" s="28">
        <v>0.87</v>
      </c>
      <c r="S462" s="28">
        <v>8.9599999999999999E-2</v>
      </c>
      <c r="T462" s="40" t="str" cm="1">
        <f t="array" ref="T462">_xlfn.IFS(S462*18.6&lt;2,"Calm",S462*18.6&lt;6,"Light Breeze",S462*18.6&lt;14,"Gale",TRUE,"Extreme Storm")</f>
        <v>Calm</v>
      </c>
      <c r="U462" s="28">
        <v>0</v>
      </c>
      <c r="V462" s="28">
        <v>1</v>
      </c>
      <c r="W462" s="28">
        <v>1</v>
      </c>
      <c r="X462" s="44">
        <f>AVERAGE(INDEX($W:$W,MAX(ROW($W$3),ROW()-23)):INDEX($W:$W,ROW()))</f>
        <v>80.666666666666671</v>
      </c>
      <c r="Y462" s="44">
        <f>_xlfn.STDEV.S(INDEX($W:$W,MAX(ROW($W$3),ROW()-23)):INDEX($W:$W,ROW()))</f>
        <v>68.92823405017252</v>
      </c>
      <c r="Z462" s="44">
        <f t="shared" si="44"/>
        <v>-1.1557914947984551</v>
      </c>
      <c r="AA462" s="40" t="b">
        <f t="shared" si="42"/>
        <v>0</v>
      </c>
    </row>
    <row r="463" spans="1:27" x14ac:dyDescent="0.3">
      <c r="A463" s="32">
        <v>461</v>
      </c>
      <c r="B463" s="33">
        <v>40564</v>
      </c>
      <c r="C463" s="40" t="str">
        <f t="shared" si="45"/>
        <v>Friday</v>
      </c>
      <c r="D463" s="28">
        <v>5</v>
      </c>
      <c r="E463" s="40" t="str" cm="1">
        <f t="array" ref="E463">_xlfn.IFS(D463&gt;=21,"Night",D463&gt;=17,"Evening",D463&gt;=12,"Midday",D463&gt;=6,"Morning", TRUE, "Night")</f>
        <v>Night</v>
      </c>
      <c r="F463" s="28">
        <v>1</v>
      </c>
      <c r="G463" s="28">
        <v>0</v>
      </c>
      <c r="H463" s="28">
        <v>1</v>
      </c>
      <c r="I463" s="28">
        <v>5</v>
      </c>
      <c r="J463" s="40" t="str">
        <f t="shared" si="46"/>
        <v>Weekday</v>
      </c>
      <c r="K463" s="28" t="b">
        <v>0</v>
      </c>
      <c r="L463" s="28">
        <v>1</v>
      </c>
      <c r="M463" s="40" t="str" cm="1">
        <f t="array" ref="M463">_xlfn.IFS(L463=1,"Clear / Partly Cloudy",L463=2,"Mist / Cloudy",L463=3,"Light Snow / Rain",L463=4,"Heavy Precipitation")</f>
        <v>Clear / Partly Cloudy</v>
      </c>
      <c r="N463" s="28">
        <v>0.24</v>
      </c>
      <c r="O463" s="28" t="str">
        <f t="shared" si="47"/>
        <v>Mild</v>
      </c>
      <c r="P463" s="28">
        <v>0.19700000000000001</v>
      </c>
      <c r="Q463" s="38">
        <f t="shared" si="43"/>
        <v>0.19700000000000001</v>
      </c>
      <c r="R463" s="28">
        <v>0.6</v>
      </c>
      <c r="S463" s="28">
        <v>0.41789999999999999</v>
      </c>
      <c r="T463" s="40" t="str" cm="1">
        <f t="array" ref="T463">_xlfn.IFS(S463*18.6&lt;2,"Calm",S463*18.6&lt;6,"Light Breeze",S463*18.6&lt;14,"Gale",TRUE,"Extreme Storm")</f>
        <v>Gale</v>
      </c>
      <c r="U463" s="28">
        <v>1</v>
      </c>
      <c r="V463" s="28">
        <v>4</v>
      </c>
      <c r="W463" s="28">
        <v>5</v>
      </c>
      <c r="X463" s="44">
        <f>AVERAGE(INDEX($W:$W,MAX(ROW($W$3),ROW()-23)):INDEX($W:$W,ROW()))</f>
        <v>80.625</v>
      </c>
      <c r="Y463" s="44">
        <f>_xlfn.STDEV.S(INDEX($W:$W,MAX(ROW($W$3),ROW()-23)):INDEX($W:$W,ROW()))</f>
        <v>68.975617935363346</v>
      </c>
      <c r="Z463" s="44">
        <f t="shared" si="44"/>
        <v>-1.0964019209058447</v>
      </c>
      <c r="AA463" s="40" t="b">
        <f t="shared" si="42"/>
        <v>0</v>
      </c>
    </row>
    <row r="464" spans="1:27" x14ac:dyDescent="0.3">
      <c r="A464" s="32">
        <v>462</v>
      </c>
      <c r="B464" s="33">
        <v>40564</v>
      </c>
      <c r="C464" s="40" t="str">
        <f t="shared" si="45"/>
        <v>Friday</v>
      </c>
      <c r="D464" s="28">
        <v>6</v>
      </c>
      <c r="E464" s="40" t="str" cm="1">
        <f t="array" ref="E464">_xlfn.IFS(D464&gt;=21,"Night",D464&gt;=17,"Evening",D464&gt;=12,"Midday",D464&gt;=6,"Morning", TRUE, "Night")</f>
        <v>Morning</v>
      </c>
      <c r="F464" s="28">
        <v>1</v>
      </c>
      <c r="G464" s="28">
        <v>0</v>
      </c>
      <c r="H464" s="28">
        <v>1</v>
      </c>
      <c r="I464" s="28">
        <v>5</v>
      </c>
      <c r="J464" s="40" t="str">
        <f t="shared" si="46"/>
        <v>Weekday</v>
      </c>
      <c r="K464" s="28" t="b">
        <v>0</v>
      </c>
      <c r="L464" s="28">
        <v>1</v>
      </c>
      <c r="M464" s="40" t="str" cm="1">
        <f t="array" ref="M464">_xlfn.IFS(L464=1,"Clear / Partly Cloudy",L464=2,"Mist / Cloudy",L464=3,"Light Snow / Rain",L464=4,"Heavy Precipitation")</f>
        <v>Clear / Partly Cloudy</v>
      </c>
      <c r="N464" s="28">
        <v>0.22</v>
      </c>
      <c r="O464" s="28" t="str">
        <f t="shared" si="47"/>
        <v>Mild</v>
      </c>
      <c r="P464" s="28">
        <v>0.21210000000000001</v>
      </c>
      <c r="Q464" s="38">
        <f t="shared" si="43"/>
        <v>0.21210000000000001</v>
      </c>
      <c r="R464" s="28">
        <v>0.55000000000000004</v>
      </c>
      <c r="S464" s="28">
        <v>0.25369999999999998</v>
      </c>
      <c r="T464" s="40" t="str" cm="1">
        <f t="array" ref="T464">_xlfn.IFS(S464*18.6&lt;2,"Calm",S464*18.6&lt;6,"Light Breeze",S464*18.6&lt;14,"Gale",TRUE,"Extreme Storm")</f>
        <v>Light Breeze</v>
      </c>
      <c r="U464" s="28">
        <v>0</v>
      </c>
      <c r="V464" s="28">
        <v>27</v>
      </c>
      <c r="W464" s="28">
        <v>27</v>
      </c>
      <c r="X464" s="44">
        <f>AVERAGE(INDEX($W:$W,MAX(ROW($W$3),ROW()-23)):INDEX($W:$W,ROW()))</f>
        <v>80.291666666666671</v>
      </c>
      <c r="Y464" s="44">
        <f>_xlfn.STDEV.S(INDEX($W:$W,MAX(ROW($W$3),ROW()-23)):INDEX($W:$W,ROW()))</f>
        <v>69.224574153017855</v>
      </c>
      <c r="Z464" s="44">
        <f t="shared" si="44"/>
        <v>-0.76983740700040715</v>
      </c>
      <c r="AA464" s="40" t="b">
        <f t="shared" si="42"/>
        <v>0</v>
      </c>
    </row>
    <row r="465" spans="1:27" x14ac:dyDescent="0.3">
      <c r="A465" s="32">
        <v>463</v>
      </c>
      <c r="B465" s="33">
        <v>40564</v>
      </c>
      <c r="C465" s="40" t="str">
        <f t="shared" si="45"/>
        <v>Friday</v>
      </c>
      <c r="D465" s="28">
        <v>7</v>
      </c>
      <c r="E465" s="40" t="str" cm="1">
        <f t="array" ref="E465">_xlfn.IFS(D465&gt;=21,"Night",D465&gt;=17,"Evening",D465&gt;=12,"Midday",D465&gt;=6,"Morning", TRUE, "Night")</f>
        <v>Morning</v>
      </c>
      <c r="F465" s="28">
        <v>1</v>
      </c>
      <c r="G465" s="28">
        <v>0</v>
      </c>
      <c r="H465" s="28">
        <v>1</v>
      </c>
      <c r="I465" s="28">
        <v>5</v>
      </c>
      <c r="J465" s="40" t="str">
        <f t="shared" si="46"/>
        <v>Weekday</v>
      </c>
      <c r="K465" s="28" t="b">
        <v>0</v>
      </c>
      <c r="L465" s="28">
        <v>1</v>
      </c>
      <c r="M465" s="40" t="str" cm="1">
        <f t="array" ref="M465">_xlfn.IFS(L465=1,"Clear / Partly Cloudy",L465=2,"Mist / Cloudy",L465=3,"Light Snow / Rain",L465=4,"Heavy Precipitation")</f>
        <v>Clear / Partly Cloudy</v>
      </c>
      <c r="N465" s="28">
        <v>0.2</v>
      </c>
      <c r="O465" s="28" t="str">
        <f t="shared" si="47"/>
        <v>Mild</v>
      </c>
      <c r="P465" s="28">
        <v>0.18179999999999999</v>
      </c>
      <c r="Q465" s="38">
        <f t="shared" si="43"/>
        <v>0.18179999999999999</v>
      </c>
      <c r="R465" s="28">
        <v>0.51</v>
      </c>
      <c r="S465" s="28">
        <v>0.28360000000000002</v>
      </c>
      <c r="T465" s="40" t="str" cm="1">
        <f t="array" ref="T465">_xlfn.IFS(S465*18.6&lt;2,"Calm",S465*18.6&lt;6,"Light Breeze",S465*18.6&lt;14,"Gale",TRUE,"Extreme Storm")</f>
        <v>Light Breeze</v>
      </c>
      <c r="U465" s="28">
        <v>2</v>
      </c>
      <c r="V465" s="28">
        <v>66</v>
      </c>
      <c r="W465" s="28">
        <v>68</v>
      </c>
      <c r="X465" s="44">
        <f>AVERAGE(INDEX($W:$W,MAX(ROW($W$3),ROW()-23)):INDEX($W:$W,ROW()))</f>
        <v>78.916666666666671</v>
      </c>
      <c r="Y465" s="44">
        <f>_xlfn.STDEV.S(INDEX($W:$W,MAX(ROW($W$3),ROW()-23)):INDEX($W:$W,ROW()))</f>
        <v>69.123026218642863</v>
      </c>
      <c r="Z465" s="44">
        <f t="shared" si="44"/>
        <v>-0.15793097125314207</v>
      </c>
      <c r="AA465" s="40" t="b">
        <f t="shared" si="42"/>
        <v>0</v>
      </c>
    </row>
    <row r="466" spans="1:27" x14ac:dyDescent="0.3">
      <c r="A466" s="32">
        <v>464</v>
      </c>
      <c r="B466" s="33">
        <v>40564</v>
      </c>
      <c r="C466" s="40" t="str">
        <f t="shared" si="45"/>
        <v>Friday</v>
      </c>
      <c r="D466" s="28">
        <v>8</v>
      </c>
      <c r="E466" s="40" t="str" cm="1">
        <f t="array" ref="E466">_xlfn.IFS(D466&gt;=21,"Night",D466&gt;=17,"Evening",D466&gt;=12,"Midday",D466&gt;=6,"Morning", TRUE, "Night")</f>
        <v>Morning</v>
      </c>
      <c r="F466" s="28">
        <v>1</v>
      </c>
      <c r="G466" s="28">
        <v>0</v>
      </c>
      <c r="H466" s="28">
        <v>1</v>
      </c>
      <c r="I466" s="28">
        <v>5</v>
      </c>
      <c r="J466" s="40" t="str">
        <f t="shared" si="46"/>
        <v>Weekday</v>
      </c>
      <c r="K466" s="28" t="b">
        <v>0</v>
      </c>
      <c r="L466" s="28">
        <v>1</v>
      </c>
      <c r="M466" s="40" t="str" cm="1">
        <f t="array" ref="M466">_xlfn.IFS(L466=1,"Clear / Partly Cloudy",L466=2,"Mist / Cloudy",L466=3,"Light Snow / Rain",L466=4,"Heavy Precipitation")</f>
        <v>Clear / Partly Cloudy</v>
      </c>
      <c r="N466" s="28">
        <v>0.2</v>
      </c>
      <c r="O466" s="28" t="str">
        <f t="shared" si="47"/>
        <v>Mild</v>
      </c>
      <c r="P466" s="28">
        <v>0.18179999999999999</v>
      </c>
      <c r="Q466" s="38">
        <f t="shared" si="43"/>
        <v>0.18179999999999999</v>
      </c>
      <c r="R466" s="28">
        <v>0.47</v>
      </c>
      <c r="S466" s="28">
        <v>0.32840000000000003</v>
      </c>
      <c r="T466" s="40" t="str" cm="1">
        <f t="array" ref="T466">_xlfn.IFS(S466*18.6&lt;2,"Calm",S466*18.6&lt;6,"Light Breeze",S466*18.6&lt;14,"Gale",TRUE,"Extreme Storm")</f>
        <v>Gale</v>
      </c>
      <c r="U466" s="28">
        <v>7</v>
      </c>
      <c r="V466" s="28">
        <v>210</v>
      </c>
      <c r="W466" s="28">
        <v>217</v>
      </c>
      <c r="X466" s="44">
        <f>AVERAGE(INDEX($W:$W,MAX(ROW($W$3),ROW()-23)):INDEX($W:$W,ROW()))</f>
        <v>77.583333333333329</v>
      </c>
      <c r="Y466" s="44">
        <f>_xlfn.STDEV.S(INDEX($W:$W,MAX(ROW($W$3),ROW()-23)):INDEX($W:$W,ROW()))</f>
        <v>65.93469540364174</v>
      </c>
      <c r="Z466" s="44">
        <f t="shared" si="44"/>
        <v>2.1144659243995894</v>
      </c>
      <c r="AA466" s="40" t="b">
        <f t="shared" si="42"/>
        <v>0</v>
      </c>
    </row>
    <row r="467" spans="1:27" x14ac:dyDescent="0.3">
      <c r="A467" s="32">
        <v>465</v>
      </c>
      <c r="B467" s="33">
        <v>40564</v>
      </c>
      <c r="C467" s="40" t="str">
        <f t="shared" si="45"/>
        <v>Friday</v>
      </c>
      <c r="D467" s="28">
        <v>9</v>
      </c>
      <c r="E467" s="40" t="str" cm="1">
        <f t="array" ref="E467">_xlfn.IFS(D467&gt;=21,"Night",D467&gt;=17,"Evening",D467&gt;=12,"Midday",D467&gt;=6,"Morning", TRUE, "Night")</f>
        <v>Morning</v>
      </c>
      <c r="F467" s="28">
        <v>1</v>
      </c>
      <c r="G467" s="28">
        <v>0</v>
      </c>
      <c r="H467" s="28">
        <v>1</v>
      </c>
      <c r="I467" s="28">
        <v>5</v>
      </c>
      <c r="J467" s="40" t="str">
        <f t="shared" si="46"/>
        <v>Weekday</v>
      </c>
      <c r="K467" s="28" t="b">
        <v>0</v>
      </c>
      <c r="L467" s="28">
        <v>1</v>
      </c>
      <c r="M467" s="40" t="str" cm="1">
        <f t="array" ref="M467">_xlfn.IFS(L467=1,"Clear / Partly Cloudy",L467=2,"Mist / Cloudy",L467=3,"Light Snow / Rain",L467=4,"Heavy Precipitation")</f>
        <v>Clear / Partly Cloudy</v>
      </c>
      <c r="N467" s="28">
        <v>0.2</v>
      </c>
      <c r="O467" s="28" t="str">
        <f t="shared" si="47"/>
        <v>Mild</v>
      </c>
      <c r="P467" s="28">
        <v>0.18179999999999999</v>
      </c>
      <c r="Q467" s="38">
        <f t="shared" si="43"/>
        <v>0.18179999999999999</v>
      </c>
      <c r="R467" s="28">
        <v>0.51</v>
      </c>
      <c r="S467" s="28">
        <v>0.35820000000000002</v>
      </c>
      <c r="T467" s="40" t="str" cm="1">
        <f t="array" ref="T467">_xlfn.IFS(S467*18.6&lt;2,"Calm",S467*18.6&lt;6,"Light Breeze",S467*18.6&lt;14,"Gale",TRUE,"Extreme Storm")</f>
        <v>Gale</v>
      </c>
      <c r="U467" s="28">
        <v>7</v>
      </c>
      <c r="V467" s="28">
        <v>159</v>
      </c>
      <c r="W467" s="28">
        <v>166</v>
      </c>
      <c r="X467" s="44">
        <f>AVERAGE(INDEX($W:$W,MAX(ROW($W$3),ROW()-23)):INDEX($W:$W,ROW()))</f>
        <v>78.541666666666671</v>
      </c>
      <c r="Y467" s="44">
        <f>_xlfn.STDEV.S(INDEX($W:$W,MAX(ROW($W$3),ROW()-23)):INDEX($W:$W,ROW()))</f>
        <v>67.083970201315722</v>
      </c>
      <c r="Z467" s="44">
        <f t="shared" si="44"/>
        <v>1.303714331022376</v>
      </c>
      <c r="AA467" s="40" t="b">
        <f t="shared" si="42"/>
        <v>0</v>
      </c>
    </row>
    <row r="468" spans="1:27" x14ac:dyDescent="0.3">
      <c r="A468" s="32">
        <v>466</v>
      </c>
      <c r="B468" s="33">
        <v>40564</v>
      </c>
      <c r="C468" s="40" t="str">
        <f t="shared" si="45"/>
        <v>Friday</v>
      </c>
      <c r="D468" s="28">
        <v>10</v>
      </c>
      <c r="E468" s="40" t="str" cm="1">
        <f t="array" ref="E468">_xlfn.IFS(D468&gt;=21,"Night",D468&gt;=17,"Evening",D468&gt;=12,"Midday",D468&gt;=6,"Morning", TRUE, "Night")</f>
        <v>Morning</v>
      </c>
      <c r="F468" s="28">
        <v>1</v>
      </c>
      <c r="G468" s="28">
        <v>0</v>
      </c>
      <c r="H468" s="28">
        <v>1</v>
      </c>
      <c r="I468" s="28">
        <v>5</v>
      </c>
      <c r="J468" s="40" t="str">
        <f t="shared" si="46"/>
        <v>Weekday</v>
      </c>
      <c r="K468" s="28" t="b">
        <v>0</v>
      </c>
      <c r="L468" s="28">
        <v>1</v>
      </c>
      <c r="M468" s="40" t="str" cm="1">
        <f t="array" ref="M468">_xlfn.IFS(L468=1,"Clear / Partly Cloudy",L468=2,"Mist / Cloudy",L468=3,"Light Snow / Rain",L468=4,"Heavy Precipitation")</f>
        <v>Clear / Partly Cloudy</v>
      </c>
      <c r="N468" s="28">
        <v>0.2</v>
      </c>
      <c r="O468" s="28" t="str">
        <f t="shared" si="47"/>
        <v>Mild</v>
      </c>
      <c r="P468" s="28">
        <v>0.16669999999999999</v>
      </c>
      <c r="Q468" s="38">
        <f t="shared" si="43"/>
        <v>0.16669999999999999</v>
      </c>
      <c r="R468" s="28">
        <v>0.47</v>
      </c>
      <c r="S468" s="28">
        <v>0.4627</v>
      </c>
      <c r="T468" s="40" t="str" cm="1">
        <f t="array" ref="T468">_xlfn.IFS(S468*18.6&lt;2,"Calm",S468*18.6&lt;6,"Light Breeze",S468*18.6&lt;14,"Gale",TRUE,"Extreme Storm")</f>
        <v>Gale</v>
      </c>
      <c r="U468" s="28">
        <v>6</v>
      </c>
      <c r="V468" s="28">
        <v>57</v>
      </c>
      <c r="W468" s="28">
        <v>63</v>
      </c>
      <c r="X468" s="44">
        <f>AVERAGE(INDEX($W:$W,MAX(ROW($W$3),ROW()-23)):INDEX($W:$W,ROW()))</f>
        <v>78.791666666666671</v>
      </c>
      <c r="Y468" s="44">
        <f>_xlfn.STDEV.S(INDEX($W:$W,MAX(ROW($W$3),ROW()-23)):INDEX($W:$W,ROW()))</f>
        <v>67.011341782837263</v>
      </c>
      <c r="Z468" s="44">
        <f t="shared" si="44"/>
        <v>-0.23565662537906656</v>
      </c>
      <c r="AA468" s="40" t="b">
        <f t="shared" si="42"/>
        <v>0</v>
      </c>
    </row>
    <row r="469" spans="1:27" x14ac:dyDescent="0.3">
      <c r="A469" s="32">
        <v>467</v>
      </c>
      <c r="B469" s="33">
        <v>40564</v>
      </c>
      <c r="C469" s="40" t="str">
        <f t="shared" si="45"/>
        <v>Friday</v>
      </c>
      <c r="D469" s="28">
        <v>11</v>
      </c>
      <c r="E469" s="40" t="str" cm="1">
        <f t="array" ref="E469">_xlfn.IFS(D469&gt;=21,"Night",D469&gt;=17,"Evening",D469&gt;=12,"Midday",D469&gt;=6,"Morning", TRUE, "Night")</f>
        <v>Morning</v>
      </c>
      <c r="F469" s="28">
        <v>1</v>
      </c>
      <c r="G469" s="28">
        <v>0</v>
      </c>
      <c r="H469" s="28">
        <v>1</v>
      </c>
      <c r="I469" s="28">
        <v>5</v>
      </c>
      <c r="J469" s="40" t="str">
        <f t="shared" si="46"/>
        <v>Weekday</v>
      </c>
      <c r="K469" s="28" t="b">
        <v>0</v>
      </c>
      <c r="L469" s="28">
        <v>1</v>
      </c>
      <c r="M469" s="40" t="str" cm="1">
        <f t="array" ref="M469">_xlfn.IFS(L469=1,"Clear / Partly Cloudy",L469=2,"Mist / Cloudy",L469=3,"Light Snow / Rain",L469=4,"Heavy Precipitation")</f>
        <v>Clear / Partly Cloudy</v>
      </c>
      <c r="N469" s="28">
        <v>0.22</v>
      </c>
      <c r="O469" s="28" t="str">
        <f t="shared" si="47"/>
        <v>Mild</v>
      </c>
      <c r="P469" s="28">
        <v>0.18179999999999999</v>
      </c>
      <c r="Q469" s="38">
        <f t="shared" si="43"/>
        <v>0.18179999999999999</v>
      </c>
      <c r="R469" s="28">
        <v>0.41</v>
      </c>
      <c r="S469" s="28">
        <v>0.4627</v>
      </c>
      <c r="T469" s="40" t="str" cm="1">
        <f t="array" ref="T469">_xlfn.IFS(S469*18.6&lt;2,"Calm",S469*18.6&lt;6,"Light Breeze",S469*18.6&lt;14,"Gale",TRUE,"Extreme Storm")</f>
        <v>Gale</v>
      </c>
      <c r="U469" s="28">
        <v>6</v>
      </c>
      <c r="V469" s="28">
        <v>53</v>
      </c>
      <c r="W469" s="28">
        <v>59</v>
      </c>
      <c r="X469" s="44">
        <f>AVERAGE(INDEX($W:$W,MAX(ROW($W$3),ROW()-23)):INDEX($W:$W,ROW()))</f>
        <v>78.416666666666671</v>
      </c>
      <c r="Y469" s="44">
        <f>_xlfn.STDEV.S(INDEX($W:$W,MAX(ROW($W$3),ROW()-23)):INDEX($W:$W,ROW()))</f>
        <v>67.09948270821576</v>
      </c>
      <c r="Z469" s="44">
        <f t="shared" si="44"/>
        <v>-0.28937133168523321</v>
      </c>
      <c r="AA469" s="40" t="b">
        <f t="shared" si="42"/>
        <v>0</v>
      </c>
    </row>
    <row r="470" spans="1:27" x14ac:dyDescent="0.3">
      <c r="A470" s="32">
        <v>468</v>
      </c>
      <c r="B470" s="33">
        <v>40564</v>
      </c>
      <c r="C470" s="40" t="str">
        <f t="shared" si="45"/>
        <v>Friday</v>
      </c>
      <c r="D470" s="28">
        <v>12</v>
      </c>
      <c r="E470" s="40" t="str" cm="1">
        <f t="array" ref="E470">_xlfn.IFS(D470&gt;=21,"Night",D470&gt;=17,"Evening",D470&gt;=12,"Midday",D470&gt;=6,"Morning", TRUE, "Night")</f>
        <v>Midday</v>
      </c>
      <c r="F470" s="28">
        <v>1</v>
      </c>
      <c r="G470" s="28">
        <v>0</v>
      </c>
      <c r="H470" s="28">
        <v>1</v>
      </c>
      <c r="I470" s="28">
        <v>5</v>
      </c>
      <c r="J470" s="40" t="str">
        <f t="shared" si="46"/>
        <v>Weekday</v>
      </c>
      <c r="K470" s="28" t="b">
        <v>0</v>
      </c>
      <c r="L470" s="28">
        <v>1</v>
      </c>
      <c r="M470" s="40" t="str" cm="1">
        <f t="array" ref="M470">_xlfn.IFS(L470=1,"Clear / Partly Cloudy",L470=2,"Mist / Cloudy",L470=3,"Light Snow / Rain",L470=4,"Heavy Precipitation")</f>
        <v>Clear / Partly Cloudy</v>
      </c>
      <c r="N470" s="28">
        <v>0.22</v>
      </c>
      <c r="O470" s="28" t="str">
        <f t="shared" si="47"/>
        <v>Mild</v>
      </c>
      <c r="P470" s="28">
        <v>0.18179999999999999</v>
      </c>
      <c r="Q470" s="38">
        <f t="shared" si="43"/>
        <v>0.18179999999999999</v>
      </c>
      <c r="R470" s="28">
        <v>0.27</v>
      </c>
      <c r="S470" s="28">
        <v>0.58209999999999995</v>
      </c>
      <c r="T470" s="40" t="str" cm="1">
        <f t="array" ref="T470">_xlfn.IFS(S470*18.6&lt;2,"Calm",S470*18.6&lt;6,"Light Breeze",S470*18.6&lt;14,"Gale",TRUE,"Extreme Storm")</f>
        <v>Gale</v>
      </c>
      <c r="U470" s="28">
        <v>11</v>
      </c>
      <c r="V470" s="28">
        <v>67</v>
      </c>
      <c r="W470" s="28">
        <v>78</v>
      </c>
      <c r="X470" s="44">
        <f>AVERAGE(INDEX($W:$W,MAX(ROW($W$3),ROW()-23)):INDEX($W:$W,ROW()))</f>
        <v>78.166666666666671</v>
      </c>
      <c r="Y470" s="44">
        <f>_xlfn.STDEV.S(INDEX($W:$W,MAX(ROW($W$3),ROW()-23)):INDEX($W:$W,ROW()))</f>
        <v>67.088952415668899</v>
      </c>
      <c r="Z470" s="44">
        <f t="shared" si="44"/>
        <v>-2.4842639609877963E-3</v>
      </c>
      <c r="AA470" s="40" t="b">
        <f t="shared" si="42"/>
        <v>0</v>
      </c>
    </row>
    <row r="471" spans="1:27" x14ac:dyDescent="0.3">
      <c r="A471" s="32">
        <v>469</v>
      </c>
      <c r="B471" s="33">
        <v>40564</v>
      </c>
      <c r="C471" s="40" t="str">
        <f t="shared" si="45"/>
        <v>Friday</v>
      </c>
      <c r="D471" s="28">
        <v>13</v>
      </c>
      <c r="E471" s="40" t="str" cm="1">
        <f t="array" ref="E471">_xlfn.IFS(D471&gt;=21,"Night",D471&gt;=17,"Evening",D471&gt;=12,"Midday",D471&gt;=6,"Morning", TRUE, "Night")</f>
        <v>Midday</v>
      </c>
      <c r="F471" s="28">
        <v>1</v>
      </c>
      <c r="G471" s="28">
        <v>0</v>
      </c>
      <c r="H471" s="28">
        <v>1</v>
      </c>
      <c r="I471" s="28">
        <v>5</v>
      </c>
      <c r="J471" s="40" t="str">
        <f t="shared" si="46"/>
        <v>Weekday</v>
      </c>
      <c r="K471" s="28" t="b">
        <v>0</v>
      </c>
      <c r="L471" s="28">
        <v>1</v>
      </c>
      <c r="M471" s="40" t="str" cm="1">
        <f t="array" ref="M471">_xlfn.IFS(L471=1,"Clear / Partly Cloudy",L471=2,"Mist / Cloudy",L471=3,"Light Snow / Rain",L471=4,"Heavy Precipitation")</f>
        <v>Clear / Partly Cloudy</v>
      </c>
      <c r="N471" s="28">
        <v>0.2</v>
      </c>
      <c r="O471" s="28" t="str">
        <f t="shared" si="47"/>
        <v>Mild</v>
      </c>
      <c r="P471" s="28">
        <v>0.1515</v>
      </c>
      <c r="Q471" s="38">
        <f t="shared" si="43"/>
        <v>0.1515</v>
      </c>
      <c r="R471" s="28">
        <v>0.21</v>
      </c>
      <c r="S471" s="28">
        <v>0.58209999999999995</v>
      </c>
      <c r="T471" s="40" t="str" cm="1">
        <f t="array" ref="T471">_xlfn.IFS(S471*18.6&lt;2,"Calm",S471*18.6&lt;6,"Light Breeze",S471*18.6&lt;14,"Gale",TRUE,"Extreme Storm")</f>
        <v>Gale</v>
      </c>
      <c r="U471" s="28">
        <v>8</v>
      </c>
      <c r="V471" s="28">
        <v>65</v>
      </c>
      <c r="W471" s="28">
        <v>73</v>
      </c>
      <c r="X471" s="44">
        <f>AVERAGE(INDEX($W:$W,MAX(ROW($W$3),ROW()-23)):INDEX($W:$W,ROW()))</f>
        <v>77.125</v>
      </c>
      <c r="Y471" s="44">
        <f>_xlfn.STDEV.S(INDEX($W:$W,MAX(ROW($W$3),ROW()-23)):INDEX($W:$W,ROW()))</f>
        <v>66.961580483659176</v>
      </c>
      <c r="Z471" s="44">
        <f t="shared" si="44"/>
        <v>-6.1602488624154197E-2</v>
      </c>
      <c r="AA471" s="40" t="b">
        <f t="shared" si="42"/>
        <v>0</v>
      </c>
    </row>
    <row r="472" spans="1:27" x14ac:dyDescent="0.3">
      <c r="A472" s="32">
        <v>470</v>
      </c>
      <c r="B472" s="33">
        <v>40564</v>
      </c>
      <c r="C472" s="40" t="str">
        <f t="shared" si="45"/>
        <v>Friday</v>
      </c>
      <c r="D472" s="28">
        <v>14</v>
      </c>
      <c r="E472" s="40" t="str" cm="1">
        <f t="array" ref="E472">_xlfn.IFS(D472&gt;=21,"Night",D472&gt;=17,"Evening",D472&gt;=12,"Midday",D472&gt;=6,"Morning", TRUE, "Night")</f>
        <v>Midday</v>
      </c>
      <c r="F472" s="28">
        <v>1</v>
      </c>
      <c r="G472" s="28">
        <v>0</v>
      </c>
      <c r="H472" s="28">
        <v>1</v>
      </c>
      <c r="I472" s="28">
        <v>5</v>
      </c>
      <c r="J472" s="40" t="str">
        <f t="shared" si="46"/>
        <v>Weekday</v>
      </c>
      <c r="K472" s="28" t="b">
        <v>0</v>
      </c>
      <c r="L472" s="28">
        <v>1</v>
      </c>
      <c r="M472" s="40" t="str" cm="1">
        <f t="array" ref="M472">_xlfn.IFS(L472=1,"Clear / Partly Cloudy",L472=2,"Mist / Cloudy",L472=3,"Light Snow / Rain",L472=4,"Heavy Precipitation")</f>
        <v>Clear / Partly Cloudy</v>
      </c>
      <c r="N472" s="28">
        <v>0.2</v>
      </c>
      <c r="O472" s="28" t="str">
        <f t="shared" si="47"/>
        <v>Mild</v>
      </c>
      <c r="P472" s="28">
        <v>0.1515</v>
      </c>
      <c r="Q472" s="38">
        <f t="shared" si="43"/>
        <v>0.1515</v>
      </c>
      <c r="R472" s="28">
        <v>0.25</v>
      </c>
      <c r="S472" s="28">
        <v>0.52239999999999998</v>
      </c>
      <c r="T472" s="40" t="str" cm="1">
        <f t="array" ref="T472">_xlfn.IFS(S472*18.6&lt;2,"Calm",S472*18.6&lt;6,"Light Breeze",S472*18.6&lt;14,"Gale",TRUE,"Extreme Storm")</f>
        <v>Gale</v>
      </c>
      <c r="U472" s="28">
        <v>6</v>
      </c>
      <c r="V472" s="28">
        <v>56</v>
      </c>
      <c r="W472" s="28">
        <v>62</v>
      </c>
      <c r="X472" s="44">
        <f>AVERAGE(INDEX($W:$W,MAX(ROW($W$3),ROW()-23)):INDEX($W:$W,ROW()))</f>
        <v>76.333333333333329</v>
      </c>
      <c r="Y472" s="44">
        <f>_xlfn.STDEV.S(INDEX($W:$W,MAX(ROW($W$3),ROW()-23)):INDEX($W:$W,ROW()))</f>
        <v>67.026060257359518</v>
      </c>
      <c r="Z472" s="44">
        <f t="shared" si="44"/>
        <v>-0.21384717046321572</v>
      </c>
      <c r="AA472" s="40" t="b">
        <f t="shared" si="42"/>
        <v>0</v>
      </c>
    </row>
    <row r="473" spans="1:27" x14ac:dyDescent="0.3">
      <c r="A473" s="32">
        <v>471</v>
      </c>
      <c r="B473" s="33">
        <v>40564</v>
      </c>
      <c r="C473" s="40" t="str">
        <f t="shared" si="45"/>
        <v>Friday</v>
      </c>
      <c r="D473" s="28">
        <v>15</v>
      </c>
      <c r="E473" s="40" t="str" cm="1">
        <f t="array" ref="E473">_xlfn.IFS(D473&gt;=21,"Night",D473&gt;=17,"Evening",D473&gt;=12,"Midday",D473&gt;=6,"Morning", TRUE, "Night")</f>
        <v>Midday</v>
      </c>
      <c r="F473" s="28">
        <v>1</v>
      </c>
      <c r="G473" s="28">
        <v>0</v>
      </c>
      <c r="H473" s="28">
        <v>1</v>
      </c>
      <c r="I473" s="28">
        <v>5</v>
      </c>
      <c r="J473" s="40" t="str">
        <f t="shared" si="46"/>
        <v>Weekday</v>
      </c>
      <c r="K473" s="28" t="b">
        <v>0</v>
      </c>
      <c r="L473" s="28">
        <v>1</v>
      </c>
      <c r="M473" s="40" t="str" cm="1">
        <f t="array" ref="M473">_xlfn.IFS(L473=1,"Clear / Partly Cloudy",L473=2,"Mist / Cloudy",L473=3,"Light Snow / Rain",L473=4,"Heavy Precipitation")</f>
        <v>Clear / Partly Cloudy</v>
      </c>
      <c r="N473" s="28">
        <v>0.16</v>
      </c>
      <c r="O473" s="28" t="str">
        <f t="shared" si="47"/>
        <v>Cold</v>
      </c>
      <c r="P473" s="28">
        <v>0.1212</v>
      </c>
      <c r="Q473" s="38">
        <f t="shared" si="43"/>
        <v>0.1212</v>
      </c>
      <c r="R473" s="28">
        <v>0.26</v>
      </c>
      <c r="S473" s="28">
        <v>0.44779999999999998</v>
      </c>
      <c r="T473" s="40" t="str" cm="1">
        <f t="array" ref="T473">_xlfn.IFS(S473*18.6&lt;2,"Calm",S473*18.6&lt;6,"Light Breeze",S473*18.6&lt;14,"Gale",TRUE,"Extreme Storm")</f>
        <v>Gale</v>
      </c>
      <c r="U473" s="28">
        <v>4</v>
      </c>
      <c r="V473" s="28">
        <v>61</v>
      </c>
      <c r="W473" s="28">
        <v>65</v>
      </c>
      <c r="X473" s="44">
        <f>AVERAGE(INDEX($W:$W,MAX(ROW($W$3),ROW()-23)):INDEX($W:$W,ROW()))</f>
        <v>76.125</v>
      </c>
      <c r="Y473" s="44">
        <f>_xlfn.STDEV.S(INDEX($W:$W,MAX(ROW($W$3),ROW()-23)):INDEX($W:$W,ROW()))</f>
        <v>67.054366326722231</v>
      </c>
      <c r="Z473" s="44">
        <f t="shared" si="44"/>
        <v>-0.16591015036654683</v>
      </c>
      <c r="AA473" s="40" t="b">
        <f t="shared" si="42"/>
        <v>0</v>
      </c>
    </row>
    <row r="474" spans="1:27" x14ac:dyDescent="0.3">
      <c r="A474" s="32">
        <v>472</v>
      </c>
      <c r="B474" s="33">
        <v>40564</v>
      </c>
      <c r="C474" s="40" t="str">
        <f t="shared" si="45"/>
        <v>Friday</v>
      </c>
      <c r="D474" s="28">
        <v>16</v>
      </c>
      <c r="E474" s="40" t="str" cm="1">
        <f t="array" ref="E474">_xlfn.IFS(D474&gt;=21,"Night",D474&gt;=17,"Evening",D474&gt;=12,"Midday",D474&gt;=6,"Morning", TRUE, "Night")</f>
        <v>Midday</v>
      </c>
      <c r="F474" s="28">
        <v>1</v>
      </c>
      <c r="G474" s="28">
        <v>0</v>
      </c>
      <c r="H474" s="28">
        <v>1</v>
      </c>
      <c r="I474" s="28">
        <v>5</v>
      </c>
      <c r="J474" s="40" t="str">
        <f t="shared" si="46"/>
        <v>Weekday</v>
      </c>
      <c r="K474" s="28" t="b">
        <v>0</v>
      </c>
      <c r="L474" s="28">
        <v>1</v>
      </c>
      <c r="M474" s="40" t="str" cm="1">
        <f t="array" ref="M474">_xlfn.IFS(L474=1,"Clear / Partly Cloudy",L474=2,"Mist / Cloudy",L474=3,"Light Snow / Rain",L474=4,"Heavy Precipitation")</f>
        <v>Clear / Partly Cloudy</v>
      </c>
      <c r="N474" s="28">
        <v>0.16</v>
      </c>
      <c r="O474" s="28" t="str">
        <f t="shared" si="47"/>
        <v>Cold</v>
      </c>
      <c r="P474" s="28">
        <v>0.13639999999999999</v>
      </c>
      <c r="Q474" s="38">
        <f t="shared" si="43"/>
        <v>0.13639999999999999</v>
      </c>
      <c r="R474" s="28">
        <v>0.26</v>
      </c>
      <c r="S474" s="28">
        <v>0.35820000000000002</v>
      </c>
      <c r="T474" s="40" t="str" cm="1">
        <f t="array" ref="T474">_xlfn.IFS(S474*18.6&lt;2,"Calm",S474*18.6&lt;6,"Light Breeze",S474*18.6&lt;14,"Gale",TRUE,"Extreme Storm")</f>
        <v>Gale</v>
      </c>
      <c r="U474" s="28">
        <v>0</v>
      </c>
      <c r="V474" s="28">
        <v>97</v>
      </c>
      <c r="W474" s="28">
        <v>97</v>
      </c>
      <c r="X474" s="44">
        <f>AVERAGE(INDEX($W:$W,MAX(ROW($W$3),ROW()-23)):INDEX($W:$W,ROW()))</f>
        <v>76.375</v>
      </c>
      <c r="Y474" s="44">
        <f>_xlfn.STDEV.S(INDEX($W:$W,MAX(ROW($W$3),ROW()-23)):INDEX($W:$W,ROW()))</f>
        <v>67.123385738827849</v>
      </c>
      <c r="Z474" s="44">
        <f t="shared" si="44"/>
        <v>0.30726995923969563</v>
      </c>
      <c r="AA474" s="40" t="b">
        <f t="shared" si="42"/>
        <v>0</v>
      </c>
    </row>
    <row r="475" spans="1:27" x14ac:dyDescent="0.3">
      <c r="A475" s="32">
        <v>473</v>
      </c>
      <c r="B475" s="33">
        <v>40564</v>
      </c>
      <c r="C475" s="40" t="str">
        <f t="shared" si="45"/>
        <v>Friday</v>
      </c>
      <c r="D475" s="28">
        <v>17</v>
      </c>
      <c r="E475" s="40" t="str" cm="1">
        <f t="array" ref="E475">_xlfn.IFS(D475&gt;=21,"Night",D475&gt;=17,"Evening",D475&gt;=12,"Midday",D475&gt;=6,"Morning", TRUE, "Night")</f>
        <v>Evening</v>
      </c>
      <c r="F475" s="28">
        <v>1</v>
      </c>
      <c r="G475" s="28">
        <v>0</v>
      </c>
      <c r="H475" s="28">
        <v>1</v>
      </c>
      <c r="I475" s="28">
        <v>5</v>
      </c>
      <c r="J475" s="40" t="str">
        <f t="shared" si="46"/>
        <v>Weekday</v>
      </c>
      <c r="K475" s="28" t="b">
        <v>0</v>
      </c>
      <c r="L475" s="28">
        <v>1</v>
      </c>
      <c r="M475" s="40" t="str" cm="1">
        <f t="array" ref="M475">_xlfn.IFS(L475=1,"Clear / Partly Cloudy",L475=2,"Mist / Cloudy",L475=3,"Light Snow / Rain",L475=4,"Heavy Precipitation")</f>
        <v>Clear / Partly Cloudy</v>
      </c>
      <c r="N475" s="28">
        <v>0.14000000000000001</v>
      </c>
      <c r="O475" s="28" t="str">
        <f t="shared" si="47"/>
        <v>Cold</v>
      </c>
      <c r="P475" s="28">
        <v>0.1212</v>
      </c>
      <c r="Q475" s="38">
        <f t="shared" si="43"/>
        <v>0.1212</v>
      </c>
      <c r="R475" s="28">
        <v>0.28000000000000003</v>
      </c>
      <c r="S475" s="28">
        <v>0.35820000000000002</v>
      </c>
      <c r="T475" s="40" t="str" cm="1">
        <f t="array" ref="T475">_xlfn.IFS(S475*18.6&lt;2,"Calm",S475*18.6&lt;6,"Light Breeze",S475*18.6&lt;14,"Gale",TRUE,"Extreme Storm")</f>
        <v>Gale</v>
      </c>
      <c r="U475" s="28">
        <v>10</v>
      </c>
      <c r="V475" s="28">
        <v>151</v>
      </c>
      <c r="W475" s="28">
        <v>161</v>
      </c>
      <c r="X475" s="44">
        <f>AVERAGE(INDEX($W:$W,MAX(ROW($W$3),ROW()-23)):INDEX($W:$W,ROW()))</f>
        <v>74.125</v>
      </c>
      <c r="Y475" s="44">
        <f>_xlfn.STDEV.S(INDEX($W:$W,MAX(ROW($W$3),ROW()-23)):INDEX($W:$W,ROW()))</f>
        <v>63.056436074636999</v>
      </c>
      <c r="Z475" s="44">
        <f t="shared" si="44"/>
        <v>1.3777340650392937</v>
      </c>
      <c r="AA475" s="40" t="b">
        <f t="shared" si="42"/>
        <v>0</v>
      </c>
    </row>
    <row r="476" spans="1:27" x14ac:dyDescent="0.3">
      <c r="A476" s="32">
        <v>474</v>
      </c>
      <c r="B476" s="33">
        <v>40564</v>
      </c>
      <c r="C476" s="40" t="str">
        <f t="shared" si="45"/>
        <v>Friday</v>
      </c>
      <c r="D476" s="28">
        <v>18</v>
      </c>
      <c r="E476" s="40" t="str" cm="1">
        <f t="array" ref="E476">_xlfn.IFS(D476&gt;=21,"Night",D476&gt;=17,"Evening",D476&gt;=12,"Midday",D476&gt;=6,"Morning", TRUE, "Night")</f>
        <v>Evening</v>
      </c>
      <c r="F476" s="28">
        <v>1</v>
      </c>
      <c r="G476" s="28">
        <v>0</v>
      </c>
      <c r="H476" s="28">
        <v>1</v>
      </c>
      <c r="I476" s="28">
        <v>5</v>
      </c>
      <c r="J476" s="40" t="str">
        <f t="shared" si="46"/>
        <v>Weekday</v>
      </c>
      <c r="K476" s="28" t="b">
        <v>0</v>
      </c>
      <c r="L476" s="28">
        <v>1</v>
      </c>
      <c r="M476" s="40" t="str" cm="1">
        <f t="array" ref="M476">_xlfn.IFS(L476=1,"Clear / Partly Cloudy",L476=2,"Mist / Cloudy",L476=3,"Light Snow / Rain",L476=4,"Heavy Precipitation")</f>
        <v>Clear / Partly Cloudy</v>
      </c>
      <c r="N476" s="28">
        <v>0.12</v>
      </c>
      <c r="O476" s="28" t="str">
        <f t="shared" si="47"/>
        <v>Cold</v>
      </c>
      <c r="P476" s="28">
        <v>0.1212</v>
      </c>
      <c r="Q476" s="38">
        <f t="shared" si="43"/>
        <v>0.1212</v>
      </c>
      <c r="R476" s="28">
        <v>0.3</v>
      </c>
      <c r="S476" s="28">
        <v>0.25369999999999998</v>
      </c>
      <c r="T476" s="40" t="str" cm="1">
        <f t="array" ref="T476">_xlfn.IFS(S476*18.6&lt;2,"Calm",S476*18.6&lt;6,"Light Breeze",S476*18.6&lt;14,"Gale",TRUE,"Extreme Storm")</f>
        <v>Light Breeze</v>
      </c>
      <c r="U476" s="28">
        <v>1</v>
      </c>
      <c r="V476" s="28">
        <v>119</v>
      </c>
      <c r="W476" s="28">
        <v>120</v>
      </c>
      <c r="X476" s="44">
        <f>AVERAGE(INDEX($W:$W,MAX(ROW($W$3),ROW()-23)):INDEX($W:$W,ROW()))</f>
        <v>71.416666666666671</v>
      </c>
      <c r="Y476" s="44">
        <f>_xlfn.STDEV.S(INDEX($W:$W,MAX(ROW($W$3),ROW()-23)):INDEX($W:$W,ROW()))</f>
        <v>59.375676960290342</v>
      </c>
      <c r="Z476" s="44">
        <f t="shared" si="44"/>
        <v>0.81823628496606804</v>
      </c>
      <c r="AA476" s="40" t="b">
        <f t="shared" si="42"/>
        <v>0</v>
      </c>
    </row>
    <row r="477" spans="1:27" x14ac:dyDescent="0.3">
      <c r="A477" s="32">
        <v>475</v>
      </c>
      <c r="B477" s="33">
        <v>40564</v>
      </c>
      <c r="C477" s="40" t="str">
        <f t="shared" si="45"/>
        <v>Friday</v>
      </c>
      <c r="D477" s="28">
        <v>19</v>
      </c>
      <c r="E477" s="40" t="str" cm="1">
        <f t="array" ref="E477">_xlfn.IFS(D477&gt;=21,"Night",D477&gt;=17,"Evening",D477&gt;=12,"Midday",D477&gt;=6,"Morning", TRUE, "Night")</f>
        <v>Evening</v>
      </c>
      <c r="F477" s="28">
        <v>1</v>
      </c>
      <c r="G477" s="28">
        <v>0</v>
      </c>
      <c r="H477" s="28">
        <v>1</v>
      </c>
      <c r="I477" s="28">
        <v>5</v>
      </c>
      <c r="J477" s="40" t="str">
        <f t="shared" si="46"/>
        <v>Weekday</v>
      </c>
      <c r="K477" s="28" t="b">
        <v>0</v>
      </c>
      <c r="L477" s="28">
        <v>1</v>
      </c>
      <c r="M477" s="40" t="str" cm="1">
        <f t="array" ref="M477">_xlfn.IFS(L477=1,"Clear / Partly Cloudy",L477=2,"Mist / Cloudy",L477=3,"Light Snow / Rain",L477=4,"Heavy Precipitation")</f>
        <v>Clear / Partly Cloudy</v>
      </c>
      <c r="N477" s="28">
        <v>0.12</v>
      </c>
      <c r="O477" s="28" t="str">
        <f t="shared" si="47"/>
        <v>Cold</v>
      </c>
      <c r="P477" s="28">
        <v>0.1061</v>
      </c>
      <c r="Q477" s="38">
        <f t="shared" si="43"/>
        <v>0.1061</v>
      </c>
      <c r="R477" s="28">
        <v>0.3</v>
      </c>
      <c r="S477" s="28">
        <v>0.32840000000000003</v>
      </c>
      <c r="T477" s="40" t="str" cm="1">
        <f t="array" ref="T477">_xlfn.IFS(S477*18.6&lt;2,"Calm",S477*18.6&lt;6,"Light Breeze",S477*18.6&lt;14,"Gale",TRUE,"Extreme Storm")</f>
        <v>Gale</v>
      </c>
      <c r="U477" s="28">
        <v>3</v>
      </c>
      <c r="V477" s="28">
        <v>93</v>
      </c>
      <c r="W477" s="28">
        <v>96</v>
      </c>
      <c r="X477" s="44">
        <f>AVERAGE(INDEX($W:$W,MAX(ROW($W$3),ROW()-23)):INDEX($W:$W,ROW()))</f>
        <v>69.083333333333329</v>
      </c>
      <c r="Y477" s="44">
        <f>_xlfn.STDEV.S(INDEX($W:$W,MAX(ROW($W$3),ROW()-23)):INDEX($W:$W,ROW()))</f>
        <v>57.12908089631734</v>
      </c>
      <c r="Z477" s="44">
        <f t="shared" si="44"/>
        <v>0.47115525480827009</v>
      </c>
      <c r="AA477" s="40" t="b">
        <f t="shared" si="42"/>
        <v>0</v>
      </c>
    </row>
    <row r="478" spans="1:27" x14ac:dyDescent="0.3">
      <c r="A478" s="32">
        <v>476</v>
      </c>
      <c r="B478" s="33">
        <v>40564</v>
      </c>
      <c r="C478" s="40" t="str">
        <f t="shared" si="45"/>
        <v>Friday</v>
      </c>
      <c r="D478" s="28">
        <v>20</v>
      </c>
      <c r="E478" s="40" t="str" cm="1">
        <f t="array" ref="E478">_xlfn.IFS(D478&gt;=21,"Night",D478&gt;=17,"Evening",D478&gt;=12,"Midday",D478&gt;=6,"Morning", TRUE, "Night")</f>
        <v>Evening</v>
      </c>
      <c r="F478" s="28">
        <v>1</v>
      </c>
      <c r="G478" s="28">
        <v>0</v>
      </c>
      <c r="H478" s="28">
        <v>1</v>
      </c>
      <c r="I478" s="28">
        <v>5</v>
      </c>
      <c r="J478" s="40" t="str">
        <f t="shared" si="46"/>
        <v>Weekday</v>
      </c>
      <c r="K478" s="28" t="b">
        <v>0</v>
      </c>
      <c r="L478" s="28">
        <v>1</v>
      </c>
      <c r="M478" s="40" t="str" cm="1">
        <f t="array" ref="M478">_xlfn.IFS(L478=1,"Clear / Partly Cloudy",L478=2,"Mist / Cloudy",L478=3,"Light Snow / Rain",L478=4,"Heavy Precipitation")</f>
        <v>Clear / Partly Cloudy</v>
      </c>
      <c r="N478" s="28">
        <v>0.1</v>
      </c>
      <c r="O478" s="28" t="str">
        <f t="shared" si="47"/>
        <v>Cold</v>
      </c>
      <c r="P478" s="28">
        <v>7.5800000000000006E-2</v>
      </c>
      <c r="Q478" s="38">
        <f t="shared" si="43"/>
        <v>7.5800000000000006E-2</v>
      </c>
      <c r="R478" s="28">
        <v>0.33</v>
      </c>
      <c r="S478" s="28">
        <v>0.41789999999999999</v>
      </c>
      <c r="T478" s="40" t="str" cm="1">
        <f t="array" ref="T478">_xlfn.IFS(S478*18.6&lt;2,"Calm",S478*18.6&lt;6,"Light Breeze",S478*18.6&lt;14,"Gale",TRUE,"Extreme Storm")</f>
        <v>Gale</v>
      </c>
      <c r="U478" s="28">
        <v>1</v>
      </c>
      <c r="V478" s="28">
        <v>52</v>
      </c>
      <c r="W478" s="28">
        <v>53</v>
      </c>
      <c r="X478" s="44">
        <f>AVERAGE(INDEX($W:$W,MAX(ROW($W$3),ROW()-23)):INDEX($W:$W,ROW()))</f>
        <v>66.041666666666671</v>
      </c>
      <c r="Y478" s="44">
        <f>_xlfn.STDEV.S(INDEX($W:$W,MAX(ROW($W$3),ROW()-23)):INDEX($W:$W,ROW()))</f>
        <v>55.897016461304638</v>
      </c>
      <c r="Z478" s="44">
        <f t="shared" si="44"/>
        <v>-0.23331597091044953</v>
      </c>
      <c r="AA478" s="40" t="b">
        <f t="shared" si="42"/>
        <v>0</v>
      </c>
    </row>
    <row r="479" spans="1:27" x14ac:dyDescent="0.3">
      <c r="A479" s="32">
        <v>477</v>
      </c>
      <c r="B479" s="33">
        <v>40564</v>
      </c>
      <c r="C479" s="40" t="str">
        <f t="shared" si="45"/>
        <v>Friday</v>
      </c>
      <c r="D479" s="28">
        <v>21</v>
      </c>
      <c r="E479" s="40" t="str" cm="1">
        <f t="array" ref="E479">_xlfn.IFS(D479&gt;=21,"Night",D479&gt;=17,"Evening",D479&gt;=12,"Midday",D479&gt;=6,"Morning", TRUE, "Night")</f>
        <v>Night</v>
      </c>
      <c r="F479" s="28">
        <v>1</v>
      </c>
      <c r="G479" s="28">
        <v>0</v>
      </c>
      <c r="H479" s="28">
        <v>1</v>
      </c>
      <c r="I479" s="28">
        <v>5</v>
      </c>
      <c r="J479" s="40" t="str">
        <f t="shared" si="46"/>
        <v>Weekday</v>
      </c>
      <c r="K479" s="28" t="b">
        <v>0</v>
      </c>
      <c r="L479" s="28">
        <v>1</v>
      </c>
      <c r="M479" s="40" t="str" cm="1">
        <f t="array" ref="M479">_xlfn.IFS(L479=1,"Clear / Partly Cloudy",L479=2,"Mist / Cloudy",L479=3,"Light Snow / Rain",L479=4,"Heavy Precipitation")</f>
        <v>Clear / Partly Cloudy</v>
      </c>
      <c r="N479" s="28">
        <v>0.08</v>
      </c>
      <c r="O479" s="28" t="str">
        <f t="shared" si="47"/>
        <v>Cold</v>
      </c>
      <c r="P479" s="28">
        <v>7.5800000000000006E-2</v>
      </c>
      <c r="Q479" s="38">
        <f t="shared" si="43"/>
        <v>7.5800000000000006E-2</v>
      </c>
      <c r="R479" s="28">
        <v>0.38</v>
      </c>
      <c r="S479" s="28">
        <v>0.28360000000000002</v>
      </c>
      <c r="T479" s="40" t="str" cm="1">
        <f t="array" ref="T479">_xlfn.IFS(S479*18.6&lt;2,"Calm",S479*18.6&lt;6,"Light Breeze",S479*18.6&lt;14,"Gale",TRUE,"Extreme Storm")</f>
        <v>Light Breeze</v>
      </c>
      <c r="U479" s="28">
        <v>0</v>
      </c>
      <c r="V479" s="28">
        <v>41</v>
      </c>
      <c r="W479" s="28">
        <v>41</v>
      </c>
      <c r="X479" s="44">
        <f>AVERAGE(INDEX($W:$W,MAX(ROW($W$3),ROW()-23)):INDEX($W:$W,ROW()))</f>
        <v>65.375</v>
      </c>
      <c r="Y479" s="44">
        <f>_xlfn.STDEV.S(INDEX($W:$W,MAX(ROW($W$3),ROW()-23)):INDEX($W:$W,ROW()))</f>
        <v>56.104570456309141</v>
      </c>
      <c r="Z479" s="44">
        <f t="shared" si="44"/>
        <v>-0.43445658351456024</v>
      </c>
      <c r="AA479" s="40" t="b">
        <f t="shared" si="42"/>
        <v>0</v>
      </c>
    </row>
    <row r="480" spans="1:27" x14ac:dyDescent="0.3">
      <c r="A480" s="32">
        <v>478</v>
      </c>
      <c r="B480" s="33">
        <v>40564</v>
      </c>
      <c r="C480" s="40" t="str">
        <f t="shared" si="45"/>
        <v>Friday</v>
      </c>
      <c r="D480" s="28">
        <v>22</v>
      </c>
      <c r="E480" s="40" t="str" cm="1">
        <f t="array" ref="E480">_xlfn.IFS(D480&gt;=21,"Night",D480&gt;=17,"Evening",D480&gt;=12,"Midday",D480&gt;=6,"Morning", TRUE, "Night")</f>
        <v>Night</v>
      </c>
      <c r="F480" s="28">
        <v>1</v>
      </c>
      <c r="G480" s="28">
        <v>0</v>
      </c>
      <c r="H480" s="28">
        <v>1</v>
      </c>
      <c r="I480" s="28">
        <v>5</v>
      </c>
      <c r="J480" s="40" t="str">
        <f t="shared" si="46"/>
        <v>Weekday</v>
      </c>
      <c r="K480" s="28" t="b">
        <v>0</v>
      </c>
      <c r="L480" s="28">
        <v>1</v>
      </c>
      <c r="M480" s="40" t="str" cm="1">
        <f t="array" ref="M480">_xlfn.IFS(L480=1,"Clear / Partly Cloudy",L480=2,"Mist / Cloudy",L480=3,"Light Snow / Rain",L480=4,"Heavy Precipitation")</f>
        <v>Clear / Partly Cloudy</v>
      </c>
      <c r="N480" s="28">
        <v>0.06</v>
      </c>
      <c r="O480" s="28" t="str">
        <f t="shared" si="47"/>
        <v>Cold</v>
      </c>
      <c r="P480" s="28">
        <v>3.0300000000000001E-2</v>
      </c>
      <c r="Q480" s="38">
        <f t="shared" si="43"/>
        <v>3.0300000000000001E-2</v>
      </c>
      <c r="R480" s="28">
        <v>0.41</v>
      </c>
      <c r="S480" s="28">
        <v>0.3881</v>
      </c>
      <c r="T480" s="40" t="str" cm="1">
        <f t="array" ref="T480">_xlfn.IFS(S480*18.6&lt;2,"Calm",S480*18.6&lt;6,"Light Breeze",S480*18.6&lt;14,"Gale",TRUE,"Extreme Storm")</f>
        <v>Gale</v>
      </c>
      <c r="U480" s="28">
        <v>1</v>
      </c>
      <c r="V480" s="28">
        <v>33</v>
      </c>
      <c r="W480" s="28">
        <v>34</v>
      </c>
      <c r="X480" s="44">
        <f>AVERAGE(INDEX($W:$W,MAX(ROW($W$3),ROW()-23)):INDEX($W:$W,ROW()))</f>
        <v>64.458333333333329</v>
      </c>
      <c r="Y480" s="44">
        <f>_xlfn.STDEV.S(INDEX($W:$W,MAX(ROW($W$3),ROW()-23)):INDEX($W:$W,ROW()))</f>
        <v>56.44310653536283</v>
      </c>
      <c r="Z480" s="44">
        <f t="shared" si="44"/>
        <v>-0.53962893261820244</v>
      </c>
      <c r="AA480" s="40" t="b">
        <f t="shared" si="42"/>
        <v>0</v>
      </c>
    </row>
    <row r="481" spans="1:27" x14ac:dyDescent="0.3">
      <c r="A481" s="32">
        <v>479</v>
      </c>
      <c r="B481" s="33">
        <v>40564</v>
      </c>
      <c r="C481" s="40" t="str">
        <f t="shared" si="45"/>
        <v>Friday</v>
      </c>
      <c r="D481" s="28">
        <v>23</v>
      </c>
      <c r="E481" s="40" t="str" cm="1">
        <f t="array" ref="E481">_xlfn.IFS(D481&gt;=21,"Night",D481&gt;=17,"Evening",D481&gt;=12,"Midday",D481&gt;=6,"Morning", TRUE, "Night")</f>
        <v>Night</v>
      </c>
      <c r="F481" s="28">
        <v>1</v>
      </c>
      <c r="G481" s="28">
        <v>0</v>
      </c>
      <c r="H481" s="28">
        <v>1</v>
      </c>
      <c r="I481" s="28">
        <v>5</v>
      </c>
      <c r="J481" s="40" t="str">
        <f t="shared" si="46"/>
        <v>Weekday</v>
      </c>
      <c r="K481" s="28" t="b">
        <v>0</v>
      </c>
      <c r="L481" s="28">
        <v>1</v>
      </c>
      <c r="M481" s="40" t="str" cm="1">
        <f t="array" ref="M481">_xlfn.IFS(L481=1,"Clear / Partly Cloudy",L481=2,"Mist / Cloudy",L481=3,"Light Snow / Rain",L481=4,"Heavy Precipitation")</f>
        <v>Clear / Partly Cloudy</v>
      </c>
      <c r="N481" s="28">
        <v>0.06</v>
      </c>
      <c r="O481" s="28" t="str">
        <f t="shared" si="47"/>
        <v>Cold</v>
      </c>
      <c r="P481" s="28">
        <v>4.5499999999999999E-2</v>
      </c>
      <c r="Q481" s="38">
        <f t="shared" si="43"/>
        <v>4.5499999999999999E-2</v>
      </c>
      <c r="R481" s="28">
        <v>0.38</v>
      </c>
      <c r="S481" s="28">
        <v>0.32840000000000003</v>
      </c>
      <c r="T481" s="40" t="str" cm="1">
        <f t="array" ref="T481">_xlfn.IFS(S481*18.6&lt;2,"Calm",S481*18.6&lt;6,"Light Breeze",S481*18.6&lt;14,"Gale",TRUE,"Extreme Storm")</f>
        <v>Gale</v>
      </c>
      <c r="U481" s="28">
        <v>0</v>
      </c>
      <c r="V481" s="28">
        <v>27</v>
      </c>
      <c r="W481" s="28">
        <v>27</v>
      </c>
      <c r="X481" s="44">
        <f>AVERAGE(INDEX($W:$W,MAX(ROW($W$3),ROW()-23)):INDEX($W:$W,ROW()))</f>
        <v>64.291666666666671</v>
      </c>
      <c r="Y481" s="44">
        <f>_xlfn.STDEV.S(INDEX($W:$W,MAX(ROW($W$3),ROW()-23)):INDEX($W:$W,ROW()))</f>
        <v>56.551999285510725</v>
      </c>
      <c r="Z481" s="44">
        <f t="shared" si="44"/>
        <v>-0.65942260464381541</v>
      </c>
      <c r="AA481" s="40" t="b">
        <f t="shared" si="42"/>
        <v>0</v>
      </c>
    </row>
    <row r="482" spans="1:27" x14ac:dyDescent="0.3">
      <c r="A482" s="32">
        <v>480</v>
      </c>
      <c r="B482" s="33">
        <v>40565</v>
      </c>
      <c r="C482" s="40" t="str">
        <f t="shared" si="45"/>
        <v>Saturday</v>
      </c>
      <c r="D482" s="28">
        <v>0</v>
      </c>
      <c r="E482" s="40" t="str" cm="1">
        <f t="array" ref="E482">_xlfn.IFS(D482&gt;=21,"Night",D482&gt;=17,"Evening",D482&gt;=12,"Midday",D482&gt;=6,"Morning", TRUE, "Night")</f>
        <v>Night</v>
      </c>
      <c r="F482" s="28">
        <v>1</v>
      </c>
      <c r="G482" s="28">
        <v>0</v>
      </c>
      <c r="H482" s="28">
        <v>1</v>
      </c>
      <c r="I482" s="28">
        <v>6</v>
      </c>
      <c r="J482" s="40" t="str">
        <f t="shared" si="46"/>
        <v>Weekday</v>
      </c>
      <c r="K482" s="28" t="b">
        <v>0</v>
      </c>
      <c r="L482" s="28">
        <v>1</v>
      </c>
      <c r="M482" s="40" t="str" cm="1">
        <f t="array" ref="M482">_xlfn.IFS(L482=1,"Clear / Partly Cloudy",L482=2,"Mist / Cloudy",L482=3,"Light Snow / Rain",L482=4,"Heavy Precipitation")</f>
        <v>Clear / Partly Cloudy</v>
      </c>
      <c r="N482" s="28">
        <v>0.04</v>
      </c>
      <c r="O482" s="28" t="str">
        <f t="shared" si="47"/>
        <v>Cold</v>
      </c>
      <c r="P482" s="28">
        <v>3.0300000000000001E-2</v>
      </c>
      <c r="Q482" s="38">
        <f t="shared" si="43"/>
        <v>3.0300000000000001E-2</v>
      </c>
      <c r="R482" s="28">
        <v>0.45</v>
      </c>
      <c r="S482" s="28">
        <v>0.25369999999999998</v>
      </c>
      <c r="T482" s="40" t="str" cm="1">
        <f t="array" ref="T482">_xlfn.IFS(S482*18.6&lt;2,"Calm",S482*18.6&lt;6,"Light Breeze",S482*18.6&lt;14,"Gale",TRUE,"Extreme Storm")</f>
        <v>Light Breeze</v>
      </c>
      <c r="U482" s="28">
        <v>0</v>
      </c>
      <c r="V482" s="28">
        <v>13</v>
      </c>
      <c r="W482" s="28">
        <v>13</v>
      </c>
      <c r="X482" s="44">
        <f>AVERAGE(INDEX($W:$W,MAX(ROW($W$3),ROW()-23)):INDEX($W:$W,ROW()))</f>
        <v>63.958333333333336</v>
      </c>
      <c r="Y482" s="44">
        <f>_xlfn.STDEV.S(INDEX($W:$W,MAX(ROW($W$3),ROW()-23)):INDEX($W:$W,ROW()))</f>
        <v>56.841105125464068</v>
      </c>
      <c r="Z482" s="44">
        <f t="shared" si="44"/>
        <v>-0.89650497154927189</v>
      </c>
      <c r="AA482" s="40" t="b">
        <f t="shared" si="42"/>
        <v>0</v>
      </c>
    </row>
    <row r="483" spans="1:27" x14ac:dyDescent="0.3">
      <c r="A483" s="32">
        <v>481</v>
      </c>
      <c r="B483" s="33">
        <v>40565</v>
      </c>
      <c r="C483" s="40" t="str">
        <f t="shared" si="45"/>
        <v>Saturday</v>
      </c>
      <c r="D483" s="28">
        <v>1</v>
      </c>
      <c r="E483" s="40" t="str" cm="1">
        <f t="array" ref="E483">_xlfn.IFS(D483&gt;=21,"Night",D483&gt;=17,"Evening",D483&gt;=12,"Midday",D483&gt;=6,"Morning", TRUE, "Night")</f>
        <v>Night</v>
      </c>
      <c r="F483" s="28">
        <v>1</v>
      </c>
      <c r="G483" s="28">
        <v>0</v>
      </c>
      <c r="H483" s="28">
        <v>1</v>
      </c>
      <c r="I483" s="28">
        <v>6</v>
      </c>
      <c r="J483" s="40" t="str">
        <f t="shared" si="46"/>
        <v>Weekday</v>
      </c>
      <c r="K483" s="28" t="b">
        <v>0</v>
      </c>
      <c r="L483" s="28">
        <v>2</v>
      </c>
      <c r="M483" s="40" t="str" cm="1">
        <f t="array" ref="M483">_xlfn.IFS(L483=1,"Clear / Partly Cloudy",L483=2,"Mist / Cloudy",L483=3,"Light Snow / Rain",L483=4,"Heavy Precipitation")</f>
        <v>Mist / Cloudy</v>
      </c>
      <c r="N483" s="28">
        <v>0.04</v>
      </c>
      <c r="O483" s="28" t="str">
        <f t="shared" si="47"/>
        <v>Cold</v>
      </c>
      <c r="P483" s="28">
        <v>0</v>
      </c>
      <c r="Q483" s="38">
        <f t="shared" si="43"/>
        <v>0</v>
      </c>
      <c r="R483" s="28">
        <v>0.41</v>
      </c>
      <c r="S483" s="28">
        <v>0.3881</v>
      </c>
      <c r="T483" s="40" t="str" cm="1">
        <f t="array" ref="T483">_xlfn.IFS(S483*18.6&lt;2,"Calm",S483*18.6&lt;6,"Light Breeze",S483*18.6&lt;14,"Gale",TRUE,"Extreme Storm")</f>
        <v>Gale</v>
      </c>
      <c r="U483" s="28">
        <v>3</v>
      </c>
      <c r="V483" s="28">
        <v>9</v>
      </c>
      <c r="W483" s="28">
        <v>12</v>
      </c>
      <c r="X483" s="44">
        <f>AVERAGE(INDEX($W:$W,MAX(ROW($W$3),ROW()-23)):INDEX($W:$W,ROW()))</f>
        <v>64.208333333333329</v>
      </c>
      <c r="Y483" s="44">
        <f>_xlfn.STDEV.S(INDEX($W:$W,MAX(ROW($W$3),ROW()-23)):INDEX($W:$W,ROW()))</f>
        <v>56.587738083875337</v>
      </c>
      <c r="Z483" s="44">
        <f t="shared" si="44"/>
        <v>-0.9226085915635861</v>
      </c>
      <c r="AA483" s="40" t="b">
        <f t="shared" si="42"/>
        <v>0</v>
      </c>
    </row>
    <row r="484" spans="1:27" x14ac:dyDescent="0.3">
      <c r="A484" s="32">
        <v>482</v>
      </c>
      <c r="B484" s="33">
        <v>40565</v>
      </c>
      <c r="C484" s="40" t="str">
        <f t="shared" si="45"/>
        <v>Saturday</v>
      </c>
      <c r="D484" s="28">
        <v>2</v>
      </c>
      <c r="E484" s="40" t="str" cm="1">
        <f t="array" ref="E484">_xlfn.IFS(D484&gt;=21,"Night",D484&gt;=17,"Evening",D484&gt;=12,"Midday",D484&gt;=6,"Morning", TRUE, "Night")</f>
        <v>Night</v>
      </c>
      <c r="F484" s="28">
        <v>1</v>
      </c>
      <c r="G484" s="28">
        <v>0</v>
      </c>
      <c r="H484" s="28">
        <v>1</v>
      </c>
      <c r="I484" s="28">
        <v>6</v>
      </c>
      <c r="J484" s="40" t="str">
        <f t="shared" si="46"/>
        <v>Weekday</v>
      </c>
      <c r="K484" s="28" t="b">
        <v>0</v>
      </c>
      <c r="L484" s="28">
        <v>2</v>
      </c>
      <c r="M484" s="40" t="str" cm="1">
        <f t="array" ref="M484">_xlfn.IFS(L484=1,"Clear / Partly Cloudy",L484=2,"Mist / Cloudy",L484=3,"Light Snow / Rain",L484=4,"Heavy Precipitation")</f>
        <v>Mist / Cloudy</v>
      </c>
      <c r="N484" s="28">
        <v>0.04</v>
      </c>
      <c r="O484" s="28" t="str">
        <f t="shared" si="47"/>
        <v>Cold</v>
      </c>
      <c r="P484" s="28">
        <v>3.0300000000000001E-2</v>
      </c>
      <c r="Q484" s="38">
        <f t="shared" si="43"/>
        <v>3.0300000000000001E-2</v>
      </c>
      <c r="R484" s="28">
        <v>0.41</v>
      </c>
      <c r="S484" s="28">
        <v>0.25369999999999998</v>
      </c>
      <c r="T484" s="40" t="str" cm="1">
        <f t="array" ref="T484">_xlfn.IFS(S484*18.6&lt;2,"Calm",S484*18.6&lt;6,"Light Breeze",S484*18.6&lt;14,"Gale",TRUE,"Extreme Storm")</f>
        <v>Light Breeze</v>
      </c>
      <c r="U484" s="28">
        <v>0</v>
      </c>
      <c r="V484" s="28">
        <v>11</v>
      </c>
      <c r="W484" s="28">
        <v>11</v>
      </c>
      <c r="X484" s="44">
        <f>AVERAGE(INDEX($W:$W,MAX(ROW($W$3),ROW()-23)):INDEX($W:$W,ROW()))</f>
        <v>64.583333333333329</v>
      </c>
      <c r="Y484" s="44">
        <f>_xlfn.STDEV.S(INDEX($W:$W,MAX(ROW($W$3),ROW()-23)):INDEX($W:$W,ROW()))</f>
        <v>56.185961937485594</v>
      </c>
      <c r="Z484" s="44">
        <f t="shared" si="44"/>
        <v>-0.95367831190559593</v>
      </c>
      <c r="AA484" s="40" t="b">
        <f t="shared" si="42"/>
        <v>0</v>
      </c>
    </row>
    <row r="485" spans="1:27" x14ac:dyDescent="0.3">
      <c r="A485" s="32">
        <v>483</v>
      </c>
      <c r="B485" s="33">
        <v>40565</v>
      </c>
      <c r="C485" s="40" t="str">
        <f t="shared" si="45"/>
        <v>Saturday</v>
      </c>
      <c r="D485" s="28">
        <v>3</v>
      </c>
      <c r="E485" s="40" t="str" cm="1">
        <f t="array" ref="E485">_xlfn.IFS(D485&gt;=21,"Night",D485&gt;=17,"Evening",D485&gt;=12,"Midday",D485&gt;=6,"Morning", TRUE, "Night")</f>
        <v>Night</v>
      </c>
      <c r="F485" s="28">
        <v>1</v>
      </c>
      <c r="G485" s="28">
        <v>0</v>
      </c>
      <c r="H485" s="28">
        <v>1</v>
      </c>
      <c r="I485" s="28">
        <v>6</v>
      </c>
      <c r="J485" s="40" t="str">
        <f t="shared" si="46"/>
        <v>Weekday</v>
      </c>
      <c r="K485" s="28" t="b">
        <v>0</v>
      </c>
      <c r="L485" s="28">
        <v>2</v>
      </c>
      <c r="M485" s="40" t="str" cm="1">
        <f t="array" ref="M485">_xlfn.IFS(L485=1,"Clear / Partly Cloudy",L485=2,"Mist / Cloudy",L485=3,"Light Snow / Rain",L485=4,"Heavy Precipitation")</f>
        <v>Mist / Cloudy</v>
      </c>
      <c r="N485" s="28">
        <v>0.04</v>
      </c>
      <c r="O485" s="28" t="str">
        <f t="shared" si="47"/>
        <v>Cold</v>
      </c>
      <c r="P485" s="28">
        <v>3.0300000000000001E-2</v>
      </c>
      <c r="Q485" s="38">
        <f t="shared" si="43"/>
        <v>3.0300000000000001E-2</v>
      </c>
      <c r="R485" s="28">
        <v>0.41</v>
      </c>
      <c r="S485" s="28">
        <v>0.28360000000000002</v>
      </c>
      <c r="T485" s="40" t="str" cm="1">
        <f t="array" ref="T485">_xlfn.IFS(S485*18.6&lt;2,"Calm",S485*18.6&lt;6,"Light Breeze",S485*18.6&lt;14,"Gale",TRUE,"Extreme Storm")</f>
        <v>Light Breeze</v>
      </c>
      <c r="U485" s="28">
        <v>1</v>
      </c>
      <c r="V485" s="28">
        <v>6</v>
      </c>
      <c r="W485" s="28">
        <v>7</v>
      </c>
      <c r="X485" s="44">
        <f>AVERAGE(INDEX($W:$W,MAX(ROW($W$3),ROW()-23)):INDEX($W:$W,ROW()))</f>
        <v>64.833333333333329</v>
      </c>
      <c r="Y485" s="44">
        <f>_xlfn.STDEV.S(INDEX($W:$W,MAX(ROW($W$3),ROW()-23)):INDEX($W:$W,ROW()))</f>
        <v>55.903384564774797</v>
      </c>
      <c r="Z485" s="44">
        <f t="shared" si="44"/>
        <v>-1.0345229324410996</v>
      </c>
      <c r="AA485" s="40" t="b">
        <f t="shared" si="42"/>
        <v>0</v>
      </c>
    </row>
    <row r="486" spans="1:27" x14ac:dyDescent="0.3">
      <c r="A486" s="32">
        <v>484</v>
      </c>
      <c r="B486" s="33">
        <v>40565</v>
      </c>
      <c r="C486" s="40" t="str">
        <f t="shared" si="45"/>
        <v>Saturday</v>
      </c>
      <c r="D486" s="28">
        <v>4</v>
      </c>
      <c r="E486" s="40" t="str" cm="1">
        <f t="array" ref="E486">_xlfn.IFS(D486&gt;=21,"Night",D486&gt;=17,"Evening",D486&gt;=12,"Midday",D486&gt;=6,"Morning", TRUE, "Night")</f>
        <v>Night</v>
      </c>
      <c r="F486" s="28">
        <v>1</v>
      </c>
      <c r="G486" s="28">
        <v>0</v>
      </c>
      <c r="H486" s="28">
        <v>1</v>
      </c>
      <c r="I486" s="28">
        <v>6</v>
      </c>
      <c r="J486" s="40" t="str">
        <f t="shared" si="46"/>
        <v>Weekday</v>
      </c>
      <c r="K486" s="28" t="b">
        <v>0</v>
      </c>
      <c r="L486" s="28">
        <v>2</v>
      </c>
      <c r="M486" s="40" t="str" cm="1">
        <f t="array" ref="M486">_xlfn.IFS(L486=1,"Clear / Partly Cloudy",L486=2,"Mist / Cloudy",L486=3,"Light Snow / Rain",L486=4,"Heavy Precipitation")</f>
        <v>Mist / Cloudy</v>
      </c>
      <c r="N486" s="28">
        <v>0.02</v>
      </c>
      <c r="O486" s="28" t="str">
        <f t="shared" si="47"/>
        <v>Cold</v>
      </c>
      <c r="P486" s="28">
        <v>1.52E-2</v>
      </c>
      <c r="Q486" s="38">
        <f t="shared" si="43"/>
        <v>1.52E-2</v>
      </c>
      <c r="R486" s="28">
        <v>0.48</v>
      </c>
      <c r="S486" s="28">
        <v>0.29849999999999999</v>
      </c>
      <c r="T486" s="40" t="str" cm="1">
        <f t="array" ref="T486">_xlfn.IFS(S486*18.6&lt;2,"Calm",S486*18.6&lt;6,"Light Breeze",S486*18.6&lt;14,"Gale",TRUE,"Extreme Storm")</f>
        <v>Light Breeze</v>
      </c>
      <c r="U486" s="28">
        <v>0</v>
      </c>
      <c r="V486" s="28">
        <v>3</v>
      </c>
      <c r="W486" s="28">
        <v>3</v>
      </c>
      <c r="X486" s="44">
        <f>AVERAGE(INDEX($W:$W,MAX(ROW($W$3),ROW()-23)):INDEX($W:$W,ROW()))</f>
        <v>64.916666666666671</v>
      </c>
      <c r="Y486" s="44">
        <f>_xlfn.STDEV.S(INDEX($W:$W,MAX(ROW($W$3),ROW()-23)):INDEX($W:$W,ROW()))</f>
        <v>55.805498144792196</v>
      </c>
      <c r="Z486" s="44">
        <f t="shared" si="44"/>
        <v>-1.1095083589437464</v>
      </c>
      <c r="AA486" s="40" t="b">
        <f t="shared" si="42"/>
        <v>0</v>
      </c>
    </row>
    <row r="487" spans="1:27" x14ac:dyDescent="0.3">
      <c r="A487" s="32">
        <v>485</v>
      </c>
      <c r="B487" s="33">
        <v>40565</v>
      </c>
      <c r="C487" s="40" t="str">
        <f t="shared" si="45"/>
        <v>Saturday</v>
      </c>
      <c r="D487" s="28">
        <v>6</v>
      </c>
      <c r="E487" s="40" t="str" cm="1">
        <f t="array" ref="E487">_xlfn.IFS(D487&gt;=21,"Night",D487&gt;=17,"Evening",D487&gt;=12,"Midday",D487&gt;=6,"Morning", TRUE, "Night")</f>
        <v>Morning</v>
      </c>
      <c r="F487" s="28">
        <v>1</v>
      </c>
      <c r="G487" s="28">
        <v>0</v>
      </c>
      <c r="H487" s="28">
        <v>1</v>
      </c>
      <c r="I487" s="28">
        <v>6</v>
      </c>
      <c r="J487" s="40" t="str">
        <f t="shared" si="46"/>
        <v>Weekday</v>
      </c>
      <c r="K487" s="28" t="b">
        <v>0</v>
      </c>
      <c r="L487" s="28">
        <v>2</v>
      </c>
      <c r="M487" s="40" t="str" cm="1">
        <f t="array" ref="M487">_xlfn.IFS(L487=1,"Clear / Partly Cloudy",L487=2,"Mist / Cloudy",L487=3,"Light Snow / Rain",L487=4,"Heavy Precipitation")</f>
        <v>Mist / Cloudy</v>
      </c>
      <c r="N487" s="28">
        <v>0.02</v>
      </c>
      <c r="O487" s="28" t="str">
        <f t="shared" si="47"/>
        <v>Cold</v>
      </c>
      <c r="P487" s="28">
        <v>3.0300000000000001E-2</v>
      </c>
      <c r="Q487" s="38">
        <f t="shared" si="43"/>
        <v>3.0300000000000001E-2</v>
      </c>
      <c r="R487" s="28">
        <v>0.44</v>
      </c>
      <c r="S487" s="28">
        <v>0.22389999999999999</v>
      </c>
      <c r="T487" s="40" t="str" cm="1">
        <f t="array" ref="T487">_xlfn.IFS(S487*18.6&lt;2,"Calm",S487*18.6&lt;6,"Light Breeze",S487*18.6&lt;14,"Gale",TRUE,"Extreme Storm")</f>
        <v>Light Breeze</v>
      </c>
      <c r="U487" s="28">
        <v>0</v>
      </c>
      <c r="V487" s="28">
        <v>2</v>
      </c>
      <c r="W487" s="28">
        <v>2</v>
      </c>
      <c r="X487" s="44">
        <f>AVERAGE(INDEX($W:$W,MAX(ROW($W$3),ROW()-23)):INDEX($W:$W,ROW()))</f>
        <v>64.791666666666671</v>
      </c>
      <c r="Y487" s="44">
        <f>_xlfn.STDEV.S(INDEX($W:$W,MAX(ROW($W$3),ROW()-23)):INDEX($W:$W,ROW()))</f>
        <v>55.948718108380412</v>
      </c>
      <c r="Z487" s="44">
        <f t="shared" si="44"/>
        <v>-1.1223075128375688</v>
      </c>
      <c r="AA487" s="40" t="b">
        <f t="shared" si="42"/>
        <v>0</v>
      </c>
    </row>
    <row r="488" spans="1:27" x14ac:dyDescent="0.3">
      <c r="A488" s="32">
        <v>486</v>
      </c>
      <c r="B488" s="33">
        <v>40565</v>
      </c>
      <c r="C488" s="40" t="str">
        <f t="shared" si="45"/>
        <v>Saturday</v>
      </c>
      <c r="D488" s="28">
        <v>7</v>
      </c>
      <c r="E488" s="40" t="str" cm="1">
        <f t="array" ref="E488">_xlfn.IFS(D488&gt;=21,"Night",D488&gt;=17,"Evening",D488&gt;=12,"Midday",D488&gt;=6,"Morning", TRUE, "Night")</f>
        <v>Morning</v>
      </c>
      <c r="F488" s="28">
        <v>1</v>
      </c>
      <c r="G488" s="28">
        <v>0</v>
      </c>
      <c r="H488" s="28">
        <v>1</v>
      </c>
      <c r="I488" s="28">
        <v>6</v>
      </c>
      <c r="J488" s="40" t="str">
        <f t="shared" si="46"/>
        <v>Weekday</v>
      </c>
      <c r="K488" s="28" t="b">
        <v>0</v>
      </c>
      <c r="L488" s="28">
        <v>1</v>
      </c>
      <c r="M488" s="40" t="str" cm="1">
        <f t="array" ref="M488">_xlfn.IFS(L488=1,"Clear / Partly Cloudy",L488=2,"Mist / Cloudy",L488=3,"Light Snow / Rain",L488=4,"Heavy Precipitation")</f>
        <v>Clear / Partly Cloudy</v>
      </c>
      <c r="N488" s="28">
        <v>0.02</v>
      </c>
      <c r="O488" s="28" t="str">
        <f t="shared" si="47"/>
        <v>Cold</v>
      </c>
      <c r="P488" s="28">
        <v>1.52E-2</v>
      </c>
      <c r="Q488" s="38">
        <f t="shared" si="43"/>
        <v>1.52E-2</v>
      </c>
      <c r="R488" s="28">
        <v>0.44</v>
      </c>
      <c r="S488" s="28">
        <v>0.28360000000000002</v>
      </c>
      <c r="T488" s="40" t="str" cm="1">
        <f t="array" ref="T488">_xlfn.IFS(S488*18.6&lt;2,"Calm",S488*18.6&lt;6,"Light Breeze",S488*18.6&lt;14,"Gale",TRUE,"Extreme Storm")</f>
        <v>Light Breeze</v>
      </c>
      <c r="U488" s="28">
        <v>0</v>
      </c>
      <c r="V488" s="28">
        <v>8</v>
      </c>
      <c r="W488" s="28">
        <v>8</v>
      </c>
      <c r="X488" s="44">
        <f>AVERAGE(INDEX($W:$W,MAX(ROW($W$3),ROW()-23)):INDEX($W:$W,ROW()))</f>
        <v>64</v>
      </c>
      <c r="Y488" s="44">
        <f>_xlfn.STDEV.S(INDEX($W:$W,MAX(ROW($W$3),ROW()-23)):INDEX($W:$W,ROW()))</f>
        <v>56.636906081059749</v>
      </c>
      <c r="Z488" s="44">
        <f t="shared" si="44"/>
        <v>-0.9887545749736365</v>
      </c>
      <c r="AA488" s="40" t="b">
        <f t="shared" si="42"/>
        <v>0</v>
      </c>
    </row>
    <row r="489" spans="1:27" x14ac:dyDescent="0.3">
      <c r="A489" s="32">
        <v>487</v>
      </c>
      <c r="B489" s="33">
        <v>40565</v>
      </c>
      <c r="C489" s="40" t="str">
        <f t="shared" si="45"/>
        <v>Saturday</v>
      </c>
      <c r="D489" s="28">
        <v>8</v>
      </c>
      <c r="E489" s="40" t="str" cm="1">
        <f t="array" ref="E489">_xlfn.IFS(D489&gt;=21,"Night",D489&gt;=17,"Evening",D489&gt;=12,"Midday",D489&gt;=6,"Morning", TRUE, "Night")</f>
        <v>Morning</v>
      </c>
      <c r="F489" s="28">
        <v>1</v>
      </c>
      <c r="G489" s="28">
        <v>0</v>
      </c>
      <c r="H489" s="28">
        <v>1</v>
      </c>
      <c r="I489" s="28">
        <v>6</v>
      </c>
      <c r="J489" s="40" t="str">
        <f t="shared" si="46"/>
        <v>Weekday</v>
      </c>
      <c r="K489" s="28" t="b">
        <v>0</v>
      </c>
      <c r="L489" s="28">
        <v>1</v>
      </c>
      <c r="M489" s="40" t="str" cm="1">
        <f t="array" ref="M489">_xlfn.IFS(L489=1,"Clear / Partly Cloudy",L489=2,"Mist / Cloudy",L489=3,"Light Snow / Rain",L489=4,"Heavy Precipitation")</f>
        <v>Clear / Partly Cloudy</v>
      </c>
      <c r="N489" s="28">
        <v>0.02</v>
      </c>
      <c r="O489" s="28" t="str">
        <f t="shared" si="47"/>
        <v>Cold</v>
      </c>
      <c r="P489" s="28">
        <v>0</v>
      </c>
      <c r="Q489" s="38">
        <f t="shared" si="43"/>
        <v>0</v>
      </c>
      <c r="R489" s="28">
        <v>0.44</v>
      </c>
      <c r="S489" s="28">
        <v>0.32840000000000003</v>
      </c>
      <c r="T489" s="40" t="str" cm="1">
        <f t="array" ref="T489">_xlfn.IFS(S489*18.6&lt;2,"Calm",S489*18.6&lt;6,"Light Breeze",S489*18.6&lt;14,"Gale",TRUE,"Extreme Storm")</f>
        <v>Gale</v>
      </c>
      <c r="U489" s="28">
        <v>1</v>
      </c>
      <c r="V489" s="28">
        <v>26</v>
      </c>
      <c r="W489" s="28">
        <v>27</v>
      </c>
      <c r="X489" s="44">
        <f>AVERAGE(INDEX($W:$W,MAX(ROW($W$3),ROW()-23)):INDEX($W:$W,ROW()))</f>
        <v>62.291666666666664</v>
      </c>
      <c r="Y489" s="44">
        <f>_xlfn.STDEV.S(INDEX($W:$W,MAX(ROW($W$3),ROW()-23)):INDEX($W:$W,ROW()))</f>
        <v>57.127225799405238</v>
      </c>
      <c r="Z489" s="44">
        <f t="shared" si="44"/>
        <v>-0.61777315759369666</v>
      </c>
      <c r="AA489" s="40" t="b">
        <f t="shared" si="42"/>
        <v>0</v>
      </c>
    </row>
    <row r="490" spans="1:27" x14ac:dyDescent="0.3">
      <c r="A490" s="32">
        <v>488</v>
      </c>
      <c r="B490" s="33">
        <v>40565</v>
      </c>
      <c r="C490" s="40" t="str">
        <f t="shared" si="45"/>
        <v>Saturday</v>
      </c>
      <c r="D490" s="28">
        <v>9</v>
      </c>
      <c r="E490" s="40" t="str" cm="1">
        <f t="array" ref="E490">_xlfn.IFS(D490&gt;=21,"Night",D490&gt;=17,"Evening",D490&gt;=12,"Midday",D490&gt;=6,"Morning", TRUE, "Night")</f>
        <v>Morning</v>
      </c>
      <c r="F490" s="28">
        <v>1</v>
      </c>
      <c r="G490" s="28">
        <v>0</v>
      </c>
      <c r="H490" s="28">
        <v>1</v>
      </c>
      <c r="I490" s="28">
        <v>6</v>
      </c>
      <c r="J490" s="40" t="str">
        <f t="shared" si="46"/>
        <v>Weekday</v>
      </c>
      <c r="K490" s="28" t="b">
        <v>0</v>
      </c>
      <c r="L490" s="28">
        <v>1</v>
      </c>
      <c r="M490" s="40" t="str" cm="1">
        <f t="array" ref="M490">_xlfn.IFS(L490=1,"Clear / Partly Cloudy",L490=2,"Mist / Cloudy",L490=3,"Light Snow / Rain",L490=4,"Heavy Precipitation")</f>
        <v>Clear / Partly Cloudy</v>
      </c>
      <c r="N490" s="28">
        <v>0.04</v>
      </c>
      <c r="O490" s="28" t="str">
        <f t="shared" si="47"/>
        <v>Cold</v>
      </c>
      <c r="P490" s="28">
        <v>3.0300000000000001E-2</v>
      </c>
      <c r="Q490" s="38">
        <f t="shared" si="43"/>
        <v>3.0300000000000001E-2</v>
      </c>
      <c r="R490" s="28">
        <v>0.41</v>
      </c>
      <c r="S490" s="28">
        <v>0.25369999999999998</v>
      </c>
      <c r="T490" s="40" t="str" cm="1">
        <f t="array" ref="T490">_xlfn.IFS(S490*18.6&lt;2,"Calm",S490*18.6&lt;6,"Light Breeze",S490*18.6&lt;14,"Gale",TRUE,"Extreme Storm")</f>
        <v>Light Breeze</v>
      </c>
      <c r="U490" s="28">
        <v>3</v>
      </c>
      <c r="V490" s="28">
        <v>37</v>
      </c>
      <c r="W490" s="28">
        <v>40</v>
      </c>
      <c r="X490" s="44">
        <f>AVERAGE(INDEX($W:$W,MAX(ROW($W$3),ROW()-23)):INDEX($W:$W,ROW()))</f>
        <v>54.916666666666664</v>
      </c>
      <c r="Y490" s="44">
        <f>_xlfn.STDEV.S(INDEX($W:$W,MAX(ROW($W$3),ROW()-23)):INDEX($W:$W,ROW()))</f>
        <v>46.773196213835668</v>
      </c>
      <c r="Z490" s="44">
        <f t="shared" si="44"/>
        <v>-0.3189148459829706</v>
      </c>
      <c r="AA490" s="40" t="b">
        <f t="shared" si="42"/>
        <v>0</v>
      </c>
    </row>
    <row r="491" spans="1:27" x14ac:dyDescent="0.3">
      <c r="A491" s="32">
        <v>489</v>
      </c>
      <c r="B491" s="33">
        <v>40565</v>
      </c>
      <c r="C491" s="40" t="str">
        <f t="shared" si="45"/>
        <v>Saturday</v>
      </c>
      <c r="D491" s="28">
        <v>10</v>
      </c>
      <c r="E491" s="40" t="str" cm="1">
        <f t="array" ref="E491">_xlfn.IFS(D491&gt;=21,"Night",D491&gt;=17,"Evening",D491&gt;=12,"Midday",D491&gt;=6,"Morning", TRUE, "Night")</f>
        <v>Morning</v>
      </c>
      <c r="F491" s="28">
        <v>1</v>
      </c>
      <c r="G491" s="28">
        <v>0</v>
      </c>
      <c r="H491" s="28">
        <v>1</v>
      </c>
      <c r="I491" s="28">
        <v>6</v>
      </c>
      <c r="J491" s="40" t="str">
        <f t="shared" si="46"/>
        <v>Weekday</v>
      </c>
      <c r="K491" s="28" t="b">
        <v>0</v>
      </c>
      <c r="L491" s="28">
        <v>2</v>
      </c>
      <c r="M491" s="40" t="str" cm="1">
        <f t="array" ref="M491">_xlfn.IFS(L491=1,"Clear / Partly Cloudy",L491=2,"Mist / Cloudy",L491=3,"Light Snow / Rain",L491=4,"Heavy Precipitation")</f>
        <v>Mist / Cloudy</v>
      </c>
      <c r="N491" s="28">
        <v>0.04</v>
      </c>
      <c r="O491" s="28" t="str">
        <f t="shared" si="47"/>
        <v>Cold</v>
      </c>
      <c r="P491" s="28">
        <v>6.0600000000000001E-2</v>
      </c>
      <c r="Q491" s="38">
        <f t="shared" si="43"/>
        <v>6.0600000000000001E-2</v>
      </c>
      <c r="R491" s="28">
        <v>0.41</v>
      </c>
      <c r="S491" s="28">
        <v>0.16420000000000001</v>
      </c>
      <c r="T491" s="40" t="str" cm="1">
        <f t="array" ref="T491">_xlfn.IFS(S491*18.6&lt;2,"Calm",S491*18.6&lt;6,"Light Breeze",S491*18.6&lt;14,"Gale",TRUE,"Extreme Storm")</f>
        <v>Light Breeze</v>
      </c>
      <c r="U491" s="28">
        <v>3</v>
      </c>
      <c r="V491" s="28">
        <v>50</v>
      </c>
      <c r="W491" s="28">
        <v>53</v>
      </c>
      <c r="X491" s="44">
        <f>AVERAGE(INDEX($W:$W,MAX(ROW($W$3),ROW()-23)):INDEX($W:$W,ROW()))</f>
        <v>50.208333333333336</v>
      </c>
      <c r="Y491" s="44">
        <f>_xlfn.STDEV.S(INDEX($W:$W,MAX(ROW($W$3),ROW()-23)):INDEX($W:$W,ROW()))</f>
        <v>40.351692132685272</v>
      </c>
      <c r="Z491" s="44">
        <f t="shared" si="44"/>
        <v>6.918338535809225E-2</v>
      </c>
      <c r="AA491" s="40" t="b">
        <f t="shared" si="42"/>
        <v>0</v>
      </c>
    </row>
    <row r="492" spans="1:27" x14ac:dyDescent="0.3">
      <c r="A492" s="32">
        <v>490</v>
      </c>
      <c r="B492" s="33">
        <v>40565</v>
      </c>
      <c r="C492" s="40" t="str">
        <f t="shared" si="45"/>
        <v>Saturday</v>
      </c>
      <c r="D492" s="28">
        <v>11</v>
      </c>
      <c r="E492" s="40" t="str" cm="1">
        <f t="array" ref="E492">_xlfn.IFS(D492&gt;=21,"Night",D492&gt;=17,"Evening",D492&gt;=12,"Midday",D492&gt;=6,"Morning", TRUE, "Night")</f>
        <v>Morning</v>
      </c>
      <c r="F492" s="28">
        <v>1</v>
      </c>
      <c r="G492" s="28">
        <v>0</v>
      </c>
      <c r="H492" s="28">
        <v>1</v>
      </c>
      <c r="I492" s="28">
        <v>6</v>
      </c>
      <c r="J492" s="40" t="str">
        <f t="shared" si="46"/>
        <v>Weekday</v>
      </c>
      <c r="K492" s="28" t="b">
        <v>0</v>
      </c>
      <c r="L492" s="28">
        <v>2</v>
      </c>
      <c r="M492" s="40" t="str" cm="1">
        <f t="array" ref="M492">_xlfn.IFS(L492=1,"Clear / Partly Cloudy",L492=2,"Mist / Cloudy",L492=3,"Light Snow / Rain",L492=4,"Heavy Precipitation")</f>
        <v>Mist / Cloudy</v>
      </c>
      <c r="N492" s="28">
        <v>0.06</v>
      </c>
      <c r="O492" s="28" t="str">
        <f t="shared" si="47"/>
        <v>Cold</v>
      </c>
      <c r="P492" s="28">
        <v>7.5800000000000006E-2</v>
      </c>
      <c r="Q492" s="38">
        <f t="shared" si="43"/>
        <v>7.5800000000000006E-2</v>
      </c>
      <c r="R492" s="28">
        <v>0.38</v>
      </c>
      <c r="S492" s="28">
        <v>0.1343</v>
      </c>
      <c r="T492" s="40" t="str" cm="1">
        <f t="array" ref="T492">_xlfn.IFS(S492*18.6&lt;2,"Calm",S492*18.6&lt;6,"Light Breeze",S492*18.6&lt;14,"Gale",TRUE,"Extreme Storm")</f>
        <v>Light Breeze</v>
      </c>
      <c r="U492" s="28">
        <v>4</v>
      </c>
      <c r="V492" s="28">
        <v>59</v>
      </c>
      <c r="W492" s="28">
        <v>63</v>
      </c>
      <c r="X492" s="44">
        <f>AVERAGE(INDEX($W:$W,MAX(ROW($W$3),ROW()-23)):INDEX($W:$W,ROW()))</f>
        <v>50.208333333333336</v>
      </c>
      <c r="Y492" s="44">
        <f>_xlfn.STDEV.S(INDEX($W:$W,MAX(ROW($W$3),ROW()-23)):INDEX($W:$W,ROW()))</f>
        <v>40.351692132685272</v>
      </c>
      <c r="Z492" s="44">
        <f t="shared" si="44"/>
        <v>0.31700446723782588</v>
      </c>
      <c r="AA492" s="40" t="b">
        <f t="shared" si="42"/>
        <v>0</v>
      </c>
    </row>
    <row r="493" spans="1:27" x14ac:dyDescent="0.3">
      <c r="A493" s="32">
        <v>491</v>
      </c>
      <c r="B493" s="33">
        <v>40565</v>
      </c>
      <c r="C493" s="40" t="str">
        <f t="shared" si="45"/>
        <v>Saturday</v>
      </c>
      <c r="D493" s="28">
        <v>12</v>
      </c>
      <c r="E493" s="40" t="str" cm="1">
        <f t="array" ref="E493">_xlfn.IFS(D493&gt;=21,"Night",D493&gt;=17,"Evening",D493&gt;=12,"Midday",D493&gt;=6,"Morning", TRUE, "Night")</f>
        <v>Midday</v>
      </c>
      <c r="F493" s="28">
        <v>1</v>
      </c>
      <c r="G493" s="28">
        <v>0</v>
      </c>
      <c r="H493" s="28">
        <v>1</v>
      </c>
      <c r="I493" s="28">
        <v>6</v>
      </c>
      <c r="J493" s="40" t="str">
        <f t="shared" si="46"/>
        <v>Weekday</v>
      </c>
      <c r="K493" s="28" t="b">
        <v>0</v>
      </c>
      <c r="L493" s="28">
        <v>2</v>
      </c>
      <c r="M493" s="40" t="str" cm="1">
        <f t="array" ref="M493">_xlfn.IFS(L493=1,"Clear / Partly Cloudy",L493=2,"Mist / Cloudy",L493=3,"Light Snow / Rain",L493=4,"Heavy Precipitation")</f>
        <v>Mist / Cloudy</v>
      </c>
      <c r="N493" s="28">
        <v>0.06</v>
      </c>
      <c r="O493" s="28" t="str">
        <f t="shared" si="47"/>
        <v>Cold</v>
      </c>
      <c r="P493" s="28">
        <v>0.1061</v>
      </c>
      <c r="Q493" s="38">
        <f t="shared" si="43"/>
        <v>0.1061</v>
      </c>
      <c r="R493" s="28">
        <v>0.38</v>
      </c>
      <c r="S493" s="28">
        <v>0.1045</v>
      </c>
      <c r="T493" s="40" t="str" cm="1">
        <f t="array" ref="T493">_xlfn.IFS(S493*18.6&lt;2,"Calm",S493*18.6&lt;6,"Light Breeze",S493*18.6&lt;14,"Gale",TRUE,"Extreme Storm")</f>
        <v>Calm</v>
      </c>
      <c r="U493" s="28">
        <v>10</v>
      </c>
      <c r="V493" s="28">
        <v>60</v>
      </c>
      <c r="W493" s="28">
        <v>70</v>
      </c>
      <c r="X493" s="44">
        <f>AVERAGE(INDEX($W:$W,MAX(ROW($W$3),ROW()-23)):INDEX($W:$W,ROW()))</f>
        <v>50.666666666666664</v>
      </c>
      <c r="Y493" s="44">
        <f>_xlfn.STDEV.S(INDEX($W:$W,MAX(ROW($W$3),ROW()-23)):INDEX($W:$W,ROW()))</f>
        <v>40.518022470593706</v>
      </c>
      <c r="Z493" s="44">
        <f t="shared" si="44"/>
        <v>0.47715392199519768</v>
      </c>
      <c r="AA493" s="40" t="b">
        <f t="shared" si="42"/>
        <v>0</v>
      </c>
    </row>
    <row r="494" spans="1:27" x14ac:dyDescent="0.3">
      <c r="A494" s="32">
        <v>492</v>
      </c>
      <c r="B494" s="33">
        <v>40565</v>
      </c>
      <c r="C494" s="40" t="str">
        <f t="shared" si="45"/>
        <v>Saturday</v>
      </c>
      <c r="D494" s="28">
        <v>13</v>
      </c>
      <c r="E494" s="40" t="str" cm="1">
        <f t="array" ref="E494">_xlfn.IFS(D494&gt;=21,"Night",D494&gt;=17,"Evening",D494&gt;=12,"Midday",D494&gt;=6,"Morning", TRUE, "Night")</f>
        <v>Midday</v>
      </c>
      <c r="F494" s="28">
        <v>1</v>
      </c>
      <c r="G494" s="28">
        <v>0</v>
      </c>
      <c r="H494" s="28">
        <v>1</v>
      </c>
      <c r="I494" s="28">
        <v>6</v>
      </c>
      <c r="J494" s="40" t="str">
        <f t="shared" si="46"/>
        <v>Weekday</v>
      </c>
      <c r="K494" s="28" t="b">
        <v>0</v>
      </c>
      <c r="L494" s="28">
        <v>1</v>
      </c>
      <c r="M494" s="40" t="str" cm="1">
        <f t="array" ref="M494">_xlfn.IFS(L494=1,"Clear / Partly Cloudy",L494=2,"Mist / Cloudy",L494=3,"Light Snow / Rain",L494=4,"Heavy Precipitation")</f>
        <v>Clear / Partly Cloudy</v>
      </c>
      <c r="N494" s="28">
        <v>0.08</v>
      </c>
      <c r="O494" s="28" t="str">
        <f t="shared" si="47"/>
        <v>Cold</v>
      </c>
      <c r="P494" s="28">
        <v>0.16669999999999999</v>
      </c>
      <c r="Q494" s="38">
        <f t="shared" si="43"/>
        <v>0.16669999999999999</v>
      </c>
      <c r="R494" s="28">
        <v>0.35</v>
      </c>
      <c r="S494" s="28">
        <v>0</v>
      </c>
      <c r="T494" s="40" t="str" cm="1">
        <f t="array" ref="T494">_xlfn.IFS(S494*18.6&lt;2,"Calm",S494*18.6&lt;6,"Light Breeze",S494*18.6&lt;14,"Gale",TRUE,"Extreme Storm")</f>
        <v>Calm</v>
      </c>
      <c r="U494" s="28">
        <v>12</v>
      </c>
      <c r="V494" s="28">
        <v>72</v>
      </c>
      <c r="W494" s="28">
        <v>84</v>
      </c>
      <c r="X494" s="44">
        <f>AVERAGE(INDEX($W:$W,MAX(ROW($W$3),ROW()-23)):INDEX($W:$W,ROW()))</f>
        <v>50.916666666666664</v>
      </c>
      <c r="Y494" s="44">
        <f>_xlfn.STDEV.S(INDEX($W:$W,MAX(ROW($W$3),ROW()-23)):INDEX($W:$W,ROW()))</f>
        <v>40.712049991283337</v>
      </c>
      <c r="Z494" s="44">
        <f t="shared" si="44"/>
        <v>0.81261772228165008</v>
      </c>
      <c r="AA494" s="40" t="b">
        <f t="shared" si="42"/>
        <v>0</v>
      </c>
    </row>
    <row r="495" spans="1:27" x14ac:dyDescent="0.3">
      <c r="A495" s="32">
        <v>493</v>
      </c>
      <c r="B495" s="33">
        <v>40565</v>
      </c>
      <c r="C495" s="40" t="str">
        <f t="shared" si="45"/>
        <v>Saturday</v>
      </c>
      <c r="D495" s="28">
        <v>14</v>
      </c>
      <c r="E495" s="40" t="str" cm="1">
        <f t="array" ref="E495">_xlfn.IFS(D495&gt;=21,"Night",D495&gt;=17,"Evening",D495&gt;=12,"Midday",D495&gt;=6,"Morning", TRUE, "Night")</f>
        <v>Midday</v>
      </c>
      <c r="F495" s="28">
        <v>1</v>
      </c>
      <c r="G495" s="28">
        <v>0</v>
      </c>
      <c r="H495" s="28">
        <v>1</v>
      </c>
      <c r="I495" s="28">
        <v>6</v>
      </c>
      <c r="J495" s="40" t="str">
        <f t="shared" si="46"/>
        <v>Weekday</v>
      </c>
      <c r="K495" s="28" t="b">
        <v>0</v>
      </c>
      <c r="L495" s="28">
        <v>1</v>
      </c>
      <c r="M495" s="40" t="str" cm="1">
        <f t="array" ref="M495">_xlfn.IFS(L495=1,"Clear / Partly Cloudy",L495=2,"Mist / Cloudy",L495=3,"Light Snow / Rain",L495=4,"Heavy Precipitation")</f>
        <v>Clear / Partly Cloudy</v>
      </c>
      <c r="N495" s="28">
        <v>0.1</v>
      </c>
      <c r="O495" s="28" t="str">
        <f t="shared" si="47"/>
        <v>Cold</v>
      </c>
      <c r="P495" s="28">
        <v>0.13639999999999999</v>
      </c>
      <c r="Q495" s="38">
        <f t="shared" si="43"/>
        <v>0.13639999999999999</v>
      </c>
      <c r="R495" s="28">
        <v>0.33</v>
      </c>
      <c r="S495" s="28">
        <v>0.1045</v>
      </c>
      <c r="T495" s="40" t="str" cm="1">
        <f t="array" ref="T495">_xlfn.IFS(S495*18.6&lt;2,"Calm",S495*18.6&lt;6,"Light Breeze",S495*18.6&lt;14,"Gale",TRUE,"Extreme Storm")</f>
        <v>Calm</v>
      </c>
      <c r="U495" s="28">
        <v>11</v>
      </c>
      <c r="V495" s="28">
        <v>64</v>
      </c>
      <c r="W495" s="28">
        <v>75</v>
      </c>
      <c r="X495" s="44">
        <f>AVERAGE(INDEX($W:$W,MAX(ROW($W$3),ROW()-23)):INDEX($W:$W,ROW()))</f>
        <v>51</v>
      </c>
      <c r="Y495" s="44">
        <f>_xlfn.STDEV.S(INDEX($W:$W,MAX(ROW($W$3),ROW()-23)):INDEX($W:$W,ROW()))</f>
        <v>40.761234780972536</v>
      </c>
      <c r="Z495" s="44">
        <f t="shared" si="44"/>
        <v>0.5887947244229037</v>
      </c>
      <c r="AA495" s="40" t="b">
        <f t="shared" si="42"/>
        <v>0</v>
      </c>
    </row>
    <row r="496" spans="1:27" x14ac:dyDescent="0.3">
      <c r="A496" s="32">
        <v>494</v>
      </c>
      <c r="B496" s="33">
        <v>40565</v>
      </c>
      <c r="C496" s="40" t="str">
        <f t="shared" si="45"/>
        <v>Saturday</v>
      </c>
      <c r="D496" s="28">
        <v>15</v>
      </c>
      <c r="E496" s="40" t="str" cm="1">
        <f t="array" ref="E496">_xlfn.IFS(D496&gt;=21,"Night",D496&gt;=17,"Evening",D496&gt;=12,"Midday",D496&gt;=6,"Morning", TRUE, "Night")</f>
        <v>Midday</v>
      </c>
      <c r="F496" s="28">
        <v>1</v>
      </c>
      <c r="G496" s="28">
        <v>0</v>
      </c>
      <c r="H496" s="28">
        <v>1</v>
      </c>
      <c r="I496" s="28">
        <v>6</v>
      </c>
      <c r="J496" s="40" t="str">
        <f t="shared" si="46"/>
        <v>Weekday</v>
      </c>
      <c r="K496" s="28" t="b">
        <v>0</v>
      </c>
      <c r="L496" s="28">
        <v>1</v>
      </c>
      <c r="M496" s="40" t="str" cm="1">
        <f t="array" ref="M496">_xlfn.IFS(L496=1,"Clear / Partly Cloudy",L496=2,"Mist / Cloudy",L496=3,"Light Snow / Rain",L496=4,"Heavy Precipitation")</f>
        <v>Clear / Partly Cloudy</v>
      </c>
      <c r="N496" s="28">
        <v>0.12</v>
      </c>
      <c r="O496" s="28" t="str">
        <f t="shared" si="47"/>
        <v>Cold</v>
      </c>
      <c r="P496" s="28">
        <v>0.1515</v>
      </c>
      <c r="Q496" s="38">
        <f t="shared" si="43"/>
        <v>0.1515</v>
      </c>
      <c r="R496" s="28">
        <v>0.28000000000000003</v>
      </c>
      <c r="S496" s="28">
        <v>0</v>
      </c>
      <c r="T496" s="40" t="str" cm="1">
        <f t="array" ref="T496">_xlfn.IFS(S496*18.6&lt;2,"Calm",S496*18.6&lt;6,"Light Breeze",S496*18.6&lt;14,"Gale",TRUE,"Extreme Storm")</f>
        <v>Calm</v>
      </c>
      <c r="U496" s="28">
        <v>10</v>
      </c>
      <c r="V496" s="28">
        <v>93</v>
      </c>
      <c r="W496" s="28">
        <v>103</v>
      </c>
      <c r="X496" s="44">
        <f>AVERAGE(INDEX($W:$W,MAX(ROW($W$3),ROW()-23)):INDEX($W:$W,ROW()))</f>
        <v>52.708333333333336</v>
      </c>
      <c r="Y496" s="44">
        <f>_xlfn.STDEV.S(INDEX($W:$W,MAX(ROW($W$3),ROW()-23)):INDEX($W:$W,ROW()))</f>
        <v>42.080129738875328</v>
      </c>
      <c r="Z496" s="44">
        <f t="shared" si="44"/>
        <v>1.1951404850400256</v>
      </c>
      <c r="AA496" s="40" t="b">
        <f t="shared" si="42"/>
        <v>0</v>
      </c>
    </row>
    <row r="497" spans="1:27" x14ac:dyDescent="0.3">
      <c r="A497" s="32">
        <v>495</v>
      </c>
      <c r="B497" s="33">
        <v>40565</v>
      </c>
      <c r="C497" s="40" t="str">
        <f t="shared" si="45"/>
        <v>Saturday</v>
      </c>
      <c r="D497" s="28">
        <v>16</v>
      </c>
      <c r="E497" s="40" t="str" cm="1">
        <f t="array" ref="E497">_xlfn.IFS(D497&gt;=21,"Night",D497&gt;=17,"Evening",D497&gt;=12,"Midday",D497&gt;=6,"Morning", TRUE, "Night")</f>
        <v>Midday</v>
      </c>
      <c r="F497" s="28">
        <v>1</v>
      </c>
      <c r="G497" s="28">
        <v>0</v>
      </c>
      <c r="H497" s="28">
        <v>1</v>
      </c>
      <c r="I497" s="28">
        <v>6</v>
      </c>
      <c r="J497" s="40" t="str">
        <f t="shared" si="46"/>
        <v>Weekday</v>
      </c>
      <c r="K497" s="28" t="b">
        <v>0</v>
      </c>
      <c r="L497" s="28">
        <v>1</v>
      </c>
      <c r="M497" s="40" t="str" cm="1">
        <f t="array" ref="M497">_xlfn.IFS(L497=1,"Clear / Partly Cloudy",L497=2,"Mist / Cloudy",L497=3,"Light Snow / Rain",L497=4,"Heavy Precipitation")</f>
        <v>Clear / Partly Cloudy</v>
      </c>
      <c r="N497" s="28">
        <v>0.12</v>
      </c>
      <c r="O497" s="28" t="str">
        <f t="shared" si="47"/>
        <v>Cold</v>
      </c>
      <c r="P497" s="28">
        <v>0.13639999999999999</v>
      </c>
      <c r="Q497" s="38">
        <f t="shared" si="43"/>
        <v>0.13639999999999999</v>
      </c>
      <c r="R497" s="28">
        <v>0.28000000000000003</v>
      </c>
      <c r="S497" s="28">
        <v>0.19400000000000001</v>
      </c>
      <c r="T497" s="40" t="str" cm="1">
        <f t="array" ref="T497">_xlfn.IFS(S497*18.6&lt;2,"Calm",S497*18.6&lt;6,"Light Breeze",S497*18.6&lt;14,"Gale",TRUE,"Extreme Storm")</f>
        <v>Light Breeze</v>
      </c>
      <c r="U497" s="28">
        <v>11</v>
      </c>
      <c r="V497" s="28">
        <v>72</v>
      </c>
      <c r="W497" s="28">
        <v>83</v>
      </c>
      <c r="X497" s="44">
        <f>AVERAGE(INDEX($W:$W,MAX(ROW($W$3),ROW()-23)):INDEX($W:$W,ROW()))</f>
        <v>53.458333333333336</v>
      </c>
      <c r="Y497" s="44">
        <f>_xlfn.STDEV.S(INDEX($W:$W,MAX(ROW($W$3),ROW()-23)):INDEX($W:$W,ROW()))</f>
        <v>42.467357455760798</v>
      </c>
      <c r="Z497" s="44">
        <f t="shared" si="44"/>
        <v>0.69563232648607543</v>
      </c>
      <c r="AA497" s="40" t="b">
        <f t="shared" si="42"/>
        <v>0</v>
      </c>
    </row>
    <row r="498" spans="1:27" x14ac:dyDescent="0.3">
      <c r="A498" s="32">
        <v>496</v>
      </c>
      <c r="B498" s="33">
        <v>40565</v>
      </c>
      <c r="C498" s="40" t="str">
        <f t="shared" si="45"/>
        <v>Saturday</v>
      </c>
      <c r="D498" s="28">
        <v>17</v>
      </c>
      <c r="E498" s="40" t="str" cm="1">
        <f t="array" ref="E498">_xlfn.IFS(D498&gt;=21,"Night",D498&gt;=17,"Evening",D498&gt;=12,"Midday",D498&gt;=6,"Morning", TRUE, "Night")</f>
        <v>Evening</v>
      </c>
      <c r="F498" s="28">
        <v>1</v>
      </c>
      <c r="G498" s="28">
        <v>0</v>
      </c>
      <c r="H498" s="28">
        <v>1</v>
      </c>
      <c r="I498" s="28">
        <v>6</v>
      </c>
      <c r="J498" s="40" t="str">
        <f t="shared" si="46"/>
        <v>Weekday</v>
      </c>
      <c r="K498" s="28" t="b">
        <v>0</v>
      </c>
      <c r="L498" s="28">
        <v>1</v>
      </c>
      <c r="M498" s="40" t="str" cm="1">
        <f t="array" ref="M498">_xlfn.IFS(L498=1,"Clear / Partly Cloudy",L498=2,"Mist / Cloudy",L498=3,"Light Snow / Rain",L498=4,"Heavy Precipitation")</f>
        <v>Clear / Partly Cloudy</v>
      </c>
      <c r="N498" s="28">
        <v>0.12</v>
      </c>
      <c r="O498" s="28" t="str">
        <f t="shared" si="47"/>
        <v>Cold</v>
      </c>
      <c r="P498" s="28">
        <v>0.19700000000000001</v>
      </c>
      <c r="Q498" s="38">
        <f t="shared" si="43"/>
        <v>0.19700000000000001</v>
      </c>
      <c r="R498" s="28">
        <v>0.28000000000000003</v>
      </c>
      <c r="S498" s="28">
        <v>0</v>
      </c>
      <c r="T498" s="40" t="str" cm="1">
        <f t="array" ref="T498">_xlfn.IFS(S498*18.6&lt;2,"Calm",S498*18.6&lt;6,"Light Breeze",S498*18.6&lt;14,"Gale",TRUE,"Extreme Storm")</f>
        <v>Calm</v>
      </c>
      <c r="U498" s="28">
        <v>8</v>
      </c>
      <c r="V498" s="28">
        <v>59</v>
      </c>
      <c r="W498" s="28">
        <v>67</v>
      </c>
      <c r="X498" s="44">
        <f>AVERAGE(INDEX($W:$W,MAX(ROW($W$3),ROW()-23)):INDEX($W:$W,ROW()))</f>
        <v>52.208333333333336</v>
      </c>
      <c r="Y498" s="44">
        <f>_xlfn.STDEV.S(INDEX($W:$W,MAX(ROW($W$3),ROW()-23)):INDEX($W:$W,ROW()))</f>
        <v>41.561875472043162</v>
      </c>
      <c r="Z498" s="44">
        <f t="shared" si="44"/>
        <v>0.35589507207431881</v>
      </c>
      <c r="AA498" s="40" t="b">
        <f t="shared" si="42"/>
        <v>0</v>
      </c>
    </row>
    <row r="499" spans="1:27" x14ac:dyDescent="0.3">
      <c r="A499" s="32">
        <v>497</v>
      </c>
      <c r="B499" s="33">
        <v>40565</v>
      </c>
      <c r="C499" s="40" t="str">
        <f t="shared" si="45"/>
        <v>Saturday</v>
      </c>
      <c r="D499" s="28">
        <v>18</v>
      </c>
      <c r="E499" s="40" t="str" cm="1">
        <f t="array" ref="E499">_xlfn.IFS(D499&gt;=21,"Night",D499&gt;=17,"Evening",D499&gt;=12,"Midday",D499&gt;=6,"Morning", TRUE, "Night")</f>
        <v>Evening</v>
      </c>
      <c r="F499" s="28">
        <v>1</v>
      </c>
      <c r="G499" s="28">
        <v>0</v>
      </c>
      <c r="H499" s="28">
        <v>1</v>
      </c>
      <c r="I499" s="28">
        <v>6</v>
      </c>
      <c r="J499" s="40" t="str">
        <f t="shared" si="46"/>
        <v>Weekday</v>
      </c>
      <c r="K499" s="28" t="b">
        <v>0</v>
      </c>
      <c r="L499" s="28">
        <v>1</v>
      </c>
      <c r="M499" s="40" t="str" cm="1">
        <f t="array" ref="M499">_xlfn.IFS(L499=1,"Clear / Partly Cloudy",L499=2,"Mist / Cloudy",L499=3,"Light Snow / Rain",L499=4,"Heavy Precipitation")</f>
        <v>Clear / Partly Cloudy</v>
      </c>
      <c r="N499" s="28">
        <v>0.08</v>
      </c>
      <c r="O499" s="28" t="str">
        <f t="shared" si="47"/>
        <v>Cold</v>
      </c>
      <c r="P499" s="28">
        <v>9.0899999999999995E-2</v>
      </c>
      <c r="Q499" s="38">
        <f t="shared" si="43"/>
        <v>9.0899999999999995E-2</v>
      </c>
      <c r="R499" s="28">
        <v>0.35</v>
      </c>
      <c r="S499" s="28">
        <v>0.19400000000000001</v>
      </c>
      <c r="T499" s="40" t="str" cm="1">
        <f t="array" ref="T499">_xlfn.IFS(S499*18.6&lt;2,"Calm",S499*18.6&lt;6,"Light Breeze",S499*18.6&lt;14,"Gale",TRUE,"Extreme Storm")</f>
        <v>Light Breeze</v>
      </c>
      <c r="U499" s="28">
        <v>0</v>
      </c>
      <c r="V499" s="28">
        <v>54</v>
      </c>
      <c r="W499" s="28">
        <v>54</v>
      </c>
      <c r="X499" s="44">
        <f>AVERAGE(INDEX($W:$W,MAX(ROW($W$3),ROW()-23)):INDEX($W:$W,ROW()))</f>
        <v>47.75</v>
      </c>
      <c r="Y499" s="44">
        <f>_xlfn.STDEV.S(INDEX($W:$W,MAX(ROW($W$3),ROW()-23)):INDEX($W:$W,ROW()))</f>
        <v>34.528186343535523</v>
      </c>
      <c r="Z499" s="44">
        <f t="shared" si="44"/>
        <v>0.18101153468693976</v>
      </c>
      <c r="AA499" s="40" t="b">
        <f t="shared" si="42"/>
        <v>0</v>
      </c>
    </row>
    <row r="500" spans="1:27" x14ac:dyDescent="0.3">
      <c r="A500" s="32">
        <v>498</v>
      </c>
      <c r="B500" s="33">
        <v>40565</v>
      </c>
      <c r="C500" s="40" t="str">
        <f t="shared" si="45"/>
        <v>Saturday</v>
      </c>
      <c r="D500" s="28">
        <v>19</v>
      </c>
      <c r="E500" s="40" t="str" cm="1">
        <f t="array" ref="E500">_xlfn.IFS(D500&gt;=21,"Night",D500&gt;=17,"Evening",D500&gt;=12,"Midday",D500&gt;=6,"Morning", TRUE, "Night")</f>
        <v>Evening</v>
      </c>
      <c r="F500" s="28">
        <v>1</v>
      </c>
      <c r="G500" s="28">
        <v>0</v>
      </c>
      <c r="H500" s="28">
        <v>1</v>
      </c>
      <c r="I500" s="28">
        <v>6</v>
      </c>
      <c r="J500" s="40" t="str">
        <f t="shared" si="46"/>
        <v>Weekday</v>
      </c>
      <c r="K500" s="28" t="b">
        <v>0</v>
      </c>
      <c r="L500" s="28">
        <v>1</v>
      </c>
      <c r="M500" s="40" t="str" cm="1">
        <f t="array" ref="M500">_xlfn.IFS(L500=1,"Clear / Partly Cloudy",L500=2,"Mist / Cloudy",L500=3,"Light Snow / Rain",L500=4,"Heavy Precipitation")</f>
        <v>Clear / Partly Cloudy</v>
      </c>
      <c r="N500" s="28">
        <v>0.08</v>
      </c>
      <c r="O500" s="28" t="str">
        <f t="shared" si="47"/>
        <v>Cold</v>
      </c>
      <c r="P500" s="28">
        <v>0.1061</v>
      </c>
      <c r="Q500" s="38">
        <f t="shared" si="43"/>
        <v>0.1061</v>
      </c>
      <c r="R500" s="28">
        <v>0.35</v>
      </c>
      <c r="S500" s="28">
        <v>0.1343</v>
      </c>
      <c r="T500" s="40" t="str" cm="1">
        <f t="array" ref="T500">_xlfn.IFS(S500*18.6&lt;2,"Calm",S500*18.6&lt;6,"Light Breeze",S500*18.6&lt;14,"Gale",TRUE,"Extreme Storm")</f>
        <v>Light Breeze</v>
      </c>
      <c r="U500" s="28">
        <v>6</v>
      </c>
      <c r="V500" s="28">
        <v>53</v>
      </c>
      <c r="W500" s="28">
        <v>59</v>
      </c>
      <c r="X500" s="44">
        <f>AVERAGE(INDEX($W:$W,MAX(ROW($W$3),ROW()-23)):INDEX($W:$W,ROW()))</f>
        <v>45.208333333333336</v>
      </c>
      <c r="Y500" s="44">
        <f>_xlfn.STDEV.S(INDEX($W:$W,MAX(ROW($W$3),ROW()-23)):INDEX($W:$W,ROW()))</f>
        <v>31.048320218746088</v>
      </c>
      <c r="Z500" s="44">
        <f t="shared" si="44"/>
        <v>0.44420009100330171</v>
      </c>
      <c r="AA500" s="40" t="b">
        <f t="shared" si="42"/>
        <v>0</v>
      </c>
    </row>
    <row r="501" spans="1:27" x14ac:dyDescent="0.3">
      <c r="A501" s="32">
        <v>499</v>
      </c>
      <c r="B501" s="33">
        <v>40565</v>
      </c>
      <c r="C501" s="40" t="str">
        <f t="shared" si="45"/>
        <v>Saturday</v>
      </c>
      <c r="D501" s="28">
        <v>20</v>
      </c>
      <c r="E501" s="40" t="str" cm="1">
        <f t="array" ref="E501">_xlfn.IFS(D501&gt;=21,"Night",D501&gt;=17,"Evening",D501&gt;=12,"Midday",D501&gt;=6,"Morning", TRUE, "Night")</f>
        <v>Evening</v>
      </c>
      <c r="F501" s="28">
        <v>1</v>
      </c>
      <c r="G501" s="28">
        <v>0</v>
      </c>
      <c r="H501" s="28">
        <v>1</v>
      </c>
      <c r="I501" s="28">
        <v>6</v>
      </c>
      <c r="J501" s="40" t="str">
        <f t="shared" si="46"/>
        <v>Weekday</v>
      </c>
      <c r="K501" s="28" t="b">
        <v>0</v>
      </c>
      <c r="L501" s="28">
        <v>1</v>
      </c>
      <c r="M501" s="40" t="str" cm="1">
        <f t="array" ref="M501">_xlfn.IFS(L501=1,"Clear / Partly Cloudy",L501=2,"Mist / Cloudy",L501=3,"Light Snow / Rain",L501=4,"Heavy Precipitation")</f>
        <v>Clear / Partly Cloudy</v>
      </c>
      <c r="N501" s="28">
        <v>0.06</v>
      </c>
      <c r="O501" s="28" t="str">
        <f t="shared" si="47"/>
        <v>Cold</v>
      </c>
      <c r="P501" s="28">
        <v>7.5800000000000006E-2</v>
      </c>
      <c r="Q501" s="38">
        <f t="shared" si="43"/>
        <v>7.5800000000000006E-2</v>
      </c>
      <c r="R501" s="28">
        <v>0.45</v>
      </c>
      <c r="S501" s="28">
        <v>0.16420000000000001</v>
      </c>
      <c r="T501" s="40" t="str" cm="1">
        <f t="array" ref="T501">_xlfn.IFS(S501*18.6&lt;2,"Calm",S501*18.6&lt;6,"Light Breeze",S501*18.6&lt;14,"Gale",TRUE,"Extreme Storm")</f>
        <v>Light Breeze</v>
      </c>
      <c r="U501" s="28">
        <v>1</v>
      </c>
      <c r="V501" s="28">
        <v>44</v>
      </c>
      <c r="W501" s="28">
        <v>45</v>
      </c>
      <c r="X501" s="44">
        <f>AVERAGE(INDEX($W:$W,MAX(ROW($W$3),ROW()-23)):INDEX($W:$W,ROW()))</f>
        <v>43.083333333333336</v>
      </c>
      <c r="Y501" s="44">
        <f>_xlfn.STDEV.S(INDEX($W:$W,MAX(ROW($W$3),ROW()-23)):INDEX($W:$W,ROW()))</f>
        <v>29.105380746621357</v>
      </c>
      <c r="Z501" s="44">
        <f t="shared" si="44"/>
        <v>6.5852657395287881E-2</v>
      </c>
      <c r="AA501" s="40" t="b">
        <f t="shared" si="42"/>
        <v>0</v>
      </c>
    </row>
    <row r="502" spans="1:27" x14ac:dyDescent="0.3">
      <c r="A502" s="32">
        <v>500</v>
      </c>
      <c r="B502" s="33">
        <v>40565</v>
      </c>
      <c r="C502" s="40" t="str">
        <f t="shared" si="45"/>
        <v>Saturday</v>
      </c>
      <c r="D502" s="28">
        <v>21</v>
      </c>
      <c r="E502" s="40" t="str" cm="1">
        <f t="array" ref="E502">_xlfn.IFS(D502&gt;=21,"Night",D502&gt;=17,"Evening",D502&gt;=12,"Midday",D502&gt;=6,"Morning", TRUE, "Night")</f>
        <v>Night</v>
      </c>
      <c r="F502" s="28">
        <v>1</v>
      </c>
      <c r="G502" s="28">
        <v>0</v>
      </c>
      <c r="H502" s="28">
        <v>1</v>
      </c>
      <c r="I502" s="28">
        <v>6</v>
      </c>
      <c r="J502" s="40" t="str">
        <f t="shared" si="46"/>
        <v>Weekday</v>
      </c>
      <c r="K502" s="28" t="b">
        <v>0</v>
      </c>
      <c r="L502" s="28">
        <v>1</v>
      </c>
      <c r="M502" s="40" t="str" cm="1">
        <f t="array" ref="M502">_xlfn.IFS(L502=1,"Clear / Partly Cloudy",L502=2,"Mist / Cloudy",L502=3,"Light Snow / Rain",L502=4,"Heavy Precipitation")</f>
        <v>Clear / Partly Cloudy</v>
      </c>
      <c r="N502" s="28">
        <v>0.06</v>
      </c>
      <c r="O502" s="28" t="str">
        <f t="shared" si="47"/>
        <v>Cold</v>
      </c>
      <c r="P502" s="28">
        <v>0.1061</v>
      </c>
      <c r="Q502" s="38">
        <f t="shared" si="43"/>
        <v>0.1061</v>
      </c>
      <c r="R502" s="28">
        <v>0.41</v>
      </c>
      <c r="S502" s="28">
        <v>8.9599999999999999E-2</v>
      </c>
      <c r="T502" s="40" t="str" cm="1">
        <f t="array" ref="T502">_xlfn.IFS(S502*18.6&lt;2,"Calm",S502*18.6&lt;6,"Light Breeze",S502*18.6&lt;14,"Gale",TRUE,"Extreme Storm")</f>
        <v>Calm</v>
      </c>
      <c r="U502" s="28">
        <v>0</v>
      </c>
      <c r="V502" s="28">
        <v>39</v>
      </c>
      <c r="W502" s="28">
        <v>39</v>
      </c>
      <c r="X502" s="44">
        <f>AVERAGE(INDEX($W:$W,MAX(ROW($W$3),ROW()-23)):INDEX($W:$W,ROW()))</f>
        <v>42.5</v>
      </c>
      <c r="Y502" s="44">
        <f>_xlfn.STDEV.S(INDEX($W:$W,MAX(ROW($W$3),ROW()-23)):INDEX($W:$W,ROW()))</f>
        <v>29.038205717715201</v>
      </c>
      <c r="Z502" s="44">
        <f t="shared" si="44"/>
        <v>-0.12053086316778766</v>
      </c>
      <c r="AA502" s="40" t="b">
        <f t="shared" si="42"/>
        <v>0</v>
      </c>
    </row>
    <row r="503" spans="1:27" x14ac:dyDescent="0.3">
      <c r="A503" s="32">
        <v>501</v>
      </c>
      <c r="B503" s="33">
        <v>40565</v>
      </c>
      <c r="C503" s="40" t="str">
        <f t="shared" si="45"/>
        <v>Saturday</v>
      </c>
      <c r="D503" s="28">
        <v>22</v>
      </c>
      <c r="E503" s="40" t="str" cm="1">
        <f t="array" ref="E503">_xlfn.IFS(D503&gt;=21,"Night",D503&gt;=17,"Evening",D503&gt;=12,"Midday",D503&gt;=6,"Morning", TRUE, "Night")</f>
        <v>Night</v>
      </c>
      <c r="F503" s="28">
        <v>1</v>
      </c>
      <c r="G503" s="28">
        <v>0</v>
      </c>
      <c r="H503" s="28">
        <v>1</v>
      </c>
      <c r="I503" s="28">
        <v>6</v>
      </c>
      <c r="J503" s="40" t="str">
        <f t="shared" si="46"/>
        <v>Weekday</v>
      </c>
      <c r="K503" s="28" t="b">
        <v>0</v>
      </c>
      <c r="L503" s="28">
        <v>1</v>
      </c>
      <c r="M503" s="40" t="str" cm="1">
        <f t="array" ref="M503">_xlfn.IFS(L503=1,"Clear / Partly Cloudy",L503=2,"Mist / Cloudy",L503=3,"Light Snow / Rain",L503=4,"Heavy Precipitation")</f>
        <v>Clear / Partly Cloudy</v>
      </c>
      <c r="N503" s="28">
        <v>0.06</v>
      </c>
      <c r="O503" s="28" t="str">
        <f t="shared" si="47"/>
        <v>Cold</v>
      </c>
      <c r="P503" s="28">
        <v>0.1515</v>
      </c>
      <c r="Q503" s="38">
        <f t="shared" si="43"/>
        <v>0.1515</v>
      </c>
      <c r="R503" s="28">
        <v>0.49</v>
      </c>
      <c r="S503" s="28">
        <v>0</v>
      </c>
      <c r="T503" s="40" t="str" cm="1">
        <f t="array" ref="T503">_xlfn.IFS(S503*18.6&lt;2,"Calm",S503*18.6&lt;6,"Light Breeze",S503*18.6&lt;14,"Gale",TRUE,"Extreme Storm")</f>
        <v>Calm</v>
      </c>
      <c r="U503" s="28">
        <v>7</v>
      </c>
      <c r="V503" s="28">
        <v>23</v>
      </c>
      <c r="W503" s="28">
        <v>30</v>
      </c>
      <c r="X503" s="44">
        <f>AVERAGE(INDEX($W:$W,MAX(ROW($W$3),ROW()-23)):INDEX($W:$W,ROW()))</f>
        <v>42.041666666666664</v>
      </c>
      <c r="Y503" s="44">
        <f>_xlfn.STDEV.S(INDEX($W:$W,MAX(ROW($W$3),ROW()-23)):INDEX($W:$W,ROW()))</f>
        <v>29.149508410601204</v>
      </c>
      <c r="Z503" s="44">
        <f t="shared" si="44"/>
        <v>-0.41310016268704225</v>
      </c>
      <c r="AA503" s="40" t="b">
        <f t="shared" si="42"/>
        <v>0</v>
      </c>
    </row>
    <row r="504" spans="1:27" x14ac:dyDescent="0.3">
      <c r="A504" s="32">
        <v>502</v>
      </c>
      <c r="B504" s="33">
        <v>40565</v>
      </c>
      <c r="C504" s="40" t="str">
        <f t="shared" si="45"/>
        <v>Saturday</v>
      </c>
      <c r="D504" s="28">
        <v>23</v>
      </c>
      <c r="E504" s="40" t="str" cm="1">
        <f t="array" ref="E504">_xlfn.IFS(D504&gt;=21,"Night",D504&gt;=17,"Evening",D504&gt;=12,"Midday",D504&gt;=6,"Morning", TRUE, "Night")</f>
        <v>Night</v>
      </c>
      <c r="F504" s="28">
        <v>1</v>
      </c>
      <c r="G504" s="28">
        <v>0</v>
      </c>
      <c r="H504" s="28">
        <v>1</v>
      </c>
      <c r="I504" s="28">
        <v>6</v>
      </c>
      <c r="J504" s="40" t="str">
        <f t="shared" si="46"/>
        <v>Weekday</v>
      </c>
      <c r="K504" s="28" t="b">
        <v>0</v>
      </c>
      <c r="L504" s="28">
        <v>1</v>
      </c>
      <c r="M504" s="40" t="str" cm="1">
        <f t="array" ref="M504">_xlfn.IFS(L504=1,"Clear / Partly Cloudy",L504=2,"Mist / Cloudy",L504=3,"Light Snow / Rain",L504=4,"Heavy Precipitation")</f>
        <v>Clear / Partly Cloudy</v>
      </c>
      <c r="N504" s="28">
        <v>0.04</v>
      </c>
      <c r="O504" s="28" t="str">
        <f t="shared" si="47"/>
        <v>Cold</v>
      </c>
      <c r="P504" s="28">
        <v>7.5800000000000006E-2</v>
      </c>
      <c r="Q504" s="38">
        <f t="shared" si="43"/>
        <v>7.5800000000000006E-2</v>
      </c>
      <c r="R504" s="28">
        <v>0.56999999999999995</v>
      </c>
      <c r="S504" s="28">
        <v>0.1045</v>
      </c>
      <c r="T504" s="40" t="str" cm="1">
        <f t="array" ref="T504">_xlfn.IFS(S504*18.6&lt;2,"Calm",S504*18.6&lt;6,"Light Breeze",S504*18.6&lt;14,"Gale",TRUE,"Extreme Storm")</f>
        <v>Calm</v>
      </c>
      <c r="U504" s="28">
        <v>2</v>
      </c>
      <c r="V504" s="28">
        <v>31</v>
      </c>
      <c r="W504" s="28">
        <v>33</v>
      </c>
      <c r="X504" s="44">
        <f>AVERAGE(INDEX($W:$W,MAX(ROW($W$3),ROW()-23)):INDEX($W:$W,ROW()))</f>
        <v>42</v>
      </c>
      <c r="Y504" s="44">
        <f>_xlfn.STDEV.S(INDEX($W:$W,MAX(ROW($W$3),ROW()-23)):INDEX($W:$W,ROW()))</f>
        <v>29.162214981182338</v>
      </c>
      <c r="Z504" s="44">
        <f t="shared" si="44"/>
        <v>-0.30861853277631618</v>
      </c>
      <c r="AA504" s="40" t="b">
        <f t="shared" si="42"/>
        <v>0</v>
      </c>
    </row>
    <row r="505" spans="1:27" x14ac:dyDescent="0.3">
      <c r="A505" s="32">
        <v>503</v>
      </c>
      <c r="B505" s="33">
        <v>40566</v>
      </c>
      <c r="C505" s="40" t="str">
        <f t="shared" si="45"/>
        <v>Sunday</v>
      </c>
      <c r="D505" s="28">
        <v>0</v>
      </c>
      <c r="E505" s="40" t="str" cm="1">
        <f t="array" ref="E505">_xlfn.IFS(D505&gt;=21,"Night",D505&gt;=17,"Evening",D505&gt;=12,"Midday",D505&gt;=6,"Morning", TRUE, "Night")</f>
        <v>Night</v>
      </c>
      <c r="F505" s="28">
        <v>1</v>
      </c>
      <c r="G505" s="28">
        <v>0</v>
      </c>
      <c r="H505" s="28">
        <v>1</v>
      </c>
      <c r="I505" s="28">
        <v>0</v>
      </c>
      <c r="J505" s="40" t="str">
        <f t="shared" si="46"/>
        <v>Weekday</v>
      </c>
      <c r="K505" s="28" t="b">
        <v>0</v>
      </c>
      <c r="L505" s="28">
        <v>1</v>
      </c>
      <c r="M505" s="40" t="str" cm="1">
        <f t="array" ref="M505">_xlfn.IFS(L505=1,"Clear / Partly Cloudy",L505=2,"Mist / Cloudy",L505=3,"Light Snow / Rain",L505=4,"Heavy Precipitation")</f>
        <v>Clear / Partly Cloudy</v>
      </c>
      <c r="N505" s="28">
        <v>0.04</v>
      </c>
      <c r="O505" s="28" t="str">
        <f t="shared" si="47"/>
        <v>Cold</v>
      </c>
      <c r="P505" s="28">
        <v>7.5800000000000006E-2</v>
      </c>
      <c r="Q505" s="38">
        <f t="shared" si="43"/>
        <v>7.5800000000000006E-2</v>
      </c>
      <c r="R505" s="28">
        <v>0.56999999999999995</v>
      </c>
      <c r="S505" s="28">
        <v>0.1045</v>
      </c>
      <c r="T505" s="40" t="str" cm="1">
        <f t="array" ref="T505">_xlfn.IFS(S505*18.6&lt;2,"Calm",S505*18.6&lt;6,"Light Breeze",S505*18.6&lt;14,"Gale",TRUE,"Extreme Storm")</f>
        <v>Calm</v>
      </c>
      <c r="U505" s="28">
        <v>2</v>
      </c>
      <c r="V505" s="28">
        <v>20</v>
      </c>
      <c r="W505" s="28">
        <v>22</v>
      </c>
      <c r="X505" s="44">
        <f>AVERAGE(INDEX($W:$W,MAX(ROW($W$3),ROW()-23)):INDEX($W:$W,ROW()))</f>
        <v>41.791666666666664</v>
      </c>
      <c r="Y505" s="44">
        <f>_xlfn.STDEV.S(INDEX($W:$W,MAX(ROW($W$3),ROW()-23)):INDEX($W:$W,ROW()))</f>
        <v>29.291606108334129</v>
      </c>
      <c r="Z505" s="44">
        <f t="shared" si="44"/>
        <v>-0.67567707258754528</v>
      </c>
      <c r="AA505" s="40" t="b">
        <f t="shared" si="42"/>
        <v>0</v>
      </c>
    </row>
    <row r="506" spans="1:27" x14ac:dyDescent="0.3">
      <c r="A506" s="32">
        <v>504</v>
      </c>
      <c r="B506" s="33">
        <v>40566</v>
      </c>
      <c r="C506" s="40" t="str">
        <f t="shared" si="45"/>
        <v>Sunday</v>
      </c>
      <c r="D506" s="28">
        <v>1</v>
      </c>
      <c r="E506" s="40" t="str" cm="1">
        <f t="array" ref="E506">_xlfn.IFS(D506&gt;=21,"Night",D506&gt;=17,"Evening",D506&gt;=12,"Midday",D506&gt;=6,"Morning", TRUE, "Night")</f>
        <v>Night</v>
      </c>
      <c r="F506" s="28">
        <v>1</v>
      </c>
      <c r="G506" s="28">
        <v>0</v>
      </c>
      <c r="H506" s="28">
        <v>1</v>
      </c>
      <c r="I506" s="28">
        <v>0</v>
      </c>
      <c r="J506" s="40" t="str">
        <f t="shared" si="46"/>
        <v>Weekday</v>
      </c>
      <c r="K506" s="28" t="b">
        <v>0</v>
      </c>
      <c r="L506" s="28">
        <v>1</v>
      </c>
      <c r="M506" s="40" t="str" cm="1">
        <f t="array" ref="M506">_xlfn.IFS(L506=1,"Clear / Partly Cloudy",L506=2,"Mist / Cloudy",L506=3,"Light Snow / Rain",L506=4,"Heavy Precipitation")</f>
        <v>Clear / Partly Cloudy</v>
      </c>
      <c r="N506" s="28">
        <v>0.04</v>
      </c>
      <c r="O506" s="28" t="str">
        <f t="shared" si="47"/>
        <v>Cold</v>
      </c>
      <c r="P506" s="28">
        <v>7.5800000000000006E-2</v>
      </c>
      <c r="Q506" s="38">
        <f t="shared" si="43"/>
        <v>7.5800000000000006E-2</v>
      </c>
      <c r="R506" s="28">
        <v>0.56999999999999995</v>
      </c>
      <c r="S506" s="28">
        <v>0.1045</v>
      </c>
      <c r="T506" s="40" t="str" cm="1">
        <f t="array" ref="T506">_xlfn.IFS(S506*18.6&lt;2,"Calm",S506*18.6&lt;6,"Light Breeze",S506*18.6&lt;14,"Gale",TRUE,"Extreme Storm")</f>
        <v>Calm</v>
      </c>
      <c r="U506" s="28">
        <v>1</v>
      </c>
      <c r="V506" s="28">
        <v>12</v>
      </c>
      <c r="W506" s="28">
        <v>13</v>
      </c>
      <c r="X506" s="44">
        <f>AVERAGE(INDEX($W:$W,MAX(ROW($W$3),ROW()-23)):INDEX($W:$W,ROW()))</f>
        <v>41.791666666666664</v>
      </c>
      <c r="Y506" s="44">
        <f>_xlfn.STDEV.S(INDEX($W:$W,MAX(ROW($W$3),ROW()-23)):INDEX($W:$W,ROW()))</f>
        <v>29.291606108334129</v>
      </c>
      <c r="Z506" s="44">
        <f t="shared" si="44"/>
        <v>-0.98293233085893439</v>
      </c>
      <c r="AA506" s="40" t="b">
        <f t="shared" si="42"/>
        <v>0</v>
      </c>
    </row>
    <row r="507" spans="1:27" x14ac:dyDescent="0.3">
      <c r="A507" s="32">
        <v>505</v>
      </c>
      <c r="B507" s="33">
        <v>40566</v>
      </c>
      <c r="C507" s="40" t="str">
        <f t="shared" si="45"/>
        <v>Sunday</v>
      </c>
      <c r="D507" s="28">
        <v>2</v>
      </c>
      <c r="E507" s="40" t="str" cm="1">
        <f t="array" ref="E507">_xlfn.IFS(D507&gt;=21,"Night",D507&gt;=17,"Evening",D507&gt;=12,"Midday",D507&gt;=6,"Morning", TRUE, "Night")</f>
        <v>Night</v>
      </c>
      <c r="F507" s="28">
        <v>1</v>
      </c>
      <c r="G507" s="28">
        <v>0</v>
      </c>
      <c r="H507" s="28">
        <v>1</v>
      </c>
      <c r="I507" s="28">
        <v>0</v>
      </c>
      <c r="J507" s="40" t="str">
        <f t="shared" si="46"/>
        <v>Weekday</v>
      </c>
      <c r="K507" s="28" t="b">
        <v>0</v>
      </c>
      <c r="L507" s="28">
        <v>1</v>
      </c>
      <c r="M507" s="40" t="str" cm="1">
        <f t="array" ref="M507">_xlfn.IFS(L507=1,"Clear / Partly Cloudy",L507=2,"Mist / Cloudy",L507=3,"Light Snow / Rain",L507=4,"Heavy Precipitation")</f>
        <v>Clear / Partly Cloudy</v>
      </c>
      <c r="N507" s="28">
        <v>0.02</v>
      </c>
      <c r="O507" s="28" t="str">
        <f t="shared" si="47"/>
        <v>Cold</v>
      </c>
      <c r="P507" s="28">
        <v>6.0600000000000001E-2</v>
      </c>
      <c r="Q507" s="38">
        <f t="shared" si="43"/>
        <v>6.0600000000000001E-2</v>
      </c>
      <c r="R507" s="28">
        <v>0.62</v>
      </c>
      <c r="S507" s="28">
        <v>0.1343</v>
      </c>
      <c r="T507" s="40" t="str" cm="1">
        <f t="array" ref="T507">_xlfn.IFS(S507*18.6&lt;2,"Calm",S507*18.6&lt;6,"Light Breeze",S507*18.6&lt;14,"Gale",TRUE,"Extreme Storm")</f>
        <v>Light Breeze</v>
      </c>
      <c r="U507" s="28">
        <v>3</v>
      </c>
      <c r="V507" s="28">
        <v>15</v>
      </c>
      <c r="W507" s="28">
        <v>18</v>
      </c>
      <c r="X507" s="44">
        <f>AVERAGE(INDEX($W:$W,MAX(ROW($W$3),ROW()-23)):INDEX($W:$W,ROW()))</f>
        <v>42.041666666666664</v>
      </c>
      <c r="Y507" s="44">
        <f>_xlfn.STDEV.S(INDEX($W:$W,MAX(ROW($W$3),ROW()-23)):INDEX($W:$W,ROW()))</f>
        <v>29.050898611659633</v>
      </c>
      <c r="Z507" s="44">
        <f t="shared" si="44"/>
        <v>-0.82757049921400694</v>
      </c>
      <c r="AA507" s="40" t="b">
        <f t="shared" si="42"/>
        <v>0</v>
      </c>
    </row>
    <row r="508" spans="1:27" x14ac:dyDescent="0.3">
      <c r="A508" s="32">
        <v>506</v>
      </c>
      <c r="B508" s="33">
        <v>40566</v>
      </c>
      <c r="C508" s="40" t="str">
        <f t="shared" si="45"/>
        <v>Sunday</v>
      </c>
      <c r="D508" s="28">
        <v>3</v>
      </c>
      <c r="E508" s="40" t="str" cm="1">
        <f t="array" ref="E508">_xlfn.IFS(D508&gt;=21,"Night",D508&gt;=17,"Evening",D508&gt;=12,"Midday",D508&gt;=6,"Morning", TRUE, "Night")</f>
        <v>Night</v>
      </c>
      <c r="F508" s="28">
        <v>1</v>
      </c>
      <c r="G508" s="28">
        <v>0</v>
      </c>
      <c r="H508" s="28">
        <v>1</v>
      </c>
      <c r="I508" s="28">
        <v>0</v>
      </c>
      <c r="J508" s="40" t="str">
        <f t="shared" si="46"/>
        <v>Weekday</v>
      </c>
      <c r="K508" s="28" t="b">
        <v>0</v>
      </c>
      <c r="L508" s="28">
        <v>1</v>
      </c>
      <c r="M508" s="40" t="str" cm="1">
        <f t="array" ref="M508">_xlfn.IFS(L508=1,"Clear / Partly Cloudy",L508=2,"Mist / Cloudy",L508=3,"Light Snow / Rain",L508=4,"Heavy Precipitation")</f>
        <v>Clear / Partly Cloudy</v>
      </c>
      <c r="N508" s="28">
        <v>0.02</v>
      </c>
      <c r="O508" s="28" t="str">
        <f t="shared" si="47"/>
        <v>Cold</v>
      </c>
      <c r="P508" s="28">
        <v>6.0600000000000001E-2</v>
      </c>
      <c r="Q508" s="38">
        <f t="shared" si="43"/>
        <v>6.0600000000000001E-2</v>
      </c>
      <c r="R508" s="28">
        <v>0.62</v>
      </c>
      <c r="S508" s="28">
        <v>0.1343</v>
      </c>
      <c r="T508" s="40" t="str" cm="1">
        <f t="array" ref="T508">_xlfn.IFS(S508*18.6&lt;2,"Calm",S508*18.6&lt;6,"Light Breeze",S508*18.6&lt;14,"Gale",TRUE,"Extreme Storm")</f>
        <v>Light Breeze</v>
      </c>
      <c r="U508" s="28">
        <v>1</v>
      </c>
      <c r="V508" s="28">
        <v>4</v>
      </c>
      <c r="W508" s="28">
        <v>5</v>
      </c>
      <c r="X508" s="44">
        <f>AVERAGE(INDEX($W:$W,MAX(ROW($W$3),ROW()-23)):INDEX($W:$W,ROW()))</f>
        <v>41.791666666666664</v>
      </c>
      <c r="Y508" s="44">
        <f>_xlfn.STDEV.S(INDEX($W:$W,MAX(ROW($W$3),ROW()-23)):INDEX($W:$W,ROW()))</f>
        <v>29.353881554554938</v>
      </c>
      <c r="Z508" s="44">
        <f t="shared" si="44"/>
        <v>-1.2533833591407124</v>
      </c>
      <c r="AA508" s="40" t="b">
        <f t="shared" si="42"/>
        <v>0</v>
      </c>
    </row>
    <row r="509" spans="1:27" x14ac:dyDescent="0.3">
      <c r="A509" s="32">
        <v>507</v>
      </c>
      <c r="B509" s="33">
        <v>40566</v>
      </c>
      <c r="C509" s="40" t="str">
        <f t="shared" si="45"/>
        <v>Sunday</v>
      </c>
      <c r="D509" s="28">
        <v>5</v>
      </c>
      <c r="E509" s="40" t="str" cm="1">
        <f t="array" ref="E509">_xlfn.IFS(D509&gt;=21,"Night",D509&gt;=17,"Evening",D509&gt;=12,"Midday",D509&gt;=6,"Morning", TRUE, "Night")</f>
        <v>Night</v>
      </c>
      <c r="F509" s="28">
        <v>1</v>
      </c>
      <c r="G509" s="28">
        <v>0</v>
      </c>
      <c r="H509" s="28">
        <v>1</v>
      </c>
      <c r="I509" s="28">
        <v>0</v>
      </c>
      <c r="J509" s="40" t="str">
        <f t="shared" si="46"/>
        <v>Weekday</v>
      </c>
      <c r="K509" s="28" t="b">
        <v>0</v>
      </c>
      <c r="L509" s="28">
        <v>2</v>
      </c>
      <c r="M509" s="40" t="str" cm="1">
        <f t="array" ref="M509">_xlfn.IFS(L509=1,"Clear / Partly Cloudy",L509=2,"Mist / Cloudy",L509=3,"Light Snow / Rain",L509=4,"Heavy Precipitation")</f>
        <v>Mist / Cloudy</v>
      </c>
      <c r="N509" s="28">
        <v>0.04</v>
      </c>
      <c r="O509" s="28" t="str">
        <f t="shared" si="47"/>
        <v>Cold</v>
      </c>
      <c r="P509" s="28">
        <v>7.5800000000000006E-2</v>
      </c>
      <c r="Q509" s="38">
        <f t="shared" si="43"/>
        <v>7.5800000000000006E-2</v>
      </c>
      <c r="R509" s="28">
        <v>0.56999999999999995</v>
      </c>
      <c r="S509" s="28">
        <v>0.1045</v>
      </c>
      <c r="T509" s="40" t="str" cm="1">
        <f t="array" ref="T509">_xlfn.IFS(S509*18.6&lt;2,"Calm",S509*18.6&lt;6,"Light Breeze",S509*18.6&lt;14,"Gale",TRUE,"Extreme Storm")</f>
        <v>Calm</v>
      </c>
      <c r="U509" s="28">
        <v>0</v>
      </c>
      <c r="V509" s="28">
        <v>3</v>
      </c>
      <c r="W509" s="28">
        <v>3</v>
      </c>
      <c r="X509" s="44">
        <f>AVERAGE(INDEX($W:$W,MAX(ROW($W$3),ROW()-23)):INDEX($W:$W,ROW()))</f>
        <v>41.625</v>
      </c>
      <c r="Y509" s="44">
        <f>_xlfn.STDEV.S(INDEX($W:$W,MAX(ROW($W$3),ROW()-23)):INDEX($W:$W,ROW()))</f>
        <v>29.570567770350127</v>
      </c>
      <c r="Z509" s="44">
        <f t="shared" si="44"/>
        <v>-1.3061974426723246</v>
      </c>
      <c r="AA509" s="40" t="b">
        <f t="shared" si="42"/>
        <v>0</v>
      </c>
    </row>
    <row r="510" spans="1:27" x14ac:dyDescent="0.3">
      <c r="A510" s="32">
        <v>508</v>
      </c>
      <c r="B510" s="33">
        <v>40566</v>
      </c>
      <c r="C510" s="40" t="str">
        <f t="shared" si="45"/>
        <v>Sunday</v>
      </c>
      <c r="D510" s="28">
        <v>6</v>
      </c>
      <c r="E510" s="40" t="str" cm="1">
        <f t="array" ref="E510">_xlfn.IFS(D510&gt;=21,"Night",D510&gt;=17,"Evening",D510&gt;=12,"Midday",D510&gt;=6,"Morning", TRUE, "Night")</f>
        <v>Morning</v>
      </c>
      <c r="F510" s="28">
        <v>1</v>
      </c>
      <c r="G510" s="28">
        <v>0</v>
      </c>
      <c r="H510" s="28">
        <v>1</v>
      </c>
      <c r="I510" s="28">
        <v>0</v>
      </c>
      <c r="J510" s="40" t="str">
        <f t="shared" si="46"/>
        <v>Weekday</v>
      </c>
      <c r="K510" s="28" t="b">
        <v>0</v>
      </c>
      <c r="L510" s="28">
        <v>2</v>
      </c>
      <c r="M510" s="40" t="str" cm="1">
        <f t="array" ref="M510">_xlfn.IFS(L510=1,"Clear / Partly Cloudy",L510=2,"Mist / Cloudy",L510=3,"Light Snow / Rain",L510=4,"Heavy Precipitation")</f>
        <v>Mist / Cloudy</v>
      </c>
      <c r="N510" s="28">
        <v>0.04</v>
      </c>
      <c r="O510" s="28" t="str">
        <f t="shared" si="47"/>
        <v>Cold</v>
      </c>
      <c r="P510" s="28">
        <v>7.5800000000000006E-2</v>
      </c>
      <c r="Q510" s="38">
        <f t="shared" si="43"/>
        <v>7.5800000000000006E-2</v>
      </c>
      <c r="R510" s="28">
        <v>0.56999999999999995</v>
      </c>
      <c r="S510" s="28">
        <v>0.1045</v>
      </c>
      <c r="T510" s="40" t="str" cm="1">
        <f t="array" ref="T510">_xlfn.IFS(S510*18.6&lt;2,"Calm",S510*18.6&lt;6,"Light Breeze",S510*18.6&lt;14,"Gale",TRUE,"Extreme Storm")</f>
        <v>Calm</v>
      </c>
      <c r="U510" s="28">
        <v>0</v>
      </c>
      <c r="V510" s="28">
        <v>1</v>
      </c>
      <c r="W510" s="28">
        <v>1</v>
      </c>
      <c r="X510" s="44">
        <f>AVERAGE(INDEX($W:$W,MAX(ROW($W$3),ROW()-23)):INDEX($W:$W,ROW()))</f>
        <v>41.541666666666664</v>
      </c>
      <c r="Y510" s="44">
        <f>_xlfn.STDEV.S(INDEX($W:$W,MAX(ROW($W$3),ROW()-23)):INDEX($W:$W,ROW()))</f>
        <v>29.686740074179315</v>
      </c>
      <c r="Z510" s="44">
        <f t="shared" si="44"/>
        <v>-1.3656489922896133</v>
      </c>
      <c r="AA510" s="40" t="b">
        <f t="shared" si="42"/>
        <v>0</v>
      </c>
    </row>
    <row r="511" spans="1:27" x14ac:dyDescent="0.3">
      <c r="A511" s="32">
        <v>509</v>
      </c>
      <c r="B511" s="33">
        <v>40566</v>
      </c>
      <c r="C511" s="40" t="str">
        <f t="shared" si="45"/>
        <v>Sunday</v>
      </c>
      <c r="D511" s="28">
        <v>7</v>
      </c>
      <c r="E511" s="40" t="str" cm="1">
        <f t="array" ref="E511">_xlfn.IFS(D511&gt;=21,"Night",D511&gt;=17,"Evening",D511&gt;=12,"Midday",D511&gt;=6,"Morning", TRUE, "Night")</f>
        <v>Morning</v>
      </c>
      <c r="F511" s="28">
        <v>1</v>
      </c>
      <c r="G511" s="28">
        <v>0</v>
      </c>
      <c r="H511" s="28">
        <v>1</v>
      </c>
      <c r="I511" s="28">
        <v>0</v>
      </c>
      <c r="J511" s="40" t="str">
        <f t="shared" si="46"/>
        <v>Weekday</v>
      </c>
      <c r="K511" s="28" t="b">
        <v>0</v>
      </c>
      <c r="L511" s="28">
        <v>1</v>
      </c>
      <c r="M511" s="40" t="str" cm="1">
        <f t="array" ref="M511">_xlfn.IFS(L511=1,"Clear / Partly Cloudy",L511=2,"Mist / Cloudy",L511=3,"Light Snow / Rain",L511=4,"Heavy Precipitation")</f>
        <v>Clear / Partly Cloudy</v>
      </c>
      <c r="N511" s="28">
        <v>0.08</v>
      </c>
      <c r="O511" s="28" t="str">
        <f t="shared" si="47"/>
        <v>Cold</v>
      </c>
      <c r="P511" s="28">
        <v>0.1061</v>
      </c>
      <c r="Q511" s="38">
        <f t="shared" si="43"/>
        <v>0.1061</v>
      </c>
      <c r="R511" s="28">
        <v>0.57999999999999996</v>
      </c>
      <c r="S511" s="28">
        <v>0.16420000000000001</v>
      </c>
      <c r="T511" s="40" t="str" cm="1">
        <f t="array" ref="T511">_xlfn.IFS(S511*18.6&lt;2,"Calm",S511*18.6&lt;6,"Light Breeze",S511*18.6&lt;14,"Gale",TRUE,"Extreme Storm")</f>
        <v>Light Breeze</v>
      </c>
      <c r="U511" s="28">
        <v>1</v>
      </c>
      <c r="V511" s="28">
        <v>1</v>
      </c>
      <c r="W511" s="28">
        <v>2</v>
      </c>
      <c r="X511" s="44">
        <f>AVERAGE(INDEX($W:$W,MAX(ROW($W$3),ROW()-23)):INDEX($W:$W,ROW()))</f>
        <v>41.541666666666664</v>
      </c>
      <c r="Y511" s="44">
        <f>_xlfn.STDEV.S(INDEX($W:$W,MAX(ROW($W$3),ROW()-23)):INDEX($W:$W,ROW()))</f>
        <v>29.686740074179315</v>
      </c>
      <c r="Z511" s="44">
        <f t="shared" si="44"/>
        <v>-1.3319639195096022</v>
      </c>
      <c r="AA511" s="40" t="b">
        <f t="shared" si="42"/>
        <v>0</v>
      </c>
    </row>
    <row r="512" spans="1:27" x14ac:dyDescent="0.3">
      <c r="A512" s="32">
        <v>510</v>
      </c>
      <c r="B512" s="33">
        <v>40566</v>
      </c>
      <c r="C512" s="40" t="str">
        <f t="shared" si="45"/>
        <v>Sunday</v>
      </c>
      <c r="D512" s="28">
        <v>8</v>
      </c>
      <c r="E512" s="40" t="str" cm="1">
        <f t="array" ref="E512">_xlfn.IFS(D512&gt;=21,"Night",D512&gt;=17,"Evening",D512&gt;=12,"Midday",D512&gt;=6,"Morning", TRUE, "Night")</f>
        <v>Morning</v>
      </c>
      <c r="F512" s="28">
        <v>1</v>
      </c>
      <c r="G512" s="28">
        <v>0</v>
      </c>
      <c r="H512" s="28">
        <v>1</v>
      </c>
      <c r="I512" s="28">
        <v>0</v>
      </c>
      <c r="J512" s="40" t="str">
        <f t="shared" si="46"/>
        <v>Weekday</v>
      </c>
      <c r="K512" s="28" t="b">
        <v>0</v>
      </c>
      <c r="L512" s="28">
        <v>1</v>
      </c>
      <c r="M512" s="40" t="str" cm="1">
        <f t="array" ref="M512">_xlfn.IFS(L512=1,"Clear / Partly Cloudy",L512=2,"Mist / Cloudy",L512=3,"Light Snow / Rain",L512=4,"Heavy Precipitation")</f>
        <v>Clear / Partly Cloudy</v>
      </c>
      <c r="N512" s="28">
        <v>0.06</v>
      </c>
      <c r="O512" s="28" t="str">
        <f t="shared" si="47"/>
        <v>Cold</v>
      </c>
      <c r="P512" s="28">
        <v>7.5800000000000006E-2</v>
      </c>
      <c r="Q512" s="38">
        <f t="shared" si="43"/>
        <v>7.5800000000000006E-2</v>
      </c>
      <c r="R512" s="28">
        <v>0.62</v>
      </c>
      <c r="S512" s="28">
        <v>0.16420000000000001</v>
      </c>
      <c r="T512" s="40" t="str" cm="1">
        <f t="array" ref="T512">_xlfn.IFS(S512*18.6&lt;2,"Calm",S512*18.6&lt;6,"Light Breeze",S512*18.6&lt;14,"Gale",TRUE,"Extreme Storm")</f>
        <v>Light Breeze</v>
      </c>
      <c r="U512" s="28">
        <v>2</v>
      </c>
      <c r="V512" s="28">
        <v>17</v>
      </c>
      <c r="W512" s="28">
        <v>19</v>
      </c>
      <c r="X512" s="44">
        <f>AVERAGE(INDEX($W:$W,MAX(ROW($W$3),ROW()-23)):INDEX($W:$W,ROW()))</f>
        <v>42</v>
      </c>
      <c r="Y512" s="44">
        <f>_xlfn.STDEV.S(INDEX($W:$W,MAX(ROW($W$3),ROW()-23)):INDEX($W:$W,ROW()))</f>
        <v>29.22774143797665</v>
      </c>
      <c r="Z512" s="44">
        <f t="shared" si="44"/>
        <v>-0.78692361668819466</v>
      </c>
      <c r="AA512" s="40" t="b">
        <f t="shared" si="42"/>
        <v>0</v>
      </c>
    </row>
    <row r="513" spans="1:27" x14ac:dyDescent="0.3">
      <c r="A513" s="32">
        <v>511</v>
      </c>
      <c r="B513" s="33">
        <v>40566</v>
      </c>
      <c r="C513" s="40" t="str">
        <f t="shared" si="45"/>
        <v>Sunday</v>
      </c>
      <c r="D513" s="28">
        <v>9</v>
      </c>
      <c r="E513" s="40" t="str" cm="1">
        <f t="array" ref="E513">_xlfn.IFS(D513&gt;=21,"Night",D513&gt;=17,"Evening",D513&gt;=12,"Midday",D513&gt;=6,"Morning", TRUE, "Night")</f>
        <v>Morning</v>
      </c>
      <c r="F513" s="28">
        <v>1</v>
      </c>
      <c r="G513" s="28">
        <v>0</v>
      </c>
      <c r="H513" s="28">
        <v>1</v>
      </c>
      <c r="I513" s="28">
        <v>0</v>
      </c>
      <c r="J513" s="40" t="str">
        <f t="shared" si="46"/>
        <v>Weekday</v>
      </c>
      <c r="K513" s="28" t="b">
        <v>0</v>
      </c>
      <c r="L513" s="28">
        <v>1</v>
      </c>
      <c r="M513" s="40" t="str" cm="1">
        <f t="array" ref="M513">_xlfn.IFS(L513=1,"Clear / Partly Cloudy",L513=2,"Mist / Cloudy",L513=3,"Light Snow / Rain",L513=4,"Heavy Precipitation")</f>
        <v>Clear / Partly Cloudy</v>
      </c>
      <c r="N513" s="28">
        <v>0.1</v>
      </c>
      <c r="O513" s="28" t="str">
        <f t="shared" si="47"/>
        <v>Cold</v>
      </c>
      <c r="P513" s="28">
        <v>7.5800000000000006E-2</v>
      </c>
      <c r="Q513" s="38">
        <f t="shared" si="43"/>
        <v>7.5800000000000006E-2</v>
      </c>
      <c r="R513" s="28">
        <v>0.54</v>
      </c>
      <c r="S513" s="28">
        <v>0.35820000000000002</v>
      </c>
      <c r="T513" s="40" t="str" cm="1">
        <f t="array" ref="T513">_xlfn.IFS(S513*18.6&lt;2,"Calm",S513*18.6&lt;6,"Light Breeze",S513*18.6&lt;14,"Gale",TRUE,"Extreme Storm")</f>
        <v>Gale</v>
      </c>
      <c r="U513" s="28">
        <v>3</v>
      </c>
      <c r="V513" s="28">
        <v>25</v>
      </c>
      <c r="W513" s="28">
        <v>28</v>
      </c>
      <c r="X513" s="44">
        <f>AVERAGE(INDEX($W:$W,MAX(ROW($W$3),ROW()-23)):INDEX($W:$W,ROW()))</f>
        <v>42.041666666666664</v>
      </c>
      <c r="Y513" s="44">
        <f>_xlfn.STDEV.S(INDEX($W:$W,MAX(ROW($W$3),ROW()-23)):INDEX($W:$W,ROW()))</f>
        <v>29.206132719101944</v>
      </c>
      <c r="Z513" s="44">
        <f t="shared" si="44"/>
        <v>-0.48077802020953186</v>
      </c>
      <c r="AA513" s="40" t="b">
        <f t="shared" si="42"/>
        <v>0</v>
      </c>
    </row>
    <row r="514" spans="1:27" x14ac:dyDescent="0.3">
      <c r="A514" s="32">
        <v>512</v>
      </c>
      <c r="B514" s="33">
        <v>40566</v>
      </c>
      <c r="C514" s="40" t="str">
        <f t="shared" si="45"/>
        <v>Sunday</v>
      </c>
      <c r="D514" s="28">
        <v>10</v>
      </c>
      <c r="E514" s="40" t="str" cm="1">
        <f t="array" ref="E514">_xlfn.IFS(D514&gt;=21,"Night",D514&gt;=17,"Evening",D514&gt;=12,"Midday",D514&gt;=6,"Morning", TRUE, "Night")</f>
        <v>Morning</v>
      </c>
      <c r="F514" s="28">
        <v>1</v>
      </c>
      <c r="G514" s="28">
        <v>0</v>
      </c>
      <c r="H514" s="28">
        <v>1</v>
      </c>
      <c r="I514" s="28">
        <v>0</v>
      </c>
      <c r="J514" s="40" t="str">
        <f t="shared" si="46"/>
        <v>Weekday</v>
      </c>
      <c r="K514" s="28" t="b">
        <v>0</v>
      </c>
      <c r="L514" s="28">
        <v>1</v>
      </c>
      <c r="M514" s="40" t="str" cm="1">
        <f t="array" ref="M514">_xlfn.IFS(L514=1,"Clear / Partly Cloudy",L514=2,"Mist / Cloudy",L514=3,"Light Snow / Rain",L514=4,"Heavy Precipitation")</f>
        <v>Clear / Partly Cloudy</v>
      </c>
      <c r="N514" s="28">
        <v>0.14000000000000001</v>
      </c>
      <c r="O514" s="28" t="str">
        <f t="shared" si="47"/>
        <v>Cold</v>
      </c>
      <c r="P514" s="28">
        <v>0.1061</v>
      </c>
      <c r="Q514" s="38">
        <f t="shared" si="43"/>
        <v>0.1061</v>
      </c>
      <c r="R514" s="28">
        <v>0.46</v>
      </c>
      <c r="S514" s="28">
        <v>0.3881</v>
      </c>
      <c r="T514" s="40" t="str" cm="1">
        <f t="array" ref="T514">_xlfn.IFS(S514*18.6&lt;2,"Calm",S514*18.6&lt;6,"Light Breeze",S514*18.6&lt;14,"Gale",TRUE,"Extreme Storm")</f>
        <v>Gale</v>
      </c>
      <c r="U514" s="28">
        <v>7</v>
      </c>
      <c r="V514" s="28">
        <v>51</v>
      </c>
      <c r="W514" s="28">
        <v>58</v>
      </c>
      <c r="X514" s="44">
        <f>AVERAGE(INDEX($W:$W,MAX(ROW($W$3),ROW()-23)):INDEX($W:$W,ROW()))</f>
        <v>42.791666666666664</v>
      </c>
      <c r="Y514" s="44">
        <f>_xlfn.STDEV.S(INDEX($W:$W,MAX(ROW($W$3),ROW()-23)):INDEX($W:$W,ROW()))</f>
        <v>29.382010418483691</v>
      </c>
      <c r="Z514" s="44">
        <f t="shared" si="44"/>
        <v>0.51760696823407459</v>
      </c>
      <c r="AA514" s="40" t="b">
        <f t="shared" si="42"/>
        <v>0</v>
      </c>
    </row>
    <row r="515" spans="1:27" x14ac:dyDescent="0.3">
      <c r="A515" s="32">
        <v>513</v>
      </c>
      <c r="B515" s="33">
        <v>40566</v>
      </c>
      <c r="C515" s="40" t="str">
        <f t="shared" si="45"/>
        <v>Sunday</v>
      </c>
      <c r="D515" s="28">
        <v>11</v>
      </c>
      <c r="E515" s="40" t="str" cm="1">
        <f t="array" ref="E515">_xlfn.IFS(D515&gt;=21,"Night",D515&gt;=17,"Evening",D515&gt;=12,"Midday",D515&gt;=6,"Morning", TRUE, "Night")</f>
        <v>Morning</v>
      </c>
      <c r="F515" s="28">
        <v>1</v>
      </c>
      <c r="G515" s="28">
        <v>0</v>
      </c>
      <c r="H515" s="28">
        <v>1</v>
      </c>
      <c r="I515" s="28">
        <v>0</v>
      </c>
      <c r="J515" s="40" t="str">
        <f t="shared" si="46"/>
        <v>Weekday</v>
      </c>
      <c r="K515" s="28" t="b">
        <v>0</v>
      </c>
      <c r="L515" s="28">
        <v>1</v>
      </c>
      <c r="M515" s="40" t="str" cm="1">
        <f t="array" ref="M515">_xlfn.IFS(L515=1,"Clear / Partly Cloudy",L515=2,"Mist / Cloudy",L515=3,"Light Snow / Rain",L515=4,"Heavy Precipitation")</f>
        <v>Clear / Partly Cloudy</v>
      </c>
      <c r="N515" s="28">
        <v>0.14000000000000001</v>
      </c>
      <c r="O515" s="28" t="str">
        <f t="shared" si="47"/>
        <v>Cold</v>
      </c>
      <c r="P515" s="28">
        <v>0.13639999999999999</v>
      </c>
      <c r="Q515" s="38">
        <f t="shared" si="43"/>
        <v>0.13639999999999999</v>
      </c>
      <c r="R515" s="28">
        <v>0.43</v>
      </c>
      <c r="S515" s="28">
        <v>0.22389999999999999</v>
      </c>
      <c r="T515" s="40" t="str" cm="1">
        <f t="array" ref="T515">_xlfn.IFS(S515*18.6&lt;2,"Calm",S515*18.6&lt;6,"Light Breeze",S515*18.6&lt;14,"Gale",TRUE,"Extreme Storm")</f>
        <v>Light Breeze</v>
      </c>
      <c r="U515" s="28">
        <v>22</v>
      </c>
      <c r="V515" s="28">
        <v>77</v>
      </c>
      <c r="W515" s="28">
        <v>99</v>
      </c>
      <c r="X515" s="44">
        <f>AVERAGE(INDEX($W:$W,MAX(ROW($W$3),ROW()-23)):INDEX($W:$W,ROW()))</f>
        <v>44.708333333333336</v>
      </c>
      <c r="Y515" s="44">
        <f>_xlfn.STDEV.S(INDEX($W:$W,MAX(ROW($W$3),ROW()-23)):INDEX($W:$W,ROW()))</f>
        <v>31.50083389740475</v>
      </c>
      <c r="Z515" s="44">
        <f t="shared" si="44"/>
        <v>1.7234993474613882</v>
      </c>
      <c r="AA515" s="40" t="b">
        <f t="shared" ref="AA515:AA578" si="48">IF(ABS(Z515)&gt;=3,TRUE,FALSE)</f>
        <v>0</v>
      </c>
    </row>
    <row r="516" spans="1:27" x14ac:dyDescent="0.3">
      <c r="A516" s="32">
        <v>514</v>
      </c>
      <c r="B516" s="33">
        <v>40566</v>
      </c>
      <c r="C516" s="40" t="str">
        <f t="shared" si="45"/>
        <v>Sunday</v>
      </c>
      <c r="D516" s="28">
        <v>12</v>
      </c>
      <c r="E516" s="40" t="str" cm="1">
        <f t="array" ref="E516">_xlfn.IFS(D516&gt;=21,"Night",D516&gt;=17,"Evening",D516&gt;=12,"Midday",D516&gt;=6,"Morning", TRUE, "Night")</f>
        <v>Midday</v>
      </c>
      <c r="F516" s="28">
        <v>1</v>
      </c>
      <c r="G516" s="28">
        <v>0</v>
      </c>
      <c r="H516" s="28">
        <v>1</v>
      </c>
      <c r="I516" s="28">
        <v>0</v>
      </c>
      <c r="J516" s="40" t="str">
        <f t="shared" si="46"/>
        <v>Weekday</v>
      </c>
      <c r="K516" s="28" t="b">
        <v>0</v>
      </c>
      <c r="L516" s="28">
        <v>1</v>
      </c>
      <c r="M516" s="40" t="str" cm="1">
        <f t="array" ref="M516">_xlfn.IFS(L516=1,"Clear / Partly Cloudy",L516=2,"Mist / Cloudy",L516=3,"Light Snow / Rain",L516=4,"Heavy Precipitation")</f>
        <v>Clear / Partly Cloudy</v>
      </c>
      <c r="N516" s="28">
        <v>0.16</v>
      </c>
      <c r="O516" s="28" t="str">
        <f t="shared" si="47"/>
        <v>Cold</v>
      </c>
      <c r="P516" s="28">
        <v>0.1212</v>
      </c>
      <c r="Q516" s="38">
        <f t="shared" ref="Q516:Q579" si="49">IF(P516="", AVERAGE($P$3:$P$1002), P516)</f>
        <v>0.1212</v>
      </c>
      <c r="R516" s="28">
        <v>0.37</v>
      </c>
      <c r="S516" s="28">
        <v>0.4627</v>
      </c>
      <c r="T516" s="40" t="str" cm="1">
        <f t="array" ref="T516">_xlfn.IFS(S516*18.6&lt;2,"Calm",S516*18.6&lt;6,"Light Breeze",S516*18.6&lt;14,"Gale",TRUE,"Extreme Storm")</f>
        <v>Gale</v>
      </c>
      <c r="U516" s="28">
        <v>24</v>
      </c>
      <c r="V516" s="28">
        <v>92</v>
      </c>
      <c r="W516" s="28">
        <v>116</v>
      </c>
      <c r="X516" s="44">
        <f>AVERAGE(INDEX($W:$W,MAX(ROW($W$3),ROW()-23)):INDEX($W:$W,ROW()))</f>
        <v>46.916666666666664</v>
      </c>
      <c r="Y516" s="44">
        <f>_xlfn.STDEV.S(INDEX($W:$W,MAX(ROW($W$3),ROW()-23)):INDEX($W:$W,ROW()))</f>
        <v>34.549166813922326</v>
      </c>
      <c r="Z516" s="44">
        <f t="shared" ref="Z516:Z579" si="50">IFERROR((W516-X516)/Y516,0)</f>
        <v>1.9995658276046975</v>
      </c>
      <c r="AA516" s="40" t="b">
        <f t="shared" si="48"/>
        <v>0</v>
      </c>
    </row>
    <row r="517" spans="1:27" x14ac:dyDescent="0.3">
      <c r="A517" s="32">
        <v>515</v>
      </c>
      <c r="B517" s="33">
        <v>40566</v>
      </c>
      <c r="C517" s="40" t="str">
        <f t="shared" ref="C517:C580" si="51">TEXT(B517,"dddd")</f>
        <v>Sunday</v>
      </c>
      <c r="D517" s="28">
        <v>13</v>
      </c>
      <c r="E517" s="40" t="str" cm="1">
        <f t="array" ref="E517">_xlfn.IFS(D517&gt;=21,"Night",D517&gt;=17,"Evening",D517&gt;=12,"Midday",D517&gt;=6,"Morning", TRUE, "Night")</f>
        <v>Midday</v>
      </c>
      <c r="F517" s="28">
        <v>1</v>
      </c>
      <c r="G517" s="28">
        <v>0</v>
      </c>
      <c r="H517" s="28">
        <v>1</v>
      </c>
      <c r="I517" s="28">
        <v>0</v>
      </c>
      <c r="J517" s="40" t="str">
        <f t="shared" ref="J517:J580" si="52">IF(OR(I517="Saturday", I517="Sunday"), "Weekend", "Weekday")</f>
        <v>Weekday</v>
      </c>
      <c r="K517" s="28" t="b">
        <v>0</v>
      </c>
      <c r="L517" s="28">
        <v>1</v>
      </c>
      <c r="M517" s="40" t="str" cm="1">
        <f t="array" ref="M517">_xlfn.IFS(L517=1,"Clear / Partly Cloudy",L517=2,"Mist / Cloudy",L517=3,"Light Snow / Rain",L517=4,"Heavy Precipitation")</f>
        <v>Clear / Partly Cloudy</v>
      </c>
      <c r="N517" s="28">
        <v>0.14000000000000001</v>
      </c>
      <c r="O517" s="28" t="str">
        <f t="shared" ref="O517:O580" si="53">IF(N517&lt;0.2,"Cold",IF(N517&lt;0.6,"Mild","Hot"))</f>
        <v>Cold</v>
      </c>
      <c r="P517" s="28">
        <v>0.1061</v>
      </c>
      <c r="Q517" s="38">
        <f t="shared" si="49"/>
        <v>0.1061</v>
      </c>
      <c r="R517" s="28">
        <v>0.33</v>
      </c>
      <c r="S517" s="28">
        <v>0.3881</v>
      </c>
      <c r="T517" s="40" t="str" cm="1">
        <f t="array" ref="T517">_xlfn.IFS(S517*18.6&lt;2,"Calm",S517*18.6&lt;6,"Light Breeze",S517*18.6&lt;14,"Gale",TRUE,"Extreme Storm")</f>
        <v>Gale</v>
      </c>
      <c r="U517" s="28">
        <v>12</v>
      </c>
      <c r="V517" s="28">
        <v>75</v>
      </c>
      <c r="W517" s="28">
        <v>87</v>
      </c>
      <c r="X517" s="44">
        <f>AVERAGE(INDEX($W:$W,MAX(ROW($W$3),ROW()-23)):INDEX($W:$W,ROW()))</f>
        <v>47.625</v>
      </c>
      <c r="Y517" s="44">
        <f>_xlfn.STDEV.S(INDEX($W:$W,MAX(ROW($W$3),ROW()-23)):INDEX($W:$W,ROW()))</f>
        <v>35.21093271426782</v>
      </c>
      <c r="Z517" s="44">
        <f t="shared" si="50"/>
        <v>1.1182606356816234</v>
      </c>
      <c r="AA517" s="40" t="b">
        <f t="shared" si="48"/>
        <v>0</v>
      </c>
    </row>
    <row r="518" spans="1:27" x14ac:dyDescent="0.3">
      <c r="A518" s="32">
        <v>516</v>
      </c>
      <c r="B518" s="33">
        <v>40566</v>
      </c>
      <c r="C518" s="40" t="str">
        <f t="shared" si="51"/>
        <v>Sunday</v>
      </c>
      <c r="D518" s="28">
        <v>14</v>
      </c>
      <c r="E518" s="40" t="str" cm="1">
        <f t="array" ref="E518">_xlfn.IFS(D518&gt;=21,"Night",D518&gt;=17,"Evening",D518&gt;=12,"Midday",D518&gt;=6,"Morning", TRUE, "Night")</f>
        <v>Midday</v>
      </c>
      <c r="F518" s="28">
        <v>1</v>
      </c>
      <c r="G518" s="28">
        <v>0</v>
      </c>
      <c r="H518" s="28">
        <v>1</v>
      </c>
      <c r="I518" s="28">
        <v>0</v>
      </c>
      <c r="J518" s="40" t="str">
        <f t="shared" si="52"/>
        <v>Weekday</v>
      </c>
      <c r="K518" s="28" t="b">
        <v>0</v>
      </c>
      <c r="L518" s="28">
        <v>1</v>
      </c>
      <c r="M518" s="40" t="str" cm="1">
        <f t="array" ref="M518">_xlfn.IFS(L518=1,"Clear / Partly Cloudy",L518=2,"Mist / Cloudy",L518=3,"Light Snow / Rain",L518=4,"Heavy Precipitation")</f>
        <v>Clear / Partly Cloudy</v>
      </c>
      <c r="N518" s="28">
        <v>0.16</v>
      </c>
      <c r="O518" s="28" t="str">
        <f t="shared" si="53"/>
        <v>Cold</v>
      </c>
      <c r="P518" s="28">
        <v>0.13639999999999999</v>
      </c>
      <c r="Q518" s="38">
        <f t="shared" si="49"/>
        <v>0.13639999999999999</v>
      </c>
      <c r="R518" s="28">
        <v>0.28000000000000003</v>
      </c>
      <c r="S518" s="28">
        <v>0.35820000000000002</v>
      </c>
      <c r="T518" s="40" t="str" cm="1">
        <f t="array" ref="T518">_xlfn.IFS(S518*18.6&lt;2,"Calm",S518*18.6&lt;6,"Light Breeze",S518*18.6&lt;14,"Gale",TRUE,"Extreme Storm")</f>
        <v>Gale</v>
      </c>
      <c r="U518" s="28">
        <v>17</v>
      </c>
      <c r="V518" s="28">
        <v>93</v>
      </c>
      <c r="W518" s="28">
        <v>110</v>
      </c>
      <c r="X518" s="44">
        <f>AVERAGE(INDEX($W:$W,MAX(ROW($W$3),ROW()-23)):INDEX($W:$W,ROW()))</f>
        <v>48.708333333333336</v>
      </c>
      <c r="Y518" s="44">
        <f>_xlfn.STDEV.S(INDEX($W:$W,MAX(ROW($W$3),ROW()-23)):INDEX($W:$W,ROW()))</f>
        <v>36.74527969290947</v>
      </c>
      <c r="Z518" s="44">
        <f t="shared" si="50"/>
        <v>1.6680146995450349</v>
      </c>
      <c r="AA518" s="40" t="b">
        <f t="shared" si="48"/>
        <v>0</v>
      </c>
    </row>
    <row r="519" spans="1:27" x14ac:dyDescent="0.3">
      <c r="A519" s="32">
        <v>517</v>
      </c>
      <c r="B519" s="33">
        <v>40566</v>
      </c>
      <c r="C519" s="40" t="str">
        <f t="shared" si="51"/>
        <v>Sunday</v>
      </c>
      <c r="D519" s="28">
        <v>15</v>
      </c>
      <c r="E519" s="40" t="str" cm="1">
        <f t="array" ref="E519">_xlfn.IFS(D519&gt;=21,"Night",D519&gt;=17,"Evening",D519&gt;=12,"Midday",D519&gt;=6,"Morning", TRUE, "Night")</f>
        <v>Midday</v>
      </c>
      <c r="F519" s="28">
        <v>1</v>
      </c>
      <c r="G519" s="28">
        <v>0</v>
      </c>
      <c r="H519" s="28">
        <v>1</v>
      </c>
      <c r="I519" s="28">
        <v>0</v>
      </c>
      <c r="J519" s="40" t="str">
        <f t="shared" si="52"/>
        <v>Weekday</v>
      </c>
      <c r="K519" s="28" t="b">
        <v>0</v>
      </c>
      <c r="L519" s="28">
        <v>1</v>
      </c>
      <c r="M519" s="40" t="str" cm="1">
        <f t="array" ref="M519">_xlfn.IFS(L519=1,"Clear / Partly Cloudy",L519=2,"Mist / Cloudy",L519=3,"Light Snow / Rain",L519=4,"Heavy Precipitation")</f>
        <v>Clear / Partly Cloudy</v>
      </c>
      <c r="N519" s="28">
        <v>0.16</v>
      </c>
      <c r="O519" s="28" t="str">
        <f t="shared" si="53"/>
        <v>Cold</v>
      </c>
      <c r="P519" s="28">
        <v>0.13639999999999999</v>
      </c>
      <c r="Q519" s="38">
        <f t="shared" si="49"/>
        <v>0.13639999999999999</v>
      </c>
      <c r="R519" s="28">
        <v>0.28000000000000003</v>
      </c>
      <c r="S519" s="28">
        <v>0.35820000000000002</v>
      </c>
      <c r="T519" s="40" t="str" cm="1">
        <f t="array" ref="T519">_xlfn.IFS(S519*18.6&lt;2,"Calm",S519*18.6&lt;6,"Light Breeze",S519*18.6&lt;14,"Gale",TRUE,"Extreme Storm")</f>
        <v>Gale</v>
      </c>
      <c r="U519" s="28">
        <v>13</v>
      </c>
      <c r="V519" s="28">
        <v>64</v>
      </c>
      <c r="W519" s="28">
        <v>77</v>
      </c>
      <c r="X519" s="44">
        <f>AVERAGE(INDEX($W:$W,MAX(ROW($W$3),ROW()-23)):INDEX($W:$W,ROW()))</f>
        <v>48.791666666666664</v>
      </c>
      <c r="Y519" s="44">
        <f>_xlfn.STDEV.S(INDEX($W:$W,MAX(ROW($W$3),ROW()-23)):INDEX($W:$W,ROW()))</f>
        <v>36.809709454774669</v>
      </c>
      <c r="Z519" s="44">
        <f t="shared" si="50"/>
        <v>0.76632860598888453</v>
      </c>
      <c r="AA519" s="40" t="b">
        <f t="shared" si="48"/>
        <v>0</v>
      </c>
    </row>
    <row r="520" spans="1:27" x14ac:dyDescent="0.3">
      <c r="A520" s="32">
        <v>518</v>
      </c>
      <c r="B520" s="33">
        <v>40566</v>
      </c>
      <c r="C520" s="40" t="str">
        <f t="shared" si="51"/>
        <v>Sunday</v>
      </c>
      <c r="D520" s="28">
        <v>16</v>
      </c>
      <c r="E520" s="40" t="str" cm="1">
        <f t="array" ref="E520">_xlfn.IFS(D520&gt;=21,"Night",D520&gt;=17,"Evening",D520&gt;=12,"Midday",D520&gt;=6,"Morning", TRUE, "Night")</f>
        <v>Midday</v>
      </c>
      <c r="F520" s="28">
        <v>1</v>
      </c>
      <c r="G520" s="28">
        <v>0</v>
      </c>
      <c r="H520" s="28">
        <v>1</v>
      </c>
      <c r="I520" s="28">
        <v>0</v>
      </c>
      <c r="J520" s="40" t="str">
        <f t="shared" si="52"/>
        <v>Weekday</v>
      </c>
      <c r="K520" s="28" t="b">
        <v>0</v>
      </c>
      <c r="L520" s="28">
        <v>1</v>
      </c>
      <c r="M520" s="40" t="str" cm="1">
        <f t="array" ref="M520">_xlfn.IFS(L520=1,"Clear / Partly Cloudy",L520=2,"Mist / Cloudy",L520=3,"Light Snow / Rain",L520=4,"Heavy Precipitation")</f>
        <v>Clear / Partly Cloudy</v>
      </c>
      <c r="N520" s="28">
        <v>0.16</v>
      </c>
      <c r="O520" s="28" t="str">
        <f t="shared" si="53"/>
        <v>Cold</v>
      </c>
      <c r="P520" s="28">
        <v>0.13639999999999999</v>
      </c>
      <c r="Q520" s="38">
        <f t="shared" si="49"/>
        <v>0.13639999999999999</v>
      </c>
      <c r="R520" s="28">
        <v>0.26</v>
      </c>
      <c r="S520" s="28">
        <v>0.32840000000000003</v>
      </c>
      <c r="T520" s="40" t="str" cm="1">
        <f t="array" ref="T520">_xlfn.IFS(S520*18.6&lt;2,"Calm",S520*18.6&lt;6,"Light Breeze",S520*18.6&lt;14,"Gale",TRUE,"Extreme Storm")</f>
        <v>Gale</v>
      </c>
      <c r="U520" s="28">
        <v>9</v>
      </c>
      <c r="V520" s="28">
        <v>56</v>
      </c>
      <c r="W520" s="28">
        <v>65</v>
      </c>
      <c r="X520" s="44">
        <f>AVERAGE(INDEX($W:$W,MAX(ROW($W$3),ROW()-23)):INDEX($W:$W,ROW()))</f>
        <v>47.208333333333336</v>
      </c>
      <c r="Y520" s="44">
        <f>_xlfn.STDEV.S(INDEX($W:$W,MAX(ROW($W$3),ROW()-23)):INDEX($W:$W,ROW()))</f>
        <v>35.156765897986084</v>
      </c>
      <c r="Z520" s="44">
        <f t="shared" si="50"/>
        <v>0.50606664783366317</v>
      </c>
      <c r="AA520" s="40" t="b">
        <f t="shared" si="48"/>
        <v>0</v>
      </c>
    </row>
    <row r="521" spans="1:27" x14ac:dyDescent="0.3">
      <c r="A521" s="32">
        <v>519</v>
      </c>
      <c r="B521" s="33">
        <v>40566</v>
      </c>
      <c r="C521" s="40" t="str">
        <f t="shared" si="51"/>
        <v>Sunday</v>
      </c>
      <c r="D521" s="28">
        <v>17</v>
      </c>
      <c r="E521" s="40" t="str" cm="1">
        <f t="array" ref="E521">_xlfn.IFS(D521&gt;=21,"Night",D521&gt;=17,"Evening",D521&gt;=12,"Midday",D521&gt;=6,"Morning", TRUE, "Night")</f>
        <v>Evening</v>
      </c>
      <c r="F521" s="28">
        <v>1</v>
      </c>
      <c r="G521" s="28">
        <v>0</v>
      </c>
      <c r="H521" s="28">
        <v>1</v>
      </c>
      <c r="I521" s="28">
        <v>0</v>
      </c>
      <c r="J521" s="40" t="str">
        <f t="shared" si="52"/>
        <v>Weekday</v>
      </c>
      <c r="K521" s="28" t="b">
        <v>0</v>
      </c>
      <c r="L521" s="28">
        <v>1</v>
      </c>
      <c r="M521" s="40" t="str" cm="1">
        <f t="array" ref="M521">_xlfn.IFS(L521=1,"Clear / Partly Cloudy",L521=2,"Mist / Cloudy",L521=3,"Light Snow / Rain",L521=4,"Heavy Precipitation")</f>
        <v>Clear / Partly Cloudy</v>
      </c>
      <c r="N521" s="28">
        <v>0.14000000000000001</v>
      </c>
      <c r="O521" s="28" t="str">
        <f t="shared" si="53"/>
        <v>Cold</v>
      </c>
      <c r="P521" s="28">
        <v>0.1061</v>
      </c>
      <c r="Q521" s="38">
        <f t="shared" si="49"/>
        <v>0.1061</v>
      </c>
      <c r="R521" s="28">
        <v>0.26</v>
      </c>
      <c r="S521" s="28">
        <v>0.3881</v>
      </c>
      <c r="T521" s="40" t="str" cm="1">
        <f t="array" ref="T521">_xlfn.IFS(S521*18.6&lt;2,"Calm",S521*18.6&lt;6,"Light Breeze",S521*18.6&lt;14,"Gale",TRUE,"Extreme Storm")</f>
        <v>Gale</v>
      </c>
      <c r="U521" s="28">
        <v>5</v>
      </c>
      <c r="V521" s="28">
        <v>50</v>
      </c>
      <c r="W521" s="28">
        <v>55</v>
      </c>
      <c r="X521" s="44">
        <f>AVERAGE(INDEX($W:$W,MAX(ROW($W$3),ROW()-23)):INDEX($W:$W,ROW()))</f>
        <v>46.041666666666664</v>
      </c>
      <c r="Y521" s="44">
        <f>_xlfn.STDEV.S(INDEX($W:$W,MAX(ROW($W$3),ROW()-23)):INDEX($W:$W,ROW()))</f>
        <v>34.37324435569375</v>
      </c>
      <c r="Z521" s="44">
        <f t="shared" si="50"/>
        <v>0.26061937129450613</v>
      </c>
      <c r="AA521" s="40" t="b">
        <f t="shared" si="48"/>
        <v>0</v>
      </c>
    </row>
    <row r="522" spans="1:27" x14ac:dyDescent="0.3">
      <c r="A522" s="32">
        <v>520</v>
      </c>
      <c r="B522" s="33">
        <v>40566</v>
      </c>
      <c r="C522" s="40" t="str">
        <f t="shared" si="51"/>
        <v>Sunday</v>
      </c>
      <c r="D522" s="28">
        <v>18</v>
      </c>
      <c r="E522" s="40" t="str" cm="1">
        <f t="array" ref="E522">_xlfn.IFS(D522&gt;=21,"Night",D522&gt;=17,"Evening",D522&gt;=12,"Midday",D522&gt;=6,"Morning", TRUE, "Night")</f>
        <v>Evening</v>
      </c>
      <c r="F522" s="28">
        <v>1</v>
      </c>
      <c r="G522" s="28">
        <v>0</v>
      </c>
      <c r="H522" s="28">
        <v>1</v>
      </c>
      <c r="I522" s="28">
        <v>0</v>
      </c>
      <c r="J522" s="40" t="str">
        <f t="shared" si="52"/>
        <v>Weekday</v>
      </c>
      <c r="K522" s="28" t="b">
        <v>0</v>
      </c>
      <c r="L522" s="28">
        <v>1</v>
      </c>
      <c r="M522" s="40" t="str" cm="1">
        <f t="array" ref="M522">_xlfn.IFS(L522=1,"Clear / Partly Cloudy",L522=2,"Mist / Cloudy",L522=3,"Light Snow / Rain",L522=4,"Heavy Precipitation")</f>
        <v>Clear / Partly Cloudy</v>
      </c>
      <c r="N522" s="28">
        <v>0.12</v>
      </c>
      <c r="O522" s="28" t="str">
        <f t="shared" si="53"/>
        <v>Cold</v>
      </c>
      <c r="P522" s="28">
        <v>0.1212</v>
      </c>
      <c r="Q522" s="38">
        <f t="shared" si="49"/>
        <v>0.1212</v>
      </c>
      <c r="R522" s="28">
        <v>0.3</v>
      </c>
      <c r="S522" s="28">
        <v>0.25369999999999998</v>
      </c>
      <c r="T522" s="40" t="str" cm="1">
        <f t="array" ref="T522">_xlfn.IFS(S522*18.6&lt;2,"Calm",S522*18.6&lt;6,"Light Breeze",S522*18.6&lt;14,"Gale",TRUE,"Extreme Storm")</f>
        <v>Light Breeze</v>
      </c>
      <c r="U522" s="28">
        <v>5</v>
      </c>
      <c r="V522" s="28">
        <v>44</v>
      </c>
      <c r="W522" s="28">
        <v>49</v>
      </c>
      <c r="X522" s="44">
        <f>AVERAGE(INDEX($W:$W,MAX(ROW($W$3),ROW()-23)):INDEX($W:$W,ROW()))</f>
        <v>45.291666666666664</v>
      </c>
      <c r="Y522" s="44">
        <f>_xlfn.STDEV.S(INDEX($W:$W,MAX(ROW($W$3),ROW()-23)):INDEX($W:$W,ROW()))</f>
        <v>34.091283045818983</v>
      </c>
      <c r="Z522" s="44">
        <f t="shared" si="50"/>
        <v>0.10877658457</v>
      </c>
      <c r="AA522" s="40" t="b">
        <f t="shared" si="48"/>
        <v>0</v>
      </c>
    </row>
    <row r="523" spans="1:27" x14ac:dyDescent="0.3">
      <c r="A523" s="32">
        <v>521</v>
      </c>
      <c r="B523" s="33">
        <v>40566</v>
      </c>
      <c r="C523" s="40" t="str">
        <f t="shared" si="51"/>
        <v>Sunday</v>
      </c>
      <c r="D523" s="28">
        <v>19</v>
      </c>
      <c r="E523" s="40" t="str" cm="1">
        <f t="array" ref="E523">_xlfn.IFS(D523&gt;=21,"Night",D523&gt;=17,"Evening",D523&gt;=12,"Midday",D523&gt;=6,"Morning", TRUE, "Night")</f>
        <v>Evening</v>
      </c>
      <c r="F523" s="28">
        <v>1</v>
      </c>
      <c r="G523" s="28">
        <v>0</v>
      </c>
      <c r="H523" s="28">
        <v>1</v>
      </c>
      <c r="I523" s="28">
        <v>0</v>
      </c>
      <c r="J523" s="40" t="str">
        <f t="shared" si="52"/>
        <v>Weekday</v>
      </c>
      <c r="K523" s="28" t="b">
        <v>0</v>
      </c>
      <c r="L523" s="28">
        <v>1</v>
      </c>
      <c r="M523" s="40" t="str" cm="1">
        <f t="array" ref="M523">_xlfn.IFS(L523=1,"Clear / Partly Cloudy",L523=2,"Mist / Cloudy",L523=3,"Light Snow / Rain",L523=4,"Heavy Precipitation")</f>
        <v>Clear / Partly Cloudy</v>
      </c>
      <c r="N523" s="28">
        <v>0.12</v>
      </c>
      <c r="O523" s="28" t="str">
        <f t="shared" si="53"/>
        <v>Cold</v>
      </c>
      <c r="P523" s="28">
        <v>0.1212</v>
      </c>
      <c r="Q523" s="38">
        <f t="shared" si="49"/>
        <v>0.1212</v>
      </c>
      <c r="R523" s="28">
        <v>0.3</v>
      </c>
      <c r="S523" s="28">
        <v>0.28360000000000002</v>
      </c>
      <c r="T523" s="40" t="str" cm="1">
        <f t="array" ref="T523">_xlfn.IFS(S523*18.6&lt;2,"Calm",S523*18.6&lt;6,"Light Breeze",S523*18.6&lt;14,"Gale",TRUE,"Extreme Storm")</f>
        <v>Light Breeze</v>
      </c>
      <c r="U523" s="28">
        <v>5</v>
      </c>
      <c r="V523" s="28">
        <v>45</v>
      </c>
      <c r="W523" s="28">
        <v>50</v>
      </c>
      <c r="X523" s="44">
        <f>AVERAGE(INDEX($W:$W,MAX(ROW($W$3),ROW()-23)):INDEX($W:$W,ROW()))</f>
        <v>45.125</v>
      </c>
      <c r="Y523" s="44">
        <f>_xlfn.STDEV.S(INDEX($W:$W,MAX(ROW($W$3),ROW()-23)):INDEX($W:$W,ROW()))</f>
        <v>34.056618459112542</v>
      </c>
      <c r="Z523" s="44">
        <f t="shared" si="50"/>
        <v>0.14314398259629896</v>
      </c>
      <c r="AA523" s="40" t="b">
        <f t="shared" si="48"/>
        <v>0</v>
      </c>
    </row>
    <row r="524" spans="1:27" x14ac:dyDescent="0.3">
      <c r="A524" s="32">
        <v>522</v>
      </c>
      <c r="B524" s="33">
        <v>40566</v>
      </c>
      <c r="C524" s="40" t="str">
        <f t="shared" si="51"/>
        <v>Sunday</v>
      </c>
      <c r="D524" s="28">
        <v>20</v>
      </c>
      <c r="E524" s="40" t="str" cm="1">
        <f t="array" ref="E524">_xlfn.IFS(D524&gt;=21,"Night",D524&gt;=17,"Evening",D524&gt;=12,"Midday",D524&gt;=6,"Morning", TRUE, "Night")</f>
        <v>Evening</v>
      </c>
      <c r="F524" s="28">
        <v>1</v>
      </c>
      <c r="G524" s="28">
        <v>0</v>
      </c>
      <c r="H524" s="28">
        <v>1</v>
      </c>
      <c r="I524" s="28">
        <v>0</v>
      </c>
      <c r="J524" s="40" t="str">
        <f t="shared" si="52"/>
        <v>Weekday</v>
      </c>
      <c r="K524" s="28" t="b">
        <v>0</v>
      </c>
      <c r="L524" s="28">
        <v>1</v>
      </c>
      <c r="M524" s="40" t="str" cm="1">
        <f t="array" ref="M524">_xlfn.IFS(L524=1,"Clear / Partly Cloudy",L524=2,"Mist / Cloudy",L524=3,"Light Snow / Rain",L524=4,"Heavy Precipitation")</f>
        <v>Clear / Partly Cloudy</v>
      </c>
      <c r="N524" s="28">
        <v>0.1</v>
      </c>
      <c r="O524" s="28" t="str">
        <f t="shared" si="53"/>
        <v>Cold</v>
      </c>
      <c r="P524" s="28">
        <v>0.1061</v>
      </c>
      <c r="Q524" s="38">
        <f t="shared" si="49"/>
        <v>0.1061</v>
      </c>
      <c r="R524" s="28">
        <v>0.36</v>
      </c>
      <c r="S524" s="28">
        <v>0.25369999999999998</v>
      </c>
      <c r="T524" s="40" t="str" cm="1">
        <f t="array" ref="T524">_xlfn.IFS(S524*18.6&lt;2,"Calm",S524*18.6&lt;6,"Light Breeze",S524*18.6&lt;14,"Gale",TRUE,"Extreme Storm")</f>
        <v>Light Breeze</v>
      </c>
      <c r="U524" s="28">
        <v>4</v>
      </c>
      <c r="V524" s="28">
        <v>31</v>
      </c>
      <c r="W524" s="28">
        <v>35</v>
      </c>
      <c r="X524" s="44">
        <f>AVERAGE(INDEX($W:$W,MAX(ROW($W$3),ROW()-23)):INDEX($W:$W,ROW()))</f>
        <v>44.125</v>
      </c>
      <c r="Y524" s="44">
        <f>_xlfn.STDEV.S(INDEX($W:$W,MAX(ROW($W$3),ROW()-23)):INDEX($W:$W,ROW()))</f>
        <v>33.983771702541119</v>
      </c>
      <c r="Z524" s="44">
        <f t="shared" si="50"/>
        <v>-0.26851051377907187</v>
      </c>
      <c r="AA524" s="40" t="b">
        <f t="shared" si="48"/>
        <v>0</v>
      </c>
    </row>
    <row r="525" spans="1:27" x14ac:dyDescent="0.3">
      <c r="A525" s="32">
        <v>523</v>
      </c>
      <c r="B525" s="33">
        <v>40566</v>
      </c>
      <c r="C525" s="40" t="str">
        <f t="shared" si="51"/>
        <v>Sunday</v>
      </c>
      <c r="D525" s="28">
        <v>21</v>
      </c>
      <c r="E525" s="40" t="str" cm="1">
        <f t="array" ref="E525">_xlfn.IFS(D525&gt;=21,"Night",D525&gt;=17,"Evening",D525&gt;=12,"Midday",D525&gt;=6,"Morning", TRUE, "Night")</f>
        <v>Night</v>
      </c>
      <c r="F525" s="28">
        <v>1</v>
      </c>
      <c r="G525" s="28">
        <v>0</v>
      </c>
      <c r="H525" s="28">
        <v>1</v>
      </c>
      <c r="I525" s="28">
        <v>0</v>
      </c>
      <c r="J525" s="40" t="str">
        <f t="shared" si="52"/>
        <v>Weekday</v>
      </c>
      <c r="K525" s="28" t="b">
        <v>0</v>
      </c>
      <c r="L525" s="28">
        <v>1</v>
      </c>
      <c r="M525" s="40" t="str" cm="1">
        <f t="array" ref="M525">_xlfn.IFS(L525=1,"Clear / Partly Cloudy",L525=2,"Mist / Cloudy",L525=3,"Light Snow / Rain",L525=4,"Heavy Precipitation")</f>
        <v>Clear / Partly Cloudy</v>
      </c>
      <c r="N525" s="28">
        <v>0.1</v>
      </c>
      <c r="O525" s="28" t="str">
        <f t="shared" si="53"/>
        <v>Cold</v>
      </c>
      <c r="P525" s="28">
        <v>0.1061</v>
      </c>
      <c r="Q525" s="38">
        <f t="shared" si="49"/>
        <v>0.1061</v>
      </c>
      <c r="R525" s="28">
        <v>0.36</v>
      </c>
      <c r="S525" s="28">
        <v>0.19400000000000001</v>
      </c>
      <c r="T525" s="40" t="str" cm="1">
        <f t="array" ref="T525">_xlfn.IFS(S525*18.6&lt;2,"Calm",S525*18.6&lt;6,"Light Breeze",S525*18.6&lt;14,"Gale",TRUE,"Extreme Storm")</f>
        <v>Light Breeze</v>
      </c>
      <c r="U525" s="28">
        <v>5</v>
      </c>
      <c r="V525" s="28">
        <v>20</v>
      </c>
      <c r="W525" s="28">
        <v>25</v>
      </c>
      <c r="X525" s="44">
        <f>AVERAGE(INDEX($W:$W,MAX(ROW($W$3),ROW()-23)):INDEX($W:$W,ROW()))</f>
        <v>43.291666666666664</v>
      </c>
      <c r="Y525" s="44">
        <f>_xlfn.STDEV.S(INDEX($W:$W,MAX(ROW($W$3),ROW()-23)):INDEX($W:$W,ROW()))</f>
        <v>34.205871815620583</v>
      </c>
      <c r="Z525" s="44">
        <f t="shared" si="50"/>
        <v>-0.53475224269283272</v>
      </c>
      <c r="AA525" s="40" t="b">
        <f t="shared" si="48"/>
        <v>0</v>
      </c>
    </row>
    <row r="526" spans="1:27" x14ac:dyDescent="0.3">
      <c r="A526" s="32">
        <v>524</v>
      </c>
      <c r="B526" s="33">
        <v>40566</v>
      </c>
      <c r="C526" s="40" t="str">
        <f t="shared" si="51"/>
        <v>Sunday</v>
      </c>
      <c r="D526" s="28">
        <v>22</v>
      </c>
      <c r="E526" s="40" t="str" cm="1">
        <f t="array" ref="E526">_xlfn.IFS(D526&gt;=21,"Night",D526&gt;=17,"Evening",D526&gt;=12,"Midday",D526&gt;=6,"Morning", TRUE, "Night")</f>
        <v>Night</v>
      </c>
      <c r="F526" s="28">
        <v>1</v>
      </c>
      <c r="G526" s="28">
        <v>0</v>
      </c>
      <c r="H526" s="28">
        <v>1</v>
      </c>
      <c r="I526" s="28">
        <v>0</v>
      </c>
      <c r="J526" s="40" t="str">
        <f t="shared" si="52"/>
        <v>Weekday</v>
      </c>
      <c r="K526" s="28" t="b">
        <v>0</v>
      </c>
      <c r="L526" s="28">
        <v>1</v>
      </c>
      <c r="M526" s="40" t="str" cm="1">
        <f t="array" ref="M526">_xlfn.IFS(L526=1,"Clear / Partly Cloudy",L526=2,"Mist / Cloudy",L526=3,"Light Snow / Rain",L526=4,"Heavy Precipitation")</f>
        <v>Clear / Partly Cloudy</v>
      </c>
      <c r="N526" s="28">
        <v>0.08</v>
      </c>
      <c r="O526" s="28" t="str">
        <f t="shared" si="53"/>
        <v>Cold</v>
      </c>
      <c r="P526" s="28">
        <v>9.0899999999999995E-2</v>
      </c>
      <c r="Q526" s="38">
        <f t="shared" si="49"/>
        <v>9.0899999999999995E-2</v>
      </c>
      <c r="R526" s="28">
        <v>0.38</v>
      </c>
      <c r="S526" s="28">
        <v>0.19400000000000001</v>
      </c>
      <c r="T526" s="40" t="str" cm="1">
        <f t="array" ref="T526">_xlfn.IFS(S526*18.6&lt;2,"Calm",S526*18.6&lt;6,"Light Breeze",S526*18.6&lt;14,"Gale",TRUE,"Extreme Storm")</f>
        <v>Light Breeze</v>
      </c>
      <c r="U526" s="28">
        <v>5</v>
      </c>
      <c r="V526" s="28">
        <v>23</v>
      </c>
      <c r="W526" s="28">
        <v>28</v>
      </c>
      <c r="X526" s="44">
        <f>AVERAGE(INDEX($W:$W,MAX(ROW($W$3),ROW()-23)):INDEX($W:$W,ROW()))</f>
        <v>42.833333333333336</v>
      </c>
      <c r="Y526" s="44">
        <f>_xlfn.STDEV.S(INDEX($W:$W,MAX(ROW($W$3),ROW()-23)):INDEX($W:$W,ROW()))</f>
        <v>34.339312832336958</v>
      </c>
      <c r="Z526" s="44">
        <f t="shared" si="50"/>
        <v>-0.43196360409882595</v>
      </c>
      <c r="AA526" s="40" t="b">
        <f t="shared" si="48"/>
        <v>0</v>
      </c>
    </row>
    <row r="527" spans="1:27" x14ac:dyDescent="0.3">
      <c r="A527" s="32">
        <v>525</v>
      </c>
      <c r="B527" s="33">
        <v>40566</v>
      </c>
      <c r="C527" s="40" t="str">
        <f t="shared" si="51"/>
        <v>Sunday</v>
      </c>
      <c r="D527" s="28">
        <v>23</v>
      </c>
      <c r="E527" s="40" t="str" cm="1">
        <f t="array" ref="E527">_xlfn.IFS(D527&gt;=21,"Night",D527&gt;=17,"Evening",D527&gt;=12,"Midday",D527&gt;=6,"Morning", TRUE, "Night")</f>
        <v>Night</v>
      </c>
      <c r="F527" s="28">
        <v>1</v>
      </c>
      <c r="G527" s="28">
        <v>0</v>
      </c>
      <c r="H527" s="28">
        <v>1</v>
      </c>
      <c r="I527" s="28">
        <v>0</v>
      </c>
      <c r="J527" s="40" t="str">
        <f t="shared" si="52"/>
        <v>Weekday</v>
      </c>
      <c r="K527" s="28" t="b">
        <v>0</v>
      </c>
      <c r="L527" s="28">
        <v>1</v>
      </c>
      <c r="M527" s="40" t="str" cm="1">
        <f t="array" ref="M527">_xlfn.IFS(L527=1,"Clear / Partly Cloudy",L527=2,"Mist / Cloudy",L527=3,"Light Snow / Rain",L527=4,"Heavy Precipitation")</f>
        <v>Clear / Partly Cloudy</v>
      </c>
      <c r="N527" s="28">
        <v>0.06</v>
      </c>
      <c r="O527" s="28" t="str">
        <f t="shared" si="53"/>
        <v>Cold</v>
      </c>
      <c r="P527" s="28">
        <v>6.0600000000000001E-2</v>
      </c>
      <c r="Q527" s="38">
        <f t="shared" si="49"/>
        <v>6.0600000000000001E-2</v>
      </c>
      <c r="R527" s="28">
        <v>0.41</v>
      </c>
      <c r="S527" s="28">
        <v>0.22389999999999999</v>
      </c>
      <c r="T527" s="40" t="str" cm="1">
        <f t="array" ref="T527">_xlfn.IFS(S527*18.6&lt;2,"Calm",S527*18.6&lt;6,"Light Breeze",S527*18.6&lt;14,"Gale",TRUE,"Extreme Storm")</f>
        <v>Light Breeze</v>
      </c>
      <c r="U527" s="28">
        <v>4</v>
      </c>
      <c r="V527" s="28">
        <v>17</v>
      </c>
      <c r="W527" s="28">
        <v>21</v>
      </c>
      <c r="X527" s="44">
        <f>AVERAGE(INDEX($W:$W,MAX(ROW($W$3),ROW()-23)):INDEX($W:$W,ROW()))</f>
        <v>42.458333333333336</v>
      </c>
      <c r="Y527" s="44">
        <f>_xlfn.STDEV.S(INDEX($W:$W,MAX(ROW($W$3),ROW()-23)):INDEX($W:$W,ROW()))</f>
        <v>34.534140847253916</v>
      </c>
      <c r="Z527" s="44">
        <f t="shared" si="50"/>
        <v>-0.62136577910666801</v>
      </c>
      <c r="AA527" s="40" t="b">
        <f t="shared" si="48"/>
        <v>0</v>
      </c>
    </row>
    <row r="528" spans="1:27" x14ac:dyDescent="0.3">
      <c r="A528" s="32">
        <v>526</v>
      </c>
      <c r="B528" s="33">
        <v>40567</v>
      </c>
      <c r="C528" s="40" t="str">
        <f t="shared" si="51"/>
        <v>Monday</v>
      </c>
      <c r="D528" s="28">
        <v>0</v>
      </c>
      <c r="E528" s="40" t="str" cm="1">
        <f t="array" ref="E528">_xlfn.IFS(D528&gt;=21,"Night",D528&gt;=17,"Evening",D528&gt;=12,"Midday",D528&gt;=6,"Morning", TRUE, "Night")</f>
        <v>Night</v>
      </c>
      <c r="F528" s="28">
        <v>1</v>
      </c>
      <c r="G528" s="28">
        <v>0</v>
      </c>
      <c r="H528" s="28">
        <v>1</v>
      </c>
      <c r="I528" s="28">
        <v>1</v>
      </c>
      <c r="J528" s="40" t="str">
        <f t="shared" si="52"/>
        <v>Weekday</v>
      </c>
      <c r="K528" s="28" t="b">
        <v>0</v>
      </c>
      <c r="L528" s="28">
        <v>1</v>
      </c>
      <c r="M528" s="40" t="str" cm="1">
        <f t="array" ref="M528">_xlfn.IFS(L528=1,"Clear / Partly Cloudy",L528=2,"Mist / Cloudy",L528=3,"Light Snow / Rain",L528=4,"Heavy Precipitation")</f>
        <v>Clear / Partly Cloudy</v>
      </c>
      <c r="N528" s="28">
        <v>0.06</v>
      </c>
      <c r="O528" s="28" t="str">
        <f t="shared" si="53"/>
        <v>Cold</v>
      </c>
      <c r="P528" s="28">
        <v>6.0600000000000001E-2</v>
      </c>
      <c r="Q528" s="38">
        <f t="shared" si="49"/>
        <v>6.0600000000000001E-2</v>
      </c>
      <c r="R528" s="28">
        <v>0.41</v>
      </c>
      <c r="S528" s="28">
        <v>0.19400000000000001</v>
      </c>
      <c r="T528" s="40" t="str" cm="1">
        <f t="array" ref="T528">_xlfn.IFS(S528*18.6&lt;2,"Calm",S528*18.6&lt;6,"Light Breeze",S528*18.6&lt;14,"Gale",TRUE,"Extreme Storm")</f>
        <v>Light Breeze</v>
      </c>
      <c r="U528" s="28">
        <v>0</v>
      </c>
      <c r="V528" s="28">
        <v>7</v>
      </c>
      <c r="W528" s="28">
        <v>7</v>
      </c>
      <c r="X528" s="44">
        <f>AVERAGE(INDEX($W:$W,MAX(ROW($W$3),ROW()-23)):INDEX($W:$W,ROW()))</f>
        <v>41.375</v>
      </c>
      <c r="Y528" s="44">
        <f>_xlfn.STDEV.S(INDEX($W:$W,MAX(ROW($W$3),ROW()-23)):INDEX($W:$W,ROW()))</f>
        <v>35.244256393001855</v>
      </c>
      <c r="Z528" s="44">
        <f t="shared" si="50"/>
        <v>-0.9753362254743313</v>
      </c>
      <c r="AA528" s="40" t="b">
        <f t="shared" si="48"/>
        <v>0</v>
      </c>
    </row>
    <row r="529" spans="1:27" x14ac:dyDescent="0.3">
      <c r="A529" s="32">
        <v>527</v>
      </c>
      <c r="B529" s="33">
        <v>40567</v>
      </c>
      <c r="C529" s="40" t="str">
        <f t="shared" si="51"/>
        <v>Monday</v>
      </c>
      <c r="D529" s="28">
        <v>1</v>
      </c>
      <c r="E529" s="40" t="str" cm="1">
        <f t="array" ref="E529">_xlfn.IFS(D529&gt;=21,"Night",D529&gt;=17,"Evening",D529&gt;=12,"Midday",D529&gt;=6,"Morning", TRUE, "Night")</f>
        <v>Night</v>
      </c>
      <c r="F529" s="28">
        <v>1</v>
      </c>
      <c r="G529" s="28">
        <v>0</v>
      </c>
      <c r="H529" s="28">
        <v>1</v>
      </c>
      <c r="I529" s="28">
        <v>1</v>
      </c>
      <c r="J529" s="40" t="str">
        <f t="shared" si="52"/>
        <v>Weekday</v>
      </c>
      <c r="K529" s="28" t="b">
        <v>0</v>
      </c>
      <c r="L529" s="28">
        <v>1</v>
      </c>
      <c r="M529" s="40" t="str" cm="1">
        <f t="array" ref="M529">_xlfn.IFS(L529=1,"Clear / Partly Cloudy",L529=2,"Mist / Cloudy",L529=3,"Light Snow / Rain",L529=4,"Heavy Precipitation")</f>
        <v>Clear / Partly Cloudy</v>
      </c>
      <c r="N529" s="28">
        <v>0.04</v>
      </c>
      <c r="O529" s="28" t="str">
        <f t="shared" si="53"/>
        <v>Cold</v>
      </c>
      <c r="P529" s="28">
        <v>4.5499999999999999E-2</v>
      </c>
      <c r="Q529" s="38">
        <f t="shared" si="49"/>
        <v>4.5499999999999999E-2</v>
      </c>
      <c r="R529" s="28">
        <v>0.45</v>
      </c>
      <c r="S529" s="28">
        <v>0.19400000000000001</v>
      </c>
      <c r="T529" s="40" t="str" cm="1">
        <f t="array" ref="T529">_xlfn.IFS(S529*18.6&lt;2,"Calm",S529*18.6&lt;6,"Light Breeze",S529*18.6&lt;14,"Gale",TRUE,"Extreme Storm")</f>
        <v>Light Breeze</v>
      </c>
      <c r="U529" s="28">
        <v>0</v>
      </c>
      <c r="V529" s="28">
        <v>1</v>
      </c>
      <c r="W529" s="28">
        <v>1</v>
      </c>
      <c r="X529" s="44">
        <f>AVERAGE(INDEX($W:$W,MAX(ROW($W$3),ROW()-23)):INDEX($W:$W,ROW()))</f>
        <v>40.5</v>
      </c>
      <c r="Y529" s="44">
        <f>_xlfn.STDEV.S(INDEX($W:$W,MAX(ROW($W$3),ROW()-23)):INDEX($W:$W,ROW()))</f>
        <v>35.998792250272238</v>
      </c>
      <c r="Z529" s="44">
        <f t="shared" si="50"/>
        <v>-1.0972590337305352</v>
      </c>
      <c r="AA529" s="40" t="b">
        <f t="shared" si="48"/>
        <v>0</v>
      </c>
    </row>
    <row r="530" spans="1:27" x14ac:dyDescent="0.3">
      <c r="A530" s="32">
        <v>528</v>
      </c>
      <c r="B530" s="33">
        <v>40567</v>
      </c>
      <c r="C530" s="40" t="str">
        <f t="shared" si="51"/>
        <v>Monday</v>
      </c>
      <c r="D530" s="28">
        <v>3</v>
      </c>
      <c r="E530" s="40" t="str" cm="1">
        <f t="array" ref="E530">_xlfn.IFS(D530&gt;=21,"Night",D530&gt;=17,"Evening",D530&gt;=12,"Midday",D530&gt;=6,"Morning", TRUE, "Night")</f>
        <v>Night</v>
      </c>
      <c r="F530" s="28">
        <v>1</v>
      </c>
      <c r="G530" s="28">
        <v>0</v>
      </c>
      <c r="H530" s="28">
        <v>1</v>
      </c>
      <c r="I530" s="28">
        <v>1</v>
      </c>
      <c r="J530" s="40" t="str">
        <f t="shared" si="52"/>
        <v>Weekday</v>
      </c>
      <c r="K530" s="28" t="b">
        <v>0</v>
      </c>
      <c r="L530" s="28">
        <v>1</v>
      </c>
      <c r="M530" s="40" t="str" cm="1">
        <f t="array" ref="M530">_xlfn.IFS(L530=1,"Clear / Partly Cloudy",L530=2,"Mist / Cloudy",L530=3,"Light Snow / Rain",L530=4,"Heavy Precipitation")</f>
        <v>Clear / Partly Cloudy</v>
      </c>
      <c r="N530" s="28">
        <v>0.04</v>
      </c>
      <c r="O530" s="28" t="str">
        <f t="shared" si="53"/>
        <v>Cold</v>
      </c>
      <c r="P530" s="28">
        <v>3.0300000000000001E-2</v>
      </c>
      <c r="Q530" s="38">
        <f t="shared" si="49"/>
        <v>3.0300000000000001E-2</v>
      </c>
      <c r="R530" s="28">
        <v>0.45</v>
      </c>
      <c r="S530" s="28">
        <v>0.25369999999999998</v>
      </c>
      <c r="T530" s="40" t="str" cm="1">
        <f t="array" ref="T530">_xlfn.IFS(S530*18.6&lt;2,"Calm",S530*18.6&lt;6,"Light Breeze",S530*18.6&lt;14,"Gale",TRUE,"Extreme Storm")</f>
        <v>Light Breeze</v>
      </c>
      <c r="U530" s="28">
        <v>0</v>
      </c>
      <c r="V530" s="28">
        <v>1</v>
      </c>
      <c r="W530" s="28">
        <v>1</v>
      </c>
      <c r="X530" s="44">
        <f>AVERAGE(INDEX($W:$W,MAX(ROW($W$3),ROW()-23)):INDEX($W:$W,ROW()))</f>
        <v>40</v>
      </c>
      <c r="Y530" s="44">
        <f>_xlfn.STDEV.S(INDEX($W:$W,MAX(ROW($W$3),ROW()-23)):INDEX($W:$W,ROW()))</f>
        <v>36.477509449689322</v>
      </c>
      <c r="Z530" s="44">
        <f t="shared" si="50"/>
        <v>-1.0691519401506773</v>
      </c>
      <c r="AA530" s="40" t="b">
        <f t="shared" si="48"/>
        <v>0</v>
      </c>
    </row>
    <row r="531" spans="1:27" x14ac:dyDescent="0.3">
      <c r="A531" s="32">
        <v>529</v>
      </c>
      <c r="B531" s="33">
        <v>40567</v>
      </c>
      <c r="C531" s="40" t="str">
        <f t="shared" si="51"/>
        <v>Monday</v>
      </c>
      <c r="D531" s="28">
        <v>4</v>
      </c>
      <c r="E531" s="40" t="str" cm="1">
        <f t="array" ref="E531">_xlfn.IFS(D531&gt;=21,"Night",D531&gt;=17,"Evening",D531&gt;=12,"Midday",D531&gt;=6,"Morning", TRUE, "Night")</f>
        <v>Night</v>
      </c>
      <c r="F531" s="28">
        <v>1</v>
      </c>
      <c r="G531" s="28">
        <v>0</v>
      </c>
      <c r="H531" s="28">
        <v>1</v>
      </c>
      <c r="I531" s="28">
        <v>1</v>
      </c>
      <c r="J531" s="40" t="str">
        <f t="shared" si="52"/>
        <v>Weekday</v>
      </c>
      <c r="K531" s="28" t="b">
        <v>0</v>
      </c>
      <c r="L531" s="28">
        <v>1</v>
      </c>
      <c r="M531" s="40" t="str" cm="1">
        <f t="array" ref="M531">_xlfn.IFS(L531=1,"Clear / Partly Cloudy",L531=2,"Mist / Cloudy",L531=3,"Light Snow / Rain",L531=4,"Heavy Precipitation")</f>
        <v>Clear / Partly Cloudy</v>
      </c>
      <c r="N531" s="28">
        <v>0.02</v>
      </c>
      <c r="O531" s="28" t="str">
        <f t="shared" si="53"/>
        <v>Cold</v>
      </c>
      <c r="P531" s="28">
        <v>6.0600000000000001E-2</v>
      </c>
      <c r="Q531" s="38">
        <f t="shared" si="49"/>
        <v>6.0600000000000001E-2</v>
      </c>
      <c r="R531" s="28">
        <v>0.48</v>
      </c>
      <c r="S531" s="28">
        <v>0.1343</v>
      </c>
      <c r="T531" s="40" t="str" cm="1">
        <f t="array" ref="T531">_xlfn.IFS(S531*18.6&lt;2,"Calm",S531*18.6&lt;6,"Light Breeze",S531*18.6&lt;14,"Gale",TRUE,"Extreme Storm")</f>
        <v>Light Breeze</v>
      </c>
      <c r="U531" s="28">
        <v>0</v>
      </c>
      <c r="V531" s="28">
        <v>1</v>
      </c>
      <c r="W531" s="28">
        <v>1</v>
      </c>
      <c r="X531" s="44">
        <f>AVERAGE(INDEX($W:$W,MAX(ROW($W$3),ROW()-23)):INDEX($W:$W,ROW()))</f>
        <v>39.291666666666664</v>
      </c>
      <c r="Y531" s="44">
        <f>_xlfn.STDEV.S(INDEX($W:$W,MAX(ROW($W$3),ROW()-23)):INDEX($W:$W,ROW()))</f>
        <v>37.083312978336707</v>
      </c>
      <c r="Z531" s="44">
        <f t="shared" si="50"/>
        <v>-1.0325848364474839</v>
      </c>
      <c r="AA531" s="40" t="b">
        <f t="shared" si="48"/>
        <v>0</v>
      </c>
    </row>
    <row r="532" spans="1:27" x14ac:dyDescent="0.3">
      <c r="A532" s="32">
        <v>530</v>
      </c>
      <c r="B532" s="33">
        <v>40567</v>
      </c>
      <c r="C532" s="40" t="str">
        <f t="shared" si="51"/>
        <v>Monday</v>
      </c>
      <c r="D532" s="28">
        <v>5</v>
      </c>
      <c r="E532" s="40" t="str" cm="1">
        <f t="array" ref="E532">_xlfn.IFS(D532&gt;=21,"Night",D532&gt;=17,"Evening",D532&gt;=12,"Midday",D532&gt;=6,"Morning", TRUE, "Night")</f>
        <v>Night</v>
      </c>
      <c r="F532" s="28">
        <v>1</v>
      </c>
      <c r="G532" s="28">
        <v>0</v>
      </c>
      <c r="H532" s="28">
        <v>1</v>
      </c>
      <c r="I532" s="28">
        <v>1</v>
      </c>
      <c r="J532" s="40" t="str">
        <f t="shared" si="52"/>
        <v>Weekday</v>
      </c>
      <c r="K532" s="28" t="b">
        <v>0</v>
      </c>
      <c r="L532" s="28">
        <v>1</v>
      </c>
      <c r="M532" s="40" t="str" cm="1">
        <f t="array" ref="M532">_xlfn.IFS(L532=1,"Clear / Partly Cloudy",L532=2,"Mist / Cloudy",L532=3,"Light Snow / Rain",L532=4,"Heavy Precipitation")</f>
        <v>Clear / Partly Cloudy</v>
      </c>
      <c r="N532" s="28">
        <v>0.02</v>
      </c>
      <c r="O532" s="28" t="str">
        <f t="shared" si="53"/>
        <v>Cold</v>
      </c>
      <c r="P532" s="28">
        <v>6.0600000000000001E-2</v>
      </c>
      <c r="Q532" s="38">
        <f t="shared" si="49"/>
        <v>6.0600000000000001E-2</v>
      </c>
      <c r="R532" s="28">
        <v>0.48</v>
      </c>
      <c r="S532" s="28">
        <v>0.1343</v>
      </c>
      <c r="T532" s="40" t="str" cm="1">
        <f t="array" ref="T532">_xlfn.IFS(S532*18.6&lt;2,"Calm",S532*18.6&lt;6,"Light Breeze",S532*18.6&lt;14,"Gale",TRUE,"Extreme Storm")</f>
        <v>Light Breeze</v>
      </c>
      <c r="U532" s="28">
        <v>0</v>
      </c>
      <c r="V532" s="28">
        <v>5</v>
      </c>
      <c r="W532" s="28">
        <v>5</v>
      </c>
      <c r="X532" s="44">
        <f>AVERAGE(INDEX($W:$W,MAX(ROW($W$3),ROW()-23)):INDEX($W:$W,ROW()))</f>
        <v>39.291666666666664</v>
      </c>
      <c r="Y532" s="44">
        <f>_xlfn.STDEV.S(INDEX($W:$W,MAX(ROW($W$3),ROW()-23)):INDEX($W:$W,ROW()))</f>
        <v>37.083312978336707</v>
      </c>
      <c r="Z532" s="44">
        <f t="shared" si="50"/>
        <v>-0.92471960870106551</v>
      </c>
      <c r="AA532" s="40" t="b">
        <f t="shared" si="48"/>
        <v>0</v>
      </c>
    </row>
    <row r="533" spans="1:27" x14ac:dyDescent="0.3">
      <c r="A533" s="32">
        <v>531</v>
      </c>
      <c r="B533" s="33">
        <v>40567</v>
      </c>
      <c r="C533" s="40" t="str">
        <f t="shared" si="51"/>
        <v>Monday</v>
      </c>
      <c r="D533" s="28">
        <v>6</v>
      </c>
      <c r="E533" s="40" t="str" cm="1">
        <f t="array" ref="E533">_xlfn.IFS(D533&gt;=21,"Night",D533&gt;=17,"Evening",D533&gt;=12,"Midday",D533&gt;=6,"Morning", TRUE, "Night")</f>
        <v>Morning</v>
      </c>
      <c r="F533" s="28">
        <v>1</v>
      </c>
      <c r="G533" s="28">
        <v>0</v>
      </c>
      <c r="H533" s="28">
        <v>1</v>
      </c>
      <c r="I533" s="28">
        <v>1</v>
      </c>
      <c r="J533" s="40" t="str">
        <f t="shared" si="52"/>
        <v>Weekday</v>
      </c>
      <c r="K533" s="28" t="b">
        <v>0</v>
      </c>
      <c r="L533" s="28">
        <v>1</v>
      </c>
      <c r="M533" s="40" t="str" cm="1">
        <f t="array" ref="M533">_xlfn.IFS(L533=1,"Clear / Partly Cloudy",L533=2,"Mist / Cloudy",L533=3,"Light Snow / Rain",L533=4,"Heavy Precipitation")</f>
        <v>Clear / Partly Cloudy</v>
      </c>
      <c r="N533" s="28">
        <v>0.02</v>
      </c>
      <c r="O533" s="28" t="str">
        <f t="shared" si="53"/>
        <v>Cold</v>
      </c>
      <c r="P533" s="28">
        <v>7.5800000000000006E-2</v>
      </c>
      <c r="Q533" s="38">
        <f t="shared" si="49"/>
        <v>7.5800000000000006E-2</v>
      </c>
      <c r="R533" s="28">
        <v>0.48</v>
      </c>
      <c r="S533" s="28">
        <v>8.9599999999999999E-2</v>
      </c>
      <c r="T533" s="40" t="str" cm="1">
        <f t="array" ref="T533">_xlfn.IFS(S533*18.6&lt;2,"Calm",S533*18.6&lt;6,"Light Breeze",S533*18.6&lt;14,"Gale",TRUE,"Extreme Storm")</f>
        <v>Calm</v>
      </c>
      <c r="U533" s="28">
        <v>0</v>
      </c>
      <c r="V533" s="28">
        <v>15</v>
      </c>
      <c r="W533" s="28">
        <v>15</v>
      </c>
      <c r="X533" s="44">
        <f>AVERAGE(INDEX($W:$W,MAX(ROW($W$3),ROW()-23)):INDEX($W:$W,ROW()))</f>
        <v>39.791666666666664</v>
      </c>
      <c r="Y533" s="44">
        <f>_xlfn.STDEV.S(INDEX($W:$W,MAX(ROW($W$3),ROW()-23)):INDEX($W:$W,ROW()))</f>
        <v>36.651091883215216</v>
      </c>
      <c r="Z533" s="44">
        <f t="shared" si="50"/>
        <v>-0.67642368597537716</v>
      </c>
      <c r="AA533" s="40" t="b">
        <f t="shared" si="48"/>
        <v>0</v>
      </c>
    </row>
    <row r="534" spans="1:27" x14ac:dyDescent="0.3">
      <c r="A534" s="32">
        <v>532</v>
      </c>
      <c r="B534" s="33">
        <v>40567</v>
      </c>
      <c r="C534" s="40" t="str">
        <f t="shared" si="51"/>
        <v>Monday</v>
      </c>
      <c r="D534" s="28">
        <v>7</v>
      </c>
      <c r="E534" s="40" t="str" cm="1">
        <f t="array" ref="E534">_xlfn.IFS(D534&gt;=21,"Night",D534&gt;=17,"Evening",D534&gt;=12,"Midday",D534&gt;=6,"Morning", TRUE, "Night")</f>
        <v>Morning</v>
      </c>
      <c r="F534" s="28">
        <v>1</v>
      </c>
      <c r="G534" s="28">
        <v>0</v>
      </c>
      <c r="H534" s="28">
        <v>1</v>
      </c>
      <c r="I534" s="28">
        <v>1</v>
      </c>
      <c r="J534" s="40" t="str">
        <f t="shared" si="52"/>
        <v>Weekday</v>
      </c>
      <c r="K534" s="28" t="b">
        <v>0</v>
      </c>
      <c r="L534" s="28">
        <v>1</v>
      </c>
      <c r="M534" s="40" t="str" cm="1">
        <f t="array" ref="M534">_xlfn.IFS(L534=1,"Clear / Partly Cloudy",L534=2,"Mist / Cloudy",L534=3,"Light Snow / Rain",L534=4,"Heavy Precipitation")</f>
        <v>Clear / Partly Cloudy</v>
      </c>
      <c r="N534" s="28">
        <v>0.02</v>
      </c>
      <c r="O534" s="28" t="str">
        <f t="shared" si="53"/>
        <v>Cold</v>
      </c>
      <c r="P534" s="28">
        <v>0.1212</v>
      </c>
      <c r="Q534" s="38">
        <f t="shared" si="49"/>
        <v>0.1212</v>
      </c>
      <c r="R534" s="28">
        <v>0.48</v>
      </c>
      <c r="S534" s="28">
        <v>0</v>
      </c>
      <c r="T534" s="40" t="str" cm="1">
        <f t="array" ref="T534">_xlfn.IFS(S534*18.6&lt;2,"Calm",S534*18.6&lt;6,"Light Breeze",S534*18.6&lt;14,"Gale",TRUE,"Extreme Storm")</f>
        <v>Calm</v>
      </c>
      <c r="U534" s="28">
        <v>5</v>
      </c>
      <c r="V534" s="28">
        <v>79</v>
      </c>
      <c r="W534" s="28">
        <v>84</v>
      </c>
      <c r="X534" s="44">
        <f>AVERAGE(INDEX($W:$W,MAX(ROW($W$3),ROW()-23)):INDEX($W:$W,ROW()))</f>
        <v>43.25</v>
      </c>
      <c r="Y534" s="44">
        <f>_xlfn.STDEV.S(INDEX($W:$W,MAX(ROW($W$3),ROW()-23)):INDEX($W:$W,ROW()))</f>
        <v>36.747374943217253</v>
      </c>
      <c r="Z534" s="44">
        <f t="shared" si="50"/>
        <v>1.108922747896079</v>
      </c>
      <c r="AA534" s="40" t="b">
        <f t="shared" si="48"/>
        <v>0</v>
      </c>
    </row>
    <row r="535" spans="1:27" x14ac:dyDescent="0.3">
      <c r="A535" s="32">
        <v>533</v>
      </c>
      <c r="B535" s="33">
        <v>40567</v>
      </c>
      <c r="C535" s="40" t="str">
        <f t="shared" si="51"/>
        <v>Monday</v>
      </c>
      <c r="D535" s="28">
        <v>8</v>
      </c>
      <c r="E535" s="40" t="str" cm="1">
        <f t="array" ref="E535">_xlfn.IFS(D535&gt;=21,"Night",D535&gt;=17,"Evening",D535&gt;=12,"Midday",D535&gt;=6,"Morning", TRUE, "Night")</f>
        <v>Morning</v>
      </c>
      <c r="F535" s="28">
        <v>1</v>
      </c>
      <c r="G535" s="28">
        <v>0</v>
      </c>
      <c r="H535" s="28">
        <v>1</v>
      </c>
      <c r="I535" s="28">
        <v>1</v>
      </c>
      <c r="J535" s="40" t="str">
        <f t="shared" si="52"/>
        <v>Weekday</v>
      </c>
      <c r="K535" s="28" t="b">
        <v>0</v>
      </c>
      <c r="L535" s="28">
        <v>1</v>
      </c>
      <c r="M535" s="40" t="str" cm="1">
        <f t="array" ref="M535">_xlfn.IFS(L535=1,"Clear / Partly Cloudy",L535=2,"Mist / Cloudy",L535=3,"Light Snow / Rain",L535=4,"Heavy Precipitation")</f>
        <v>Clear / Partly Cloudy</v>
      </c>
      <c r="N535" s="28">
        <v>0.04</v>
      </c>
      <c r="O535" s="28" t="str">
        <f t="shared" si="53"/>
        <v>Cold</v>
      </c>
      <c r="P535" s="28">
        <v>0.13639999999999999</v>
      </c>
      <c r="Q535" s="38">
        <f t="shared" si="49"/>
        <v>0.13639999999999999</v>
      </c>
      <c r="R535" s="28">
        <v>0.49</v>
      </c>
      <c r="S535" s="28">
        <v>0</v>
      </c>
      <c r="T535" s="40" t="str" cm="1">
        <f t="array" ref="T535">_xlfn.IFS(S535*18.6&lt;2,"Calm",S535*18.6&lt;6,"Light Breeze",S535*18.6&lt;14,"Gale",TRUE,"Extreme Storm")</f>
        <v>Calm</v>
      </c>
      <c r="U535" s="28">
        <v>6</v>
      </c>
      <c r="V535" s="28">
        <v>171</v>
      </c>
      <c r="W535" s="28">
        <v>177</v>
      </c>
      <c r="X535" s="44">
        <f>AVERAGE(INDEX($W:$W,MAX(ROW($W$3),ROW()-23)):INDEX($W:$W,ROW()))</f>
        <v>50.541666666666664</v>
      </c>
      <c r="Y535" s="44">
        <f>_xlfn.STDEV.S(INDEX($W:$W,MAX(ROW($W$3),ROW()-23)):INDEX($W:$W,ROW()))</f>
        <v>44.706753858670062</v>
      </c>
      <c r="Z535" s="44">
        <f t="shared" si="50"/>
        <v>2.8286181039469285</v>
      </c>
      <c r="AA535" s="40" t="b">
        <f t="shared" si="48"/>
        <v>0</v>
      </c>
    </row>
    <row r="536" spans="1:27" x14ac:dyDescent="0.3">
      <c r="A536" s="32">
        <v>534</v>
      </c>
      <c r="B536" s="33">
        <v>40567</v>
      </c>
      <c r="C536" s="40" t="str">
        <f t="shared" si="51"/>
        <v>Monday</v>
      </c>
      <c r="D536" s="28">
        <v>9</v>
      </c>
      <c r="E536" s="40" t="str" cm="1">
        <f t="array" ref="E536">_xlfn.IFS(D536&gt;=21,"Night",D536&gt;=17,"Evening",D536&gt;=12,"Midday",D536&gt;=6,"Morning", TRUE, "Night")</f>
        <v>Morning</v>
      </c>
      <c r="F536" s="28">
        <v>1</v>
      </c>
      <c r="G536" s="28">
        <v>0</v>
      </c>
      <c r="H536" s="28">
        <v>1</v>
      </c>
      <c r="I536" s="28">
        <v>1</v>
      </c>
      <c r="J536" s="40" t="str">
        <f t="shared" si="52"/>
        <v>Weekday</v>
      </c>
      <c r="K536" s="28" t="b">
        <v>0</v>
      </c>
      <c r="L536" s="28">
        <v>1</v>
      </c>
      <c r="M536" s="40" t="str" cm="1">
        <f t="array" ref="M536">_xlfn.IFS(L536=1,"Clear / Partly Cloudy",L536=2,"Mist / Cloudy",L536=3,"Light Snow / Rain",L536=4,"Heavy Precipitation")</f>
        <v>Clear / Partly Cloudy</v>
      </c>
      <c r="N536" s="28">
        <v>0.06</v>
      </c>
      <c r="O536" s="28" t="str">
        <f t="shared" si="53"/>
        <v>Cold</v>
      </c>
      <c r="P536" s="28">
        <v>0.1515</v>
      </c>
      <c r="Q536" s="38">
        <f t="shared" si="49"/>
        <v>0.1515</v>
      </c>
      <c r="R536" s="28">
        <v>0.41</v>
      </c>
      <c r="S536" s="28">
        <v>0</v>
      </c>
      <c r="T536" s="40" t="str" cm="1">
        <f t="array" ref="T536">_xlfn.IFS(S536*18.6&lt;2,"Calm",S536*18.6&lt;6,"Light Breeze",S536*18.6&lt;14,"Gale",TRUE,"Extreme Storm")</f>
        <v>Calm</v>
      </c>
      <c r="U536" s="28">
        <v>4</v>
      </c>
      <c r="V536" s="28">
        <v>98</v>
      </c>
      <c r="W536" s="28">
        <v>102</v>
      </c>
      <c r="X536" s="44">
        <f>AVERAGE(INDEX($W:$W,MAX(ROW($W$3),ROW()-23)):INDEX($W:$W,ROW()))</f>
        <v>54</v>
      </c>
      <c r="Y536" s="44">
        <f>_xlfn.STDEV.S(INDEX($W:$W,MAX(ROW($W$3),ROW()-23)):INDEX($W:$W,ROW()))</f>
        <v>45.366143284631754</v>
      </c>
      <c r="Z536" s="44">
        <f t="shared" si="50"/>
        <v>1.0580577612437356</v>
      </c>
      <c r="AA536" s="40" t="b">
        <f t="shared" si="48"/>
        <v>0</v>
      </c>
    </row>
    <row r="537" spans="1:27" x14ac:dyDescent="0.3">
      <c r="A537" s="32">
        <v>535</v>
      </c>
      <c r="B537" s="33">
        <v>40567</v>
      </c>
      <c r="C537" s="40" t="str">
        <f t="shared" si="51"/>
        <v>Monday</v>
      </c>
      <c r="D537" s="28">
        <v>10</v>
      </c>
      <c r="E537" s="40" t="str" cm="1">
        <f t="array" ref="E537">_xlfn.IFS(D537&gt;=21,"Night",D537&gt;=17,"Evening",D537&gt;=12,"Midday",D537&gt;=6,"Morning", TRUE, "Night")</f>
        <v>Morning</v>
      </c>
      <c r="F537" s="28">
        <v>1</v>
      </c>
      <c r="G537" s="28">
        <v>0</v>
      </c>
      <c r="H537" s="28">
        <v>1</v>
      </c>
      <c r="I537" s="28">
        <v>1</v>
      </c>
      <c r="J537" s="40" t="str">
        <f t="shared" si="52"/>
        <v>Weekday</v>
      </c>
      <c r="K537" s="28" t="b">
        <v>0</v>
      </c>
      <c r="L537" s="28">
        <v>1</v>
      </c>
      <c r="M537" s="40" t="str" cm="1">
        <f t="array" ref="M537">_xlfn.IFS(L537=1,"Clear / Partly Cloudy",L537=2,"Mist / Cloudy",L537=3,"Light Snow / Rain",L537=4,"Heavy Precipitation")</f>
        <v>Clear / Partly Cloudy</v>
      </c>
      <c r="N537" s="28">
        <v>0.1</v>
      </c>
      <c r="O537" s="28" t="str">
        <f t="shared" si="53"/>
        <v>Cold</v>
      </c>
      <c r="P537" s="28">
        <v>0.13639999999999999</v>
      </c>
      <c r="Q537" s="38">
        <f t="shared" si="49"/>
        <v>0.13639999999999999</v>
      </c>
      <c r="R537" s="28">
        <v>0.42</v>
      </c>
      <c r="S537" s="28">
        <v>0</v>
      </c>
      <c r="T537" s="40" t="str" cm="1">
        <f t="array" ref="T537">_xlfn.IFS(S537*18.6&lt;2,"Calm",S537*18.6&lt;6,"Light Breeze",S537*18.6&lt;14,"Gale",TRUE,"Extreme Storm")</f>
        <v>Calm</v>
      </c>
      <c r="U537" s="28">
        <v>6</v>
      </c>
      <c r="V537" s="28">
        <v>34</v>
      </c>
      <c r="W537" s="28">
        <v>40</v>
      </c>
      <c r="X537" s="44">
        <f>AVERAGE(INDEX($W:$W,MAX(ROW($W$3),ROW()-23)):INDEX($W:$W,ROW()))</f>
        <v>54.5</v>
      </c>
      <c r="Y537" s="44">
        <f>_xlfn.STDEV.S(INDEX($W:$W,MAX(ROW($W$3),ROW()-23)):INDEX($W:$W,ROW()))</f>
        <v>45.132654716281984</v>
      </c>
      <c r="Z537" s="44">
        <f t="shared" si="50"/>
        <v>-0.32127514082988351</v>
      </c>
      <c r="AA537" s="40" t="b">
        <f t="shared" si="48"/>
        <v>0</v>
      </c>
    </row>
    <row r="538" spans="1:27" x14ac:dyDescent="0.3">
      <c r="A538" s="32">
        <v>536</v>
      </c>
      <c r="B538" s="33">
        <v>40567</v>
      </c>
      <c r="C538" s="40" t="str">
        <f t="shared" si="51"/>
        <v>Monday</v>
      </c>
      <c r="D538" s="28">
        <v>11</v>
      </c>
      <c r="E538" s="40" t="str" cm="1">
        <f t="array" ref="E538">_xlfn.IFS(D538&gt;=21,"Night",D538&gt;=17,"Evening",D538&gt;=12,"Midday",D538&gt;=6,"Morning", TRUE, "Night")</f>
        <v>Morning</v>
      </c>
      <c r="F538" s="28">
        <v>1</v>
      </c>
      <c r="G538" s="28">
        <v>0</v>
      </c>
      <c r="H538" s="28">
        <v>1</v>
      </c>
      <c r="I538" s="28">
        <v>1</v>
      </c>
      <c r="J538" s="40" t="str">
        <f t="shared" si="52"/>
        <v>Weekday</v>
      </c>
      <c r="K538" s="28" t="b">
        <v>0</v>
      </c>
      <c r="L538" s="28">
        <v>1</v>
      </c>
      <c r="M538" s="40" t="str" cm="1">
        <f t="array" ref="M538">_xlfn.IFS(L538=1,"Clear / Partly Cloudy",L538=2,"Mist / Cloudy",L538=3,"Light Snow / Rain",L538=4,"Heavy Precipitation")</f>
        <v>Clear / Partly Cloudy</v>
      </c>
      <c r="N538" s="28">
        <v>0.1</v>
      </c>
      <c r="O538" s="28" t="str">
        <f t="shared" si="53"/>
        <v>Cold</v>
      </c>
      <c r="P538" s="28">
        <v>0.1212</v>
      </c>
      <c r="Q538" s="38">
        <f t="shared" si="49"/>
        <v>0.1212</v>
      </c>
      <c r="R538" s="28">
        <v>0.46</v>
      </c>
      <c r="S538" s="28">
        <v>0.1343</v>
      </c>
      <c r="T538" s="40" t="str" cm="1">
        <f t="array" ref="T538">_xlfn.IFS(S538*18.6&lt;2,"Calm",S538*18.6&lt;6,"Light Breeze",S538*18.6&lt;14,"Gale",TRUE,"Extreme Storm")</f>
        <v>Light Breeze</v>
      </c>
      <c r="U538" s="28">
        <v>3</v>
      </c>
      <c r="V538" s="28">
        <v>43</v>
      </c>
      <c r="W538" s="28">
        <v>46</v>
      </c>
      <c r="X538" s="44">
        <f>AVERAGE(INDEX($W:$W,MAX(ROW($W$3),ROW()-23)):INDEX($W:$W,ROW()))</f>
        <v>54</v>
      </c>
      <c r="Y538" s="44">
        <f>_xlfn.STDEV.S(INDEX($W:$W,MAX(ROW($W$3),ROW()-23)):INDEX($W:$W,ROW()))</f>
        <v>45.158657506906543</v>
      </c>
      <c r="Z538" s="44">
        <f t="shared" si="50"/>
        <v>-0.17715318483009562</v>
      </c>
      <c r="AA538" s="40" t="b">
        <f t="shared" si="48"/>
        <v>0</v>
      </c>
    </row>
    <row r="539" spans="1:27" x14ac:dyDescent="0.3">
      <c r="A539" s="32">
        <v>537</v>
      </c>
      <c r="B539" s="33">
        <v>40567</v>
      </c>
      <c r="C539" s="40" t="str">
        <f t="shared" si="51"/>
        <v>Monday</v>
      </c>
      <c r="D539" s="28">
        <v>12</v>
      </c>
      <c r="E539" s="40" t="str" cm="1">
        <f t="array" ref="E539">_xlfn.IFS(D539&gt;=21,"Night",D539&gt;=17,"Evening",D539&gt;=12,"Midday",D539&gt;=6,"Morning", TRUE, "Night")</f>
        <v>Midday</v>
      </c>
      <c r="F539" s="28">
        <v>1</v>
      </c>
      <c r="G539" s="28">
        <v>0</v>
      </c>
      <c r="H539" s="28">
        <v>1</v>
      </c>
      <c r="I539" s="28">
        <v>1</v>
      </c>
      <c r="J539" s="40" t="str">
        <f t="shared" si="52"/>
        <v>Weekday</v>
      </c>
      <c r="K539" s="28" t="b">
        <v>0</v>
      </c>
      <c r="L539" s="28">
        <v>2</v>
      </c>
      <c r="M539" s="40" t="str" cm="1">
        <f t="array" ref="M539">_xlfn.IFS(L539=1,"Clear / Partly Cloudy",L539=2,"Mist / Cloudy",L539=3,"Light Snow / Rain",L539=4,"Heavy Precipitation")</f>
        <v>Mist / Cloudy</v>
      </c>
      <c r="N539" s="28">
        <v>0.12</v>
      </c>
      <c r="O539" s="28" t="str">
        <f t="shared" si="53"/>
        <v>Cold</v>
      </c>
      <c r="P539" s="28">
        <v>0.13639999999999999</v>
      </c>
      <c r="Q539" s="38">
        <f t="shared" si="49"/>
        <v>0.13639999999999999</v>
      </c>
      <c r="R539" s="28">
        <v>0.42</v>
      </c>
      <c r="S539" s="28">
        <v>0.19400000000000001</v>
      </c>
      <c r="T539" s="40" t="str" cm="1">
        <f t="array" ref="T539">_xlfn.IFS(S539*18.6&lt;2,"Calm",S539*18.6&lt;6,"Light Breeze",S539*18.6&lt;14,"Gale",TRUE,"Extreme Storm")</f>
        <v>Light Breeze</v>
      </c>
      <c r="U539" s="28">
        <v>11</v>
      </c>
      <c r="V539" s="28">
        <v>52</v>
      </c>
      <c r="W539" s="28">
        <v>63</v>
      </c>
      <c r="X539" s="44">
        <f>AVERAGE(INDEX($W:$W,MAX(ROW($W$3),ROW()-23)):INDEX($W:$W,ROW()))</f>
        <v>52.5</v>
      </c>
      <c r="Y539" s="44">
        <f>_xlfn.STDEV.S(INDEX($W:$W,MAX(ROW($W$3),ROW()-23)):INDEX($W:$W,ROW()))</f>
        <v>44.186364215770183</v>
      </c>
      <c r="Z539" s="44">
        <f t="shared" si="50"/>
        <v>0.23762987035381683</v>
      </c>
      <c r="AA539" s="40" t="b">
        <f t="shared" si="48"/>
        <v>0</v>
      </c>
    </row>
    <row r="540" spans="1:27" x14ac:dyDescent="0.3">
      <c r="A540" s="32">
        <v>538</v>
      </c>
      <c r="B540" s="33">
        <v>40567</v>
      </c>
      <c r="C540" s="40" t="str">
        <f t="shared" si="51"/>
        <v>Monday</v>
      </c>
      <c r="D540" s="28">
        <v>13</v>
      </c>
      <c r="E540" s="40" t="str" cm="1">
        <f t="array" ref="E540">_xlfn.IFS(D540&gt;=21,"Night",D540&gt;=17,"Evening",D540&gt;=12,"Midday",D540&gt;=6,"Morning", TRUE, "Night")</f>
        <v>Midday</v>
      </c>
      <c r="F540" s="28">
        <v>1</v>
      </c>
      <c r="G540" s="28">
        <v>0</v>
      </c>
      <c r="H540" s="28">
        <v>1</v>
      </c>
      <c r="I540" s="28">
        <v>1</v>
      </c>
      <c r="J540" s="40" t="str">
        <f t="shared" si="52"/>
        <v>Weekday</v>
      </c>
      <c r="K540" s="28" t="b">
        <v>0</v>
      </c>
      <c r="L540" s="28">
        <v>2</v>
      </c>
      <c r="M540" s="40" t="str" cm="1">
        <f t="array" ref="M540">_xlfn.IFS(L540=1,"Clear / Partly Cloudy",L540=2,"Mist / Cloudy",L540=3,"Light Snow / Rain",L540=4,"Heavy Precipitation")</f>
        <v>Mist / Cloudy</v>
      </c>
      <c r="N540" s="28">
        <v>0.14000000000000001</v>
      </c>
      <c r="O540" s="28" t="str">
        <f t="shared" si="53"/>
        <v>Cold</v>
      </c>
      <c r="P540" s="28">
        <v>0.13639999999999999</v>
      </c>
      <c r="Q540" s="38">
        <f t="shared" si="49"/>
        <v>0.13639999999999999</v>
      </c>
      <c r="R540" s="28">
        <v>0.43</v>
      </c>
      <c r="S540" s="28">
        <v>0.22389999999999999</v>
      </c>
      <c r="T540" s="40" t="str" cm="1">
        <f t="array" ref="T540">_xlfn.IFS(S540*18.6&lt;2,"Calm",S540*18.6&lt;6,"Light Breeze",S540*18.6&lt;14,"Gale",TRUE,"Extreme Storm")</f>
        <v>Light Breeze</v>
      </c>
      <c r="U540" s="28">
        <v>6</v>
      </c>
      <c r="V540" s="28">
        <v>54</v>
      </c>
      <c r="W540" s="28">
        <v>60</v>
      </c>
      <c r="X540" s="44">
        <f>AVERAGE(INDEX($W:$W,MAX(ROW($W$3),ROW()-23)):INDEX($W:$W,ROW()))</f>
        <v>50.166666666666664</v>
      </c>
      <c r="Y540" s="44">
        <f>_xlfn.STDEV.S(INDEX($W:$W,MAX(ROW($W$3),ROW()-23)):INDEX($W:$W,ROW()))</f>
        <v>42.117502988318464</v>
      </c>
      <c r="Z540" s="44">
        <f t="shared" si="50"/>
        <v>0.23347379677424535</v>
      </c>
      <c r="AA540" s="40" t="b">
        <f t="shared" si="48"/>
        <v>0</v>
      </c>
    </row>
    <row r="541" spans="1:27" x14ac:dyDescent="0.3">
      <c r="A541" s="32">
        <v>539</v>
      </c>
      <c r="B541" s="33">
        <v>40567</v>
      </c>
      <c r="C541" s="40" t="str">
        <f t="shared" si="51"/>
        <v>Monday</v>
      </c>
      <c r="D541" s="28">
        <v>14</v>
      </c>
      <c r="E541" s="40" t="str" cm="1">
        <f t="array" ref="E541">_xlfn.IFS(D541&gt;=21,"Night",D541&gt;=17,"Evening",D541&gt;=12,"Midday",D541&gt;=6,"Morning", TRUE, "Night")</f>
        <v>Midday</v>
      </c>
      <c r="F541" s="28">
        <v>1</v>
      </c>
      <c r="G541" s="28">
        <v>0</v>
      </c>
      <c r="H541" s="28">
        <v>1</v>
      </c>
      <c r="I541" s="28">
        <v>1</v>
      </c>
      <c r="J541" s="40" t="str">
        <f t="shared" si="52"/>
        <v>Weekday</v>
      </c>
      <c r="K541" s="28" t="b">
        <v>0</v>
      </c>
      <c r="L541" s="28">
        <v>2</v>
      </c>
      <c r="M541" s="40" t="str" cm="1">
        <f t="array" ref="M541">_xlfn.IFS(L541=1,"Clear / Partly Cloudy",L541=2,"Mist / Cloudy",L541=3,"Light Snow / Rain",L541=4,"Heavy Precipitation")</f>
        <v>Mist / Cloudy</v>
      </c>
      <c r="N541" s="28">
        <v>0.14000000000000001</v>
      </c>
      <c r="O541" s="28" t="str">
        <f t="shared" si="53"/>
        <v>Cold</v>
      </c>
      <c r="P541" s="28">
        <v>0.13639999999999999</v>
      </c>
      <c r="Q541" s="38">
        <f t="shared" si="49"/>
        <v>0.13639999999999999</v>
      </c>
      <c r="R541" s="28">
        <v>0.46</v>
      </c>
      <c r="S541" s="28">
        <v>0.22389999999999999</v>
      </c>
      <c r="T541" s="40" t="str" cm="1">
        <f t="array" ref="T541">_xlfn.IFS(S541*18.6&lt;2,"Calm",S541*18.6&lt;6,"Light Breeze",S541*18.6&lt;14,"Gale",TRUE,"Extreme Storm")</f>
        <v>Light Breeze</v>
      </c>
      <c r="U541" s="28">
        <v>2</v>
      </c>
      <c r="V541" s="28">
        <v>43</v>
      </c>
      <c r="W541" s="28">
        <v>45</v>
      </c>
      <c r="X541" s="44">
        <f>AVERAGE(INDEX($W:$W,MAX(ROW($W$3),ROW()-23)):INDEX($W:$W,ROW()))</f>
        <v>48.416666666666664</v>
      </c>
      <c r="Y541" s="44">
        <f>_xlfn.STDEV.S(INDEX($W:$W,MAX(ROW($W$3),ROW()-23)):INDEX($W:$W,ROW()))</f>
        <v>41.386740857919456</v>
      </c>
      <c r="Z541" s="44">
        <f t="shared" si="50"/>
        <v>-8.2554620050804911E-2</v>
      </c>
      <c r="AA541" s="40" t="b">
        <f t="shared" si="48"/>
        <v>0</v>
      </c>
    </row>
    <row r="542" spans="1:27" x14ac:dyDescent="0.3">
      <c r="A542" s="32">
        <v>540</v>
      </c>
      <c r="B542" s="33">
        <v>40567</v>
      </c>
      <c r="C542" s="40" t="str">
        <f t="shared" si="51"/>
        <v>Monday</v>
      </c>
      <c r="D542" s="28">
        <v>15</v>
      </c>
      <c r="E542" s="40" t="str" cm="1">
        <f t="array" ref="E542">_xlfn.IFS(D542&gt;=21,"Night",D542&gt;=17,"Evening",D542&gt;=12,"Midday",D542&gt;=6,"Morning", TRUE, "Night")</f>
        <v>Midday</v>
      </c>
      <c r="F542" s="28">
        <v>1</v>
      </c>
      <c r="G542" s="28">
        <v>0</v>
      </c>
      <c r="H542" s="28">
        <v>1</v>
      </c>
      <c r="I542" s="28">
        <v>1</v>
      </c>
      <c r="J542" s="40" t="str">
        <f t="shared" si="52"/>
        <v>Weekday</v>
      </c>
      <c r="K542" s="28" t="b">
        <v>0</v>
      </c>
      <c r="L542" s="28">
        <v>1</v>
      </c>
      <c r="M542" s="40" t="str" cm="1">
        <f t="array" ref="M542">_xlfn.IFS(L542=1,"Clear / Partly Cloudy",L542=2,"Mist / Cloudy",L542=3,"Light Snow / Rain",L542=4,"Heavy Precipitation")</f>
        <v>Clear / Partly Cloudy</v>
      </c>
      <c r="N542" s="28">
        <v>0.16</v>
      </c>
      <c r="O542" s="28" t="str">
        <f t="shared" si="53"/>
        <v>Cold</v>
      </c>
      <c r="P542" s="28">
        <v>0.16669999999999999</v>
      </c>
      <c r="Q542" s="38">
        <f t="shared" si="49"/>
        <v>0.16669999999999999</v>
      </c>
      <c r="R542" s="28">
        <v>0.4</v>
      </c>
      <c r="S542" s="28">
        <v>0.16420000000000001</v>
      </c>
      <c r="T542" s="40" t="str" cm="1">
        <f t="array" ref="T542">_xlfn.IFS(S542*18.6&lt;2,"Calm",S542*18.6&lt;6,"Light Breeze",S542*18.6&lt;14,"Gale",TRUE,"Extreme Storm")</f>
        <v>Light Breeze</v>
      </c>
      <c r="U542" s="28">
        <v>7</v>
      </c>
      <c r="V542" s="28">
        <v>50</v>
      </c>
      <c r="W542" s="28">
        <v>57</v>
      </c>
      <c r="X542" s="44">
        <f>AVERAGE(INDEX($W:$W,MAX(ROW($W$3),ROW()-23)):INDEX($W:$W,ROW()))</f>
        <v>46.208333333333336</v>
      </c>
      <c r="Y542" s="44">
        <f>_xlfn.STDEV.S(INDEX($W:$W,MAX(ROW($W$3),ROW()-23)):INDEX($W:$W,ROW()))</f>
        <v>39.320289227414598</v>
      </c>
      <c r="Z542" s="44">
        <f t="shared" si="50"/>
        <v>0.27445542438031151</v>
      </c>
      <c r="AA542" s="40" t="b">
        <f t="shared" si="48"/>
        <v>0</v>
      </c>
    </row>
    <row r="543" spans="1:27" x14ac:dyDescent="0.3">
      <c r="A543" s="32">
        <v>541</v>
      </c>
      <c r="B543" s="33">
        <v>40567</v>
      </c>
      <c r="C543" s="40" t="str">
        <f t="shared" si="51"/>
        <v>Monday</v>
      </c>
      <c r="D543" s="28">
        <v>16</v>
      </c>
      <c r="E543" s="40" t="str" cm="1">
        <f t="array" ref="E543">_xlfn.IFS(D543&gt;=21,"Night",D543&gt;=17,"Evening",D543&gt;=12,"Midday",D543&gt;=6,"Morning", TRUE, "Night")</f>
        <v>Midday</v>
      </c>
      <c r="F543" s="28">
        <v>1</v>
      </c>
      <c r="G543" s="28">
        <v>0</v>
      </c>
      <c r="H543" s="28">
        <v>1</v>
      </c>
      <c r="I543" s="28">
        <v>1</v>
      </c>
      <c r="J543" s="40" t="str">
        <f t="shared" si="52"/>
        <v>Weekday</v>
      </c>
      <c r="K543" s="28" t="b">
        <v>0</v>
      </c>
      <c r="L543" s="28">
        <v>1</v>
      </c>
      <c r="M543" s="40" t="str" cm="1">
        <f t="array" ref="M543">_xlfn.IFS(L543=1,"Clear / Partly Cloudy",L543=2,"Mist / Cloudy",L543=3,"Light Snow / Rain",L543=4,"Heavy Precipitation")</f>
        <v>Clear / Partly Cloudy</v>
      </c>
      <c r="N543" s="28">
        <v>0.16</v>
      </c>
      <c r="O543" s="28" t="str">
        <f t="shared" si="53"/>
        <v>Cold</v>
      </c>
      <c r="P543" s="28">
        <v>0.1515</v>
      </c>
      <c r="Q543" s="38">
        <f t="shared" si="49"/>
        <v>0.1515</v>
      </c>
      <c r="R543" s="28">
        <v>0.47</v>
      </c>
      <c r="S543" s="28">
        <v>0.25369999999999998</v>
      </c>
      <c r="T543" s="40" t="str" cm="1">
        <f t="array" ref="T543">_xlfn.IFS(S543*18.6&lt;2,"Calm",S543*18.6&lt;6,"Light Breeze",S543*18.6&lt;14,"Gale",TRUE,"Extreme Storm")</f>
        <v>Light Breeze</v>
      </c>
      <c r="U543" s="28">
        <v>4</v>
      </c>
      <c r="V543" s="28">
        <v>66</v>
      </c>
      <c r="W543" s="28">
        <v>70</v>
      </c>
      <c r="X543" s="44">
        <f>AVERAGE(INDEX($W:$W,MAX(ROW($W$3),ROW()-23)):INDEX($W:$W,ROW()))</f>
        <v>45.916666666666664</v>
      </c>
      <c r="Y543" s="44">
        <f>_xlfn.STDEV.S(INDEX($W:$W,MAX(ROW($W$3),ROW()-23)):INDEX($W:$W,ROW()))</f>
        <v>39.107340205785086</v>
      </c>
      <c r="Z543" s="44">
        <f t="shared" si="50"/>
        <v>0.61582642047772729</v>
      </c>
      <c r="AA543" s="40" t="b">
        <f t="shared" si="48"/>
        <v>0</v>
      </c>
    </row>
    <row r="544" spans="1:27" x14ac:dyDescent="0.3">
      <c r="A544" s="32">
        <v>542</v>
      </c>
      <c r="B544" s="33">
        <v>40567</v>
      </c>
      <c r="C544" s="40" t="str">
        <f t="shared" si="51"/>
        <v>Monday</v>
      </c>
      <c r="D544" s="28">
        <v>17</v>
      </c>
      <c r="E544" s="40" t="str" cm="1">
        <f t="array" ref="E544">_xlfn.IFS(D544&gt;=21,"Night",D544&gt;=17,"Evening",D544&gt;=12,"Midday",D544&gt;=6,"Morning", TRUE, "Night")</f>
        <v>Evening</v>
      </c>
      <c r="F544" s="28">
        <v>1</v>
      </c>
      <c r="G544" s="28">
        <v>0</v>
      </c>
      <c r="H544" s="28">
        <v>1</v>
      </c>
      <c r="I544" s="28">
        <v>1</v>
      </c>
      <c r="J544" s="40" t="str">
        <f t="shared" si="52"/>
        <v>Weekday</v>
      </c>
      <c r="K544" s="28" t="b">
        <v>0</v>
      </c>
      <c r="L544" s="28">
        <v>1</v>
      </c>
      <c r="M544" s="40" t="str" cm="1">
        <f t="array" ref="M544">_xlfn.IFS(L544=1,"Clear / Partly Cloudy",L544=2,"Mist / Cloudy",L544=3,"Light Snow / Rain",L544=4,"Heavy Precipitation")</f>
        <v>Clear / Partly Cloudy</v>
      </c>
      <c r="N544" s="28">
        <v>0.14000000000000001</v>
      </c>
      <c r="O544" s="28" t="str">
        <f t="shared" si="53"/>
        <v>Cold</v>
      </c>
      <c r="P544" s="28">
        <v>0.1212</v>
      </c>
      <c r="Q544" s="38">
        <f t="shared" si="49"/>
        <v>0.1212</v>
      </c>
      <c r="R544" s="28">
        <v>0.5</v>
      </c>
      <c r="S544" s="28">
        <v>0.25369999999999998</v>
      </c>
      <c r="T544" s="40" t="str" cm="1">
        <f t="array" ref="T544">_xlfn.IFS(S544*18.6&lt;2,"Calm",S544*18.6&lt;6,"Light Breeze",S544*18.6&lt;14,"Gale",TRUE,"Extreme Storm")</f>
        <v>Light Breeze</v>
      </c>
      <c r="U544" s="28">
        <v>6</v>
      </c>
      <c r="V544" s="28">
        <v>178</v>
      </c>
      <c r="W544" s="28">
        <v>184</v>
      </c>
      <c r="X544" s="44">
        <f>AVERAGE(INDEX($W:$W,MAX(ROW($W$3),ROW()-23)):INDEX($W:$W,ROW()))</f>
        <v>50.875</v>
      </c>
      <c r="Y544" s="44">
        <f>_xlfn.STDEV.S(INDEX($W:$W,MAX(ROW($W$3),ROW()-23)):INDEX($W:$W,ROW()))</f>
        <v>48.134153562002467</v>
      </c>
      <c r="Z544" s="44">
        <f t="shared" si="50"/>
        <v>2.765707717878934</v>
      </c>
      <c r="AA544" s="40" t="b">
        <f t="shared" si="48"/>
        <v>0</v>
      </c>
    </row>
    <row r="545" spans="1:27" x14ac:dyDescent="0.3">
      <c r="A545" s="32">
        <v>543</v>
      </c>
      <c r="B545" s="33">
        <v>40567</v>
      </c>
      <c r="C545" s="40" t="str">
        <f t="shared" si="51"/>
        <v>Monday</v>
      </c>
      <c r="D545" s="28">
        <v>18</v>
      </c>
      <c r="E545" s="40" t="str" cm="1">
        <f t="array" ref="E545">_xlfn.IFS(D545&gt;=21,"Night",D545&gt;=17,"Evening",D545&gt;=12,"Midday",D545&gt;=6,"Morning", TRUE, "Night")</f>
        <v>Evening</v>
      </c>
      <c r="F545" s="28">
        <v>1</v>
      </c>
      <c r="G545" s="28">
        <v>0</v>
      </c>
      <c r="H545" s="28">
        <v>1</v>
      </c>
      <c r="I545" s="28">
        <v>1</v>
      </c>
      <c r="J545" s="40" t="str">
        <f t="shared" si="52"/>
        <v>Weekday</v>
      </c>
      <c r="K545" s="28" t="b">
        <v>0</v>
      </c>
      <c r="L545" s="28">
        <v>1</v>
      </c>
      <c r="M545" s="40" t="str" cm="1">
        <f t="array" ref="M545">_xlfn.IFS(L545=1,"Clear / Partly Cloudy",L545=2,"Mist / Cloudy",L545=3,"Light Snow / Rain",L545=4,"Heavy Precipitation")</f>
        <v>Clear / Partly Cloudy</v>
      </c>
      <c r="N545" s="28">
        <v>0.14000000000000001</v>
      </c>
      <c r="O545" s="28" t="str">
        <f t="shared" si="53"/>
        <v>Cold</v>
      </c>
      <c r="P545" s="28">
        <v>0.13639999999999999</v>
      </c>
      <c r="Q545" s="38">
        <f t="shared" si="49"/>
        <v>0.13639999999999999</v>
      </c>
      <c r="R545" s="28">
        <v>0.59</v>
      </c>
      <c r="S545" s="28">
        <v>0.19400000000000001</v>
      </c>
      <c r="T545" s="40" t="str" cm="1">
        <f t="array" ref="T545">_xlfn.IFS(S545*18.6&lt;2,"Calm",S545*18.6&lt;6,"Light Breeze",S545*18.6&lt;14,"Gale",TRUE,"Extreme Storm")</f>
        <v>Light Breeze</v>
      </c>
      <c r="U545" s="28">
        <v>8</v>
      </c>
      <c r="V545" s="28">
        <v>145</v>
      </c>
      <c r="W545" s="28">
        <v>153</v>
      </c>
      <c r="X545" s="44">
        <f>AVERAGE(INDEX($W:$W,MAX(ROW($W$3),ROW()-23)):INDEX($W:$W,ROW()))</f>
        <v>54.958333333333336</v>
      </c>
      <c r="Y545" s="44">
        <f>_xlfn.STDEV.S(INDEX($W:$W,MAX(ROW($W$3),ROW()-23)):INDEX($W:$W,ROW()))</f>
        <v>52.46156287902739</v>
      </c>
      <c r="Z545" s="44">
        <f t="shared" si="50"/>
        <v>1.8688285534448092</v>
      </c>
      <c r="AA545" s="40" t="b">
        <f t="shared" si="48"/>
        <v>0</v>
      </c>
    </row>
    <row r="546" spans="1:27" x14ac:dyDescent="0.3">
      <c r="A546" s="32">
        <v>544</v>
      </c>
      <c r="B546" s="33">
        <v>40567</v>
      </c>
      <c r="C546" s="40" t="str">
        <f t="shared" si="51"/>
        <v>Monday</v>
      </c>
      <c r="D546" s="28">
        <v>19</v>
      </c>
      <c r="E546" s="40" t="str" cm="1">
        <f t="array" ref="E546">_xlfn.IFS(D546&gt;=21,"Night",D546&gt;=17,"Evening",D546&gt;=12,"Midday",D546&gt;=6,"Morning", TRUE, "Night")</f>
        <v>Evening</v>
      </c>
      <c r="F546" s="28">
        <v>1</v>
      </c>
      <c r="G546" s="28">
        <v>0</v>
      </c>
      <c r="H546" s="28">
        <v>1</v>
      </c>
      <c r="I546" s="28">
        <v>1</v>
      </c>
      <c r="J546" s="40" t="str">
        <f t="shared" si="52"/>
        <v>Weekday</v>
      </c>
      <c r="K546" s="28" t="b">
        <v>0</v>
      </c>
      <c r="L546" s="28">
        <v>1</v>
      </c>
      <c r="M546" s="40" t="str" cm="1">
        <f t="array" ref="M546">_xlfn.IFS(L546=1,"Clear / Partly Cloudy",L546=2,"Mist / Cloudy",L546=3,"Light Snow / Rain",L546=4,"Heavy Precipitation")</f>
        <v>Clear / Partly Cloudy</v>
      </c>
      <c r="N546" s="28">
        <v>0.14000000000000001</v>
      </c>
      <c r="O546" s="28" t="str">
        <f t="shared" si="53"/>
        <v>Cold</v>
      </c>
      <c r="P546" s="28">
        <v>0.1515</v>
      </c>
      <c r="Q546" s="38">
        <f t="shared" si="49"/>
        <v>0.1515</v>
      </c>
      <c r="R546" s="28">
        <v>0.54</v>
      </c>
      <c r="S546" s="28">
        <v>0.16420000000000001</v>
      </c>
      <c r="T546" s="40" t="str" cm="1">
        <f t="array" ref="T546">_xlfn.IFS(S546*18.6&lt;2,"Calm",S546*18.6&lt;6,"Light Breeze",S546*18.6&lt;14,"Gale",TRUE,"Extreme Storm")</f>
        <v>Light Breeze</v>
      </c>
      <c r="U546" s="28">
        <v>5</v>
      </c>
      <c r="V546" s="28">
        <v>101</v>
      </c>
      <c r="W546" s="28">
        <v>106</v>
      </c>
      <c r="X546" s="44">
        <f>AVERAGE(INDEX($W:$W,MAX(ROW($W$3),ROW()-23)):INDEX($W:$W,ROW()))</f>
        <v>57.333333333333336</v>
      </c>
      <c r="Y546" s="44">
        <f>_xlfn.STDEV.S(INDEX($W:$W,MAX(ROW($W$3),ROW()-23)):INDEX($W:$W,ROW()))</f>
        <v>53.460807803609669</v>
      </c>
      <c r="Z546" s="44">
        <f t="shared" si="50"/>
        <v>0.91032419198463166</v>
      </c>
      <c r="AA546" s="40" t="b">
        <f t="shared" si="48"/>
        <v>0</v>
      </c>
    </row>
    <row r="547" spans="1:27" x14ac:dyDescent="0.3">
      <c r="A547" s="32">
        <v>545</v>
      </c>
      <c r="B547" s="33">
        <v>40567</v>
      </c>
      <c r="C547" s="40" t="str">
        <f t="shared" si="51"/>
        <v>Monday</v>
      </c>
      <c r="D547" s="28">
        <v>20</v>
      </c>
      <c r="E547" s="40" t="str" cm="1">
        <f t="array" ref="E547">_xlfn.IFS(D547&gt;=21,"Night",D547&gt;=17,"Evening",D547&gt;=12,"Midday",D547&gt;=6,"Morning", TRUE, "Night")</f>
        <v>Evening</v>
      </c>
      <c r="F547" s="28">
        <v>1</v>
      </c>
      <c r="G547" s="28">
        <v>0</v>
      </c>
      <c r="H547" s="28">
        <v>1</v>
      </c>
      <c r="I547" s="28">
        <v>1</v>
      </c>
      <c r="J547" s="40" t="str">
        <f t="shared" si="52"/>
        <v>Weekday</v>
      </c>
      <c r="K547" s="28" t="b">
        <v>0</v>
      </c>
      <c r="L547" s="28">
        <v>1</v>
      </c>
      <c r="M547" s="40" t="str" cm="1">
        <f t="array" ref="M547">_xlfn.IFS(L547=1,"Clear / Partly Cloudy",L547=2,"Mist / Cloudy",L547=3,"Light Snow / Rain",L547=4,"Heavy Precipitation")</f>
        <v>Clear / Partly Cloudy</v>
      </c>
      <c r="N547" s="28">
        <v>0.14000000000000001</v>
      </c>
      <c r="O547" s="28" t="str">
        <f t="shared" si="53"/>
        <v>Cold</v>
      </c>
      <c r="P547" s="28">
        <v>0.13639999999999999</v>
      </c>
      <c r="Q547" s="38">
        <f t="shared" si="49"/>
        <v>0.13639999999999999</v>
      </c>
      <c r="R547" s="28">
        <v>0.59</v>
      </c>
      <c r="S547" s="28">
        <v>0.19400000000000001</v>
      </c>
      <c r="T547" s="40" t="str" cm="1">
        <f t="array" ref="T547">_xlfn.IFS(S547*18.6&lt;2,"Calm",S547*18.6&lt;6,"Light Breeze",S547*18.6&lt;14,"Gale",TRUE,"Extreme Storm")</f>
        <v>Light Breeze</v>
      </c>
      <c r="U547" s="28">
        <v>1</v>
      </c>
      <c r="V547" s="28">
        <v>80</v>
      </c>
      <c r="W547" s="28">
        <v>81</v>
      </c>
      <c r="X547" s="44">
        <f>AVERAGE(INDEX($W:$W,MAX(ROW($W$3),ROW()-23)):INDEX($W:$W,ROW()))</f>
        <v>58.625</v>
      </c>
      <c r="Y547" s="44">
        <f>_xlfn.STDEV.S(INDEX($W:$W,MAX(ROW($W$3),ROW()-23)):INDEX($W:$W,ROW()))</f>
        <v>53.650084079515949</v>
      </c>
      <c r="Z547" s="44">
        <f t="shared" si="50"/>
        <v>0.41705433241889295</v>
      </c>
      <c r="AA547" s="40" t="b">
        <f t="shared" si="48"/>
        <v>0</v>
      </c>
    </row>
    <row r="548" spans="1:27" x14ac:dyDescent="0.3">
      <c r="A548" s="32">
        <v>546</v>
      </c>
      <c r="B548" s="33">
        <v>40567</v>
      </c>
      <c r="C548" s="40" t="str">
        <f t="shared" si="51"/>
        <v>Monday</v>
      </c>
      <c r="D548" s="28">
        <v>21</v>
      </c>
      <c r="E548" s="40" t="str" cm="1">
        <f t="array" ref="E548">_xlfn.IFS(D548&gt;=21,"Night",D548&gt;=17,"Evening",D548&gt;=12,"Midday",D548&gt;=6,"Morning", TRUE, "Night")</f>
        <v>Night</v>
      </c>
      <c r="F548" s="28">
        <v>1</v>
      </c>
      <c r="G548" s="28">
        <v>0</v>
      </c>
      <c r="H548" s="28">
        <v>1</v>
      </c>
      <c r="I548" s="28">
        <v>1</v>
      </c>
      <c r="J548" s="40" t="str">
        <f t="shared" si="52"/>
        <v>Weekday</v>
      </c>
      <c r="K548" s="28" t="b">
        <v>0</v>
      </c>
      <c r="L548" s="28">
        <v>1</v>
      </c>
      <c r="M548" s="40" t="str" cm="1">
        <f t="array" ref="M548">_xlfn.IFS(L548=1,"Clear / Partly Cloudy",L548=2,"Mist / Cloudy",L548=3,"Light Snow / Rain",L548=4,"Heavy Precipitation")</f>
        <v>Clear / Partly Cloudy</v>
      </c>
      <c r="N548" s="28">
        <v>0.14000000000000001</v>
      </c>
      <c r="O548" s="28" t="str">
        <f t="shared" si="53"/>
        <v>Cold</v>
      </c>
      <c r="P548" s="28">
        <v>0.1515</v>
      </c>
      <c r="Q548" s="38">
        <f t="shared" si="49"/>
        <v>0.1515</v>
      </c>
      <c r="R548" s="28">
        <v>0.63</v>
      </c>
      <c r="S548" s="28">
        <v>0.16420000000000001</v>
      </c>
      <c r="T548" s="40" t="str" cm="1">
        <f t="array" ref="T548">_xlfn.IFS(S548*18.6&lt;2,"Calm",S548*18.6&lt;6,"Light Breeze",S548*18.6&lt;14,"Gale",TRUE,"Extreme Storm")</f>
        <v>Light Breeze</v>
      </c>
      <c r="U548" s="28">
        <v>6</v>
      </c>
      <c r="V548" s="28">
        <v>53</v>
      </c>
      <c r="W548" s="28">
        <v>59</v>
      </c>
      <c r="X548" s="44">
        <f>AVERAGE(INDEX($W:$W,MAX(ROW($W$3),ROW()-23)):INDEX($W:$W,ROW()))</f>
        <v>59.625</v>
      </c>
      <c r="Y548" s="44">
        <f>_xlfn.STDEV.S(INDEX($W:$W,MAX(ROW($W$3),ROW()-23)):INDEX($W:$W,ROW()))</f>
        <v>53.413735816857482</v>
      </c>
      <c r="Z548" s="44">
        <f t="shared" si="50"/>
        <v>-1.1701110031752334E-2</v>
      </c>
      <c r="AA548" s="40" t="b">
        <f t="shared" si="48"/>
        <v>0</v>
      </c>
    </row>
    <row r="549" spans="1:27" x14ac:dyDescent="0.3">
      <c r="A549" s="32">
        <v>547</v>
      </c>
      <c r="B549" s="33">
        <v>40567</v>
      </c>
      <c r="C549" s="40" t="str">
        <f t="shared" si="51"/>
        <v>Monday</v>
      </c>
      <c r="D549" s="28">
        <v>22</v>
      </c>
      <c r="E549" s="40" t="str" cm="1">
        <f t="array" ref="E549">_xlfn.IFS(D549&gt;=21,"Night",D549&gt;=17,"Evening",D549&gt;=12,"Midday",D549&gt;=6,"Morning", TRUE, "Night")</f>
        <v>Night</v>
      </c>
      <c r="F549" s="28">
        <v>1</v>
      </c>
      <c r="G549" s="28">
        <v>0</v>
      </c>
      <c r="H549" s="28">
        <v>1</v>
      </c>
      <c r="I549" s="28">
        <v>1</v>
      </c>
      <c r="J549" s="40" t="str">
        <f t="shared" si="52"/>
        <v>Weekday</v>
      </c>
      <c r="K549" s="28" t="b">
        <v>0</v>
      </c>
      <c r="L549" s="28">
        <v>2</v>
      </c>
      <c r="M549" s="40" t="str" cm="1">
        <f t="array" ref="M549">_xlfn.IFS(L549=1,"Clear / Partly Cloudy",L549=2,"Mist / Cloudy",L549=3,"Light Snow / Rain",L549=4,"Heavy Precipitation")</f>
        <v>Mist / Cloudy</v>
      </c>
      <c r="N549" s="28">
        <v>0.14000000000000001</v>
      </c>
      <c r="O549" s="28" t="str">
        <f t="shared" si="53"/>
        <v>Cold</v>
      </c>
      <c r="P549" s="28">
        <v>0.13639999999999999</v>
      </c>
      <c r="Q549" s="38">
        <f t="shared" si="49"/>
        <v>0.13639999999999999</v>
      </c>
      <c r="R549" s="28">
        <v>0.63</v>
      </c>
      <c r="S549" s="28">
        <v>0.22389999999999999</v>
      </c>
      <c r="T549" s="40" t="str" cm="1">
        <f t="array" ref="T549">_xlfn.IFS(S549*18.6&lt;2,"Calm",S549*18.6&lt;6,"Light Breeze",S549*18.6&lt;14,"Gale",TRUE,"Extreme Storm")</f>
        <v>Light Breeze</v>
      </c>
      <c r="U549" s="28">
        <v>3</v>
      </c>
      <c r="V549" s="28">
        <v>32</v>
      </c>
      <c r="W549" s="28">
        <v>35</v>
      </c>
      <c r="X549" s="44">
        <f>AVERAGE(INDEX($W:$W,MAX(ROW($W$3),ROW()-23)):INDEX($W:$W,ROW()))</f>
        <v>60.041666666666664</v>
      </c>
      <c r="Y549" s="44">
        <f>_xlfn.STDEV.S(INDEX($W:$W,MAX(ROW($W$3),ROW()-23)):INDEX($W:$W,ROW()))</f>
        <v>53.170340838925753</v>
      </c>
      <c r="Z549" s="44">
        <f t="shared" si="50"/>
        <v>-0.47097058757866339</v>
      </c>
      <c r="AA549" s="40" t="b">
        <f t="shared" si="48"/>
        <v>0</v>
      </c>
    </row>
    <row r="550" spans="1:27" x14ac:dyDescent="0.3">
      <c r="A550" s="32">
        <v>548</v>
      </c>
      <c r="B550" s="33">
        <v>40567</v>
      </c>
      <c r="C550" s="40" t="str">
        <f t="shared" si="51"/>
        <v>Monday</v>
      </c>
      <c r="D550" s="28">
        <v>23</v>
      </c>
      <c r="E550" s="40" t="str" cm="1">
        <f t="array" ref="E550">_xlfn.IFS(D550&gt;=21,"Night",D550&gt;=17,"Evening",D550&gt;=12,"Midday",D550&gt;=6,"Morning", TRUE, "Night")</f>
        <v>Night</v>
      </c>
      <c r="F550" s="28">
        <v>1</v>
      </c>
      <c r="G550" s="28">
        <v>0</v>
      </c>
      <c r="H550" s="28">
        <v>1</v>
      </c>
      <c r="I550" s="28">
        <v>1</v>
      </c>
      <c r="J550" s="40" t="str">
        <f t="shared" si="52"/>
        <v>Weekday</v>
      </c>
      <c r="K550" s="28" t="b">
        <v>0</v>
      </c>
      <c r="L550" s="28">
        <v>2</v>
      </c>
      <c r="M550" s="40" t="str" cm="1">
        <f t="array" ref="M550">_xlfn.IFS(L550=1,"Clear / Partly Cloudy",L550=2,"Mist / Cloudy",L550=3,"Light Snow / Rain",L550=4,"Heavy Precipitation")</f>
        <v>Mist / Cloudy</v>
      </c>
      <c r="N550" s="28">
        <v>0.16</v>
      </c>
      <c r="O550" s="28" t="str">
        <f t="shared" si="53"/>
        <v>Cold</v>
      </c>
      <c r="P550" s="28">
        <v>0.1515</v>
      </c>
      <c r="Q550" s="38">
        <f t="shared" si="49"/>
        <v>0.1515</v>
      </c>
      <c r="R550" s="28">
        <v>0.64</v>
      </c>
      <c r="S550" s="28">
        <v>0.25369999999999998</v>
      </c>
      <c r="T550" s="40" t="str" cm="1">
        <f t="array" ref="T550">_xlfn.IFS(S550*18.6&lt;2,"Calm",S550*18.6&lt;6,"Light Breeze",S550*18.6&lt;14,"Gale",TRUE,"Extreme Storm")</f>
        <v>Light Breeze</v>
      </c>
      <c r="U550" s="28">
        <v>3</v>
      </c>
      <c r="V550" s="28">
        <v>21</v>
      </c>
      <c r="W550" s="28">
        <v>24</v>
      </c>
      <c r="X550" s="44">
        <f>AVERAGE(INDEX($W:$W,MAX(ROW($W$3),ROW()-23)):INDEX($W:$W,ROW()))</f>
        <v>59.875</v>
      </c>
      <c r="Y550" s="44">
        <f>_xlfn.STDEV.S(INDEX($W:$W,MAX(ROW($W$3),ROW()-23)):INDEX($W:$W,ROW()))</f>
        <v>53.281298211759399</v>
      </c>
      <c r="Z550" s="44">
        <f t="shared" si="50"/>
        <v>-0.67331317374099275</v>
      </c>
      <c r="AA550" s="40" t="b">
        <f t="shared" si="48"/>
        <v>0</v>
      </c>
    </row>
    <row r="551" spans="1:27" x14ac:dyDescent="0.3">
      <c r="A551" s="32">
        <v>549</v>
      </c>
      <c r="B551" s="33">
        <v>40568</v>
      </c>
      <c r="C551" s="40" t="str">
        <f t="shared" si="51"/>
        <v>Tuesday</v>
      </c>
      <c r="D551" s="28">
        <v>0</v>
      </c>
      <c r="E551" s="40" t="str" cm="1">
        <f t="array" ref="E551">_xlfn.IFS(D551&gt;=21,"Night",D551&gt;=17,"Evening",D551&gt;=12,"Midday",D551&gt;=6,"Morning", TRUE, "Night")</f>
        <v>Night</v>
      </c>
      <c r="F551" s="28">
        <v>1</v>
      </c>
      <c r="G551" s="28">
        <v>0</v>
      </c>
      <c r="H551" s="28">
        <v>1</v>
      </c>
      <c r="I551" s="28">
        <v>2</v>
      </c>
      <c r="J551" s="40" t="str">
        <f t="shared" si="52"/>
        <v>Weekday</v>
      </c>
      <c r="K551" s="28" t="b">
        <v>0</v>
      </c>
      <c r="L551" s="28">
        <v>2</v>
      </c>
      <c r="M551" s="40" t="str" cm="1">
        <f t="array" ref="M551">_xlfn.IFS(L551=1,"Clear / Partly Cloudy",L551=2,"Mist / Cloudy",L551=3,"Light Snow / Rain",L551=4,"Heavy Precipitation")</f>
        <v>Mist / Cloudy</v>
      </c>
      <c r="N551" s="28">
        <v>0.16</v>
      </c>
      <c r="O551" s="28" t="str">
        <f t="shared" si="53"/>
        <v>Cold</v>
      </c>
      <c r="P551" s="28">
        <v>0.13639999999999999</v>
      </c>
      <c r="Q551" s="38">
        <f t="shared" si="49"/>
        <v>0.13639999999999999</v>
      </c>
      <c r="R551" s="28">
        <v>0.69</v>
      </c>
      <c r="S551" s="28">
        <v>0.28360000000000002</v>
      </c>
      <c r="T551" s="40" t="str" cm="1">
        <f t="array" ref="T551">_xlfn.IFS(S551*18.6&lt;2,"Calm",S551*18.6&lt;6,"Light Breeze",S551*18.6&lt;14,"Gale",TRUE,"Extreme Storm")</f>
        <v>Light Breeze</v>
      </c>
      <c r="U551" s="28">
        <v>3</v>
      </c>
      <c r="V551" s="28">
        <v>6</v>
      </c>
      <c r="W551" s="28">
        <v>9</v>
      </c>
      <c r="X551" s="44">
        <f>AVERAGE(INDEX($W:$W,MAX(ROW($W$3),ROW()-23)):INDEX($W:$W,ROW()))</f>
        <v>59.375</v>
      </c>
      <c r="Y551" s="44">
        <f>_xlfn.STDEV.S(INDEX($W:$W,MAX(ROW($W$3),ROW()-23)):INDEX($W:$W,ROW()))</f>
        <v>53.716496130348439</v>
      </c>
      <c r="Z551" s="44">
        <f t="shared" si="50"/>
        <v>-0.93779385531327353</v>
      </c>
      <c r="AA551" s="40" t="b">
        <f t="shared" si="48"/>
        <v>0</v>
      </c>
    </row>
    <row r="552" spans="1:27" x14ac:dyDescent="0.3">
      <c r="A552" s="32">
        <v>550</v>
      </c>
      <c r="B552" s="33">
        <v>40568</v>
      </c>
      <c r="C552" s="40" t="str">
        <f t="shared" si="51"/>
        <v>Tuesday</v>
      </c>
      <c r="D552" s="28">
        <v>1</v>
      </c>
      <c r="E552" s="40" t="str" cm="1">
        <f t="array" ref="E552">_xlfn.IFS(D552&gt;=21,"Night",D552&gt;=17,"Evening",D552&gt;=12,"Midday",D552&gt;=6,"Morning", TRUE, "Night")</f>
        <v>Night</v>
      </c>
      <c r="F552" s="28">
        <v>1</v>
      </c>
      <c r="G552" s="28">
        <v>0</v>
      </c>
      <c r="H552" s="28">
        <v>1</v>
      </c>
      <c r="I552" s="28">
        <v>2</v>
      </c>
      <c r="J552" s="40" t="str">
        <f t="shared" si="52"/>
        <v>Weekday</v>
      </c>
      <c r="K552" s="28" t="b">
        <v>0</v>
      </c>
      <c r="L552" s="28">
        <v>2</v>
      </c>
      <c r="M552" s="40" t="str" cm="1">
        <f t="array" ref="M552">_xlfn.IFS(L552=1,"Clear / Partly Cloudy",L552=2,"Mist / Cloudy",L552=3,"Light Snow / Rain",L552=4,"Heavy Precipitation")</f>
        <v>Mist / Cloudy</v>
      </c>
      <c r="N552" s="28">
        <v>0.16</v>
      </c>
      <c r="O552" s="28" t="str">
        <f t="shared" si="53"/>
        <v>Cold</v>
      </c>
      <c r="P552" s="28">
        <v>0.16669999999999999</v>
      </c>
      <c r="Q552" s="38">
        <f t="shared" si="49"/>
        <v>0.16669999999999999</v>
      </c>
      <c r="R552" s="28">
        <v>0.69</v>
      </c>
      <c r="S552" s="28">
        <v>0.16420000000000001</v>
      </c>
      <c r="T552" s="40" t="str" cm="1">
        <f t="array" ref="T552">_xlfn.IFS(S552*18.6&lt;2,"Calm",S552*18.6&lt;6,"Light Breeze",S552*18.6&lt;14,"Gale",TRUE,"Extreme Storm")</f>
        <v>Light Breeze</v>
      </c>
      <c r="U552" s="28">
        <v>0</v>
      </c>
      <c r="V552" s="28">
        <v>5</v>
      </c>
      <c r="W552" s="28">
        <v>5</v>
      </c>
      <c r="X552" s="44">
        <f>AVERAGE(INDEX($W:$W,MAX(ROW($W$3),ROW()-23)):INDEX($W:$W,ROW()))</f>
        <v>59.291666666666664</v>
      </c>
      <c r="Y552" s="44">
        <f>_xlfn.STDEV.S(INDEX($W:$W,MAX(ROW($W$3),ROW()-23)):INDEX($W:$W,ROW()))</f>
        <v>53.802763115295292</v>
      </c>
      <c r="Z552" s="44">
        <f t="shared" si="50"/>
        <v>-1.009086959908057</v>
      </c>
      <c r="AA552" s="40" t="b">
        <f t="shared" si="48"/>
        <v>0</v>
      </c>
    </row>
    <row r="553" spans="1:27" x14ac:dyDescent="0.3">
      <c r="A553" s="32">
        <v>551</v>
      </c>
      <c r="B553" s="33">
        <v>40568</v>
      </c>
      <c r="C553" s="40" t="str">
        <f t="shared" si="51"/>
        <v>Tuesday</v>
      </c>
      <c r="D553" s="28">
        <v>2</v>
      </c>
      <c r="E553" s="40" t="str" cm="1">
        <f t="array" ref="E553">_xlfn.IFS(D553&gt;=21,"Night",D553&gt;=17,"Evening",D553&gt;=12,"Midday",D553&gt;=6,"Morning", TRUE, "Night")</f>
        <v>Night</v>
      </c>
      <c r="F553" s="28">
        <v>1</v>
      </c>
      <c r="G553" s="28">
        <v>0</v>
      </c>
      <c r="H553" s="28">
        <v>1</v>
      </c>
      <c r="I553" s="28">
        <v>2</v>
      </c>
      <c r="J553" s="40" t="str">
        <f t="shared" si="52"/>
        <v>Weekday</v>
      </c>
      <c r="K553" s="28" t="b">
        <v>0</v>
      </c>
      <c r="L553" s="28">
        <v>1</v>
      </c>
      <c r="M553" s="40" t="str" cm="1">
        <f t="array" ref="M553">_xlfn.IFS(L553=1,"Clear / Partly Cloudy",L553=2,"Mist / Cloudy",L553=3,"Light Snow / Rain",L553=4,"Heavy Precipitation")</f>
        <v>Clear / Partly Cloudy</v>
      </c>
      <c r="N553" s="28">
        <v>0.16</v>
      </c>
      <c r="O553" s="28" t="str">
        <f t="shared" si="53"/>
        <v>Cold</v>
      </c>
      <c r="P553" s="28">
        <v>0.1515</v>
      </c>
      <c r="Q553" s="38">
        <f t="shared" si="49"/>
        <v>0.1515</v>
      </c>
      <c r="R553" s="28">
        <v>0.69</v>
      </c>
      <c r="S553" s="28">
        <v>0.22389999999999999</v>
      </c>
      <c r="T553" s="40" t="str" cm="1">
        <f t="array" ref="T553">_xlfn.IFS(S553*18.6&lt;2,"Calm",S553*18.6&lt;6,"Light Breeze",S553*18.6&lt;14,"Gale",TRUE,"Extreme Storm")</f>
        <v>Light Breeze</v>
      </c>
      <c r="U553" s="28">
        <v>0</v>
      </c>
      <c r="V553" s="28">
        <v>2</v>
      </c>
      <c r="W553" s="28">
        <v>2</v>
      </c>
      <c r="X553" s="44">
        <f>AVERAGE(INDEX($W:$W,MAX(ROW($W$3),ROW()-23)):INDEX($W:$W,ROW()))</f>
        <v>59.333333333333336</v>
      </c>
      <c r="Y553" s="44">
        <f>_xlfn.STDEV.S(INDEX($W:$W,MAX(ROW($W$3),ROW()-23)):INDEX($W:$W,ROW()))</f>
        <v>53.756024266379079</v>
      </c>
      <c r="Z553" s="44">
        <f t="shared" si="50"/>
        <v>-1.0665471287316095</v>
      </c>
      <c r="AA553" s="40" t="b">
        <f t="shared" si="48"/>
        <v>0</v>
      </c>
    </row>
    <row r="554" spans="1:27" x14ac:dyDescent="0.3">
      <c r="A554" s="32">
        <v>552</v>
      </c>
      <c r="B554" s="33">
        <v>40568</v>
      </c>
      <c r="C554" s="40" t="str">
        <f t="shared" si="51"/>
        <v>Tuesday</v>
      </c>
      <c r="D554" s="28">
        <v>4</v>
      </c>
      <c r="E554" s="40" t="str" cm="1">
        <f t="array" ref="E554">_xlfn.IFS(D554&gt;=21,"Night",D554&gt;=17,"Evening",D554&gt;=12,"Midday",D554&gt;=6,"Morning", TRUE, "Night")</f>
        <v>Night</v>
      </c>
      <c r="F554" s="28">
        <v>1</v>
      </c>
      <c r="G554" s="28">
        <v>0</v>
      </c>
      <c r="H554" s="28">
        <v>1</v>
      </c>
      <c r="I554" s="28">
        <v>2</v>
      </c>
      <c r="J554" s="40" t="str">
        <f t="shared" si="52"/>
        <v>Weekday</v>
      </c>
      <c r="K554" s="28" t="b">
        <v>0</v>
      </c>
      <c r="L554" s="28">
        <v>1</v>
      </c>
      <c r="M554" s="40" t="str" cm="1">
        <f t="array" ref="M554">_xlfn.IFS(L554=1,"Clear / Partly Cloudy",L554=2,"Mist / Cloudy",L554=3,"Light Snow / Rain",L554=4,"Heavy Precipitation")</f>
        <v>Clear / Partly Cloudy</v>
      </c>
      <c r="N554" s="28">
        <v>0.14000000000000001</v>
      </c>
      <c r="O554" s="28" t="str">
        <f t="shared" si="53"/>
        <v>Cold</v>
      </c>
      <c r="P554" s="28">
        <v>0.16669999999999999</v>
      </c>
      <c r="Q554" s="38">
        <f t="shared" si="49"/>
        <v>0.16669999999999999</v>
      </c>
      <c r="R554" s="28">
        <v>0.74</v>
      </c>
      <c r="S554" s="28">
        <v>0.1045</v>
      </c>
      <c r="T554" s="40" t="str" cm="1">
        <f t="array" ref="T554">_xlfn.IFS(S554*18.6&lt;2,"Calm",S554*18.6&lt;6,"Light Breeze",S554*18.6&lt;14,"Gale",TRUE,"Extreme Storm")</f>
        <v>Calm</v>
      </c>
      <c r="U554" s="28">
        <v>0</v>
      </c>
      <c r="V554" s="28">
        <v>1</v>
      </c>
      <c r="W554" s="28">
        <v>1</v>
      </c>
      <c r="X554" s="44">
        <f>AVERAGE(INDEX($W:$W,MAX(ROW($W$3),ROW()-23)):INDEX($W:$W,ROW()))</f>
        <v>59.333333333333336</v>
      </c>
      <c r="Y554" s="44">
        <f>_xlfn.STDEV.S(INDEX($W:$W,MAX(ROW($W$3),ROW()-23)):INDEX($W:$W,ROW()))</f>
        <v>53.756024266379079</v>
      </c>
      <c r="Z554" s="44">
        <f t="shared" si="50"/>
        <v>-1.0851496949304167</v>
      </c>
      <c r="AA554" s="40" t="b">
        <f t="shared" si="48"/>
        <v>0</v>
      </c>
    </row>
    <row r="555" spans="1:27" x14ac:dyDescent="0.3">
      <c r="A555" s="32">
        <v>553</v>
      </c>
      <c r="B555" s="33">
        <v>40568</v>
      </c>
      <c r="C555" s="40" t="str">
        <f t="shared" si="51"/>
        <v>Tuesday</v>
      </c>
      <c r="D555" s="28">
        <v>5</v>
      </c>
      <c r="E555" s="40" t="str" cm="1">
        <f t="array" ref="E555">_xlfn.IFS(D555&gt;=21,"Night",D555&gt;=17,"Evening",D555&gt;=12,"Midday",D555&gt;=6,"Morning", TRUE, "Night")</f>
        <v>Night</v>
      </c>
      <c r="F555" s="28">
        <v>1</v>
      </c>
      <c r="G555" s="28">
        <v>0</v>
      </c>
      <c r="H555" s="28">
        <v>1</v>
      </c>
      <c r="I555" s="28">
        <v>2</v>
      </c>
      <c r="J555" s="40" t="str">
        <f t="shared" si="52"/>
        <v>Weekday</v>
      </c>
      <c r="K555" s="28" t="b">
        <v>0</v>
      </c>
      <c r="L555" s="28">
        <v>1</v>
      </c>
      <c r="M555" s="40" t="str" cm="1">
        <f t="array" ref="M555">_xlfn.IFS(L555=1,"Clear / Partly Cloudy",L555=2,"Mist / Cloudy",L555=3,"Light Snow / Rain",L555=4,"Heavy Precipitation")</f>
        <v>Clear / Partly Cloudy</v>
      </c>
      <c r="N555" s="28">
        <v>0.14000000000000001</v>
      </c>
      <c r="O555" s="28" t="str">
        <f t="shared" si="53"/>
        <v>Cold</v>
      </c>
      <c r="P555" s="28">
        <v>0.13639999999999999</v>
      </c>
      <c r="Q555" s="38">
        <f t="shared" si="49"/>
        <v>0.13639999999999999</v>
      </c>
      <c r="R555" s="28">
        <v>0.74</v>
      </c>
      <c r="S555" s="28">
        <v>0.22389999999999999</v>
      </c>
      <c r="T555" s="40" t="str" cm="1">
        <f t="array" ref="T555">_xlfn.IFS(S555*18.6&lt;2,"Calm",S555*18.6&lt;6,"Light Breeze",S555*18.6&lt;14,"Gale",TRUE,"Extreme Storm")</f>
        <v>Light Breeze</v>
      </c>
      <c r="U555" s="28">
        <v>0</v>
      </c>
      <c r="V555" s="28">
        <v>9</v>
      </c>
      <c r="W555" s="28">
        <v>9</v>
      </c>
      <c r="X555" s="44">
        <f>AVERAGE(INDEX($W:$W,MAX(ROW($W$3),ROW()-23)):INDEX($W:$W,ROW()))</f>
        <v>59.666666666666664</v>
      </c>
      <c r="Y555" s="44">
        <f>_xlfn.STDEV.S(INDEX($W:$W,MAX(ROW($W$3),ROW()-23)):INDEX($W:$W,ROW()))</f>
        <v>53.402220004876902</v>
      </c>
      <c r="Z555" s="44">
        <f t="shared" si="50"/>
        <v>-0.94877453899930719</v>
      </c>
      <c r="AA555" s="40" t="b">
        <f t="shared" si="48"/>
        <v>0</v>
      </c>
    </row>
    <row r="556" spans="1:27" x14ac:dyDescent="0.3">
      <c r="A556" s="32">
        <v>554</v>
      </c>
      <c r="B556" s="33">
        <v>40568</v>
      </c>
      <c r="C556" s="40" t="str">
        <f t="shared" si="51"/>
        <v>Tuesday</v>
      </c>
      <c r="D556" s="28">
        <v>6</v>
      </c>
      <c r="E556" s="40" t="str" cm="1">
        <f t="array" ref="E556">_xlfn.IFS(D556&gt;=21,"Night",D556&gt;=17,"Evening",D556&gt;=12,"Midday",D556&gt;=6,"Morning", TRUE, "Night")</f>
        <v>Morning</v>
      </c>
      <c r="F556" s="28">
        <v>1</v>
      </c>
      <c r="G556" s="28">
        <v>0</v>
      </c>
      <c r="H556" s="28">
        <v>1</v>
      </c>
      <c r="I556" s="28">
        <v>2</v>
      </c>
      <c r="J556" s="40" t="str">
        <f t="shared" si="52"/>
        <v>Weekday</v>
      </c>
      <c r="K556" s="28" t="b">
        <v>0</v>
      </c>
      <c r="L556" s="28">
        <v>1</v>
      </c>
      <c r="M556" s="40" t="str" cm="1">
        <f t="array" ref="M556">_xlfn.IFS(L556=1,"Clear / Partly Cloudy",L556=2,"Mist / Cloudy",L556=3,"Light Snow / Rain",L556=4,"Heavy Precipitation")</f>
        <v>Clear / Partly Cloudy</v>
      </c>
      <c r="N556" s="28">
        <v>0.16</v>
      </c>
      <c r="O556" s="28" t="str">
        <f t="shared" si="53"/>
        <v>Cold</v>
      </c>
      <c r="P556" s="28">
        <v>0.18179999999999999</v>
      </c>
      <c r="Q556" s="38">
        <f t="shared" si="49"/>
        <v>0.18179999999999999</v>
      </c>
      <c r="R556" s="28">
        <v>0.74</v>
      </c>
      <c r="S556" s="28">
        <v>0.1045</v>
      </c>
      <c r="T556" s="40" t="str" cm="1">
        <f t="array" ref="T556">_xlfn.IFS(S556*18.6&lt;2,"Calm",S556*18.6&lt;6,"Light Breeze",S556*18.6&lt;14,"Gale",TRUE,"Extreme Storm")</f>
        <v>Calm</v>
      </c>
      <c r="U556" s="28">
        <v>1</v>
      </c>
      <c r="V556" s="28">
        <v>35</v>
      </c>
      <c r="W556" s="28">
        <v>36</v>
      </c>
      <c r="X556" s="44">
        <f>AVERAGE(INDEX($W:$W,MAX(ROW($W$3),ROW()-23)):INDEX($W:$W,ROW()))</f>
        <v>60.958333333333336</v>
      </c>
      <c r="Y556" s="44">
        <f>_xlfn.STDEV.S(INDEX($W:$W,MAX(ROW($W$3),ROW()-23)):INDEX($W:$W,ROW()))</f>
        <v>52.387750946908973</v>
      </c>
      <c r="Z556" s="44">
        <f t="shared" si="50"/>
        <v>-0.47641543838418871</v>
      </c>
      <c r="AA556" s="40" t="b">
        <f t="shared" si="48"/>
        <v>0</v>
      </c>
    </row>
    <row r="557" spans="1:27" x14ac:dyDescent="0.3">
      <c r="A557" s="32">
        <v>555</v>
      </c>
      <c r="B557" s="33">
        <v>40568</v>
      </c>
      <c r="C557" s="40" t="str">
        <f t="shared" si="51"/>
        <v>Tuesday</v>
      </c>
      <c r="D557" s="28">
        <v>7</v>
      </c>
      <c r="E557" s="40" t="str" cm="1">
        <f t="array" ref="E557">_xlfn.IFS(D557&gt;=21,"Night",D557&gt;=17,"Evening",D557&gt;=12,"Midday",D557&gt;=6,"Morning", TRUE, "Night")</f>
        <v>Morning</v>
      </c>
      <c r="F557" s="28">
        <v>1</v>
      </c>
      <c r="G557" s="28">
        <v>0</v>
      </c>
      <c r="H557" s="28">
        <v>1</v>
      </c>
      <c r="I557" s="28">
        <v>2</v>
      </c>
      <c r="J557" s="40" t="str">
        <f t="shared" si="52"/>
        <v>Weekday</v>
      </c>
      <c r="K557" s="28" t="b">
        <v>0</v>
      </c>
      <c r="L557" s="28">
        <v>1</v>
      </c>
      <c r="M557" s="40" t="str" cm="1">
        <f t="array" ref="M557">_xlfn.IFS(L557=1,"Clear / Partly Cloudy",L557=2,"Mist / Cloudy",L557=3,"Light Snow / Rain",L557=4,"Heavy Precipitation")</f>
        <v>Clear / Partly Cloudy</v>
      </c>
      <c r="N557" s="28">
        <v>0.16</v>
      </c>
      <c r="O557" s="28" t="str">
        <f t="shared" si="53"/>
        <v>Cold</v>
      </c>
      <c r="P557" s="28">
        <v>0.1515</v>
      </c>
      <c r="Q557" s="38">
        <f t="shared" si="49"/>
        <v>0.1515</v>
      </c>
      <c r="R557" s="28">
        <v>0.74</v>
      </c>
      <c r="S557" s="28">
        <v>0.22389999999999999</v>
      </c>
      <c r="T557" s="40" t="str" cm="1">
        <f t="array" ref="T557">_xlfn.IFS(S557*18.6&lt;2,"Calm",S557*18.6&lt;6,"Light Breeze",S557*18.6&lt;14,"Gale",TRUE,"Extreme Storm")</f>
        <v>Light Breeze</v>
      </c>
      <c r="U557" s="28">
        <v>5</v>
      </c>
      <c r="V557" s="28">
        <v>103</v>
      </c>
      <c r="W557" s="28">
        <v>108</v>
      </c>
      <c r="X557" s="44">
        <f>AVERAGE(INDEX($W:$W,MAX(ROW($W$3),ROW()-23)):INDEX($W:$W,ROW()))</f>
        <v>64.833333333333329</v>
      </c>
      <c r="Y557" s="44">
        <f>_xlfn.STDEV.S(INDEX($W:$W,MAX(ROW($W$3),ROW()-23)):INDEX($W:$W,ROW()))</f>
        <v>52.279904416487803</v>
      </c>
      <c r="Z557" s="44">
        <f t="shared" si="50"/>
        <v>0.82568373351985247</v>
      </c>
      <c r="AA557" s="40" t="b">
        <f t="shared" si="48"/>
        <v>0</v>
      </c>
    </row>
    <row r="558" spans="1:27" x14ac:dyDescent="0.3">
      <c r="A558" s="32">
        <v>556</v>
      </c>
      <c r="B558" s="33">
        <v>40568</v>
      </c>
      <c r="C558" s="40" t="str">
        <f t="shared" si="51"/>
        <v>Tuesday</v>
      </c>
      <c r="D558" s="28">
        <v>8</v>
      </c>
      <c r="E558" s="40" t="str" cm="1">
        <f t="array" ref="E558">_xlfn.IFS(D558&gt;=21,"Night",D558&gt;=17,"Evening",D558&gt;=12,"Midday",D558&gt;=6,"Morning", TRUE, "Night")</f>
        <v>Morning</v>
      </c>
      <c r="F558" s="28">
        <v>1</v>
      </c>
      <c r="G558" s="28">
        <v>0</v>
      </c>
      <c r="H558" s="28">
        <v>1</v>
      </c>
      <c r="I558" s="28">
        <v>2</v>
      </c>
      <c r="J558" s="40" t="str">
        <f t="shared" si="52"/>
        <v>Weekday</v>
      </c>
      <c r="K558" s="28" t="b">
        <v>0</v>
      </c>
      <c r="L558" s="28">
        <v>2</v>
      </c>
      <c r="M558" s="40" t="str" cm="1">
        <f t="array" ref="M558">_xlfn.IFS(L558=1,"Clear / Partly Cloudy",L558=2,"Mist / Cloudy",L558=3,"Light Snow / Rain",L558=4,"Heavy Precipitation")</f>
        <v>Mist / Cloudy</v>
      </c>
      <c r="N558" s="28">
        <v>0.16</v>
      </c>
      <c r="O558" s="28" t="str">
        <f t="shared" si="53"/>
        <v>Cold</v>
      </c>
      <c r="P558" s="28">
        <v>0.18179999999999999</v>
      </c>
      <c r="Q558" s="38">
        <f t="shared" si="49"/>
        <v>0.18179999999999999</v>
      </c>
      <c r="R558" s="28">
        <v>0.74</v>
      </c>
      <c r="S558" s="28">
        <v>0.1343</v>
      </c>
      <c r="T558" s="40" t="str" cm="1">
        <f t="array" ref="T558">_xlfn.IFS(S558*18.6&lt;2,"Calm",S558*18.6&lt;6,"Light Breeze",S558*18.6&lt;14,"Gale",TRUE,"Extreme Storm")</f>
        <v>Light Breeze</v>
      </c>
      <c r="U558" s="28">
        <v>5</v>
      </c>
      <c r="V558" s="28">
        <v>233</v>
      </c>
      <c r="W558" s="28">
        <v>238</v>
      </c>
      <c r="X558" s="44">
        <f>AVERAGE(INDEX($W:$W,MAX(ROW($W$3),ROW()-23)):INDEX($W:$W,ROW()))</f>
        <v>71.25</v>
      </c>
      <c r="Y558" s="44">
        <f>_xlfn.STDEV.S(INDEX($W:$W,MAX(ROW($W$3),ROW()-23)):INDEX($W:$W,ROW()))</f>
        <v>63.071560462148348</v>
      </c>
      <c r="Z558" s="44">
        <f t="shared" si="50"/>
        <v>2.6438223309866107</v>
      </c>
      <c r="AA558" s="40" t="b">
        <f t="shared" si="48"/>
        <v>0</v>
      </c>
    </row>
    <row r="559" spans="1:27" x14ac:dyDescent="0.3">
      <c r="A559" s="32">
        <v>557</v>
      </c>
      <c r="B559" s="33">
        <v>40568</v>
      </c>
      <c r="C559" s="40" t="str">
        <f t="shared" si="51"/>
        <v>Tuesday</v>
      </c>
      <c r="D559" s="28">
        <v>9</v>
      </c>
      <c r="E559" s="40" t="str" cm="1">
        <f t="array" ref="E559">_xlfn.IFS(D559&gt;=21,"Night",D559&gt;=17,"Evening",D559&gt;=12,"Midday",D559&gt;=6,"Morning", TRUE, "Night")</f>
        <v>Morning</v>
      </c>
      <c r="F559" s="28">
        <v>1</v>
      </c>
      <c r="G559" s="28">
        <v>0</v>
      </c>
      <c r="H559" s="28">
        <v>1</v>
      </c>
      <c r="I559" s="28">
        <v>2</v>
      </c>
      <c r="J559" s="40" t="str">
        <f t="shared" si="52"/>
        <v>Weekday</v>
      </c>
      <c r="K559" s="28" t="b">
        <v>0</v>
      </c>
      <c r="L559" s="28">
        <v>2</v>
      </c>
      <c r="M559" s="40" t="str" cm="1">
        <f t="array" ref="M559">_xlfn.IFS(L559=1,"Clear / Partly Cloudy",L559=2,"Mist / Cloudy",L559=3,"Light Snow / Rain",L559=4,"Heavy Precipitation")</f>
        <v>Mist / Cloudy</v>
      </c>
      <c r="N559" s="28">
        <v>0.2</v>
      </c>
      <c r="O559" s="28" t="str">
        <f t="shared" si="53"/>
        <v>Mild</v>
      </c>
      <c r="P559" s="28">
        <v>0.2273</v>
      </c>
      <c r="Q559" s="38">
        <f t="shared" si="49"/>
        <v>0.2273</v>
      </c>
      <c r="R559" s="28">
        <v>0.64</v>
      </c>
      <c r="S559" s="28">
        <v>8.9599999999999999E-2</v>
      </c>
      <c r="T559" s="40" t="str" cm="1">
        <f t="array" ref="T559">_xlfn.IFS(S559*18.6&lt;2,"Calm",S559*18.6&lt;6,"Light Breeze",S559*18.6&lt;14,"Gale",TRUE,"Extreme Storm")</f>
        <v>Calm</v>
      </c>
      <c r="U559" s="28">
        <v>10</v>
      </c>
      <c r="V559" s="28">
        <v>134</v>
      </c>
      <c r="W559" s="28">
        <v>144</v>
      </c>
      <c r="X559" s="44">
        <f>AVERAGE(INDEX($W:$W,MAX(ROW($W$3),ROW()-23)):INDEX($W:$W,ROW()))</f>
        <v>69.875</v>
      </c>
      <c r="Y559" s="44">
        <f>_xlfn.STDEV.S(INDEX($W:$W,MAX(ROW($W$3),ROW()-23)):INDEX($W:$W,ROW()))</f>
        <v>60.991312638697195</v>
      </c>
      <c r="Z559" s="44">
        <f t="shared" si="50"/>
        <v>1.2153370175701033</v>
      </c>
      <c r="AA559" s="40" t="b">
        <f t="shared" si="48"/>
        <v>0</v>
      </c>
    </row>
    <row r="560" spans="1:27" x14ac:dyDescent="0.3">
      <c r="A560" s="32">
        <v>558</v>
      </c>
      <c r="B560" s="33">
        <v>40568</v>
      </c>
      <c r="C560" s="40" t="str">
        <f t="shared" si="51"/>
        <v>Tuesday</v>
      </c>
      <c r="D560" s="28">
        <v>10</v>
      </c>
      <c r="E560" s="40" t="str" cm="1">
        <f t="array" ref="E560">_xlfn.IFS(D560&gt;=21,"Night",D560&gt;=17,"Evening",D560&gt;=12,"Midday",D560&gt;=6,"Morning", TRUE, "Night")</f>
        <v>Morning</v>
      </c>
      <c r="F560" s="28">
        <v>1</v>
      </c>
      <c r="G560" s="28">
        <v>0</v>
      </c>
      <c r="H560" s="28">
        <v>1</v>
      </c>
      <c r="I560" s="28">
        <v>2</v>
      </c>
      <c r="J560" s="40" t="str">
        <f t="shared" si="52"/>
        <v>Weekday</v>
      </c>
      <c r="K560" s="28" t="b">
        <v>0</v>
      </c>
      <c r="L560" s="28">
        <v>2</v>
      </c>
      <c r="M560" s="40" t="str" cm="1">
        <f t="array" ref="M560">_xlfn.IFS(L560=1,"Clear / Partly Cloudy",L560=2,"Mist / Cloudy",L560=3,"Light Snow / Rain",L560=4,"Heavy Precipitation")</f>
        <v>Mist / Cloudy</v>
      </c>
      <c r="N560" s="28">
        <v>0.22</v>
      </c>
      <c r="O560" s="28" t="str">
        <f t="shared" si="53"/>
        <v>Mild</v>
      </c>
      <c r="P560" s="28">
        <v>0.2424</v>
      </c>
      <c r="Q560" s="38">
        <f t="shared" si="49"/>
        <v>0.2424</v>
      </c>
      <c r="R560" s="28">
        <v>0.6</v>
      </c>
      <c r="S560" s="28">
        <v>0.1045</v>
      </c>
      <c r="T560" s="40" t="str" cm="1">
        <f t="array" ref="T560">_xlfn.IFS(S560*18.6&lt;2,"Calm",S560*18.6&lt;6,"Light Breeze",S560*18.6&lt;14,"Gale",TRUE,"Extreme Storm")</f>
        <v>Calm</v>
      </c>
      <c r="U560" s="28">
        <v>6</v>
      </c>
      <c r="V560" s="28">
        <v>49</v>
      </c>
      <c r="W560" s="28">
        <v>55</v>
      </c>
      <c r="X560" s="44">
        <f>AVERAGE(INDEX($W:$W,MAX(ROW($W$3),ROW()-23)):INDEX($W:$W,ROW()))</f>
        <v>67.916666666666671</v>
      </c>
      <c r="Y560" s="44">
        <f>_xlfn.STDEV.S(INDEX($W:$W,MAX(ROW($W$3),ROW()-23)):INDEX($W:$W,ROW()))</f>
        <v>60.668677303836951</v>
      </c>
      <c r="Z560" s="44">
        <f t="shared" si="50"/>
        <v>-0.21290503173455153</v>
      </c>
      <c r="AA560" s="40" t="b">
        <f t="shared" si="48"/>
        <v>0</v>
      </c>
    </row>
    <row r="561" spans="1:27" x14ac:dyDescent="0.3">
      <c r="A561" s="32">
        <v>559</v>
      </c>
      <c r="B561" s="33">
        <v>40568</v>
      </c>
      <c r="C561" s="40" t="str">
        <f t="shared" si="51"/>
        <v>Tuesday</v>
      </c>
      <c r="D561" s="28">
        <v>11</v>
      </c>
      <c r="E561" s="40" t="str" cm="1">
        <f t="array" ref="E561">_xlfn.IFS(D561&gt;=21,"Night",D561&gt;=17,"Evening",D561&gt;=12,"Midday",D561&gt;=6,"Morning", TRUE, "Night")</f>
        <v>Morning</v>
      </c>
      <c r="F561" s="28">
        <v>1</v>
      </c>
      <c r="G561" s="28">
        <v>0</v>
      </c>
      <c r="H561" s="28">
        <v>1</v>
      </c>
      <c r="I561" s="28">
        <v>2</v>
      </c>
      <c r="J561" s="40" t="str">
        <f t="shared" si="52"/>
        <v>Weekday</v>
      </c>
      <c r="K561" s="28" t="b">
        <v>0</v>
      </c>
      <c r="L561" s="28">
        <v>2</v>
      </c>
      <c r="M561" s="40" t="str" cm="1">
        <f t="array" ref="M561">_xlfn.IFS(L561=1,"Clear / Partly Cloudy",L561=2,"Mist / Cloudy",L561=3,"Light Snow / Rain",L561=4,"Heavy Precipitation")</f>
        <v>Mist / Cloudy</v>
      </c>
      <c r="N561" s="28">
        <v>0.24</v>
      </c>
      <c r="O561" s="28" t="str">
        <f t="shared" si="53"/>
        <v>Mild</v>
      </c>
      <c r="P561" s="28">
        <v>0.2424</v>
      </c>
      <c r="Q561" s="38">
        <f t="shared" si="49"/>
        <v>0.2424</v>
      </c>
      <c r="R561" s="28">
        <v>0.6</v>
      </c>
      <c r="S561" s="28">
        <v>0.1343</v>
      </c>
      <c r="T561" s="40" t="str" cm="1">
        <f t="array" ref="T561">_xlfn.IFS(S561*18.6&lt;2,"Calm",S561*18.6&lt;6,"Light Breeze",S561*18.6&lt;14,"Gale",TRUE,"Extreme Storm")</f>
        <v>Light Breeze</v>
      </c>
      <c r="U561" s="28">
        <v>6</v>
      </c>
      <c r="V561" s="28">
        <v>55</v>
      </c>
      <c r="W561" s="28">
        <v>61</v>
      </c>
      <c r="X561" s="44">
        <f>AVERAGE(INDEX($W:$W,MAX(ROW($W$3),ROW()-23)):INDEX($W:$W,ROW()))</f>
        <v>68.791666666666671</v>
      </c>
      <c r="Y561" s="44">
        <f>_xlfn.STDEV.S(INDEX($W:$W,MAX(ROW($W$3),ROW()-23)):INDEX($W:$W,ROW()))</f>
        <v>60.39938033562543</v>
      </c>
      <c r="Z561" s="44">
        <f t="shared" si="50"/>
        <v>-0.12900242723303082</v>
      </c>
      <c r="AA561" s="40" t="b">
        <f t="shared" si="48"/>
        <v>0</v>
      </c>
    </row>
    <row r="562" spans="1:27" x14ac:dyDescent="0.3">
      <c r="A562" s="32">
        <v>560</v>
      </c>
      <c r="B562" s="33">
        <v>40568</v>
      </c>
      <c r="C562" s="40" t="str">
        <f t="shared" si="51"/>
        <v>Tuesday</v>
      </c>
      <c r="D562" s="28">
        <v>12</v>
      </c>
      <c r="E562" s="40" t="str" cm="1">
        <f t="array" ref="E562">_xlfn.IFS(D562&gt;=21,"Night",D562&gt;=17,"Evening",D562&gt;=12,"Midday",D562&gt;=6,"Morning", TRUE, "Night")</f>
        <v>Midday</v>
      </c>
      <c r="F562" s="28">
        <v>1</v>
      </c>
      <c r="G562" s="28">
        <v>0</v>
      </c>
      <c r="H562" s="28">
        <v>1</v>
      </c>
      <c r="I562" s="28">
        <v>2</v>
      </c>
      <c r="J562" s="40" t="str">
        <f t="shared" si="52"/>
        <v>Weekday</v>
      </c>
      <c r="K562" s="28" t="b">
        <v>0</v>
      </c>
      <c r="L562" s="28">
        <v>2</v>
      </c>
      <c r="M562" s="40" t="str" cm="1">
        <f t="array" ref="M562">_xlfn.IFS(L562=1,"Clear / Partly Cloudy",L562=2,"Mist / Cloudy",L562=3,"Light Snow / Rain",L562=4,"Heavy Precipitation")</f>
        <v>Mist / Cloudy</v>
      </c>
      <c r="N562" s="28">
        <v>0.26</v>
      </c>
      <c r="O562" s="28" t="str">
        <f t="shared" si="53"/>
        <v>Mild</v>
      </c>
      <c r="P562" s="28">
        <v>0.28789999999999999</v>
      </c>
      <c r="Q562" s="38">
        <f t="shared" si="49"/>
        <v>0.28789999999999999</v>
      </c>
      <c r="R562" s="28">
        <v>0.56000000000000005</v>
      </c>
      <c r="S562" s="28">
        <v>8.9599999999999999E-2</v>
      </c>
      <c r="T562" s="40" t="str" cm="1">
        <f t="array" ref="T562">_xlfn.IFS(S562*18.6&lt;2,"Calm",S562*18.6&lt;6,"Light Breeze",S562*18.6&lt;14,"Gale",TRUE,"Extreme Storm")</f>
        <v>Calm</v>
      </c>
      <c r="U562" s="28">
        <v>21</v>
      </c>
      <c r="V562" s="28">
        <v>85</v>
      </c>
      <c r="W562" s="28">
        <v>106</v>
      </c>
      <c r="X562" s="44">
        <f>AVERAGE(INDEX($W:$W,MAX(ROW($W$3),ROW()-23)):INDEX($W:$W,ROW()))</f>
        <v>71.291666666666671</v>
      </c>
      <c r="Y562" s="44">
        <f>_xlfn.STDEV.S(INDEX($W:$W,MAX(ROW($W$3),ROW()-23)):INDEX($W:$W,ROW()))</f>
        <v>60.656179416851465</v>
      </c>
      <c r="Z562" s="44">
        <f t="shared" si="50"/>
        <v>0.57221430144495189</v>
      </c>
      <c r="AA562" s="40" t="b">
        <f t="shared" si="48"/>
        <v>0</v>
      </c>
    </row>
    <row r="563" spans="1:27" x14ac:dyDescent="0.3">
      <c r="A563" s="32">
        <v>561</v>
      </c>
      <c r="B563" s="33">
        <v>40568</v>
      </c>
      <c r="C563" s="40" t="str">
        <f t="shared" si="51"/>
        <v>Tuesday</v>
      </c>
      <c r="D563" s="28">
        <v>13</v>
      </c>
      <c r="E563" s="40" t="str" cm="1">
        <f t="array" ref="E563">_xlfn.IFS(D563&gt;=21,"Night",D563&gt;=17,"Evening",D563&gt;=12,"Midday",D563&gt;=6,"Morning", TRUE, "Night")</f>
        <v>Midday</v>
      </c>
      <c r="F563" s="28">
        <v>1</v>
      </c>
      <c r="G563" s="28">
        <v>0</v>
      </c>
      <c r="H563" s="28">
        <v>1</v>
      </c>
      <c r="I563" s="28">
        <v>2</v>
      </c>
      <c r="J563" s="40" t="str">
        <f t="shared" si="52"/>
        <v>Weekday</v>
      </c>
      <c r="K563" s="28" t="b">
        <v>0</v>
      </c>
      <c r="L563" s="28">
        <v>2</v>
      </c>
      <c r="M563" s="40" t="str" cm="1">
        <f t="array" ref="M563">_xlfn.IFS(L563=1,"Clear / Partly Cloudy",L563=2,"Mist / Cloudy",L563=3,"Light Snow / Rain",L563=4,"Heavy Precipitation")</f>
        <v>Mist / Cloudy</v>
      </c>
      <c r="N563" s="28">
        <v>0.26</v>
      </c>
      <c r="O563" s="28" t="str">
        <f t="shared" si="53"/>
        <v>Mild</v>
      </c>
      <c r="P563" s="28">
        <v>0.2727</v>
      </c>
      <c r="Q563" s="38">
        <f t="shared" si="49"/>
        <v>0.2727</v>
      </c>
      <c r="R563" s="28">
        <v>0.56000000000000005</v>
      </c>
      <c r="S563" s="28">
        <v>0.1343</v>
      </c>
      <c r="T563" s="40" t="str" cm="1">
        <f t="array" ref="T563">_xlfn.IFS(S563*18.6&lt;2,"Calm",S563*18.6&lt;6,"Light Breeze",S563*18.6&lt;14,"Gale",TRUE,"Extreme Storm")</f>
        <v>Light Breeze</v>
      </c>
      <c r="U563" s="28">
        <v>21</v>
      </c>
      <c r="V563" s="28">
        <v>72</v>
      </c>
      <c r="W563" s="28">
        <v>93</v>
      </c>
      <c r="X563" s="44">
        <f>AVERAGE(INDEX($W:$W,MAX(ROW($W$3),ROW()-23)):INDEX($W:$W,ROW()))</f>
        <v>72.541666666666671</v>
      </c>
      <c r="Y563" s="44">
        <f>_xlfn.STDEV.S(INDEX($W:$W,MAX(ROW($W$3),ROW()-23)):INDEX($W:$W,ROW()))</f>
        <v>60.786854390292859</v>
      </c>
      <c r="Z563" s="44">
        <f t="shared" si="50"/>
        <v>0.33655851316103552</v>
      </c>
      <c r="AA563" s="40" t="b">
        <f t="shared" si="48"/>
        <v>0</v>
      </c>
    </row>
    <row r="564" spans="1:27" x14ac:dyDescent="0.3">
      <c r="A564" s="32">
        <v>562</v>
      </c>
      <c r="B564" s="33">
        <v>40568</v>
      </c>
      <c r="C564" s="40" t="str">
        <f t="shared" si="51"/>
        <v>Tuesday</v>
      </c>
      <c r="D564" s="28">
        <v>14</v>
      </c>
      <c r="E564" s="40" t="str" cm="1">
        <f t="array" ref="E564">_xlfn.IFS(D564&gt;=21,"Night",D564&gt;=17,"Evening",D564&gt;=12,"Midday",D564&gt;=6,"Morning", TRUE, "Night")</f>
        <v>Midday</v>
      </c>
      <c r="F564" s="28">
        <v>1</v>
      </c>
      <c r="G564" s="28">
        <v>0</v>
      </c>
      <c r="H564" s="28">
        <v>1</v>
      </c>
      <c r="I564" s="28">
        <v>2</v>
      </c>
      <c r="J564" s="40" t="str">
        <f t="shared" si="52"/>
        <v>Weekday</v>
      </c>
      <c r="K564" s="28" t="b">
        <v>0</v>
      </c>
      <c r="L564" s="28">
        <v>2</v>
      </c>
      <c r="M564" s="40" t="str" cm="1">
        <f t="array" ref="M564">_xlfn.IFS(L564=1,"Clear / Partly Cloudy",L564=2,"Mist / Cloudy",L564=3,"Light Snow / Rain",L564=4,"Heavy Precipitation")</f>
        <v>Mist / Cloudy</v>
      </c>
      <c r="N564" s="28">
        <v>0.3</v>
      </c>
      <c r="O564" s="28" t="str">
        <f t="shared" si="53"/>
        <v>Mild</v>
      </c>
      <c r="P564" s="28">
        <v>0.33329999999999999</v>
      </c>
      <c r="Q564" s="38">
        <f t="shared" si="49"/>
        <v>0.33329999999999999</v>
      </c>
      <c r="R564" s="28">
        <v>0.45</v>
      </c>
      <c r="S564" s="28">
        <v>0</v>
      </c>
      <c r="T564" s="40" t="str" cm="1">
        <f t="array" ref="T564">_xlfn.IFS(S564*18.6&lt;2,"Calm",S564*18.6&lt;6,"Light Breeze",S564*18.6&lt;14,"Gale",TRUE,"Extreme Storm")</f>
        <v>Calm</v>
      </c>
      <c r="U564" s="28">
        <v>11</v>
      </c>
      <c r="V564" s="28">
        <v>57</v>
      </c>
      <c r="W564" s="28">
        <v>68</v>
      </c>
      <c r="X564" s="44">
        <f>AVERAGE(INDEX($W:$W,MAX(ROW($W$3),ROW()-23)):INDEX($W:$W,ROW()))</f>
        <v>72.875</v>
      </c>
      <c r="Y564" s="44">
        <f>_xlfn.STDEV.S(INDEX($W:$W,MAX(ROW($W$3),ROW()-23)):INDEX($W:$W,ROW()))</f>
        <v>60.737004335513404</v>
      </c>
      <c r="Z564" s="44">
        <f t="shared" si="50"/>
        <v>-8.0264083705385333E-2</v>
      </c>
      <c r="AA564" s="40" t="b">
        <f t="shared" si="48"/>
        <v>0</v>
      </c>
    </row>
    <row r="565" spans="1:27" x14ac:dyDescent="0.3">
      <c r="A565" s="32">
        <v>563</v>
      </c>
      <c r="B565" s="33">
        <v>40568</v>
      </c>
      <c r="C565" s="40" t="str">
        <f t="shared" si="51"/>
        <v>Tuesday</v>
      </c>
      <c r="D565" s="28">
        <v>15</v>
      </c>
      <c r="E565" s="40" t="str" cm="1">
        <f t="array" ref="E565">_xlfn.IFS(D565&gt;=21,"Night",D565&gt;=17,"Evening",D565&gt;=12,"Midday",D565&gt;=6,"Morning", TRUE, "Night")</f>
        <v>Midday</v>
      </c>
      <c r="F565" s="28">
        <v>1</v>
      </c>
      <c r="G565" s="28">
        <v>0</v>
      </c>
      <c r="H565" s="28">
        <v>1</v>
      </c>
      <c r="I565" s="28">
        <v>2</v>
      </c>
      <c r="J565" s="40" t="str">
        <f t="shared" si="52"/>
        <v>Weekday</v>
      </c>
      <c r="K565" s="28" t="b">
        <v>0</v>
      </c>
      <c r="L565" s="28">
        <v>2</v>
      </c>
      <c r="M565" s="40" t="str" cm="1">
        <f t="array" ref="M565">_xlfn.IFS(L565=1,"Clear / Partly Cloudy",L565=2,"Mist / Cloudy",L565=3,"Light Snow / Rain",L565=4,"Heavy Precipitation")</f>
        <v>Mist / Cloudy</v>
      </c>
      <c r="N565" s="28">
        <v>0.32</v>
      </c>
      <c r="O565" s="28" t="str">
        <f t="shared" si="53"/>
        <v>Mild</v>
      </c>
      <c r="P565" s="28">
        <v>0.34849999999999998</v>
      </c>
      <c r="Q565" s="38">
        <f t="shared" si="49"/>
        <v>0.34849999999999998</v>
      </c>
      <c r="R565" s="28">
        <v>0.42</v>
      </c>
      <c r="S565" s="28">
        <v>0</v>
      </c>
      <c r="T565" s="40" t="str" cm="1">
        <f t="array" ref="T565">_xlfn.IFS(S565*18.6&lt;2,"Calm",S565*18.6&lt;6,"Light Breeze",S565*18.6&lt;14,"Gale",TRUE,"Extreme Storm")</f>
        <v>Calm</v>
      </c>
      <c r="U565" s="28">
        <v>21</v>
      </c>
      <c r="V565" s="28">
        <v>63</v>
      </c>
      <c r="W565" s="28">
        <v>84</v>
      </c>
      <c r="X565" s="44">
        <f>AVERAGE(INDEX($W:$W,MAX(ROW($W$3),ROW()-23)):INDEX($W:$W,ROW()))</f>
        <v>74.5</v>
      </c>
      <c r="Y565" s="44">
        <f>_xlfn.STDEV.S(INDEX($W:$W,MAX(ROW($W$3),ROW()-23)):INDEX($W:$W,ROW()))</f>
        <v>60.479964343214696</v>
      </c>
      <c r="Z565" s="44">
        <f t="shared" si="50"/>
        <v>0.15707681218343533</v>
      </c>
      <c r="AA565" s="40" t="b">
        <f t="shared" si="48"/>
        <v>0</v>
      </c>
    </row>
    <row r="566" spans="1:27" x14ac:dyDescent="0.3">
      <c r="A566" s="32">
        <v>564</v>
      </c>
      <c r="B566" s="33">
        <v>40568</v>
      </c>
      <c r="C566" s="40" t="str">
        <f t="shared" si="51"/>
        <v>Tuesday</v>
      </c>
      <c r="D566" s="28">
        <v>16</v>
      </c>
      <c r="E566" s="40" t="str" cm="1">
        <f t="array" ref="E566">_xlfn.IFS(D566&gt;=21,"Night",D566&gt;=17,"Evening",D566&gt;=12,"Midday",D566&gt;=6,"Morning", TRUE, "Night")</f>
        <v>Midday</v>
      </c>
      <c r="F566" s="28">
        <v>1</v>
      </c>
      <c r="G566" s="28">
        <v>0</v>
      </c>
      <c r="H566" s="28">
        <v>1</v>
      </c>
      <c r="I566" s="28">
        <v>2</v>
      </c>
      <c r="J566" s="40" t="str">
        <f t="shared" si="52"/>
        <v>Weekday</v>
      </c>
      <c r="K566" s="28" t="b">
        <v>0</v>
      </c>
      <c r="L566" s="28">
        <v>2</v>
      </c>
      <c r="M566" s="40" t="str" cm="1">
        <f t="array" ref="M566">_xlfn.IFS(L566=1,"Clear / Partly Cloudy",L566=2,"Mist / Cloudy",L566=3,"Light Snow / Rain",L566=4,"Heavy Precipitation")</f>
        <v>Mist / Cloudy</v>
      </c>
      <c r="N566" s="28">
        <v>0.32</v>
      </c>
      <c r="O566" s="28" t="str">
        <f t="shared" si="53"/>
        <v>Mild</v>
      </c>
      <c r="P566" s="28">
        <v>0.34849999999999998</v>
      </c>
      <c r="Q566" s="38">
        <f t="shared" si="49"/>
        <v>0.34849999999999998</v>
      </c>
      <c r="R566" s="28">
        <v>0.42</v>
      </c>
      <c r="S566" s="28">
        <v>0</v>
      </c>
      <c r="T566" s="40" t="str" cm="1">
        <f t="array" ref="T566">_xlfn.IFS(S566*18.6&lt;2,"Calm",S566*18.6&lt;6,"Light Breeze",S566*18.6&lt;14,"Gale",TRUE,"Extreme Storm")</f>
        <v>Calm</v>
      </c>
      <c r="U566" s="28">
        <v>14</v>
      </c>
      <c r="V566" s="28">
        <v>102</v>
      </c>
      <c r="W566" s="28">
        <v>116</v>
      </c>
      <c r="X566" s="44">
        <f>AVERAGE(INDEX($W:$W,MAX(ROW($W$3),ROW()-23)):INDEX($W:$W,ROW()))</f>
        <v>76.958333333333329</v>
      </c>
      <c r="Y566" s="44">
        <f>_xlfn.STDEV.S(INDEX($W:$W,MAX(ROW($W$3),ROW()-23)):INDEX($W:$W,ROW()))</f>
        <v>60.93508960301557</v>
      </c>
      <c r="Z566" s="44">
        <f t="shared" si="50"/>
        <v>0.64070910408137927</v>
      </c>
      <c r="AA566" s="40" t="b">
        <f t="shared" si="48"/>
        <v>0</v>
      </c>
    </row>
    <row r="567" spans="1:27" x14ac:dyDescent="0.3">
      <c r="A567" s="32">
        <v>565</v>
      </c>
      <c r="B567" s="33">
        <v>40568</v>
      </c>
      <c r="C567" s="40" t="str">
        <f t="shared" si="51"/>
        <v>Tuesday</v>
      </c>
      <c r="D567" s="28">
        <v>17</v>
      </c>
      <c r="E567" s="40" t="str" cm="1">
        <f t="array" ref="E567">_xlfn.IFS(D567&gt;=21,"Night",D567&gt;=17,"Evening",D567&gt;=12,"Midday",D567&gt;=6,"Morning", TRUE, "Night")</f>
        <v>Evening</v>
      </c>
      <c r="F567" s="28">
        <v>1</v>
      </c>
      <c r="G567" s="28">
        <v>0</v>
      </c>
      <c r="H567" s="28">
        <v>1</v>
      </c>
      <c r="I567" s="28">
        <v>2</v>
      </c>
      <c r="J567" s="40" t="str">
        <f t="shared" si="52"/>
        <v>Weekday</v>
      </c>
      <c r="K567" s="28" t="b">
        <v>0</v>
      </c>
      <c r="L567" s="28">
        <v>1</v>
      </c>
      <c r="M567" s="40" t="str" cm="1">
        <f t="array" ref="M567">_xlfn.IFS(L567=1,"Clear / Partly Cloudy",L567=2,"Mist / Cloudy",L567=3,"Light Snow / Rain",L567=4,"Heavy Precipitation")</f>
        <v>Clear / Partly Cloudy</v>
      </c>
      <c r="N567" s="28">
        <v>0.3</v>
      </c>
      <c r="O567" s="28" t="str">
        <f t="shared" si="53"/>
        <v>Mild</v>
      </c>
      <c r="P567" s="28">
        <v>0.33329999999999999</v>
      </c>
      <c r="Q567" s="38">
        <f t="shared" si="49"/>
        <v>0.33329999999999999</v>
      </c>
      <c r="R567" s="28">
        <v>0.45</v>
      </c>
      <c r="S567" s="28">
        <v>0</v>
      </c>
      <c r="T567" s="40" t="str" cm="1">
        <f t="array" ref="T567">_xlfn.IFS(S567*18.6&lt;2,"Calm",S567*18.6&lt;6,"Light Breeze",S567*18.6&lt;14,"Gale",TRUE,"Extreme Storm")</f>
        <v>Calm</v>
      </c>
      <c r="U567" s="28">
        <v>14</v>
      </c>
      <c r="V567" s="28">
        <v>208</v>
      </c>
      <c r="W567" s="28">
        <v>222</v>
      </c>
      <c r="X567" s="44">
        <f>AVERAGE(INDEX($W:$W,MAX(ROW($W$3),ROW()-23)):INDEX($W:$W,ROW()))</f>
        <v>83.291666666666671</v>
      </c>
      <c r="Y567" s="44">
        <f>_xlfn.STDEV.S(INDEX($W:$W,MAX(ROW($W$3),ROW()-23)):INDEX($W:$W,ROW()))</f>
        <v>67.7036246969204</v>
      </c>
      <c r="Z567" s="44">
        <f t="shared" si="50"/>
        <v>2.0487578612558783</v>
      </c>
      <c r="AA567" s="40" t="b">
        <f t="shared" si="48"/>
        <v>0</v>
      </c>
    </row>
    <row r="568" spans="1:27" x14ac:dyDescent="0.3">
      <c r="A568" s="32">
        <v>566</v>
      </c>
      <c r="B568" s="33">
        <v>40568</v>
      </c>
      <c r="C568" s="40" t="str">
        <f t="shared" si="51"/>
        <v>Tuesday</v>
      </c>
      <c r="D568" s="28">
        <v>18</v>
      </c>
      <c r="E568" s="40" t="str" cm="1">
        <f t="array" ref="E568">_xlfn.IFS(D568&gt;=21,"Night",D568&gt;=17,"Evening",D568&gt;=12,"Midday",D568&gt;=6,"Morning", TRUE, "Night")</f>
        <v>Evening</v>
      </c>
      <c r="F568" s="28">
        <v>1</v>
      </c>
      <c r="G568" s="28">
        <v>0</v>
      </c>
      <c r="H568" s="28">
        <v>1</v>
      </c>
      <c r="I568" s="28">
        <v>2</v>
      </c>
      <c r="J568" s="40" t="str">
        <f t="shared" si="52"/>
        <v>Weekday</v>
      </c>
      <c r="K568" s="28" t="b">
        <v>0</v>
      </c>
      <c r="L568" s="28">
        <v>2</v>
      </c>
      <c r="M568" s="40" t="str" cm="1">
        <f t="array" ref="M568">_xlfn.IFS(L568=1,"Clear / Partly Cloudy",L568=2,"Mist / Cloudy",L568=3,"Light Snow / Rain",L568=4,"Heavy Precipitation")</f>
        <v>Mist / Cloudy</v>
      </c>
      <c r="N568" s="28">
        <v>0.3</v>
      </c>
      <c r="O568" s="28" t="str">
        <f t="shared" si="53"/>
        <v>Mild</v>
      </c>
      <c r="P568" s="28">
        <v>0.31819999999999998</v>
      </c>
      <c r="Q568" s="38">
        <f t="shared" si="49"/>
        <v>0.31819999999999998</v>
      </c>
      <c r="R568" s="28">
        <v>0.49</v>
      </c>
      <c r="S568" s="28">
        <v>8.9599999999999999E-2</v>
      </c>
      <c r="T568" s="40" t="str" cm="1">
        <f t="array" ref="T568">_xlfn.IFS(S568*18.6&lt;2,"Calm",S568*18.6&lt;6,"Light Breeze",S568*18.6&lt;14,"Gale",TRUE,"Extreme Storm")</f>
        <v>Calm</v>
      </c>
      <c r="U568" s="28">
        <v>7</v>
      </c>
      <c r="V568" s="28">
        <v>218</v>
      </c>
      <c r="W568" s="28">
        <v>225</v>
      </c>
      <c r="X568" s="44">
        <f>AVERAGE(INDEX($W:$W,MAX(ROW($W$3),ROW()-23)):INDEX($W:$W,ROW()))</f>
        <v>85</v>
      </c>
      <c r="Y568" s="44">
        <f>_xlfn.STDEV.S(INDEX($W:$W,MAX(ROW($W$3),ROW()-23)):INDEX($W:$W,ROW()))</f>
        <v>70.80162120472518</v>
      </c>
      <c r="Z568" s="44">
        <f t="shared" si="50"/>
        <v>1.9773558517139809</v>
      </c>
      <c r="AA568" s="40" t="b">
        <f t="shared" si="48"/>
        <v>0</v>
      </c>
    </row>
    <row r="569" spans="1:27" x14ac:dyDescent="0.3">
      <c r="A569" s="32">
        <v>567</v>
      </c>
      <c r="B569" s="33">
        <v>40568</v>
      </c>
      <c r="C569" s="40" t="str">
        <f t="shared" si="51"/>
        <v>Tuesday</v>
      </c>
      <c r="D569" s="28">
        <v>19</v>
      </c>
      <c r="E569" s="40" t="str" cm="1">
        <f t="array" ref="E569">_xlfn.IFS(D569&gt;=21,"Night",D569&gt;=17,"Evening",D569&gt;=12,"Midday",D569&gt;=6,"Morning", TRUE, "Night")</f>
        <v>Evening</v>
      </c>
      <c r="F569" s="28">
        <v>1</v>
      </c>
      <c r="G569" s="28">
        <v>0</v>
      </c>
      <c r="H569" s="28">
        <v>1</v>
      </c>
      <c r="I569" s="28">
        <v>2</v>
      </c>
      <c r="J569" s="40" t="str">
        <f t="shared" si="52"/>
        <v>Weekday</v>
      </c>
      <c r="K569" s="28" t="b">
        <v>0</v>
      </c>
      <c r="L569" s="28">
        <v>2</v>
      </c>
      <c r="M569" s="40" t="str" cm="1">
        <f t="array" ref="M569">_xlfn.IFS(L569=1,"Clear / Partly Cloudy",L569=2,"Mist / Cloudy",L569=3,"Light Snow / Rain",L569=4,"Heavy Precipitation")</f>
        <v>Mist / Cloudy</v>
      </c>
      <c r="N569" s="28">
        <v>0.26</v>
      </c>
      <c r="O569" s="28" t="str">
        <f t="shared" si="53"/>
        <v>Mild</v>
      </c>
      <c r="P569" s="28">
        <v>0.2576</v>
      </c>
      <c r="Q569" s="38">
        <f t="shared" si="49"/>
        <v>0.2576</v>
      </c>
      <c r="R569" s="28">
        <v>0.65</v>
      </c>
      <c r="S569" s="28">
        <v>0.16420000000000001</v>
      </c>
      <c r="T569" s="40" t="str" cm="1">
        <f t="array" ref="T569">_xlfn.IFS(S569*18.6&lt;2,"Calm",S569*18.6&lt;6,"Light Breeze",S569*18.6&lt;14,"Gale",TRUE,"Extreme Storm")</f>
        <v>Light Breeze</v>
      </c>
      <c r="U569" s="28">
        <v>13</v>
      </c>
      <c r="V569" s="28">
        <v>133</v>
      </c>
      <c r="W569" s="28">
        <v>146</v>
      </c>
      <c r="X569" s="44">
        <f>AVERAGE(INDEX($W:$W,MAX(ROW($W$3),ROW()-23)):INDEX($W:$W,ROW()))</f>
        <v>84.708333333333329</v>
      </c>
      <c r="Y569" s="44">
        <f>_xlfn.STDEV.S(INDEX($W:$W,MAX(ROW($W$3),ROW()-23)):INDEX($W:$W,ROW()))</f>
        <v>70.523187162352727</v>
      </c>
      <c r="Z569" s="44">
        <f t="shared" si="50"/>
        <v>0.86909949951022492</v>
      </c>
      <c r="AA569" s="40" t="b">
        <f t="shared" si="48"/>
        <v>0</v>
      </c>
    </row>
    <row r="570" spans="1:27" x14ac:dyDescent="0.3">
      <c r="A570" s="32">
        <v>568</v>
      </c>
      <c r="B570" s="33">
        <v>40568</v>
      </c>
      <c r="C570" s="40" t="str">
        <f t="shared" si="51"/>
        <v>Tuesday</v>
      </c>
      <c r="D570" s="28">
        <v>20</v>
      </c>
      <c r="E570" s="40" t="str" cm="1">
        <f t="array" ref="E570">_xlfn.IFS(D570&gt;=21,"Night",D570&gt;=17,"Evening",D570&gt;=12,"Midday",D570&gt;=6,"Morning", TRUE, "Night")</f>
        <v>Evening</v>
      </c>
      <c r="F570" s="28">
        <v>1</v>
      </c>
      <c r="G570" s="28">
        <v>0</v>
      </c>
      <c r="H570" s="28">
        <v>1</v>
      </c>
      <c r="I570" s="28">
        <v>2</v>
      </c>
      <c r="J570" s="40" t="str">
        <f t="shared" si="52"/>
        <v>Weekday</v>
      </c>
      <c r="K570" s="28" t="b">
        <v>0</v>
      </c>
      <c r="L570" s="28">
        <v>1</v>
      </c>
      <c r="M570" s="40" t="str" cm="1">
        <f t="array" ref="M570">_xlfn.IFS(L570=1,"Clear / Partly Cloudy",L570=2,"Mist / Cloudy",L570=3,"Light Snow / Rain",L570=4,"Heavy Precipitation")</f>
        <v>Clear / Partly Cloudy</v>
      </c>
      <c r="N570" s="28">
        <v>0.24</v>
      </c>
      <c r="O570" s="28" t="str">
        <f t="shared" si="53"/>
        <v>Mild</v>
      </c>
      <c r="P570" s="28">
        <v>0.2273</v>
      </c>
      <c r="Q570" s="38">
        <f t="shared" si="49"/>
        <v>0.2273</v>
      </c>
      <c r="R570" s="28">
        <v>0.65</v>
      </c>
      <c r="S570" s="28">
        <v>0.19400000000000001</v>
      </c>
      <c r="T570" s="40" t="str" cm="1">
        <f t="array" ref="T570">_xlfn.IFS(S570*18.6&lt;2,"Calm",S570*18.6&lt;6,"Light Breeze",S570*18.6&lt;14,"Gale",TRUE,"Extreme Storm")</f>
        <v>Light Breeze</v>
      </c>
      <c r="U570" s="28">
        <v>16</v>
      </c>
      <c r="V570" s="28">
        <v>103</v>
      </c>
      <c r="W570" s="28">
        <v>119</v>
      </c>
      <c r="X570" s="44">
        <f>AVERAGE(INDEX($W:$W,MAX(ROW($W$3),ROW()-23)):INDEX($W:$W,ROW()))</f>
        <v>85.25</v>
      </c>
      <c r="Y570" s="44">
        <f>_xlfn.STDEV.S(INDEX($W:$W,MAX(ROW($W$3),ROW()-23)):INDEX($W:$W,ROW()))</f>
        <v>70.743412659996892</v>
      </c>
      <c r="Z570" s="44">
        <f t="shared" si="50"/>
        <v>0.47707622138908395</v>
      </c>
      <c r="AA570" s="40" t="b">
        <f t="shared" si="48"/>
        <v>0</v>
      </c>
    </row>
    <row r="571" spans="1:27" x14ac:dyDescent="0.3">
      <c r="A571" s="32">
        <v>569</v>
      </c>
      <c r="B571" s="33">
        <v>40568</v>
      </c>
      <c r="C571" s="40" t="str">
        <f t="shared" si="51"/>
        <v>Tuesday</v>
      </c>
      <c r="D571" s="28">
        <v>21</v>
      </c>
      <c r="E571" s="40" t="str" cm="1">
        <f t="array" ref="E571">_xlfn.IFS(D571&gt;=21,"Night",D571&gt;=17,"Evening",D571&gt;=12,"Midday",D571&gt;=6,"Morning", TRUE, "Night")</f>
        <v>Night</v>
      </c>
      <c r="F571" s="28">
        <v>1</v>
      </c>
      <c r="G571" s="28">
        <v>0</v>
      </c>
      <c r="H571" s="28">
        <v>1</v>
      </c>
      <c r="I571" s="28">
        <v>2</v>
      </c>
      <c r="J571" s="40" t="str">
        <f t="shared" si="52"/>
        <v>Weekday</v>
      </c>
      <c r="K571" s="28" t="b">
        <v>0</v>
      </c>
      <c r="L571" s="28">
        <v>1</v>
      </c>
      <c r="M571" s="40" t="str" cm="1">
        <f t="array" ref="M571">_xlfn.IFS(L571=1,"Clear / Partly Cloudy",L571=2,"Mist / Cloudy",L571=3,"Light Snow / Rain",L571=4,"Heavy Precipitation")</f>
        <v>Clear / Partly Cloudy</v>
      </c>
      <c r="N571" s="28">
        <v>0.24</v>
      </c>
      <c r="O571" s="28" t="str">
        <f t="shared" si="53"/>
        <v>Mild</v>
      </c>
      <c r="P571" s="28">
        <v>0.2273</v>
      </c>
      <c r="Q571" s="38">
        <f t="shared" si="49"/>
        <v>0.2273</v>
      </c>
      <c r="R571" s="28">
        <v>0.65</v>
      </c>
      <c r="S571" s="28">
        <v>0.19400000000000001</v>
      </c>
      <c r="T571" s="40" t="str" cm="1">
        <f t="array" ref="T571">_xlfn.IFS(S571*18.6&lt;2,"Calm",S571*18.6&lt;6,"Light Breeze",S571*18.6&lt;14,"Gale",TRUE,"Extreme Storm")</f>
        <v>Light Breeze</v>
      </c>
      <c r="U571" s="28">
        <v>5</v>
      </c>
      <c r="V571" s="28">
        <v>40</v>
      </c>
      <c r="W571" s="28">
        <v>45</v>
      </c>
      <c r="X571" s="44">
        <f>AVERAGE(INDEX($W:$W,MAX(ROW($W$3),ROW()-23)):INDEX($W:$W,ROW()))</f>
        <v>83.75</v>
      </c>
      <c r="Y571" s="44">
        <f>_xlfn.STDEV.S(INDEX($W:$W,MAX(ROW($W$3),ROW()-23)):INDEX($W:$W,ROW()))</f>
        <v>71.217517385884037</v>
      </c>
      <c r="Z571" s="44">
        <f t="shared" si="50"/>
        <v>-0.54410770583362966</v>
      </c>
      <c r="AA571" s="40" t="b">
        <f t="shared" si="48"/>
        <v>0</v>
      </c>
    </row>
    <row r="572" spans="1:27" x14ac:dyDescent="0.3">
      <c r="A572" s="32">
        <v>570</v>
      </c>
      <c r="B572" s="33">
        <v>40568</v>
      </c>
      <c r="C572" s="40" t="str">
        <f t="shared" si="51"/>
        <v>Tuesday</v>
      </c>
      <c r="D572" s="28">
        <v>22</v>
      </c>
      <c r="E572" s="40" t="str" cm="1">
        <f t="array" ref="E572">_xlfn.IFS(D572&gt;=21,"Night",D572&gt;=17,"Evening",D572&gt;=12,"Midday",D572&gt;=6,"Morning", TRUE, "Night")</f>
        <v>Night</v>
      </c>
      <c r="F572" s="28">
        <v>1</v>
      </c>
      <c r="G572" s="28">
        <v>0</v>
      </c>
      <c r="H572" s="28">
        <v>1</v>
      </c>
      <c r="I572" s="28">
        <v>2</v>
      </c>
      <c r="J572" s="40" t="str">
        <f t="shared" si="52"/>
        <v>Weekday</v>
      </c>
      <c r="K572" s="28" t="b">
        <v>0</v>
      </c>
      <c r="L572" s="28">
        <v>1</v>
      </c>
      <c r="M572" s="40" t="str" cm="1">
        <f t="array" ref="M572">_xlfn.IFS(L572=1,"Clear / Partly Cloudy",L572=2,"Mist / Cloudy",L572=3,"Light Snow / Rain",L572=4,"Heavy Precipitation")</f>
        <v>Clear / Partly Cloudy</v>
      </c>
      <c r="N572" s="28">
        <v>0.22</v>
      </c>
      <c r="O572" s="28" t="str">
        <f t="shared" si="53"/>
        <v>Mild</v>
      </c>
      <c r="P572" s="28">
        <v>0.2273</v>
      </c>
      <c r="Q572" s="38">
        <f t="shared" si="49"/>
        <v>0.2273</v>
      </c>
      <c r="R572" s="28">
        <v>0.64</v>
      </c>
      <c r="S572" s="28">
        <v>0.16420000000000001</v>
      </c>
      <c r="T572" s="40" t="str" cm="1">
        <f t="array" ref="T572">_xlfn.IFS(S572*18.6&lt;2,"Calm",S572*18.6&lt;6,"Light Breeze",S572*18.6&lt;14,"Gale",TRUE,"Extreme Storm")</f>
        <v>Light Breeze</v>
      </c>
      <c r="U572" s="28">
        <v>4</v>
      </c>
      <c r="V572" s="28">
        <v>49</v>
      </c>
      <c r="W572" s="28">
        <v>53</v>
      </c>
      <c r="X572" s="44">
        <f>AVERAGE(INDEX($W:$W,MAX(ROW($W$3),ROW()-23)):INDEX($W:$W,ROW()))</f>
        <v>83.5</v>
      </c>
      <c r="Y572" s="44">
        <f>_xlfn.STDEV.S(INDEX($W:$W,MAX(ROW($W$3),ROW()-23)):INDEX($W:$W,ROW()))</f>
        <v>71.318635896145381</v>
      </c>
      <c r="Z572" s="44">
        <f t="shared" si="50"/>
        <v>-0.42765820765857443</v>
      </c>
      <c r="AA572" s="40" t="b">
        <f t="shared" si="48"/>
        <v>0</v>
      </c>
    </row>
    <row r="573" spans="1:27" x14ac:dyDescent="0.3">
      <c r="A573" s="32">
        <v>571</v>
      </c>
      <c r="B573" s="33">
        <v>40568</v>
      </c>
      <c r="C573" s="40" t="str">
        <f t="shared" si="51"/>
        <v>Tuesday</v>
      </c>
      <c r="D573" s="28">
        <v>23</v>
      </c>
      <c r="E573" s="40" t="str" cm="1">
        <f t="array" ref="E573">_xlfn.IFS(D573&gt;=21,"Night",D573&gt;=17,"Evening",D573&gt;=12,"Midday",D573&gt;=6,"Morning", TRUE, "Night")</f>
        <v>Night</v>
      </c>
      <c r="F573" s="28">
        <v>1</v>
      </c>
      <c r="G573" s="28">
        <v>0</v>
      </c>
      <c r="H573" s="28">
        <v>1</v>
      </c>
      <c r="I573" s="28">
        <v>2</v>
      </c>
      <c r="J573" s="40" t="str">
        <f t="shared" si="52"/>
        <v>Weekday</v>
      </c>
      <c r="K573" s="28" t="b">
        <v>0</v>
      </c>
      <c r="L573" s="28">
        <v>2</v>
      </c>
      <c r="M573" s="40" t="str" cm="1">
        <f t="array" ref="M573">_xlfn.IFS(L573=1,"Clear / Partly Cloudy",L573=2,"Mist / Cloudy",L573=3,"Light Snow / Rain",L573=4,"Heavy Precipitation")</f>
        <v>Mist / Cloudy</v>
      </c>
      <c r="N573" s="28">
        <v>0.22</v>
      </c>
      <c r="O573" s="28" t="str">
        <f t="shared" si="53"/>
        <v>Mild</v>
      </c>
      <c r="P573" s="28">
        <v>0.2273</v>
      </c>
      <c r="Q573" s="38">
        <f t="shared" si="49"/>
        <v>0.2273</v>
      </c>
      <c r="R573" s="28">
        <v>0.64</v>
      </c>
      <c r="S573" s="28">
        <v>0.16420000000000001</v>
      </c>
      <c r="T573" s="40" t="str" cm="1">
        <f t="array" ref="T573">_xlfn.IFS(S573*18.6&lt;2,"Calm",S573*18.6&lt;6,"Light Breeze",S573*18.6&lt;14,"Gale",TRUE,"Extreme Storm")</f>
        <v>Light Breeze</v>
      </c>
      <c r="U573" s="28">
        <v>3</v>
      </c>
      <c r="V573" s="28">
        <v>37</v>
      </c>
      <c r="W573" s="28">
        <v>40</v>
      </c>
      <c r="X573" s="44">
        <f>AVERAGE(INDEX($W:$W,MAX(ROW($W$3),ROW()-23)):INDEX($W:$W,ROW()))</f>
        <v>83.708333333333329</v>
      </c>
      <c r="Y573" s="44">
        <f>_xlfn.STDEV.S(INDEX($W:$W,MAX(ROW($W$3),ROW()-23)):INDEX($W:$W,ROW()))</f>
        <v>71.177963838760419</v>
      </c>
      <c r="Z573" s="44">
        <f t="shared" si="50"/>
        <v>-0.6140711391006618</v>
      </c>
      <c r="AA573" s="40" t="b">
        <f t="shared" si="48"/>
        <v>0</v>
      </c>
    </row>
    <row r="574" spans="1:27" x14ac:dyDescent="0.3">
      <c r="A574" s="32">
        <v>572</v>
      </c>
      <c r="B574" s="33">
        <v>40569</v>
      </c>
      <c r="C574" s="40" t="str">
        <f t="shared" si="51"/>
        <v>Wednesday</v>
      </c>
      <c r="D574" s="28">
        <v>0</v>
      </c>
      <c r="E574" s="40" t="str" cm="1">
        <f t="array" ref="E574">_xlfn.IFS(D574&gt;=21,"Night",D574&gt;=17,"Evening",D574&gt;=12,"Midday",D574&gt;=6,"Morning", TRUE, "Night")</f>
        <v>Night</v>
      </c>
      <c r="F574" s="28">
        <v>1</v>
      </c>
      <c r="G574" s="28">
        <v>0</v>
      </c>
      <c r="H574" s="28">
        <v>1</v>
      </c>
      <c r="I574" s="28">
        <v>3</v>
      </c>
      <c r="J574" s="40" t="str">
        <f t="shared" si="52"/>
        <v>Weekday</v>
      </c>
      <c r="K574" s="28" t="b">
        <v>0</v>
      </c>
      <c r="L574" s="28">
        <v>2</v>
      </c>
      <c r="M574" s="40" t="str" cm="1">
        <f t="array" ref="M574">_xlfn.IFS(L574=1,"Clear / Partly Cloudy",L574=2,"Mist / Cloudy",L574=3,"Light Snow / Rain",L574=4,"Heavy Precipitation")</f>
        <v>Mist / Cloudy</v>
      </c>
      <c r="N574" s="28">
        <v>0.22</v>
      </c>
      <c r="O574" s="28" t="str">
        <f t="shared" si="53"/>
        <v>Mild</v>
      </c>
      <c r="P574" s="28">
        <v>0.2273</v>
      </c>
      <c r="Q574" s="38">
        <f t="shared" si="49"/>
        <v>0.2273</v>
      </c>
      <c r="R574" s="28">
        <v>0.69</v>
      </c>
      <c r="S574" s="28">
        <v>0.1343</v>
      </c>
      <c r="T574" s="40" t="str" cm="1">
        <f t="array" ref="T574">_xlfn.IFS(S574*18.6&lt;2,"Calm",S574*18.6&lt;6,"Light Breeze",S574*18.6&lt;14,"Gale",TRUE,"Extreme Storm")</f>
        <v>Light Breeze</v>
      </c>
      <c r="U574" s="28">
        <v>3</v>
      </c>
      <c r="V574" s="28">
        <v>14</v>
      </c>
      <c r="W574" s="28">
        <v>17</v>
      </c>
      <c r="X574" s="44">
        <f>AVERAGE(INDEX($W:$W,MAX(ROW($W$3),ROW()-23)):INDEX($W:$W,ROW()))</f>
        <v>83.416666666666671</v>
      </c>
      <c r="Y574" s="44">
        <f>_xlfn.STDEV.S(INDEX($W:$W,MAX(ROW($W$3),ROW()-23)):INDEX($W:$W,ROW()))</f>
        <v>71.447102151151668</v>
      </c>
      <c r="Z574" s="44">
        <f t="shared" si="50"/>
        <v>-0.92959216912894893</v>
      </c>
      <c r="AA574" s="40" t="b">
        <f t="shared" si="48"/>
        <v>0</v>
      </c>
    </row>
    <row r="575" spans="1:27" x14ac:dyDescent="0.3">
      <c r="A575" s="32">
        <v>573</v>
      </c>
      <c r="B575" s="33">
        <v>40569</v>
      </c>
      <c r="C575" s="40" t="str">
        <f t="shared" si="51"/>
        <v>Wednesday</v>
      </c>
      <c r="D575" s="28">
        <v>1</v>
      </c>
      <c r="E575" s="40" t="str" cm="1">
        <f t="array" ref="E575">_xlfn.IFS(D575&gt;=21,"Night",D575&gt;=17,"Evening",D575&gt;=12,"Midday",D575&gt;=6,"Morning", TRUE, "Night")</f>
        <v>Night</v>
      </c>
      <c r="F575" s="28">
        <v>1</v>
      </c>
      <c r="G575" s="28">
        <v>0</v>
      </c>
      <c r="H575" s="28">
        <v>1</v>
      </c>
      <c r="I575" s="28">
        <v>3</v>
      </c>
      <c r="J575" s="40" t="str">
        <f t="shared" si="52"/>
        <v>Weekday</v>
      </c>
      <c r="K575" s="28" t="b">
        <v>0</v>
      </c>
      <c r="L575" s="28">
        <v>2</v>
      </c>
      <c r="M575" s="40" t="str" cm="1">
        <f t="array" ref="M575">_xlfn.IFS(L575=1,"Clear / Partly Cloudy",L575=2,"Mist / Cloudy",L575=3,"Light Snow / Rain",L575=4,"Heavy Precipitation")</f>
        <v>Mist / Cloudy</v>
      </c>
      <c r="N575" s="28">
        <v>0.24</v>
      </c>
      <c r="O575" s="28" t="str">
        <f t="shared" si="53"/>
        <v>Mild</v>
      </c>
      <c r="P575" s="28">
        <v>0.2424</v>
      </c>
      <c r="Q575" s="38">
        <f t="shared" si="49"/>
        <v>0.2424</v>
      </c>
      <c r="R575" s="28">
        <v>0.65</v>
      </c>
      <c r="S575" s="28">
        <v>0.1343</v>
      </c>
      <c r="T575" s="40" t="str" cm="1">
        <f t="array" ref="T575">_xlfn.IFS(S575*18.6&lt;2,"Calm",S575*18.6&lt;6,"Light Breeze",S575*18.6&lt;14,"Gale",TRUE,"Extreme Storm")</f>
        <v>Light Breeze</v>
      </c>
      <c r="U575" s="28">
        <v>0</v>
      </c>
      <c r="V575" s="28">
        <v>5</v>
      </c>
      <c r="W575" s="28">
        <v>5</v>
      </c>
      <c r="X575" s="44">
        <f>AVERAGE(INDEX($W:$W,MAX(ROW($W$3),ROW()-23)):INDEX($W:$W,ROW()))</f>
        <v>83.25</v>
      </c>
      <c r="Y575" s="44">
        <f>_xlfn.STDEV.S(INDEX($W:$W,MAX(ROW($W$3),ROW()-23)):INDEX($W:$W,ROW()))</f>
        <v>71.6326680393435</v>
      </c>
      <c r="Z575" s="44">
        <f t="shared" si="50"/>
        <v>-1.0923786889666318</v>
      </c>
      <c r="AA575" s="40" t="b">
        <f t="shared" si="48"/>
        <v>0</v>
      </c>
    </row>
    <row r="576" spans="1:27" x14ac:dyDescent="0.3">
      <c r="A576" s="32">
        <v>574</v>
      </c>
      <c r="B576" s="33">
        <v>40569</v>
      </c>
      <c r="C576" s="40" t="str">
        <f t="shared" si="51"/>
        <v>Wednesday</v>
      </c>
      <c r="D576" s="28">
        <v>2</v>
      </c>
      <c r="E576" s="40" t="str" cm="1">
        <f t="array" ref="E576">_xlfn.IFS(D576&gt;=21,"Night",D576&gt;=17,"Evening",D576&gt;=12,"Midday",D576&gt;=6,"Morning", TRUE, "Night")</f>
        <v>Night</v>
      </c>
      <c r="F576" s="28">
        <v>1</v>
      </c>
      <c r="G576" s="28">
        <v>0</v>
      </c>
      <c r="H576" s="28">
        <v>1</v>
      </c>
      <c r="I576" s="28">
        <v>3</v>
      </c>
      <c r="J576" s="40" t="str">
        <f t="shared" si="52"/>
        <v>Weekday</v>
      </c>
      <c r="K576" s="28" t="b">
        <v>0</v>
      </c>
      <c r="L576" s="28">
        <v>3</v>
      </c>
      <c r="M576" s="40" t="str" cm="1">
        <f t="array" ref="M576">_xlfn.IFS(L576=1,"Clear / Partly Cloudy",L576=2,"Mist / Cloudy",L576=3,"Light Snow / Rain",L576=4,"Heavy Precipitation")</f>
        <v>Light Snow / Rain</v>
      </c>
      <c r="N576" s="28">
        <v>0.22</v>
      </c>
      <c r="O576" s="28" t="str">
        <f t="shared" si="53"/>
        <v>Mild</v>
      </c>
      <c r="P576" s="28">
        <v>0.2273</v>
      </c>
      <c r="Q576" s="38">
        <f t="shared" si="49"/>
        <v>0.2273</v>
      </c>
      <c r="R576" s="28">
        <v>0.69</v>
      </c>
      <c r="S576" s="28">
        <v>0.19400000000000001</v>
      </c>
      <c r="T576" s="40" t="str" cm="1">
        <f t="array" ref="T576">_xlfn.IFS(S576*18.6&lt;2,"Calm",S576*18.6&lt;6,"Light Breeze",S576*18.6&lt;14,"Gale",TRUE,"Extreme Storm")</f>
        <v>Light Breeze</v>
      </c>
      <c r="U576" s="28">
        <v>3</v>
      </c>
      <c r="V576" s="28">
        <v>7</v>
      </c>
      <c r="W576" s="28">
        <v>10</v>
      </c>
      <c r="X576" s="44">
        <f>AVERAGE(INDEX($W:$W,MAX(ROW($W$3),ROW()-23)):INDEX($W:$W,ROW()))</f>
        <v>83.458333333333329</v>
      </c>
      <c r="Y576" s="44">
        <f>_xlfn.STDEV.S(INDEX($W:$W,MAX(ROW($W$3),ROW()-23)):INDEX($W:$W,ROW()))</f>
        <v>71.402094212782131</v>
      </c>
      <c r="Z576" s="44">
        <f t="shared" si="50"/>
        <v>-1.0287980225681266</v>
      </c>
      <c r="AA576" s="40" t="b">
        <f t="shared" si="48"/>
        <v>0</v>
      </c>
    </row>
    <row r="577" spans="1:27" x14ac:dyDescent="0.3">
      <c r="A577" s="32">
        <v>575</v>
      </c>
      <c r="B577" s="33">
        <v>40569</v>
      </c>
      <c r="C577" s="40" t="str">
        <f t="shared" si="51"/>
        <v>Wednesday</v>
      </c>
      <c r="D577" s="28">
        <v>5</v>
      </c>
      <c r="E577" s="40" t="str" cm="1">
        <f t="array" ref="E577">_xlfn.IFS(D577&gt;=21,"Night",D577&gt;=17,"Evening",D577&gt;=12,"Midday",D577&gt;=6,"Morning", TRUE, "Night")</f>
        <v>Night</v>
      </c>
      <c r="F577" s="28">
        <v>1</v>
      </c>
      <c r="G577" s="28">
        <v>0</v>
      </c>
      <c r="H577" s="28">
        <v>1</v>
      </c>
      <c r="I577" s="28">
        <v>3</v>
      </c>
      <c r="J577" s="40" t="str">
        <f t="shared" si="52"/>
        <v>Weekday</v>
      </c>
      <c r="K577" s="28" t="b">
        <v>0</v>
      </c>
      <c r="L577" s="28">
        <v>3</v>
      </c>
      <c r="M577" s="40" t="str" cm="1">
        <f t="array" ref="M577">_xlfn.IFS(L577=1,"Clear / Partly Cloudy",L577=2,"Mist / Cloudy",L577=3,"Light Snow / Rain",L577=4,"Heavy Precipitation")</f>
        <v>Light Snow / Rain</v>
      </c>
      <c r="N577" s="28">
        <v>0.2</v>
      </c>
      <c r="O577" s="28" t="str">
        <f t="shared" si="53"/>
        <v>Mild</v>
      </c>
      <c r="P577" s="28">
        <v>0.18179999999999999</v>
      </c>
      <c r="Q577" s="38">
        <f t="shared" si="49"/>
        <v>0.18179999999999999</v>
      </c>
      <c r="R577" s="28">
        <v>0.86</v>
      </c>
      <c r="S577" s="28">
        <v>0.28360000000000002</v>
      </c>
      <c r="T577" s="40" t="str" cm="1">
        <f t="array" ref="T577">_xlfn.IFS(S577*18.6&lt;2,"Calm",S577*18.6&lt;6,"Light Breeze",S577*18.6&lt;14,"Gale",TRUE,"Extreme Storm")</f>
        <v>Light Breeze</v>
      </c>
      <c r="U577" s="28">
        <v>0</v>
      </c>
      <c r="V577" s="28">
        <v>1</v>
      </c>
      <c r="W577" s="28">
        <v>1</v>
      </c>
      <c r="X577" s="44">
        <f>AVERAGE(INDEX($W:$W,MAX(ROW($W$3),ROW()-23)):INDEX($W:$W,ROW()))</f>
        <v>83.416666666666671</v>
      </c>
      <c r="Y577" s="44">
        <f>_xlfn.STDEV.S(INDEX($W:$W,MAX(ROW($W$3),ROW()-23)):INDEX($W:$W,ROW()))</f>
        <v>71.451970287536611</v>
      </c>
      <c r="Z577" s="44">
        <f t="shared" si="50"/>
        <v>-1.1534554797440293</v>
      </c>
      <c r="AA577" s="40" t="b">
        <f t="shared" si="48"/>
        <v>0</v>
      </c>
    </row>
    <row r="578" spans="1:27" x14ac:dyDescent="0.3">
      <c r="A578" s="32">
        <v>576</v>
      </c>
      <c r="B578" s="33">
        <v>40569</v>
      </c>
      <c r="C578" s="40" t="str">
        <f t="shared" si="51"/>
        <v>Wednesday</v>
      </c>
      <c r="D578" s="28">
        <v>6</v>
      </c>
      <c r="E578" s="40" t="str" cm="1">
        <f t="array" ref="E578">_xlfn.IFS(D578&gt;=21,"Night",D578&gt;=17,"Evening",D578&gt;=12,"Midday",D578&gt;=6,"Morning", TRUE, "Night")</f>
        <v>Morning</v>
      </c>
      <c r="F578" s="28">
        <v>1</v>
      </c>
      <c r="G578" s="28">
        <v>0</v>
      </c>
      <c r="H578" s="28">
        <v>1</v>
      </c>
      <c r="I578" s="28">
        <v>3</v>
      </c>
      <c r="J578" s="40" t="str">
        <f t="shared" si="52"/>
        <v>Weekday</v>
      </c>
      <c r="K578" s="28" t="b">
        <v>0</v>
      </c>
      <c r="L578" s="28">
        <v>3</v>
      </c>
      <c r="M578" s="40" t="str" cm="1">
        <f t="array" ref="M578">_xlfn.IFS(L578=1,"Clear / Partly Cloudy",L578=2,"Mist / Cloudy",L578=3,"Light Snow / Rain",L578=4,"Heavy Precipitation")</f>
        <v>Light Snow / Rain</v>
      </c>
      <c r="N578" s="28">
        <v>0.2</v>
      </c>
      <c r="O578" s="28" t="str">
        <f t="shared" si="53"/>
        <v>Mild</v>
      </c>
      <c r="P578" s="28">
        <v>0.18179999999999999</v>
      </c>
      <c r="Q578" s="38">
        <f t="shared" si="49"/>
        <v>0.18179999999999999</v>
      </c>
      <c r="R578" s="28">
        <v>0.86</v>
      </c>
      <c r="S578" s="28">
        <v>0.28360000000000002</v>
      </c>
      <c r="T578" s="40" t="str" cm="1">
        <f t="array" ref="T578">_xlfn.IFS(S578*18.6&lt;2,"Calm",S578*18.6&lt;6,"Light Breeze",S578*18.6&lt;14,"Gale",TRUE,"Extreme Storm")</f>
        <v>Light Breeze</v>
      </c>
      <c r="U578" s="28">
        <v>0</v>
      </c>
      <c r="V578" s="28">
        <v>8</v>
      </c>
      <c r="W578" s="28">
        <v>8</v>
      </c>
      <c r="X578" s="44">
        <f>AVERAGE(INDEX($W:$W,MAX(ROW($W$3),ROW()-23)):INDEX($W:$W,ROW()))</f>
        <v>83.708333333333329</v>
      </c>
      <c r="Y578" s="44">
        <f>_xlfn.STDEV.S(INDEX($W:$W,MAX(ROW($W$3),ROW()-23)):INDEX($W:$W,ROW()))</f>
        <v>71.114408230477565</v>
      </c>
      <c r="Z578" s="44">
        <f t="shared" si="50"/>
        <v>-1.0645990765748501</v>
      </c>
      <c r="AA578" s="40" t="b">
        <f t="shared" si="48"/>
        <v>0</v>
      </c>
    </row>
    <row r="579" spans="1:27" x14ac:dyDescent="0.3">
      <c r="A579" s="32">
        <v>577</v>
      </c>
      <c r="B579" s="33">
        <v>40569</v>
      </c>
      <c r="C579" s="40" t="str">
        <f t="shared" si="51"/>
        <v>Wednesday</v>
      </c>
      <c r="D579" s="28">
        <v>7</v>
      </c>
      <c r="E579" s="40" t="str" cm="1">
        <f t="array" ref="E579">_xlfn.IFS(D579&gt;=21,"Night",D579&gt;=17,"Evening",D579&gt;=12,"Midday",D579&gt;=6,"Morning", TRUE, "Night")</f>
        <v>Morning</v>
      </c>
      <c r="F579" s="28">
        <v>1</v>
      </c>
      <c r="G579" s="28">
        <v>0</v>
      </c>
      <c r="H579" s="28">
        <v>1</v>
      </c>
      <c r="I579" s="28">
        <v>3</v>
      </c>
      <c r="J579" s="40" t="str">
        <f t="shared" si="52"/>
        <v>Weekday</v>
      </c>
      <c r="K579" s="28" t="b">
        <v>0</v>
      </c>
      <c r="L579" s="28">
        <v>3</v>
      </c>
      <c r="M579" s="40" t="str" cm="1">
        <f t="array" ref="M579">_xlfn.IFS(L579=1,"Clear / Partly Cloudy",L579=2,"Mist / Cloudy",L579=3,"Light Snow / Rain",L579=4,"Heavy Precipitation")</f>
        <v>Light Snow / Rain</v>
      </c>
      <c r="N579" s="28">
        <v>0.22</v>
      </c>
      <c r="O579" s="28" t="str">
        <f t="shared" si="53"/>
        <v>Mild</v>
      </c>
      <c r="P579" s="28">
        <v>0.21210000000000001</v>
      </c>
      <c r="Q579" s="38">
        <f t="shared" si="49"/>
        <v>0.21210000000000001</v>
      </c>
      <c r="R579" s="28">
        <v>0.87</v>
      </c>
      <c r="S579" s="28">
        <v>0.29849999999999999</v>
      </c>
      <c r="T579" s="40" t="str" cm="1">
        <f t="array" ref="T579">_xlfn.IFS(S579*18.6&lt;2,"Calm",S579*18.6&lt;6,"Light Breeze",S579*18.6&lt;14,"Gale",TRUE,"Extreme Storm")</f>
        <v>Light Breeze</v>
      </c>
      <c r="U579" s="28">
        <v>1</v>
      </c>
      <c r="V579" s="28">
        <v>29</v>
      </c>
      <c r="W579" s="28">
        <v>30</v>
      </c>
      <c r="X579" s="44">
        <f>AVERAGE(INDEX($W:$W,MAX(ROW($W$3),ROW()-23)):INDEX($W:$W,ROW()))</f>
        <v>84.583333333333329</v>
      </c>
      <c r="Y579" s="44">
        <f>_xlfn.STDEV.S(INDEX($W:$W,MAX(ROW($W$3),ROW()-23)):INDEX($W:$W,ROW()))</f>
        <v>70.279514404465957</v>
      </c>
      <c r="Z579" s="44">
        <f t="shared" si="50"/>
        <v>-0.77666064991855999</v>
      </c>
      <c r="AA579" s="40" t="b">
        <f t="shared" ref="AA579:AA642" si="54">IF(ABS(Z579)&gt;=3,TRUE,FALSE)</f>
        <v>0</v>
      </c>
    </row>
    <row r="580" spans="1:27" x14ac:dyDescent="0.3">
      <c r="A580" s="32">
        <v>578</v>
      </c>
      <c r="B580" s="33">
        <v>40569</v>
      </c>
      <c r="C580" s="40" t="str">
        <f t="shared" si="51"/>
        <v>Wednesday</v>
      </c>
      <c r="D580" s="28">
        <v>8</v>
      </c>
      <c r="E580" s="40" t="str" cm="1">
        <f t="array" ref="E580">_xlfn.IFS(D580&gt;=21,"Night",D580&gt;=17,"Evening",D580&gt;=12,"Midday",D580&gt;=6,"Morning", TRUE, "Night")</f>
        <v>Morning</v>
      </c>
      <c r="F580" s="28">
        <v>1</v>
      </c>
      <c r="G580" s="28">
        <v>0</v>
      </c>
      <c r="H580" s="28">
        <v>1</v>
      </c>
      <c r="I580" s="28">
        <v>3</v>
      </c>
      <c r="J580" s="40" t="str">
        <f t="shared" si="52"/>
        <v>Weekday</v>
      </c>
      <c r="K580" s="28" t="b">
        <v>0</v>
      </c>
      <c r="L580" s="28">
        <v>3</v>
      </c>
      <c r="M580" s="40" t="str" cm="1">
        <f t="array" ref="M580">_xlfn.IFS(L580=1,"Clear / Partly Cloudy",L580=2,"Mist / Cloudy",L580=3,"Light Snow / Rain",L580=4,"Heavy Precipitation")</f>
        <v>Light Snow / Rain</v>
      </c>
      <c r="N580" s="28">
        <v>0.22</v>
      </c>
      <c r="O580" s="28" t="str">
        <f t="shared" si="53"/>
        <v>Mild</v>
      </c>
      <c r="P580" s="28">
        <v>0.21210000000000001</v>
      </c>
      <c r="Q580" s="38">
        <f t="shared" ref="Q580:Q643" si="55">IF(P580="", AVERAGE($P$3:$P$1002), P580)</f>
        <v>0.21210000000000001</v>
      </c>
      <c r="R580" s="28">
        <v>0.87</v>
      </c>
      <c r="S580" s="28">
        <v>0.29849999999999999</v>
      </c>
      <c r="T580" s="40" t="str" cm="1">
        <f t="array" ref="T580">_xlfn.IFS(S580*18.6&lt;2,"Calm",S580*18.6&lt;6,"Light Breeze",S580*18.6&lt;14,"Gale",TRUE,"Extreme Storm")</f>
        <v>Light Breeze</v>
      </c>
      <c r="U580" s="28">
        <v>3</v>
      </c>
      <c r="V580" s="28">
        <v>69</v>
      </c>
      <c r="W580" s="28">
        <v>72</v>
      </c>
      <c r="X580" s="44">
        <f>AVERAGE(INDEX($W:$W,MAX(ROW($W$3),ROW()-23)):INDEX($W:$W,ROW()))</f>
        <v>86.083333333333329</v>
      </c>
      <c r="Y580" s="44">
        <f>_xlfn.STDEV.S(INDEX($W:$W,MAX(ROW($W$3),ROW()-23)):INDEX($W:$W,ROW()))</f>
        <v>69.578180404533413</v>
      </c>
      <c r="Z580" s="44">
        <f t="shared" ref="Z580:Z643" si="56">IFERROR((W580-X580)/Y580,0)</f>
        <v>-0.20241019887918368</v>
      </c>
      <c r="AA580" s="40" t="b">
        <f t="shared" si="54"/>
        <v>0</v>
      </c>
    </row>
    <row r="581" spans="1:27" x14ac:dyDescent="0.3">
      <c r="A581" s="32">
        <v>579</v>
      </c>
      <c r="B581" s="33">
        <v>40569</v>
      </c>
      <c r="C581" s="40" t="str">
        <f t="shared" ref="C581:C644" si="57">TEXT(B581,"dddd")</f>
        <v>Wednesday</v>
      </c>
      <c r="D581" s="28">
        <v>9</v>
      </c>
      <c r="E581" s="40" t="str" cm="1">
        <f t="array" ref="E581">_xlfn.IFS(D581&gt;=21,"Night",D581&gt;=17,"Evening",D581&gt;=12,"Midday",D581&gt;=6,"Morning", TRUE, "Night")</f>
        <v>Morning</v>
      </c>
      <c r="F581" s="28">
        <v>1</v>
      </c>
      <c r="G581" s="28">
        <v>0</v>
      </c>
      <c r="H581" s="28">
        <v>1</v>
      </c>
      <c r="I581" s="28">
        <v>3</v>
      </c>
      <c r="J581" s="40" t="str">
        <f t="shared" ref="J581:J644" si="58">IF(OR(I581="Saturday", I581="Sunday"), "Weekend", "Weekday")</f>
        <v>Weekday</v>
      </c>
      <c r="K581" s="28" t="b">
        <v>0</v>
      </c>
      <c r="L581" s="28">
        <v>3</v>
      </c>
      <c r="M581" s="40" t="str" cm="1">
        <f t="array" ref="M581">_xlfn.IFS(L581=1,"Clear / Partly Cloudy",L581=2,"Mist / Cloudy",L581=3,"Light Snow / Rain",L581=4,"Heavy Precipitation")</f>
        <v>Light Snow / Rain</v>
      </c>
      <c r="N581" s="28">
        <v>0.22</v>
      </c>
      <c r="O581" s="28" t="str">
        <f t="shared" ref="O581:O644" si="59">IF(N581&lt;0.2,"Cold",IF(N581&lt;0.6,"Mild","Hot"))</f>
        <v>Mild</v>
      </c>
      <c r="P581" s="28">
        <v>0.21210000000000001</v>
      </c>
      <c r="Q581" s="38">
        <f t="shared" si="55"/>
        <v>0.21210000000000001</v>
      </c>
      <c r="R581" s="28">
        <v>0.87</v>
      </c>
      <c r="S581" s="28">
        <v>0.29849999999999999</v>
      </c>
      <c r="T581" s="40" t="str" cm="1">
        <f t="array" ref="T581">_xlfn.IFS(S581*18.6&lt;2,"Calm",S581*18.6&lt;6,"Light Breeze",S581*18.6&lt;14,"Gale",TRUE,"Extreme Storm")</f>
        <v>Light Breeze</v>
      </c>
      <c r="U581" s="28">
        <v>3</v>
      </c>
      <c r="V581" s="28">
        <v>55</v>
      </c>
      <c r="W581" s="28">
        <v>58</v>
      </c>
      <c r="X581" s="44">
        <f>AVERAGE(INDEX($W:$W,MAX(ROW($W$3),ROW()-23)):INDEX($W:$W,ROW()))</f>
        <v>84</v>
      </c>
      <c r="Y581" s="44">
        <f>_xlfn.STDEV.S(INDEX($W:$W,MAX(ROW($W$3),ROW()-23)):INDEX($W:$W,ROW()))</f>
        <v>69.641941385920603</v>
      </c>
      <c r="Z581" s="44">
        <f t="shared" si="56"/>
        <v>-0.37333824248122377</v>
      </c>
      <c r="AA581" s="40" t="b">
        <f t="shared" si="54"/>
        <v>0</v>
      </c>
    </row>
    <row r="582" spans="1:27" x14ac:dyDescent="0.3">
      <c r="A582" s="32">
        <v>580</v>
      </c>
      <c r="B582" s="33">
        <v>40569</v>
      </c>
      <c r="C582" s="40" t="str">
        <f t="shared" si="57"/>
        <v>Wednesday</v>
      </c>
      <c r="D582" s="28">
        <v>10</v>
      </c>
      <c r="E582" s="40" t="str" cm="1">
        <f t="array" ref="E582">_xlfn.IFS(D582&gt;=21,"Night",D582&gt;=17,"Evening",D582&gt;=12,"Midday",D582&gt;=6,"Morning", TRUE, "Night")</f>
        <v>Morning</v>
      </c>
      <c r="F582" s="28">
        <v>1</v>
      </c>
      <c r="G582" s="28">
        <v>0</v>
      </c>
      <c r="H582" s="28">
        <v>1</v>
      </c>
      <c r="I582" s="28">
        <v>3</v>
      </c>
      <c r="J582" s="40" t="str">
        <f t="shared" si="58"/>
        <v>Weekday</v>
      </c>
      <c r="K582" s="28" t="b">
        <v>0</v>
      </c>
      <c r="L582" s="28">
        <v>3</v>
      </c>
      <c r="M582" s="40" t="str" cm="1">
        <f t="array" ref="M582">_xlfn.IFS(L582=1,"Clear / Partly Cloudy",L582=2,"Mist / Cloudy",L582=3,"Light Snow / Rain",L582=4,"Heavy Precipitation")</f>
        <v>Light Snow / Rain</v>
      </c>
      <c r="N582" s="28">
        <v>0.22</v>
      </c>
      <c r="O582" s="28" t="str">
        <f t="shared" si="59"/>
        <v>Mild</v>
      </c>
      <c r="P582" s="28">
        <v>0.21210000000000001</v>
      </c>
      <c r="Q582" s="38">
        <f t="shared" si="55"/>
        <v>0.21210000000000001</v>
      </c>
      <c r="R582" s="28">
        <v>0.93</v>
      </c>
      <c r="S582" s="28">
        <v>0.28360000000000002</v>
      </c>
      <c r="T582" s="40" t="str" cm="1">
        <f t="array" ref="T582">_xlfn.IFS(S582*18.6&lt;2,"Calm",S582*18.6&lt;6,"Light Breeze",S582*18.6&lt;14,"Gale",TRUE,"Extreme Storm")</f>
        <v>Light Breeze</v>
      </c>
      <c r="U582" s="28">
        <v>2</v>
      </c>
      <c r="V582" s="28">
        <v>26</v>
      </c>
      <c r="W582" s="28">
        <v>28</v>
      </c>
      <c r="X582" s="44">
        <f>AVERAGE(INDEX($W:$W,MAX(ROW($W$3),ROW()-23)):INDEX($W:$W,ROW()))</f>
        <v>75.25</v>
      </c>
      <c r="Y582" s="44">
        <f>_xlfn.STDEV.S(INDEX($W:$W,MAX(ROW($W$3),ROW()-23)):INDEX($W:$W,ROW()))</f>
        <v>62.252117128307546</v>
      </c>
      <c r="Z582" s="44">
        <f t="shared" si="56"/>
        <v>-0.75901033056615963</v>
      </c>
      <c r="AA582" s="40" t="b">
        <f t="shared" si="54"/>
        <v>0</v>
      </c>
    </row>
    <row r="583" spans="1:27" x14ac:dyDescent="0.3">
      <c r="A583" s="32">
        <v>581</v>
      </c>
      <c r="B583" s="33">
        <v>40569</v>
      </c>
      <c r="C583" s="40" t="str">
        <f t="shared" si="57"/>
        <v>Wednesday</v>
      </c>
      <c r="D583" s="28">
        <v>11</v>
      </c>
      <c r="E583" s="40" t="str" cm="1">
        <f t="array" ref="E583">_xlfn.IFS(D583&gt;=21,"Night",D583&gt;=17,"Evening",D583&gt;=12,"Midday",D583&gt;=6,"Morning", TRUE, "Night")</f>
        <v>Morning</v>
      </c>
      <c r="F583" s="28">
        <v>1</v>
      </c>
      <c r="G583" s="28">
        <v>0</v>
      </c>
      <c r="H583" s="28">
        <v>1</v>
      </c>
      <c r="I583" s="28">
        <v>3</v>
      </c>
      <c r="J583" s="40" t="str">
        <f t="shared" si="58"/>
        <v>Weekday</v>
      </c>
      <c r="K583" s="28" t="b">
        <v>0</v>
      </c>
      <c r="L583" s="28">
        <v>3</v>
      </c>
      <c r="M583" s="40" t="str" cm="1">
        <f t="array" ref="M583">_xlfn.IFS(L583=1,"Clear / Partly Cloudy",L583=2,"Mist / Cloudy",L583=3,"Light Snow / Rain",L583=4,"Heavy Precipitation")</f>
        <v>Light Snow / Rain</v>
      </c>
      <c r="N583" s="28">
        <v>0.22</v>
      </c>
      <c r="O583" s="28" t="str">
        <f t="shared" si="59"/>
        <v>Mild</v>
      </c>
      <c r="P583" s="28">
        <v>0.19700000000000001</v>
      </c>
      <c r="Q583" s="38">
        <f t="shared" si="55"/>
        <v>0.19700000000000001</v>
      </c>
      <c r="R583" s="28">
        <v>0.93</v>
      </c>
      <c r="S583" s="28">
        <v>0.32840000000000003</v>
      </c>
      <c r="T583" s="40" t="str" cm="1">
        <f t="array" ref="T583">_xlfn.IFS(S583*18.6&lt;2,"Calm",S583*18.6&lt;6,"Light Breeze",S583*18.6&lt;14,"Gale",TRUE,"Extreme Storm")</f>
        <v>Gale</v>
      </c>
      <c r="U583" s="28">
        <v>6</v>
      </c>
      <c r="V583" s="28">
        <v>35</v>
      </c>
      <c r="W583" s="28">
        <v>41</v>
      </c>
      <c r="X583" s="44">
        <f>AVERAGE(INDEX($W:$W,MAX(ROW($W$3),ROW()-23)):INDEX($W:$W,ROW()))</f>
        <v>70.958333333333329</v>
      </c>
      <c r="Y583" s="44">
        <f>_xlfn.STDEV.S(INDEX($W:$W,MAX(ROW($W$3),ROW()-23)):INDEX($W:$W,ROW()))</f>
        <v>60.840832374795554</v>
      </c>
      <c r="Z583" s="44">
        <f t="shared" si="56"/>
        <v>-0.4924050537110029</v>
      </c>
      <c r="AA583" s="40" t="b">
        <f t="shared" si="54"/>
        <v>0</v>
      </c>
    </row>
    <row r="584" spans="1:27" x14ac:dyDescent="0.3">
      <c r="A584" s="32">
        <v>582</v>
      </c>
      <c r="B584" s="33">
        <v>40569</v>
      </c>
      <c r="C584" s="40" t="str">
        <f t="shared" si="57"/>
        <v>Wednesday</v>
      </c>
      <c r="D584" s="28">
        <v>12</v>
      </c>
      <c r="E584" s="40" t="str" cm="1">
        <f t="array" ref="E584">_xlfn.IFS(D584&gt;=21,"Night",D584&gt;=17,"Evening",D584&gt;=12,"Midday",D584&gt;=6,"Morning", TRUE, "Night")</f>
        <v>Midday</v>
      </c>
      <c r="F584" s="28">
        <v>1</v>
      </c>
      <c r="G584" s="28">
        <v>0</v>
      </c>
      <c r="H584" s="28">
        <v>1</v>
      </c>
      <c r="I584" s="28">
        <v>3</v>
      </c>
      <c r="J584" s="40" t="str">
        <f t="shared" si="58"/>
        <v>Weekday</v>
      </c>
      <c r="K584" s="28" t="b">
        <v>0</v>
      </c>
      <c r="L584" s="28">
        <v>3</v>
      </c>
      <c r="M584" s="40" t="str" cm="1">
        <f t="array" ref="M584">_xlfn.IFS(L584=1,"Clear / Partly Cloudy",L584=2,"Mist / Cloudy",L584=3,"Light Snow / Rain",L584=4,"Heavy Precipitation")</f>
        <v>Light Snow / Rain</v>
      </c>
      <c r="N584" s="28">
        <v>0.22</v>
      </c>
      <c r="O584" s="28" t="str">
        <f t="shared" si="59"/>
        <v>Mild</v>
      </c>
      <c r="P584" s="28">
        <v>0.19700000000000001</v>
      </c>
      <c r="Q584" s="38">
        <f t="shared" si="55"/>
        <v>0.19700000000000001</v>
      </c>
      <c r="R584" s="28">
        <v>0.93</v>
      </c>
      <c r="S584" s="28">
        <v>0.32840000000000003</v>
      </c>
      <c r="T584" s="40" t="str" cm="1">
        <f t="array" ref="T584">_xlfn.IFS(S584*18.6&lt;2,"Calm",S584*18.6&lt;6,"Light Breeze",S584*18.6&lt;14,"Gale",TRUE,"Extreme Storm")</f>
        <v>Gale</v>
      </c>
      <c r="U584" s="28">
        <v>7</v>
      </c>
      <c r="V584" s="28">
        <v>41</v>
      </c>
      <c r="W584" s="28">
        <v>48</v>
      </c>
      <c r="X584" s="44">
        <f>AVERAGE(INDEX($W:$W,MAX(ROW($W$3),ROW()-23)):INDEX($W:$W,ROW()))</f>
        <v>70.666666666666671</v>
      </c>
      <c r="Y584" s="44">
        <f>_xlfn.STDEV.S(INDEX($W:$W,MAX(ROW($W$3),ROW()-23)):INDEX($W:$W,ROW()))</f>
        <v>60.937363898027122</v>
      </c>
      <c r="Z584" s="44">
        <f t="shared" si="56"/>
        <v>-0.37196664274150715</v>
      </c>
      <c r="AA584" s="40" t="b">
        <f t="shared" si="54"/>
        <v>0</v>
      </c>
    </row>
    <row r="585" spans="1:27" x14ac:dyDescent="0.3">
      <c r="A585" s="32">
        <v>583</v>
      </c>
      <c r="B585" s="33">
        <v>40569</v>
      </c>
      <c r="C585" s="40" t="str">
        <f t="shared" si="57"/>
        <v>Wednesday</v>
      </c>
      <c r="D585" s="28">
        <v>13</v>
      </c>
      <c r="E585" s="40" t="str" cm="1">
        <f t="array" ref="E585">_xlfn.IFS(D585&gt;=21,"Night",D585&gt;=17,"Evening",D585&gt;=12,"Midday",D585&gt;=6,"Morning", TRUE, "Night")</f>
        <v>Midday</v>
      </c>
      <c r="F585" s="28">
        <v>1</v>
      </c>
      <c r="G585" s="28">
        <v>0</v>
      </c>
      <c r="H585" s="28">
        <v>1</v>
      </c>
      <c r="I585" s="28">
        <v>3</v>
      </c>
      <c r="J585" s="40" t="str">
        <f t="shared" si="58"/>
        <v>Weekday</v>
      </c>
      <c r="K585" s="28" t="b">
        <v>0</v>
      </c>
      <c r="L585" s="28">
        <v>3</v>
      </c>
      <c r="M585" s="40" t="str" cm="1">
        <f t="array" ref="M585">_xlfn.IFS(L585=1,"Clear / Partly Cloudy",L585=2,"Mist / Cloudy",L585=3,"Light Snow / Rain",L585=4,"Heavy Precipitation")</f>
        <v>Light Snow / Rain</v>
      </c>
      <c r="N585" s="28">
        <v>0.22</v>
      </c>
      <c r="O585" s="28" t="str">
        <f t="shared" si="59"/>
        <v>Mild</v>
      </c>
      <c r="P585" s="28">
        <v>0.19700000000000001</v>
      </c>
      <c r="Q585" s="38">
        <f t="shared" si="55"/>
        <v>0.19700000000000001</v>
      </c>
      <c r="R585" s="28">
        <v>0.93</v>
      </c>
      <c r="S585" s="28">
        <v>0.32840000000000003</v>
      </c>
      <c r="T585" s="40" t="str" cm="1">
        <f t="array" ref="T585">_xlfn.IFS(S585*18.6&lt;2,"Calm",S585*18.6&lt;6,"Light Breeze",S585*18.6&lt;14,"Gale",TRUE,"Extreme Storm")</f>
        <v>Gale</v>
      </c>
      <c r="U585" s="28">
        <v>4</v>
      </c>
      <c r="V585" s="28">
        <v>43</v>
      </c>
      <c r="W585" s="28">
        <v>47</v>
      </c>
      <c r="X585" s="44">
        <f>AVERAGE(INDEX($W:$W,MAX(ROW($W$3),ROW()-23)):INDEX($W:$W,ROW()))</f>
        <v>70.083333333333329</v>
      </c>
      <c r="Y585" s="44">
        <f>_xlfn.STDEV.S(INDEX($W:$W,MAX(ROW($W$3),ROW()-23)):INDEX($W:$W,ROW()))</f>
        <v>61.100712773659808</v>
      </c>
      <c r="Z585" s="44">
        <f t="shared" si="56"/>
        <v>-0.37779155570316736</v>
      </c>
      <c r="AA585" s="40" t="b">
        <f t="shared" si="54"/>
        <v>0</v>
      </c>
    </row>
    <row r="586" spans="1:27" x14ac:dyDescent="0.3">
      <c r="A586" s="32">
        <v>584</v>
      </c>
      <c r="B586" s="33">
        <v>40569</v>
      </c>
      <c r="C586" s="40" t="str">
        <f t="shared" si="57"/>
        <v>Wednesday</v>
      </c>
      <c r="D586" s="28">
        <v>14</v>
      </c>
      <c r="E586" s="40" t="str" cm="1">
        <f t="array" ref="E586">_xlfn.IFS(D586&gt;=21,"Night",D586&gt;=17,"Evening",D586&gt;=12,"Midday",D586&gt;=6,"Morning", TRUE, "Night")</f>
        <v>Midday</v>
      </c>
      <c r="F586" s="28">
        <v>1</v>
      </c>
      <c r="G586" s="28">
        <v>0</v>
      </c>
      <c r="H586" s="28">
        <v>1</v>
      </c>
      <c r="I586" s="28">
        <v>3</v>
      </c>
      <c r="J586" s="40" t="str">
        <f t="shared" si="58"/>
        <v>Weekday</v>
      </c>
      <c r="K586" s="28" t="b">
        <v>0</v>
      </c>
      <c r="L586" s="28">
        <v>3</v>
      </c>
      <c r="M586" s="40" t="str" cm="1">
        <f t="array" ref="M586">_xlfn.IFS(L586=1,"Clear / Partly Cloudy",L586=2,"Mist / Cloudy",L586=3,"Light Snow / Rain",L586=4,"Heavy Precipitation")</f>
        <v>Light Snow / Rain</v>
      </c>
      <c r="N586" s="28">
        <v>0.22</v>
      </c>
      <c r="O586" s="28" t="str">
        <f t="shared" si="59"/>
        <v>Mild</v>
      </c>
      <c r="P586" s="28">
        <v>0.19700000000000001</v>
      </c>
      <c r="Q586" s="38">
        <f t="shared" si="55"/>
        <v>0.19700000000000001</v>
      </c>
      <c r="R586" s="28">
        <v>0.93</v>
      </c>
      <c r="S586" s="28">
        <v>0.35820000000000002</v>
      </c>
      <c r="T586" s="40" t="str" cm="1">
        <f t="array" ref="T586">_xlfn.IFS(S586*18.6&lt;2,"Calm",S586*18.6&lt;6,"Light Breeze",S586*18.6&lt;14,"Gale",TRUE,"Extreme Storm")</f>
        <v>Gale</v>
      </c>
      <c r="U586" s="28">
        <v>0</v>
      </c>
      <c r="V586" s="28">
        <v>36</v>
      </c>
      <c r="W586" s="28">
        <v>36</v>
      </c>
      <c r="X586" s="44">
        <f>AVERAGE(INDEX($W:$W,MAX(ROW($W$3),ROW()-23)):INDEX($W:$W,ROW()))</f>
        <v>67.166666666666671</v>
      </c>
      <c r="Y586" s="44">
        <f>_xlfn.STDEV.S(INDEX($W:$W,MAX(ROW($W$3),ROW()-23)):INDEX($W:$W,ROW()))</f>
        <v>60.982297264945217</v>
      </c>
      <c r="Z586" s="44">
        <f t="shared" si="56"/>
        <v>-0.51107728085839721</v>
      </c>
      <c r="AA586" s="40" t="b">
        <f t="shared" si="54"/>
        <v>0</v>
      </c>
    </row>
    <row r="587" spans="1:27" x14ac:dyDescent="0.3">
      <c r="A587" s="32">
        <v>585</v>
      </c>
      <c r="B587" s="33">
        <v>40569</v>
      </c>
      <c r="C587" s="40" t="str">
        <f t="shared" si="57"/>
        <v>Wednesday</v>
      </c>
      <c r="D587" s="28">
        <v>15</v>
      </c>
      <c r="E587" s="40" t="str" cm="1">
        <f t="array" ref="E587">_xlfn.IFS(D587&gt;=21,"Night",D587&gt;=17,"Evening",D587&gt;=12,"Midday",D587&gt;=6,"Morning", TRUE, "Night")</f>
        <v>Midday</v>
      </c>
      <c r="F587" s="28">
        <v>1</v>
      </c>
      <c r="G587" s="28">
        <v>0</v>
      </c>
      <c r="H587" s="28">
        <v>1</v>
      </c>
      <c r="I587" s="28">
        <v>3</v>
      </c>
      <c r="J587" s="40" t="str">
        <f t="shared" si="58"/>
        <v>Weekday</v>
      </c>
      <c r="K587" s="28" t="b">
        <v>0</v>
      </c>
      <c r="L587" s="28">
        <v>3</v>
      </c>
      <c r="M587" s="40" t="str" cm="1">
        <f t="array" ref="M587">_xlfn.IFS(L587=1,"Clear / Partly Cloudy",L587=2,"Mist / Cloudy",L587=3,"Light Snow / Rain",L587=4,"Heavy Precipitation")</f>
        <v>Light Snow / Rain</v>
      </c>
      <c r="N587" s="28">
        <v>0.22</v>
      </c>
      <c r="O587" s="28" t="str">
        <f t="shared" si="59"/>
        <v>Mild</v>
      </c>
      <c r="P587" s="28">
        <v>0.18179999999999999</v>
      </c>
      <c r="Q587" s="38">
        <f t="shared" si="55"/>
        <v>0.18179999999999999</v>
      </c>
      <c r="R587" s="28">
        <v>0.93</v>
      </c>
      <c r="S587" s="28">
        <v>0.4627</v>
      </c>
      <c r="T587" s="40" t="str" cm="1">
        <f t="array" ref="T587">_xlfn.IFS(S587*18.6&lt;2,"Calm",S587*18.6&lt;6,"Light Breeze",S587*18.6&lt;14,"Gale",TRUE,"Extreme Storm")</f>
        <v>Gale</v>
      </c>
      <c r="U587" s="28">
        <v>1</v>
      </c>
      <c r="V587" s="28">
        <v>42</v>
      </c>
      <c r="W587" s="28">
        <v>43</v>
      </c>
      <c r="X587" s="44">
        <f>AVERAGE(INDEX($W:$W,MAX(ROW($W$3),ROW()-23)):INDEX($W:$W,ROW()))</f>
        <v>65.083333333333329</v>
      </c>
      <c r="Y587" s="44">
        <f>_xlfn.STDEV.S(INDEX($W:$W,MAX(ROW($W$3),ROW()-23)):INDEX($W:$W,ROW()))</f>
        <v>60.915420098667141</v>
      </c>
      <c r="Z587" s="44">
        <f t="shared" si="56"/>
        <v>-0.36252451838244026</v>
      </c>
      <c r="AA587" s="40" t="b">
        <f t="shared" si="54"/>
        <v>0</v>
      </c>
    </row>
    <row r="588" spans="1:27" x14ac:dyDescent="0.3">
      <c r="A588" s="32">
        <v>586</v>
      </c>
      <c r="B588" s="33">
        <v>40569</v>
      </c>
      <c r="C588" s="40" t="str">
        <f t="shared" si="57"/>
        <v>Wednesday</v>
      </c>
      <c r="D588" s="28">
        <v>16</v>
      </c>
      <c r="E588" s="40" t="str" cm="1">
        <f t="array" ref="E588">_xlfn.IFS(D588&gt;=21,"Night",D588&gt;=17,"Evening",D588&gt;=12,"Midday",D588&gt;=6,"Morning", TRUE, "Night")</f>
        <v>Midday</v>
      </c>
      <c r="F588" s="28">
        <v>1</v>
      </c>
      <c r="G588" s="28">
        <v>0</v>
      </c>
      <c r="H588" s="28">
        <v>1</v>
      </c>
      <c r="I588" s="28">
        <v>3</v>
      </c>
      <c r="J588" s="40" t="str">
        <f t="shared" si="58"/>
        <v>Weekday</v>
      </c>
      <c r="K588" s="28" t="b">
        <v>0</v>
      </c>
      <c r="L588" s="28">
        <v>4</v>
      </c>
      <c r="M588" s="40" t="str" cm="1">
        <f t="array" ref="M588">_xlfn.IFS(L588=1,"Clear / Partly Cloudy",L588=2,"Mist / Cloudy",L588=3,"Light Snow / Rain",L588=4,"Heavy Precipitation")</f>
        <v>Heavy Precipitation</v>
      </c>
      <c r="N588" s="28">
        <v>0.22</v>
      </c>
      <c r="O588" s="28" t="str">
        <f t="shared" si="59"/>
        <v>Mild</v>
      </c>
      <c r="P588" s="28">
        <v>0.19700000000000001</v>
      </c>
      <c r="Q588" s="38">
        <f t="shared" si="55"/>
        <v>0.19700000000000001</v>
      </c>
      <c r="R588" s="28">
        <v>0.93</v>
      </c>
      <c r="S588" s="28">
        <v>0.32840000000000003</v>
      </c>
      <c r="T588" s="40" t="str" cm="1">
        <f t="array" ref="T588">_xlfn.IFS(S588*18.6&lt;2,"Calm",S588*18.6&lt;6,"Light Breeze",S588*18.6&lt;14,"Gale",TRUE,"Extreme Storm")</f>
        <v>Gale</v>
      </c>
      <c r="U588" s="28">
        <v>1</v>
      </c>
      <c r="V588" s="28">
        <v>35</v>
      </c>
      <c r="W588" s="28">
        <v>36</v>
      </c>
      <c r="X588" s="44">
        <f>AVERAGE(INDEX($W:$W,MAX(ROW($W$3),ROW()-23)):INDEX($W:$W,ROW()))</f>
        <v>63.75</v>
      </c>
      <c r="Y588" s="44">
        <f>_xlfn.STDEV.S(INDEX($W:$W,MAX(ROW($W$3),ROW()-23)):INDEX($W:$W,ROW()))</f>
        <v>61.198358886777207</v>
      </c>
      <c r="Z588" s="44">
        <f t="shared" si="56"/>
        <v>-0.45344353189830044</v>
      </c>
      <c r="AA588" s="40" t="b">
        <f t="shared" si="54"/>
        <v>0</v>
      </c>
    </row>
    <row r="589" spans="1:27" x14ac:dyDescent="0.3">
      <c r="A589" s="32">
        <v>587</v>
      </c>
      <c r="B589" s="33">
        <v>40569</v>
      </c>
      <c r="C589" s="40" t="str">
        <f t="shared" si="57"/>
        <v>Wednesday</v>
      </c>
      <c r="D589" s="28">
        <v>17</v>
      </c>
      <c r="E589" s="40" t="str" cm="1">
        <f t="array" ref="E589">_xlfn.IFS(D589&gt;=21,"Night",D589&gt;=17,"Evening",D589&gt;=12,"Midday",D589&gt;=6,"Morning", TRUE, "Night")</f>
        <v>Evening</v>
      </c>
      <c r="F589" s="28">
        <v>1</v>
      </c>
      <c r="G589" s="28">
        <v>0</v>
      </c>
      <c r="H589" s="28">
        <v>1</v>
      </c>
      <c r="I589" s="28">
        <v>3</v>
      </c>
      <c r="J589" s="40" t="str">
        <f t="shared" si="58"/>
        <v>Weekday</v>
      </c>
      <c r="K589" s="28" t="b">
        <v>0</v>
      </c>
      <c r="L589" s="28">
        <v>3</v>
      </c>
      <c r="M589" s="40" t="str" cm="1">
        <f t="array" ref="M589">_xlfn.IFS(L589=1,"Clear / Partly Cloudy",L589=2,"Mist / Cloudy",L589=3,"Light Snow / Rain",L589=4,"Heavy Precipitation")</f>
        <v>Light Snow / Rain</v>
      </c>
      <c r="N589" s="28">
        <v>0.2</v>
      </c>
      <c r="O589" s="28" t="str">
        <f t="shared" si="59"/>
        <v>Mild</v>
      </c>
      <c r="P589" s="28">
        <v>0.18179999999999999</v>
      </c>
      <c r="Q589" s="38">
        <f t="shared" si="55"/>
        <v>0.18179999999999999</v>
      </c>
      <c r="R589" s="28">
        <v>0.93</v>
      </c>
      <c r="S589" s="28">
        <v>0.35820000000000002</v>
      </c>
      <c r="T589" s="40" t="str" cm="1">
        <f t="array" ref="T589">_xlfn.IFS(S589*18.6&lt;2,"Calm",S589*18.6&lt;6,"Light Breeze",S589*18.6&lt;14,"Gale",TRUE,"Extreme Storm")</f>
        <v>Gale</v>
      </c>
      <c r="U589" s="28">
        <v>0</v>
      </c>
      <c r="V589" s="28">
        <v>26</v>
      </c>
      <c r="W589" s="28">
        <v>26</v>
      </c>
      <c r="X589" s="44">
        <f>AVERAGE(INDEX($W:$W,MAX(ROW($W$3),ROW()-23)):INDEX($W:$W,ROW()))</f>
        <v>61.333333333333336</v>
      </c>
      <c r="Y589" s="44">
        <f>_xlfn.STDEV.S(INDEX($W:$W,MAX(ROW($W$3),ROW()-23)):INDEX($W:$W,ROW()))</f>
        <v>61.508335714103339</v>
      </c>
      <c r="Z589" s="44">
        <f t="shared" si="56"/>
        <v>-0.57444788455285256</v>
      </c>
      <c r="AA589" s="40" t="b">
        <f t="shared" si="54"/>
        <v>0</v>
      </c>
    </row>
    <row r="590" spans="1:27" x14ac:dyDescent="0.3">
      <c r="A590" s="32">
        <v>588</v>
      </c>
      <c r="B590" s="33">
        <v>40570</v>
      </c>
      <c r="C590" s="40" t="str">
        <f t="shared" si="57"/>
        <v>Thursday</v>
      </c>
      <c r="D590" s="28">
        <v>16</v>
      </c>
      <c r="E590" s="40" t="str" cm="1">
        <f t="array" ref="E590">_xlfn.IFS(D590&gt;=21,"Night",D590&gt;=17,"Evening",D590&gt;=12,"Midday",D590&gt;=6,"Morning", TRUE, "Night")</f>
        <v>Midday</v>
      </c>
      <c r="F590" s="28">
        <v>1</v>
      </c>
      <c r="G590" s="28">
        <v>0</v>
      </c>
      <c r="H590" s="28">
        <v>1</v>
      </c>
      <c r="I590" s="28">
        <v>4</v>
      </c>
      <c r="J590" s="40" t="str">
        <f t="shared" si="58"/>
        <v>Weekday</v>
      </c>
      <c r="K590" s="28" t="b">
        <v>0</v>
      </c>
      <c r="L590" s="28">
        <v>1</v>
      </c>
      <c r="M590" s="40" t="str" cm="1">
        <f t="array" ref="M590">_xlfn.IFS(L590=1,"Clear / Partly Cloudy",L590=2,"Mist / Cloudy",L590=3,"Light Snow / Rain",L590=4,"Heavy Precipitation")</f>
        <v>Clear / Partly Cloudy</v>
      </c>
      <c r="N590" s="28">
        <v>0.22</v>
      </c>
      <c r="O590" s="28" t="str">
        <f t="shared" si="59"/>
        <v>Mild</v>
      </c>
      <c r="P590" s="28">
        <v>0.2273</v>
      </c>
      <c r="Q590" s="38">
        <f t="shared" si="55"/>
        <v>0.2273</v>
      </c>
      <c r="R590" s="28">
        <v>0.55000000000000004</v>
      </c>
      <c r="S590" s="28">
        <v>0.19400000000000001</v>
      </c>
      <c r="T590" s="40" t="str" cm="1">
        <f t="array" ref="T590">_xlfn.IFS(S590*18.6&lt;2,"Calm",S590*18.6&lt;6,"Light Breeze",S590*18.6&lt;14,"Gale",TRUE,"Extreme Storm")</f>
        <v>Light Breeze</v>
      </c>
      <c r="U590" s="28">
        <v>1</v>
      </c>
      <c r="V590" s="28">
        <v>23</v>
      </c>
      <c r="W590" s="28">
        <v>24</v>
      </c>
      <c r="X590" s="44">
        <f>AVERAGE(INDEX($W:$W,MAX(ROW($W$3),ROW()-23)):INDEX($W:$W,ROW()))</f>
        <v>57.5</v>
      </c>
      <c r="Y590" s="44">
        <f>_xlfn.STDEV.S(INDEX($W:$W,MAX(ROW($W$3),ROW()-23)):INDEX($W:$W,ROW()))</f>
        <v>60.816187776382151</v>
      </c>
      <c r="Z590" s="44">
        <f t="shared" si="56"/>
        <v>-0.55084018293250636</v>
      </c>
      <c r="AA590" s="40" t="b">
        <f t="shared" si="54"/>
        <v>0</v>
      </c>
    </row>
    <row r="591" spans="1:27" x14ac:dyDescent="0.3">
      <c r="A591" s="32">
        <v>589</v>
      </c>
      <c r="B591" s="33">
        <v>40570</v>
      </c>
      <c r="C591" s="40" t="str">
        <f t="shared" si="57"/>
        <v>Thursday</v>
      </c>
      <c r="D591" s="28">
        <v>17</v>
      </c>
      <c r="E591" s="40" t="str" cm="1">
        <f t="array" ref="E591">_xlfn.IFS(D591&gt;=21,"Night",D591&gt;=17,"Evening",D591&gt;=12,"Midday",D591&gt;=6,"Morning", TRUE, "Night")</f>
        <v>Evening</v>
      </c>
      <c r="F591" s="28">
        <v>1</v>
      </c>
      <c r="G591" s="28">
        <v>0</v>
      </c>
      <c r="H591" s="28">
        <v>1</v>
      </c>
      <c r="I591" s="28">
        <v>4</v>
      </c>
      <c r="J591" s="40" t="str">
        <f t="shared" si="58"/>
        <v>Weekday</v>
      </c>
      <c r="K591" s="28" t="b">
        <v>0</v>
      </c>
      <c r="L591" s="28">
        <v>1</v>
      </c>
      <c r="M591" s="40" t="str" cm="1">
        <f t="array" ref="M591">_xlfn.IFS(L591=1,"Clear / Partly Cloudy",L591=2,"Mist / Cloudy",L591=3,"Light Snow / Rain",L591=4,"Heavy Precipitation")</f>
        <v>Clear / Partly Cloudy</v>
      </c>
      <c r="N591" s="28">
        <v>0.22</v>
      </c>
      <c r="O591" s="28" t="str">
        <f t="shared" si="59"/>
        <v>Mild</v>
      </c>
      <c r="P591" s="28">
        <v>0.2424</v>
      </c>
      <c r="Q591" s="38">
        <f t="shared" si="55"/>
        <v>0.2424</v>
      </c>
      <c r="R591" s="28">
        <v>0.55000000000000004</v>
      </c>
      <c r="S591" s="28">
        <v>0.1045</v>
      </c>
      <c r="T591" s="40" t="str" cm="1">
        <f t="array" ref="T591">_xlfn.IFS(S591*18.6&lt;2,"Calm",S591*18.6&lt;6,"Light Breeze",S591*18.6&lt;14,"Gale",TRUE,"Extreme Storm")</f>
        <v>Calm</v>
      </c>
      <c r="U591" s="28">
        <v>2</v>
      </c>
      <c r="V591" s="28">
        <v>82</v>
      </c>
      <c r="W591" s="28">
        <v>84</v>
      </c>
      <c r="X591" s="44">
        <f>AVERAGE(INDEX($W:$W,MAX(ROW($W$3),ROW()-23)):INDEX($W:$W,ROW()))</f>
        <v>51.75</v>
      </c>
      <c r="Y591" s="44">
        <f>_xlfn.STDEV.S(INDEX($W:$W,MAX(ROW($W$3),ROW()-23)):INDEX($W:$W,ROW()))</f>
        <v>50.180760213972185</v>
      </c>
      <c r="Z591" s="44">
        <f t="shared" si="56"/>
        <v>0.64267659283129797</v>
      </c>
      <c r="AA591" s="40" t="b">
        <f t="shared" si="54"/>
        <v>0</v>
      </c>
    </row>
    <row r="592" spans="1:27" x14ac:dyDescent="0.3">
      <c r="A592" s="32">
        <v>590</v>
      </c>
      <c r="B592" s="33">
        <v>40570</v>
      </c>
      <c r="C592" s="40" t="str">
        <f t="shared" si="57"/>
        <v>Thursday</v>
      </c>
      <c r="D592" s="28">
        <v>18</v>
      </c>
      <c r="E592" s="40" t="str" cm="1">
        <f t="array" ref="E592">_xlfn.IFS(D592&gt;=21,"Night",D592&gt;=17,"Evening",D592&gt;=12,"Midday",D592&gt;=6,"Morning", TRUE, "Night")</f>
        <v>Evening</v>
      </c>
      <c r="F592" s="28">
        <v>1</v>
      </c>
      <c r="G592" s="28">
        <v>0</v>
      </c>
      <c r="H592" s="28">
        <v>1</v>
      </c>
      <c r="I592" s="28">
        <v>4</v>
      </c>
      <c r="J592" s="40" t="str">
        <f t="shared" si="58"/>
        <v>Weekday</v>
      </c>
      <c r="K592" s="28" t="b">
        <v>0</v>
      </c>
      <c r="L592" s="28">
        <v>1</v>
      </c>
      <c r="M592" s="40" t="str" cm="1">
        <f t="array" ref="M592">_xlfn.IFS(L592=1,"Clear / Partly Cloudy",L592=2,"Mist / Cloudy",L592=3,"Light Snow / Rain",L592=4,"Heavy Precipitation")</f>
        <v>Clear / Partly Cloudy</v>
      </c>
      <c r="N592" s="28">
        <v>0.2</v>
      </c>
      <c r="O592" s="28" t="str">
        <f t="shared" si="59"/>
        <v>Mild</v>
      </c>
      <c r="P592" s="28">
        <v>0.2273</v>
      </c>
      <c r="Q592" s="38">
        <f t="shared" si="55"/>
        <v>0.2273</v>
      </c>
      <c r="R592" s="28">
        <v>0.69</v>
      </c>
      <c r="S592" s="28">
        <v>8.9599999999999999E-2</v>
      </c>
      <c r="T592" s="40" t="str" cm="1">
        <f t="array" ref="T592">_xlfn.IFS(S592*18.6&lt;2,"Calm",S592*18.6&lt;6,"Light Breeze",S592*18.6&lt;14,"Gale",TRUE,"Extreme Storm")</f>
        <v>Calm</v>
      </c>
      <c r="U592" s="28">
        <v>3</v>
      </c>
      <c r="V592" s="28">
        <v>101</v>
      </c>
      <c r="W592" s="28">
        <v>104</v>
      </c>
      <c r="X592" s="44">
        <f>AVERAGE(INDEX($W:$W,MAX(ROW($W$3),ROW()-23)):INDEX($W:$W,ROW()))</f>
        <v>46.708333333333336</v>
      </c>
      <c r="Y592" s="44">
        <f>_xlfn.STDEV.S(INDEX($W:$W,MAX(ROW($W$3),ROW()-23)):INDEX($W:$W,ROW()))</f>
        <v>36.128369157367381</v>
      </c>
      <c r="Z592" s="44">
        <f t="shared" si="56"/>
        <v>1.5857805930048081</v>
      </c>
      <c r="AA592" s="40" t="b">
        <f t="shared" si="54"/>
        <v>0</v>
      </c>
    </row>
    <row r="593" spans="1:27" x14ac:dyDescent="0.3">
      <c r="A593" s="32">
        <v>591</v>
      </c>
      <c r="B593" s="33">
        <v>40570</v>
      </c>
      <c r="C593" s="40" t="str">
        <f t="shared" si="57"/>
        <v>Thursday</v>
      </c>
      <c r="D593" s="28">
        <v>19</v>
      </c>
      <c r="E593" s="40" t="str" cm="1">
        <f t="array" ref="E593">_xlfn.IFS(D593&gt;=21,"Night",D593&gt;=17,"Evening",D593&gt;=12,"Midday",D593&gt;=6,"Morning", TRUE, "Night")</f>
        <v>Evening</v>
      </c>
      <c r="F593" s="28">
        <v>1</v>
      </c>
      <c r="G593" s="28">
        <v>0</v>
      </c>
      <c r="H593" s="28">
        <v>1</v>
      </c>
      <c r="I593" s="28">
        <v>4</v>
      </c>
      <c r="J593" s="40" t="str">
        <f t="shared" si="58"/>
        <v>Weekday</v>
      </c>
      <c r="K593" s="28" t="b">
        <v>0</v>
      </c>
      <c r="L593" s="28">
        <v>1</v>
      </c>
      <c r="M593" s="40" t="str" cm="1">
        <f t="array" ref="M593">_xlfn.IFS(L593=1,"Clear / Partly Cloudy",L593=2,"Mist / Cloudy",L593=3,"Light Snow / Rain",L593=4,"Heavy Precipitation")</f>
        <v>Clear / Partly Cloudy</v>
      </c>
      <c r="N593" s="28">
        <v>0.2</v>
      </c>
      <c r="O593" s="28" t="str">
        <f t="shared" si="59"/>
        <v>Mild</v>
      </c>
      <c r="P593" s="28">
        <v>0.2273</v>
      </c>
      <c r="Q593" s="38">
        <f t="shared" si="55"/>
        <v>0.2273</v>
      </c>
      <c r="R593" s="28">
        <v>0.69</v>
      </c>
      <c r="S593" s="28">
        <v>8.9599999999999999E-2</v>
      </c>
      <c r="T593" s="40" t="str" cm="1">
        <f t="array" ref="T593">_xlfn.IFS(S593*18.6&lt;2,"Calm",S593*18.6&lt;6,"Light Breeze",S593*18.6&lt;14,"Gale",TRUE,"Extreme Storm")</f>
        <v>Calm</v>
      </c>
      <c r="U593" s="28">
        <v>3</v>
      </c>
      <c r="V593" s="28">
        <v>76</v>
      </c>
      <c r="W593" s="28">
        <v>79</v>
      </c>
      <c r="X593" s="44">
        <f>AVERAGE(INDEX($W:$W,MAX(ROW($W$3),ROW()-23)):INDEX($W:$W,ROW()))</f>
        <v>43.916666666666664</v>
      </c>
      <c r="Y593" s="44">
        <f>_xlfn.STDEV.S(INDEX($W:$W,MAX(ROW($W$3),ROW()-23)):INDEX($W:$W,ROW()))</f>
        <v>30.229436656671428</v>
      </c>
      <c r="Z593" s="44">
        <f t="shared" si="56"/>
        <v>1.1605685455468349</v>
      </c>
      <c r="AA593" s="40" t="b">
        <f t="shared" si="54"/>
        <v>0</v>
      </c>
    </row>
    <row r="594" spans="1:27" x14ac:dyDescent="0.3">
      <c r="A594" s="32">
        <v>592</v>
      </c>
      <c r="B594" s="33">
        <v>40570</v>
      </c>
      <c r="C594" s="40" t="str">
        <f t="shared" si="57"/>
        <v>Thursday</v>
      </c>
      <c r="D594" s="28">
        <v>20</v>
      </c>
      <c r="E594" s="40" t="str" cm="1">
        <f t="array" ref="E594">_xlfn.IFS(D594&gt;=21,"Night",D594&gt;=17,"Evening",D594&gt;=12,"Midday",D594&gt;=6,"Morning", TRUE, "Night")</f>
        <v>Evening</v>
      </c>
      <c r="F594" s="28">
        <v>1</v>
      </c>
      <c r="G594" s="28">
        <v>0</v>
      </c>
      <c r="H594" s="28">
        <v>1</v>
      </c>
      <c r="I594" s="28">
        <v>4</v>
      </c>
      <c r="J594" s="40" t="str">
        <f t="shared" si="58"/>
        <v>Weekday</v>
      </c>
      <c r="K594" s="28" t="b">
        <v>0</v>
      </c>
      <c r="L594" s="28">
        <v>1</v>
      </c>
      <c r="M594" s="40" t="str" cm="1">
        <f t="array" ref="M594">_xlfn.IFS(L594=1,"Clear / Partly Cloudy",L594=2,"Mist / Cloudy",L594=3,"Light Snow / Rain",L594=4,"Heavy Precipitation")</f>
        <v>Clear / Partly Cloudy</v>
      </c>
      <c r="N594" s="28">
        <v>0.18</v>
      </c>
      <c r="O594" s="28" t="str">
        <f t="shared" si="59"/>
        <v>Cold</v>
      </c>
      <c r="P594" s="28">
        <v>0.21210000000000001</v>
      </c>
      <c r="Q594" s="38">
        <f t="shared" si="55"/>
        <v>0.21210000000000001</v>
      </c>
      <c r="R594" s="28">
        <v>0.74</v>
      </c>
      <c r="S594" s="28">
        <v>8.9599999999999999E-2</v>
      </c>
      <c r="T594" s="40" t="str" cm="1">
        <f t="array" ref="T594">_xlfn.IFS(S594*18.6&lt;2,"Calm",S594*18.6&lt;6,"Light Breeze",S594*18.6&lt;14,"Gale",TRUE,"Extreme Storm")</f>
        <v>Calm</v>
      </c>
      <c r="U594" s="28">
        <v>4</v>
      </c>
      <c r="V594" s="28">
        <v>55</v>
      </c>
      <c r="W594" s="28">
        <v>59</v>
      </c>
      <c r="X594" s="44">
        <f>AVERAGE(INDEX($W:$W,MAX(ROW($W$3),ROW()-23)):INDEX($W:$W,ROW()))</f>
        <v>41.416666666666664</v>
      </c>
      <c r="Y594" s="44">
        <f>_xlfn.STDEV.S(INDEX($W:$W,MAX(ROW($W$3),ROW()-23)):INDEX($W:$W,ROW()))</f>
        <v>25.924500190841243</v>
      </c>
      <c r="Z594" s="44">
        <f t="shared" si="56"/>
        <v>0.67825158455881351</v>
      </c>
      <c r="AA594" s="40" t="b">
        <f t="shared" si="54"/>
        <v>0</v>
      </c>
    </row>
    <row r="595" spans="1:27" x14ac:dyDescent="0.3">
      <c r="A595" s="32">
        <v>593</v>
      </c>
      <c r="B595" s="33">
        <v>40570</v>
      </c>
      <c r="C595" s="40" t="str">
        <f t="shared" si="57"/>
        <v>Thursday</v>
      </c>
      <c r="D595" s="28">
        <v>21</v>
      </c>
      <c r="E595" s="40" t="str" cm="1">
        <f t="array" ref="E595">_xlfn.IFS(D595&gt;=21,"Night",D595&gt;=17,"Evening",D595&gt;=12,"Midday",D595&gt;=6,"Morning", TRUE, "Night")</f>
        <v>Night</v>
      </c>
      <c r="F595" s="28">
        <v>1</v>
      </c>
      <c r="G595" s="28">
        <v>0</v>
      </c>
      <c r="H595" s="28">
        <v>1</v>
      </c>
      <c r="I595" s="28">
        <v>4</v>
      </c>
      <c r="J595" s="40" t="str">
        <f t="shared" si="58"/>
        <v>Weekday</v>
      </c>
      <c r="K595" s="28" t="b">
        <v>0</v>
      </c>
      <c r="L595" s="28">
        <v>1</v>
      </c>
      <c r="M595" s="40" t="str" cm="1">
        <f t="array" ref="M595">_xlfn.IFS(L595=1,"Clear / Partly Cloudy",L595=2,"Mist / Cloudy",L595=3,"Light Snow / Rain",L595=4,"Heavy Precipitation")</f>
        <v>Clear / Partly Cloudy</v>
      </c>
      <c r="N595" s="28">
        <v>0.18</v>
      </c>
      <c r="O595" s="28" t="str">
        <f t="shared" si="59"/>
        <v>Cold</v>
      </c>
      <c r="P595" s="28">
        <v>0.21210000000000001</v>
      </c>
      <c r="Q595" s="38">
        <f t="shared" si="55"/>
        <v>0.21210000000000001</v>
      </c>
      <c r="R595" s="28">
        <v>0.74</v>
      </c>
      <c r="S595" s="28">
        <v>8.9599999999999999E-2</v>
      </c>
      <c r="T595" s="40" t="str" cm="1">
        <f t="array" ref="T595">_xlfn.IFS(S595*18.6&lt;2,"Calm",S595*18.6&lt;6,"Light Breeze",S595*18.6&lt;14,"Gale",TRUE,"Extreme Storm")</f>
        <v>Calm</v>
      </c>
      <c r="U595" s="28">
        <v>2</v>
      </c>
      <c r="V595" s="28">
        <v>36</v>
      </c>
      <c r="W595" s="28">
        <v>38</v>
      </c>
      <c r="X595" s="44">
        <f>AVERAGE(INDEX($W:$W,MAX(ROW($W$3),ROW()-23)):INDEX($W:$W,ROW()))</f>
        <v>41.125</v>
      </c>
      <c r="Y595" s="44">
        <f>_xlfn.STDEV.S(INDEX($W:$W,MAX(ROW($W$3),ROW()-23)):INDEX($W:$W,ROW()))</f>
        <v>25.921809685886213</v>
      </c>
      <c r="Z595" s="44">
        <f t="shared" si="56"/>
        <v>-0.12055485469062314</v>
      </c>
      <c r="AA595" s="40" t="b">
        <f t="shared" si="54"/>
        <v>0</v>
      </c>
    </row>
    <row r="596" spans="1:27" x14ac:dyDescent="0.3">
      <c r="A596" s="32">
        <v>594</v>
      </c>
      <c r="B596" s="33">
        <v>40570</v>
      </c>
      <c r="C596" s="40" t="str">
        <f t="shared" si="57"/>
        <v>Thursday</v>
      </c>
      <c r="D596" s="28">
        <v>22</v>
      </c>
      <c r="E596" s="40" t="str" cm="1">
        <f t="array" ref="E596">_xlfn.IFS(D596&gt;=21,"Night",D596&gt;=17,"Evening",D596&gt;=12,"Midday",D596&gt;=6,"Morning", TRUE, "Night")</f>
        <v>Night</v>
      </c>
      <c r="F596" s="28">
        <v>1</v>
      </c>
      <c r="G596" s="28">
        <v>0</v>
      </c>
      <c r="H596" s="28">
        <v>1</v>
      </c>
      <c r="I596" s="28">
        <v>4</v>
      </c>
      <c r="J596" s="40" t="str">
        <f t="shared" si="58"/>
        <v>Weekday</v>
      </c>
      <c r="K596" s="28" t="b">
        <v>0</v>
      </c>
      <c r="L596" s="28">
        <v>1</v>
      </c>
      <c r="M596" s="40" t="str" cm="1">
        <f t="array" ref="M596">_xlfn.IFS(L596=1,"Clear / Partly Cloudy",L596=2,"Mist / Cloudy",L596=3,"Light Snow / Rain",L596=4,"Heavy Precipitation")</f>
        <v>Clear / Partly Cloudy</v>
      </c>
      <c r="N596" s="28">
        <v>0.18</v>
      </c>
      <c r="O596" s="28" t="str">
        <f t="shared" si="59"/>
        <v>Cold</v>
      </c>
      <c r="P596" s="28">
        <v>0.21210000000000001</v>
      </c>
      <c r="Q596" s="38">
        <f t="shared" si="55"/>
        <v>0.21210000000000001</v>
      </c>
      <c r="R596" s="28">
        <v>0.74</v>
      </c>
      <c r="S596" s="28">
        <v>8.9599999999999999E-2</v>
      </c>
      <c r="T596" s="40" t="str" cm="1">
        <f t="array" ref="T596">_xlfn.IFS(S596*18.6&lt;2,"Calm",S596*18.6&lt;6,"Light Breeze",S596*18.6&lt;14,"Gale",TRUE,"Extreme Storm")</f>
        <v>Calm</v>
      </c>
      <c r="U596" s="28">
        <v>0</v>
      </c>
      <c r="V596" s="28">
        <v>27</v>
      </c>
      <c r="W596" s="28">
        <v>27</v>
      </c>
      <c r="X596" s="44">
        <f>AVERAGE(INDEX($W:$W,MAX(ROW($W$3),ROW()-23)):INDEX($W:$W,ROW()))</f>
        <v>40.041666666666664</v>
      </c>
      <c r="Y596" s="44">
        <f>_xlfn.STDEV.S(INDEX($W:$W,MAX(ROW($W$3),ROW()-23)):INDEX($W:$W,ROW()))</f>
        <v>25.947236037216268</v>
      </c>
      <c r="Z596" s="44">
        <f t="shared" si="56"/>
        <v>-0.50262257791006826</v>
      </c>
      <c r="AA596" s="40" t="b">
        <f t="shared" si="54"/>
        <v>0</v>
      </c>
    </row>
    <row r="597" spans="1:27" x14ac:dyDescent="0.3">
      <c r="A597" s="32">
        <v>595</v>
      </c>
      <c r="B597" s="33">
        <v>40570</v>
      </c>
      <c r="C597" s="40" t="str">
        <f t="shared" si="57"/>
        <v>Thursday</v>
      </c>
      <c r="D597" s="28">
        <v>23</v>
      </c>
      <c r="E597" s="40" t="str" cm="1">
        <f t="array" ref="E597">_xlfn.IFS(D597&gt;=21,"Night",D597&gt;=17,"Evening",D597&gt;=12,"Midday",D597&gt;=6,"Morning", TRUE, "Night")</f>
        <v>Night</v>
      </c>
      <c r="F597" s="28">
        <v>1</v>
      </c>
      <c r="G597" s="28">
        <v>0</v>
      </c>
      <c r="H597" s="28">
        <v>1</v>
      </c>
      <c r="I597" s="28">
        <v>4</v>
      </c>
      <c r="J597" s="40" t="str">
        <f t="shared" si="58"/>
        <v>Weekday</v>
      </c>
      <c r="K597" s="28" t="b">
        <v>0</v>
      </c>
      <c r="L597" s="28">
        <v>1</v>
      </c>
      <c r="M597" s="40" t="str" cm="1">
        <f t="array" ref="M597">_xlfn.IFS(L597=1,"Clear / Partly Cloudy",L597=2,"Mist / Cloudy",L597=3,"Light Snow / Rain",L597=4,"Heavy Precipitation")</f>
        <v>Clear / Partly Cloudy</v>
      </c>
      <c r="N597" s="28">
        <v>0.18</v>
      </c>
      <c r="O597" s="28" t="str">
        <f t="shared" si="59"/>
        <v>Cold</v>
      </c>
      <c r="P597" s="28">
        <v>0.19700000000000001</v>
      </c>
      <c r="Q597" s="38">
        <f t="shared" si="55"/>
        <v>0.19700000000000001</v>
      </c>
      <c r="R597" s="28">
        <v>0.8</v>
      </c>
      <c r="S597" s="28">
        <v>0.16420000000000001</v>
      </c>
      <c r="T597" s="40" t="str" cm="1">
        <f t="array" ref="T597">_xlfn.IFS(S597*18.6&lt;2,"Calm",S597*18.6&lt;6,"Light Breeze",S597*18.6&lt;14,"Gale",TRUE,"Extreme Storm")</f>
        <v>Light Breeze</v>
      </c>
      <c r="U597" s="28">
        <v>0</v>
      </c>
      <c r="V597" s="28">
        <v>16</v>
      </c>
      <c r="W597" s="28">
        <v>16</v>
      </c>
      <c r="X597" s="44">
        <f>AVERAGE(INDEX($W:$W,MAX(ROW($W$3),ROW()-23)):INDEX($W:$W,ROW()))</f>
        <v>39.041666666666664</v>
      </c>
      <c r="Y597" s="44">
        <f>_xlfn.STDEV.S(INDEX($W:$W,MAX(ROW($W$3),ROW()-23)):INDEX($W:$W,ROW()))</f>
        <v>26.40730986853363</v>
      </c>
      <c r="Z597" s="44">
        <f t="shared" si="56"/>
        <v>-0.87254880490960596</v>
      </c>
      <c r="AA597" s="40" t="b">
        <f t="shared" si="54"/>
        <v>0</v>
      </c>
    </row>
    <row r="598" spans="1:27" x14ac:dyDescent="0.3">
      <c r="A598" s="32">
        <v>596</v>
      </c>
      <c r="B598" s="33">
        <v>40571</v>
      </c>
      <c r="C598" s="40" t="str">
        <f t="shared" si="57"/>
        <v>Friday</v>
      </c>
      <c r="D598" s="28">
        <v>0</v>
      </c>
      <c r="E598" s="40" t="str" cm="1">
        <f t="array" ref="E598">_xlfn.IFS(D598&gt;=21,"Night",D598&gt;=17,"Evening",D598&gt;=12,"Midday",D598&gt;=6,"Morning", TRUE, "Night")</f>
        <v>Night</v>
      </c>
      <c r="F598" s="28">
        <v>1</v>
      </c>
      <c r="G598" s="28">
        <v>0</v>
      </c>
      <c r="H598" s="28">
        <v>1</v>
      </c>
      <c r="I598" s="28">
        <v>5</v>
      </c>
      <c r="J598" s="40" t="str">
        <f t="shared" si="58"/>
        <v>Weekday</v>
      </c>
      <c r="K598" s="28" t="b">
        <v>0</v>
      </c>
      <c r="L598" s="28">
        <v>2</v>
      </c>
      <c r="M598" s="40" t="str" cm="1">
        <f t="array" ref="M598">_xlfn.IFS(L598=1,"Clear / Partly Cloudy",L598=2,"Mist / Cloudy",L598=3,"Light Snow / Rain",L598=4,"Heavy Precipitation")</f>
        <v>Mist / Cloudy</v>
      </c>
      <c r="N598" s="28">
        <v>0.2</v>
      </c>
      <c r="O598" s="28" t="str">
        <f t="shared" si="59"/>
        <v>Mild</v>
      </c>
      <c r="P598" s="28">
        <v>0.21210000000000001</v>
      </c>
      <c r="Q598" s="38">
        <f t="shared" si="55"/>
        <v>0.21210000000000001</v>
      </c>
      <c r="R598" s="28">
        <v>0.75</v>
      </c>
      <c r="S598" s="28">
        <v>0.1343</v>
      </c>
      <c r="T598" s="40" t="str" cm="1">
        <f t="array" ref="T598">_xlfn.IFS(S598*18.6&lt;2,"Calm",S598*18.6&lt;6,"Light Breeze",S598*18.6&lt;14,"Gale",TRUE,"Extreme Storm")</f>
        <v>Light Breeze</v>
      </c>
      <c r="U598" s="28">
        <v>0</v>
      </c>
      <c r="V598" s="28">
        <v>9</v>
      </c>
      <c r="W598" s="28">
        <v>9</v>
      </c>
      <c r="X598" s="44">
        <f>AVERAGE(INDEX($W:$W,MAX(ROW($W$3),ROW()-23)):INDEX($W:$W,ROW()))</f>
        <v>38.708333333333336</v>
      </c>
      <c r="Y598" s="44">
        <f>_xlfn.STDEV.S(INDEX($W:$W,MAX(ROW($W$3),ROW()-23)):INDEX($W:$W,ROW()))</f>
        <v>26.74595323582156</v>
      </c>
      <c r="Z598" s="44">
        <f t="shared" si="56"/>
        <v>-1.1107599370787871</v>
      </c>
      <c r="AA598" s="40" t="b">
        <f t="shared" si="54"/>
        <v>0</v>
      </c>
    </row>
    <row r="599" spans="1:27" x14ac:dyDescent="0.3">
      <c r="A599" s="32">
        <v>597</v>
      </c>
      <c r="B599" s="33">
        <v>40571</v>
      </c>
      <c r="C599" s="40" t="str">
        <f t="shared" si="57"/>
        <v>Friday</v>
      </c>
      <c r="D599" s="28">
        <v>1</v>
      </c>
      <c r="E599" s="40" t="str" cm="1">
        <f t="array" ref="E599">_xlfn.IFS(D599&gt;=21,"Night",D599&gt;=17,"Evening",D599&gt;=12,"Midday",D599&gt;=6,"Morning", TRUE, "Night")</f>
        <v>Night</v>
      </c>
      <c r="F599" s="28">
        <v>1</v>
      </c>
      <c r="G599" s="28">
        <v>0</v>
      </c>
      <c r="H599" s="28">
        <v>1</v>
      </c>
      <c r="I599" s="28">
        <v>5</v>
      </c>
      <c r="J599" s="40" t="str">
        <f t="shared" si="58"/>
        <v>Weekday</v>
      </c>
      <c r="K599" s="28" t="b">
        <v>0</v>
      </c>
      <c r="L599" s="28">
        <v>2</v>
      </c>
      <c r="M599" s="40" t="str" cm="1">
        <f t="array" ref="M599">_xlfn.IFS(L599=1,"Clear / Partly Cloudy",L599=2,"Mist / Cloudy",L599=3,"Light Snow / Rain",L599=4,"Heavy Precipitation")</f>
        <v>Mist / Cloudy</v>
      </c>
      <c r="N599" s="28">
        <v>0.2</v>
      </c>
      <c r="O599" s="28" t="str">
        <f t="shared" si="59"/>
        <v>Mild</v>
      </c>
      <c r="P599" s="28">
        <v>0.21210000000000001</v>
      </c>
      <c r="Q599" s="38">
        <f t="shared" si="55"/>
        <v>0.21210000000000001</v>
      </c>
      <c r="R599" s="28">
        <v>0.75</v>
      </c>
      <c r="S599" s="28">
        <v>0.1343</v>
      </c>
      <c r="T599" s="40" t="str" cm="1">
        <f t="array" ref="T599">_xlfn.IFS(S599*18.6&lt;2,"Calm",S599*18.6&lt;6,"Light Breeze",S599*18.6&lt;14,"Gale",TRUE,"Extreme Storm")</f>
        <v>Light Breeze</v>
      </c>
      <c r="U599" s="28">
        <v>1</v>
      </c>
      <c r="V599" s="28">
        <v>2</v>
      </c>
      <c r="W599" s="28">
        <v>3</v>
      </c>
      <c r="X599" s="44">
        <f>AVERAGE(INDEX($W:$W,MAX(ROW($W$3),ROW()-23)):INDEX($W:$W,ROW()))</f>
        <v>38.625</v>
      </c>
      <c r="Y599" s="44">
        <f>_xlfn.STDEV.S(INDEX($W:$W,MAX(ROW($W$3),ROW()-23)):INDEX($W:$W,ROW()))</f>
        <v>26.858425121365549</v>
      </c>
      <c r="Z599" s="44">
        <f t="shared" si="56"/>
        <v>-1.3263994385009845</v>
      </c>
      <c r="AA599" s="40" t="b">
        <f t="shared" si="54"/>
        <v>0</v>
      </c>
    </row>
    <row r="600" spans="1:27" x14ac:dyDescent="0.3">
      <c r="A600" s="32">
        <v>598</v>
      </c>
      <c r="B600" s="33">
        <v>40571</v>
      </c>
      <c r="C600" s="40" t="str">
        <f t="shared" si="57"/>
        <v>Friday</v>
      </c>
      <c r="D600" s="28">
        <v>2</v>
      </c>
      <c r="E600" s="40" t="str" cm="1">
        <f t="array" ref="E600">_xlfn.IFS(D600&gt;=21,"Night",D600&gt;=17,"Evening",D600&gt;=12,"Midday",D600&gt;=6,"Morning", TRUE, "Night")</f>
        <v>Night</v>
      </c>
      <c r="F600" s="28">
        <v>1</v>
      </c>
      <c r="G600" s="28">
        <v>0</v>
      </c>
      <c r="H600" s="28">
        <v>1</v>
      </c>
      <c r="I600" s="28">
        <v>5</v>
      </c>
      <c r="J600" s="40" t="str">
        <f t="shared" si="58"/>
        <v>Weekday</v>
      </c>
      <c r="K600" s="28" t="b">
        <v>0</v>
      </c>
      <c r="L600" s="28">
        <v>2</v>
      </c>
      <c r="M600" s="40" t="str" cm="1">
        <f t="array" ref="M600">_xlfn.IFS(L600=1,"Clear / Partly Cloudy",L600=2,"Mist / Cloudy",L600=3,"Light Snow / Rain",L600=4,"Heavy Precipitation")</f>
        <v>Mist / Cloudy</v>
      </c>
      <c r="N600" s="28">
        <v>0.2</v>
      </c>
      <c r="O600" s="28" t="str">
        <f t="shared" si="59"/>
        <v>Mild</v>
      </c>
      <c r="P600" s="28">
        <v>0.21210000000000001</v>
      </c>
      <c r="Q600" s="38">
        <f t="shared" si="55"/>
        <v>0.21210000000000001</v>
      </c>
      <c r="R600" s="28">
        <v>0.75</v>
      </c>
      <c r="S600" s="28">
        <v>0.16420000000000001</v>
      </c>
      <c r="T600" s="40" t="str" cm="1">
        <f t="array" ref="T600">_xlfn.IFS(S600*18.6&lt;2,"Calm",S600*18.6&lt;6,"Light Breeze",S600*18.6&lt;14,"Gale",TRUE,"Extreme Storm")</f>
        <v>Light Breeze</v>
      </c>
      <c r="U600" s="28">
        <v>0</v>
      </c>
      <c r="V600" s="28">
        <v>2</v>
      </c>
      <c r="W600" s="28">
        <v>2</v>
      </c>
      <c r="X600" s="44">
        <f>AVERAGE(INDEX($W:$W,MAX(ROW($W$3),ROW()-23)):INDEX($W:$W,ROW()))</f>
        <v>38.291666666666664</v>
      </c>
      <c r="Y600" s="44">
        <f>_xlfn.STDEV.S(INDEX($W:$W,MAX(ROW($W$3),ROW()-23)):INDEX($W:$W,ROW()))</f>
        <v>27.275533178013728</v>
      </c>
      <c r="Z600" s="44">
        <f t="shared" si="56"/>
        <v>-1.3305575524338664</v>
      </c>
      <c r="AA600" s="40" t="b">
        <f t="shared" si="54"/>
        <v>0</v>
      </c>
    </row>
    <row r="601" spans="1:27" x14ac:dyDescent="0.3">
      <c r="A601" s="32">
        <v>599</v>
      </c>
      <c r="B601" s="33">
        <v>40571</v>
      </c>
      <c r="C601" s="40" t="str">
        <f t="shared" si="57"/>
        <v>Friday</v>
      </c>
      <c r="D601" s="28">
        <v>3</v>
      </c>
      <c r="E601" s="40" t="str" cm="1">
        <f t="array" ref="E601">_xlfn.IFS(D601&gt;=21,"Night",D601&gt;=17,"Evening",D601&gt;=12,"Midday",D601&gt;=6,"Morning", TRUE, "Night")</f>
        <v>Night</v>
      </c>
      <c r="F601" s="28">
        <v>1</v>
      </c>
      <c r="G601" s="28">
        <v>0</v>
      </c>
      <c r="H601" s="28">
        <v>1</v>
      </c>
      <c r="I601" s="28">
        <v>5</v>
      </c>
      <c r="J601" s="40" t="str">
        <f t="shared" si="58"/>
        <v>Weekday</v>
      </c>
      <c r="K601" s="28" t="b">
        <v>0</v>
      </c>
      <c r="L601" s="28">
        <v>2</v>
      </c>
      <c r="M601" s="40" t="str" cm="1">
        <f t="array" ref="M601">_xlfn.IFS(L601=1,"Clear / Partly Cloudy",L601=2,"Mist / Cloudy",L601=3,"Light Snow / Rain",L601=4,"Heavy Precipitation")</f>
        <v>Mist / Cloudy</v>
      </c>
      <c r="N601" s="28">
        <v>0.2</v>
      </c>
      <c r="O601" s="28" t="str">
        <f t="shared" si="59"/>
        <v>Mild</v>
      </c>
      <c r="P601" s="28">
        <v>0.2273</v>
      </c>
      <c r="Q601" s="38">
        <f t="shared" si="55"/>
        <v>0.2273</v>
      </c>
      <c r="R601" s="28">
        <v>0.75</v>
      </c>
      <c r="S601" s="28">
        <v>0.1045</v>
      </c>
      <c r="T601" s="40" t="str" cm="1">
        <f t="array" ref="T601">_xlfn.IFS(S601*18.6&lt;2,"Calm",S601*18.6&lt;6,"Light Breeze",S601*18.6&lt;14,"Gale",TRUE,"Extreme Storm")</f>
        <v>Calm</v>
      </c>
      <c r="U601" s="28">
        <v>1</v>
      </c>
      <c r="V601" s="28">
        <v>0</v>
      </c>
      <c r="W601" s="28">
        <v>1</v>
      </c>
      <c r="X601" s="44">
        <f>AVERAGE(INDEX($W:$W,MAX(ROW($W$3),ROW()-23)):INDEX($W:$W,ROW()))</f>
        <v>38.291666666666664</v>
      </c>
      <c r="Y601" s="44">
        <f>_xlfn.STDEV.S(INDEX($W:$W,MAX(ROW($W$3),ROW()-23)):INDEX($W:$W,ROW()))</f>
        <v>27.275533178013728</v>
      </c>
      <c r="Z601" s="44">
        <f t="shared" si="56"/>
        <v>-1.3672204471048341</v>
      </c>
      <c r="AA601" s="40" t="b">
        <f t="shared" si="54"/>
        <v>0</v>
      </c>
    </row>
    <row r="602" spans="1:27" x14ac:dyDescent="0.3">
      <c r="A602" s="32">
        <v>600</v>
      </c>
      <c r="B602" s="33">
        <v>40571</v>
      </c>
      <c r="C602" s="40" t="str">
        <f t="shared" si="57"/>
        <v>Friday</v>
      </c>
      <c r="D602" s="28">
        <v>5</v>
      </c>
      <c r="E602" s="40" t="str" cm="1">
        <f t="array" ref="E602">_xlfn.IFS(D602&gt;=21,"Night",D602&gt;=17,"Evening",D602&gt;=12,"Midday",D602&gt;=6,"Morning", TRUE, "Night")</f>
        <v>Night</v>
      </c>
      <c r="F602" s="28">
        <v>1</v>
      </c>
      <c r="G602" s="28">
        <v>0</v>
      </c>
      <c r="H602" s="28">
        <v>1</v>
      </c>
      <c r="I602" s="28">
        <v>5</v>
      </c>
      <c r="J602" s="40" t="str">
        <f t="shared" si="58"/>
        <v>Weekday</v>
      </c>
      <c r="K602" s="28" t="b">
        <v>0</v>
      </c>
      <c r="L602" s="28">
        <v>2</v>
      </c>
      <c r="M602" s="40" t="str" cm="1">
        <f t="array" ref="M602">_xlfn.IFS(L602=1,"Clear / Partly Cloudy",L602=2,"Mist / Cloudy",L602=3,"Light Snow / Rain",L602=4,"Heavy Precipitation")</f>
        <v>Mist / Cloudy</v>
      </c>
      <c r="N602" s="28">
        <v>0.18</v>
      </c>
      <c r="O602" s="28" t="str">
        <f t="shared" si="59"/>
        <v>Cold</v>
      </c>
      <c r="P602" s="28">
        <v>0.21210000000000001</v>
      </c>
      <c r="Q602" s="38">
        <f t="shared" si="55"/>
        <v>0.21210000000000001</v>
      </c>
      <c r="R602" s="28">
        <v>0.8</v>
      </c>
      <c r="S602" s="28">
        <v>0.1045</v>
      </c>
      <c r="T602" s="40" t="str" cm="1">
        <f t="array" ref="T602">_xlfn.IFS(S602*18.6&lt;2,"Calm",S602*18.6&lt;6,"Light Breeze",S602*18.6&lt;14,"Gale",TRUE,"Extreme Storm")</f>
        <v>Calm</v>
      </c>
      <c r="U602" s="28">
        <v>0</v>
      </c>
      <c r="V602" s="28">
        <v>4</v>
      </c>
      <c r="W602" s="28">
        <v>4</v>
      </c>
      <c r="X602" s="44">
        <f>AVERAGE(INDEX($W:$W,MAX(ROW($W$3),ROW()-23)):INDEX($W:$W,ROW()))</f>
        <v>38.125</v>
      </c>
      <c r="Y602" s="44">
        <f>_xlfn.STDEV.S(INDEX($W:$W,MAX(ROW($W$3),ROW()-23)):INDEX($W:$W,ROW()))</f>
        <v>27.480131162271626</v>
      </c>
      <c r="Z602" s="44">
        <f t="shared" si="56"/>
        <v>-1.2418062999222992</v>
      </c>
      <c r="AA602" s="40" t="b">
        <f t="shared" si="54"/>
        <v>0</v>
      </c>
    </row>
    <row r="603" spans="1:27" x14ac:dyDescent="0.3">
      <c r="A603" s="32">
        <v>601</v>
      </c>
      <c r="B603" s="33">
        <v>40571</v>
      </c>
      <c r="C603" s="40" t="str">
        <f t="shared" si="57"/>
        <v>Friday</v>
      </c>
      <c r="D603" s="28">
        <v>6</v>
      </c>
      <c r="E603" s="40" t="str" cm="1">
        <f t="array" ref="E603">_xlfn.IFS(D603&gt;=21,"Night",D603&gt;=17,"Evening",D603&gt;=12,"Midday",D603&gt;=6,"Morning", TRUE, "Night")</f>
        <v>Morning</v>
      </c>
      <c r="F603" s="28">
        <v>1</v>
      </c>
      <c r="G603" s="28">
        <v>0</v>
      </c>
      <c r="H603" s="28">
        <v>1</v>
      </c>
      <c r="I603" s="28">
        <v>5</v>
      </c>
      <c r="J603" s="40" t="str">
        <f t="shared" si="58"/>
        <v>Weekday</v>
      </c>
      <c r="K603" s="28" t="b">
        <v>0</v>
      </c>
      <c r="L603" s="28">
        <v>2</v>
      </c>
      <c r="M603" s="40" t="str" cm="1">
        <f t="array" ref="M603">_xlfn.IFS(L603=1,"Clear / Partly Cloudy",L603=2,"Mist / Cloudy",L603=3,"Light Snow / Rain",L603=4,"Heavy Precipitation")</f>
        <v>Mist / Cloudy</v>
      </c>
      <c r="N603" s="28">
        <v>0.18</v>
      </c>
      <c r="O603" s="28" t="str">
        <f t="shared" si="59"/>
        <v>Cold</v>
      </c>
      <c r="P603" s="28">
        <v>0.19700000000000001</v>
      </c>
      <c r="Q603" s="38">
        <f t="shared" si="55"/>
        <v>0.19700000000000001</v>
      </c>
      <c r="R603" s="28">
        <v>0.8</v>
      </c>
      <c r="S603" s="28">
        <v>0.1343</v>
      </c>
      <c r="T603" s="40" t="str" cm="1">
        <f t="array" ref="T603">_xlfn.IFS(S603*18.6&lt;2,"Calm",S603*18.6&lt;6,"Light Breeze",S603*18.6&lt;14,"Gale",TRUE,"Extreme Storm")</f>
        <v>Light Breeze</v>
      </c>
      <c r="U603" s="28">
        <v>0</v>
      </c>
      <c r="V603" s="28">
        <v>16</v>
      </c>
      <c r="W603" s="28">
        <v>16</v>
      </c>
      <c r="X603" s="44">
        <f>AVERAGE(INDEX($W:$W,MAX(ROW($W$3),ROW()-23)):INDEX($W:$W,ROW()))</f>
        <v>37.541666666666664</v>
      </c>
      <c r="Y603" s="44">
        <f>_xlfn.STDEV.S(INDEX($W:$W,MAX(ROW($W$3),ROW()-23)):INDEX($W:$W,ROW()))</f>
        <v>27.806754210265982</v>
      </c>
      <c r="Z603" s="44">
        <f t="shared" si="56"/>
        <v>-0.77469187895053537</v>
      </c>
      <c r="AA603" s="40" t="b">
        <f t="shared" si="54"/>
        <v>0</v>
      </c>
    </row>
    <row r="604" spans="1:27" x14ac:dyDescent="0.3">
      <c r="A604" s="32">
        <v>602</v>
      </c>
      <c r="B604" s="33">
        <v>40571</v>
      </c>
      <c r="C604" s="40" t="str">
        <f t="shared" si="57"/>
        <v>Friday</v>
      </c>
      <c r="D604" s="28">
        <v>7</v>
      </c>
      <c r="E604" s="40" t="str" cm="1">
        <f t="array" ref="E604">_xlfn.IFS(D604&gt;=21,"Night",D604&gt;=17,"Evening",D604&gt;=12,"Midday",D604&gt;=6,"Morning", TRUE, "Night")</f>
        <v>Morning</v>
      </c>
      <c r="F604" s="28">
        <v>1</v>
      </c>
      <c r="G604" s="28">
        <v>0</v>
      </c>
      <c r="H604" s="28">
        <v>1</v>
      </c>
      <c r="I604" s="28">
        <v>5</v>
      </c>
      <c r="J604" s="40" t="str">
        <f t="shared" si="58"/>
        <v>Weekday</v>
      </c>
      <c r="K604" s="28" t="b">
        <v>0</v>
      </c>
      <c r="L604" s="28">
        <v>2</v>
      </c>
      <c r="M604" s="40" t="str" cm="1">
        <f t="array" ref="M604">_xlfn.IFS(L604=1,"Clear / Partly Cloudy",L604=2,"Mist / Cloudy",L604=3,"Light Snow / Rain",L604=4,"Heavy Precipitation")</f>
        <v>Mist / Cloudy</v>
      </c>
      <c r="N604" s="28">
        <v>0.16</v>
      </c>
      <c r="O604" s="28" t="str">
        <f t="shared" si="59"/>
        <v>Cold</v>
      </c>
      <c r="P604" s="28">
        <v>0.19700000000000001</v>
      </c>
      <c r="Q604" s="38">
        <f t="shared" si="55"/>
        <v>0.19700000000000001</v>
      </c>
      <c r="R604" s="28">
        <v>0.86</v>
      </c>
      <c r="S604" s="28">
        <v>8.9599999999999999E-2</v>
      </c>
      <c r="T604" s="40" t="str" cm="1">
        <f t="array" ref="T604">_xlfn.IFS(S604*18.6&lt;2,"Calm",S604*18.6&lt;6,"Light Breeze",S604*18.6&lt;14,"Gale",TRUE,"Extreme Storm")</f>
        <v>Calm</v>
      </c>
      <c r="U604" s="28">
        <v>2</v>
      </c>
      <c r="V604" s="28">
        <v>58</v>
      </c>
      <c r="W604" s="28">
        <v>60</v>
      </c>
      <c r="X604" s="44">
        <f>AVERAGE(INDEX($W:$W,MAX(ROW($W$3),ROW()-23)):INDEX($W:$W,ROW()))</f>
        <v>37.041666666666664</v>
      </c>
      <c r="Y604" s="44">
        <f>_xlfn.STDEV.S(INDEX($W:$W,MAX(ROW($W$3),ROW()-23)):INDEX($W:$W,ROW()))</f>
        <v>27.262777884342867</v>
      </c>
      <c r="Z604" s="44">
        <f t="shared" si="56"/>
        <v>0.84211276747841635</v>
      </c>
      <c r="AA604" s="40" t="b">
        <f t="shared" si="54"/>
        <v>0</v>
      </c>
    </row>
    <row r="605" spans="1:27" x14ac:dyDescent="0.3">
      <c r="A605" s="32">
        <v>603</v>
      </c>
      <c r="B605" s="33">
        <v>40571</v>
      </c>
      <c r="C605" s="40" t="str">
        <f t="shared" si="57"/>
        <v>Friday</v>
      </c>
      <c r="D605" s="28">
        <v>8</v>
      </c>
      <c r="E605" s="40" t="str" cm="1">
        <f t="array" ref="E605">_xlfn.IFS(D605&gt;=21,"Night",D605&gt;=17,"Evening",D605&gt;=12,"Midday",D605&gt;=6,"Morning", TRUE, "Night")</f>
        <v>Morning</v>
      </c>
      <c r="F605" s="28">
        <v>1</v>
      </c>
      <c r="G605" s="28">
        <v>0</v>
      </c>
      <c r="H605" s="28">
        <v>1</v>
      </c>
      <c r="I605" s="28">
        <v>5</v>
      </c>
      <c r="J605" s="40" t="str">
        <f t="shared" si="58"/>
        <v>Weekday</v>
      </c>
      <c r="K605" s="28" t="b">
        <v>0</v>
      </c>
      <c r="L605" s="28">
        <v>2</v>
      </c>
      <c r="M605" s="40" t="str" cm="1">
        <f t="array" ref="M605">_xlfn.IFS(L605=1,"Clear / Partly Cloudy",L605=2,"Mist / Cloudy",L605=3,"Light Snow / Rain",L605=4,"Heavy Precipitation")</f>
        <v>Mist / Cloudy</v>
      </c>
      <c r="N605" s="28">
        <v>0.16</v>
      </c>
      <c r="O605" s="28" t="str">
        <f t="shared" si="59"/>
        <v>Cold</v>
      </c>
      <c r="P605" s="28">
        <v>0.19700000000000001</v>
      </c>
      <c r="Q605" s="38">
        <f t="shared" si="55"/>
        <v>0.19700000000000001</v>
      </c>
      <c r="R605" s="28">
        <v>0.86</v>
      </c>
      <c r="S605" s="28">
        <v>8.9599999999999999E-2</v>
      </c>
      <c r="T605" s="40" t="str" cm="1">
        <f t="array" ref="T605">_xlfn.IFS(S605*18.6&lt;2,"Calm",S605*18.6&lt;6,"Light Breeze",S605*18.6&lt;14,"Gale",TRUE,"Extreme Storm")</f>
        <v>Calm</v>
      </c>
      <c r="U605" s="28">
        <v>2</v>
      </c>
      <c r="V605" s="28">
        <v>155</v>
      </c>
      <c r="W605" s="28">
        <v>157</v>
      </c>
      <c r="X605" s="44">
        <f>AVERAGE(INDEX($W:$W,MAX(ROW($W$3),ROW()-23)):INDEX($W:$W,ROW()))</f>
        <v>41.166666666666664</v>
      </c>
      <c r="Y605" s="44">
        <f>_xlfn.STDEV.S(INDEX($W:$W,MAX(ROW($W$3),ROW()-23)):INDEX($W:$W,ROW()))</f>
        <v>36.497369371154583</v>
      </c>
      <c r="Z605" s="44">
        <f t="shared" si="56"/>
        <v>3.1737447199381261</v>
      </c>
      <c r="AA605" s="40" t="b">
        <f t="shared" si="54"/>
        <v>1</v>
      </c>
    </row>
    <row r="606" spans="1:27" x14ac:dyDescent="0.3">
      <c r="A606" s="32">
        <v>604</v>
      </c>
      <c r="B606" s="33">
        <v>40571</v>
      </c>
      <c r="C606" s="40" t="str">
        <f t="shared" si="57"/>
        <v>Friday</v>
      </c>
      <c r="D606" s="28">
        <v>9</v>
      </c>
      <c r="E606" s="40" t="str" cm="1">
        <f t="array" ref="E606">_xlfn.IFS(D606&gt;=21,"Night",D606&gt;=17,"Evening",D606&gt;=12,"Midday",D606&gt;=6,"Morning", TRUE, "Night")</f>
        <v>Morning</v>
      </c>
      <c r="F606" s="28">
        <v>1</v>
      </c>
      <c r="G606" s="28">
        <v>0</v>
      </c>
      <c r="H606" s="28">
        <v>1</v>
      </c>
      <c r="I606" s="28">
        <v>5</v>
      </c>
      <c r="J606" s="40" t="str">
        <f t="shared" si="58"/>
        <v>Weekday</v>
      </c>
      <c r="K606" s="28" t="b">
        <v>0</v>
      </c>
      <c r="L606" s="28">
        <v>3</v>
      </c>
      <c r="M606" s="40" t="str" cm="1">
        <f t="array" ref="M606">_xlfn.IFS(L606=1,"Clear / Partly Cloudy",L606=2,"Mist / Cloudy",L606=3,"Light Snow / Rain",L606=4,"Heavy Precipitation")</f>
        <v>Light Snow / Rain</v>
      </c>
      <c r="N606" s="28">
        <v>0.18</v>
      </c>
      <c r="O606" s="28" t="str">
        <f t="shared" si="59"/>
        <v>Cold</v>
      </c>
      <c r="P606" s="28">
        <v>0.21210000000000001</v>
      </c>
      <c r="Q606" s="38">
        <f t="shared" si="55"/>
        <v>0.21210000000000001</v>
      </c>
      <c r="R606" s="28">
        <v>0.86</v>
      </c>
      <c r="S606" s="28">
        <v>8.9599999999999999E-2</v>
      </c>
      <c r="T606" s="40" t="str" cm="1">
        <f t="array" ref="T606">_xlfn.IFS(S606*18.6&lt;2,"Calm",S606*18.6&lt;6,"Light Breeze",S606*18.6&lt;14,"Gale",TRUE,"Extreme Storm")</f>
        <v>Calm</v>
      </c>
      <c r="U606" s="28">
        <v>6</v>
      </c>
      <c r="V606" s="28">
        <v>95</v>
      </c>
      <c r="W606" s="28">
        <v>101</v>
      </c>
      <c r="X606" s="44">
        <f>AVERAGE(INDEX($W:$W,MAX(ROW($W$3),ROW()-23)):INDEX($W:$W,ROW()))</f>
        <v>44.208333333333336</v>
      </c>
      <c r="Y606" s="44">
        <f>_xlfn.STDEV.S(INDEX($W:$W,MAX(ROW($W$3),ROW()-23)):INDEX($W:$W,ROW()))</f>
        <v>38.347358807827064</v>
      </c>
      <c r="Z606" s="44">
        <f t="shared" si="56"/>
        <v>1.4809798753356369</v>
      </c>
      <c r="AA606" s="40" t="b">
        <f t="shared" si="54"/>
        <v>0</v>
      </c>
    </row>
    <row r="607" spans="1:27" x14ac:dyDescent="0.3">
      <c r="A607" s="32">
        <v>605</v>
      </c>
      <c r="B607" s="33">
        <v>40571</v>
      </c>
      <c r="C607" s="40" t="str">
        <f t="shared" si="57"/>
        <v>Friday</v>
      </c>
      <c r="D607" s="28">
        <v>10</v>
      </c>
      <c r="E607" s="40" t="str" cm="1">
        <f t="array" ref="E607">_xlfn.IFS(D607&gt;=21,"Night",D607&gt;=17,"Evening",D607&gt;=12,"Midday",D607&gt;=6,"Morning", TRUE, "Night")</f>
        <v>Morning</v>
      </c>
      <c r="F607" s="28">
        <v>1</v>
      </c>
      <c r="G607" s="28">
        <v>0</v>
      </c>
      <c r="H607" s="28">
        <v>1</v>
      </c>
      <c r="I607" s="28">
        <v>5</v>
      </c>
      <c r="J607" s="40" t="str">
        <f t="shared" si="58"/>
        <v>Weekday</v>
      </c>
      <c r="K607" s="28" t="b">
        <v>0</v>
      </c>
      <c r="L607" s="28">
        <v>3</v>
      </c>
      <c r="M607" s="40" t="str" cm="1">
        <f t="array" ref="M607">_xlfn.IFS(L607=1,"Clear / Partly Cloudy",L607=2,"Mist / Cloudy",L607=3,"Light Snow / Rain",L607=4,"Heavy Precipitation")</f>
        <v>Light Snow / Rain</v>
      </c>
      <c r="N607" s="28">
        <v>0.18</v>
      </c>
      <c r="O607" s="28" t="str">
        <f t="shared" si="59"/>
        <v>Cold</v>
      </c>
      <c r="P607" s="28">
        <v>0.21210000000000001</v>
      </c>
      <c r="Q607" s="38">
        <f t="shared" si="55"/>
        <v>0.21210000000000001</v>
      </c>
      <c r="R607" s="28">
        <v>0.86</v>
      </c>
      <c r="S607" s="28">
        <v>0.1045</v>
      </c>
      <c r="T607" s="40" t="str" cm="1">
        <f t="array" ref="T607">_xlfn.IFS(S607*18.6&lt;2,"Calm",S607*18.6&lt;6,"Light Breeze",S607*18.6&lt;14,"Gale",TRUE,"Extreme Storm")</f>
        <v>Calm</v>
      </c>
      <c r="U607" s="28">
        <v>0</v>
      </c>
      <c r="V607" s="28">
        <v>49</v>
      </c>
      <c r="W607" s="28">
        <v>49</v>
      </c>
      <c r="X607" s="44">
        <f>AVERAGE(INDEX($W:$W,MAX(ROW($W$3),ROW()-23)):INDEX($W:$W,ROW()))</f>
        <v>44.541666666666664</v>
      </c>
      <c r="Y607" s="44">
        <f>_xlfn.STDEV.S(INDEX($W:$W,MAX(ROW($W$3),ROW()-23)):INDEX($W:$W,ROW()))</f>
        <v>38.353027392175022</v>
      </c>
      <c r="Z607" s="44">
        <f t="shared" si="56"/>
        <v>0.11624462621281749</v>
      </c>
      <c r="AA607" s="40" t="b">
        <f t="shared" si="54"/>
        <v>0</v>
      </c>
    </row>
    <row r="608" spans="1:27" x14ac:dyDescent="0.3">
      <c r="A608" s="32">
        <v>606</v>
      </c>
      <c r="B608" s="33">
        <v>40571</v>
      </c>
      <c r="C608" s="40" t="str">
        <f t="shared" si="57"/>
        <v>Friday</v>
      </c>
      <c r="D608" s="28">
        <v>11</v>
      </c>
      <c r="E608" s="40" t="str" cm="1">
        <f t="array" ref="E608">_xlfn.IFS(D608&gt;=21,"Night",D608&gt;=17,"Evening",D608&gt;=12,"Midday",D608&gt;=6,"Morning", TRUE, "Night")</f>
        <v>Morning</v>
      </c>
      <c r="F608" s="28">
        <v>1</v>
      </c>
      <c r="G608" s="28">
        <v>0</v>
      </c>
      <c r="H608" s="28">
        <v>1</v>
      </c>
      <c r="I608" s="28">
        <v>5</v>
      </c>
      <c r="J608" s="40" t="str">
        <f t="shared" si="58"/>
        <v>Weekday</v>
      </c>
      <c r="K608" s="28" t="b">
        <v>0</v>
      </c>
      <c r="L608" s="28">
        <v>3</v>
      </c>
      <c r="M608" s="40" t="str" cm="1">
        <f t="array" ref="M608">_xlfn.IFS(L608=1,"Clear / Partly Cloudy",L608=2,"Mist / Cloudy",L608=3,"Light Snow / Rain",L608=4,"Heavy Precipitation")</f>
        <v>Light Snow / Rain</v>
      </c>
      <c r="N608" s="28">
        <v>0.18</v>
      </c>
      <c r="O608" s="28" t="str">
        <f t="shared" si="59"/>
        <v>Cold</v>
      </c>
      <c r="P608" s="28">
        <v>0.21210000000000001</v>
      </c>
      <c r="Q608" s="38">
        <f t="shared" si="55"/>
        <v>0.21210000000000001</v>
      </c>
      <c r="R608" s="28">
        <v>0.93</v>
      </c>
      <c r="S608" s="28">
        <v>0.1045</v>
      </c>
      <c r="T608" s="40" t="str" cm="1">
        <f t="array" ref="T608">_xlfn.IFS(S608*18.6&lt;2,"Calm",S608*18.6&lt;6,"Light Breeze",S608*18.6&lt;14,"Gale",TRUE,"Extreme Storm")</f>
        <v>Calm</v>
      </c>
      <c r="U608" s="28">
        <v>0</v>
      </c>
      <c r="V608" s="28">
        <v>30</v>
      </c>
      <c r="W608" s="28">
        <v>30</v>
      </c>
      <c r="X608" s="44">
        <f>AVERAGE(INDEX($W:$W,MAX(ROW($W$3),ROW()-23)):INDEX($W:$W,ROW()))</f>
        <v>43.791666666666664</v>
      </c>
      <c r="Y608" s="44">
        <f>_xlfn.STDEV.S(INDEX($W:$W,MAX(ROW($W$3),ROW()-23)):INDEX($W:$W,ROW()))</f>
        <v>38.458310762001325</v>
      </c>
      <c r="Z608" s="44">
        <f t="shared" si="56"/>
        <v>-0.3586134282396381</v>
      </c>
      <c r="AA608" s="40" t="b">
        <f t="shared" si="54"/>
        <v>0</v>
      </c>
    </row>
    <row r="609" spans="1:27" x14ac:dyDescent="0.3">
      <c r="A609" s="32">
        <v>607</v>
      </c>
      <c r="B609" s="33">
        <v>40571</v>
      </c>
      <c r="C609" s="40" t="str">
        <f t="shared" si="57"/>
        <v>Friday</v>
      </c>
      <c r="D609" s="28">
        <v>12</v>
      </c>
      <c r="E609" s="40" t="str" cm="1">
        <f t="array" ref="E609">_xlfn.IFS(D609&gt;=21,"Night",D609&gt;=17,"Evening",D609&gt;=12,"Midday",D609&gt;=6,"Morning", TRUE, "Night")</f>
        <v>Midday</v>
      </c>
      <c r="F609" s="28">
        <v>1</v>
      </c>
      <c r="G609" s="28">
        <v>0</v>
      </c>
      <c r="H609" s="28">
        <v>1</v>
      </c>
      <c r="I609" s="28">
        <v>5</v>
      </c>
      <c r="J609" s="40" t="str">
        <f t="shared" si="58"/>
        <v>Weekday</v>
      </c>
      <c r="K609" s="28" t="b">
        <v>0</v>
      </c>
      <c r="L609" s="28">
        <v>3</v>
      </c>
      <c r="M609" s="40" t="str" cm="1">
        <f t="array" ref="M609">_xlfn.IFS(L609=1,"Clear / Partly Cloudy",L609=2,"Mist / Cloudy",L609=3,"Light Snow / Rain",L609=4,"Heavy Precipitation")</f>
        <v>Light Snow / Rain</v>
      </c>
      <c r="N609" s="28">
        <v>0.18</v>
      </c>
      <c r="O609" s="28" t="str">
        <f t="shared" si="59"/>
        <v>Cold</v>
      </c>
      <c r="P609" s="28">
        <v>0.21210000000000001</v>
      </c>
      <c r="Q609" s="38">
        <f t="shared" si="55"/>
        <v>0.21210000000000001</v>
      </c>
      <c r="R609" s="28">
        <v>0.93</v>
      </c>
      <c r="S609" s="28">
        <v>0.1045</v>
      </c>
      <c r="T609" s="40" t="str" cm="1">
        <f t="array" ref="T609">_xlfn.IFS(S609*18.6&lt;2,"Calm",S609*18.6&lt;6,"Light Breeze",S609*18.6&lt;14,"Gale",TRUE,"Extreme Storm")</f>
        <v>Calm</v>
      </c>
      <c r="U609" s="28">
        <v>1</v>
      </c>
      <c r="V609" s="28">
        <v>28</v>
      </c>
      <c r="W609" s="28">
        <v>29</v>
      </c>
      <c r="X609" s="44">
        <f>AVERAGE(INDEX($W:$W,MAX(ROW($W$3),ROW()-23)):INDEX($W:$W,ROW()))</f>
        <v>43.041666666666664</v>
      </c>
      <c r="Y609" s="44">
        <f>_xlfn.STDEV.S(INDEX($W:$W,MAX(ROW($W$3),ROW()-23)):INDEX($W:$W,ROW()))</f>
        <v>38.568379892552294</v>
      </c>
      <c r="Z609" s="44">
        <f t="shared" si="56"/>
        <v>-0.36407198606177815</v>
      </c>
      <c r="AA609" s="40" t="b">
        <f t="shared" si="54"/>
        <v>0</v>
      </c>
    </row>
    <row r="610" spans="1:27" x14ac:dyDescent="0.3">
      <c r="A610" s="32">
        <v>608</v>
      </c>
      <c r="B610" s="33">
        <v>40571</v>
      </c>
      <c r="C610" s="40" t="str">
        <f t="shared" si="57"/>
        <v>Friday</v>
      </c>
      <c r="D610" s="28">
        <v>13</v>
      </c>
      <c r="E610" s="40" t="str" cm="1">
        <f t="array" ref="E610">_xlfn.IFS(D610&gt;=21,"Night",D610&gt;=17,"Evening",D610&gt;=12,"Midday",D610&gt;=6,"Morning", TRUE, "Night")</f>
        <v>Midday</v>
      </c>
      <c r="F610" s="28">
        <v>1</v>
      </c>
      <c r="G610" s="28">
        <v>0</v>
      </c>
      <c r="H610" s="28">
        <v>1</v>
      </c>
      <c r="I610" s="28">
        <v>5</v>
      </c>
      <c r="J610" s="40" t="str">
        <f t="shared" si="58"/>
        <v>Weekday</v>
      </c>
      <c r="K610" s="28" t="b">
        <v>0</v>
      </c>
      <c r="L610" s="28">
        <v>3</v>
      </c>
      <c r="M610" s="40" t="str" cm="1">
        <f t="array" ref="M610">_xlfn.IFS(L610=1,"Clear / Partly Cloudy",L610=2,"Mist / Cloudy",L610=3,"Light Snow / Rain",L610=4,"Heavy Precipitation")</f>
        <v>Light Snow / Rain</v>
      </c>
      <c r="N610" s="28">
        <v>0.18</v>
      </c>
      <c r="O610" s="28" t="str">
        <f t="shared" si="59"/>
        <v>Cold</v>
      </c>
      <c r="P610" s="28">
        <v>0.21210000000000001</v>
      </c>
      <c r="Q610" s="38">
        <f t="shared" si="55"/>
        <v>0.21210000000000001</v>
      </c>
      <c r="R610" s="28">
        <v>0.93</v>
      </c>
      <c r="S610" s="28">
        <v>0.1045</v>
      </c>
      <c r="T610" s="40" t="str" cm="1">
        <f t="array" ref="T610">_xlfn.IFS(S610*18.6&lt;2,"Calm",S610*18.6&lt;6,"Light Breeze",S610*18.6&lt;14,"Gale",TRUE,"Extreme Storm")</f>
        <v>Calm</v>
      </c>
      <c r="U610" s="28">
        <v>0</v>
      </c>
      <c r="V610" s="28">
        <v>31</v>
      </c>
      <c r="W610" s="28">
        <v>31</v>
      </c>
      <c r="X610" s="44">
        <f>AVERAGE(INDEX($W:$W,MAX(ROW($W$3),ROW()-23)):INDEX($W:$W,ROW()))</f>
        <v>42.833333333333336</v>
      </c>
      <c r="Y610" s="44">
        <f>_xlfn.STDEV.S(INDEX($W:$W,MAX(ROW($W$3),ROW()-23)):INDEX($W:$W,ROW()))</f>
        <v>38.62153788245358</v>
      </c>
      <c r="Z610" s="44">
        <f t="shared" si="56"/>
        <v>-0.30639208022602898</v>
      </c>
      <c r="AA610" s="40" t="b">
        <f t="shared" si="54"/>
        <v>0</v>
      </c>
    </row>
    <row r="611" spans="1:27" x14ac:dyDescent="0.3">
      <c r="A611" s="32">
        <v>609</v>
      </c>
      <c r="B611" s="33">
        <v>40571</v>
      </c>
      <c r="C611" s="40" t="str">
        <f t="shared" si="57"/>
        <v>Friday</v>
      </c>
      <c r="D611" s="28">
        <v>14</v>
      </c>
      <c r="E611" s="40" t="str" cm="1">
        <f t="array" ref="E611">_xlfn.IFS(D611&gt;=21,"Night",D611&gt;=17,"Evening",D611&gt;=12,"Midday",D611&gt;=6,"Morning", TRUE, "Night")</f>
        <v>Midday</v>
      </c>
      <c r="F611" s="28">
        <v>1</v>
      </c>
      <c r="G611" s="28">
        <v>0</v>
      </c>
      <c r="H611" s="28">
        <v>1</v>
      </c>
      <c r="I611" s="28">
        <v>5</v>
      </c>
      <c r="J611" s="40" t="str">
        <f t="shared" si="58"/>
        <v>Weekday</v>
      </c>
      <c r="K611" s="28" t="b">
        <v>0</v>
      </c>
      <c r="L611" s="28">
        <v>3</v>
      </c>
      <c r="M611" s="40" t="str" cm="1">
        <f t="array" ref="M611">_xlfn.IFS(L611=1,"Clear / Partly Cloudy",L611=2,"Mist / Cloudy",L611=3,"Light Snow / Rain",L611=4,"Heavy Precipitation")</f>
        <v>Light Snow / Rain</v>
      </c>
      <c r="N611" s="28">
        <v>0.22</v>
      </c>
      <c r="O611" s="28" t="str">
        <f t="shared" si="59"/>
        <v>Mild</v>
      </c>
      <c r="P611" s="28">
        <v>0.2727</v>
      </c>
      <c r="Q611" s="38">
        <f t="shared" si="55"/>
        <v>0.2727</v>
      </c>
      <c r="R611" s="28">
        <v>0.8</v>
      </c>
      <c r="S611" s="28">
        <v>0</v>
      </c>
      <c r="T611" s="40" t="str" cm="1">
        <f t="array" ref="T611">_xlfn.IFS(S611*18.6&lt;2,"Calm",S611*18.6&lt;6,"Light Breeze",S611*18.6&lt;14,"Gale",TRUE,"Extreme Storm")</f>
        <v>Calm</v>
      </c>
      <c r="U611" s="28">
        <v>2</v>
      </c>
      <c r="V611" s="28">
        <v>36</v>
      </c>
      <c r="W611" s="28">
        <v>38</v>
      </c>
      <c r="X611" s="44">
        <f>AVERAGE(INDEX($W:$W,MAX(ROW($W$3),ROW()-23)):INDEX($W:$W,ROW()))</f>
        <v>42.625</v>
      </c>
      <c r="Y611" s="44">
        <f>_xlfn.STDEV.S(INDEX($W:$W,MAX(ROW($W$3),ROW()-23)):INDEX($W:$W,ROW()))</f>
        <v>38.634083285414548</v>
      </c>
      <c r="Z611" s="44">
        <f t="shared" si="56"/>
        <v>-0.11971294791265483</v>
      </c>
      <c r="AA611" s="40" t="b">
        <f t="shared" si="54"/>
        <v>0</v>
      </c>
    </row>
    <row r="612" spans="1:27" x14ac:dyDescent="0.3">
      <c r="A612" s="32">
        <v>610</v>
      </c>
      <c r="B612" s="33">
        <v>40571</v>
      </c>
      <c r="C612" s="40" t="str">
        <f t="shared" si="57"/>
        <v>Friday</v>
      </c>
      <c r="D612" s="28">
        <v>15</v>
      </c>
      <c r="E612" s="40" t="str" cm="1">
        <f t="array" ref="E612">_xlfn.IFS(D612&gt;=21,"Night",D612&gt;=17,"Evening",D612&gt;=12,"Midday",D612&gt;=6,"Morning", TRUE, "Night")</f>
        <v>Midday</v>
      </c>
      <c r="F612" s="28">
        <v>1</v>
      </c>
      <c r="G612" s="28">
        <v>0</v>
      </c>
      <c r="H612" s="28">
        <v>1</v>
      </c>
      <c r="I612" s="28">
        <v>5</v>
      </c>
      <c r="J612" s="40" t="str">
        <f t="shared" si="58"/>
        <v>Weekday</v>
      </c>
      <c r="K612" s="28" t="b">
        <v>0</v>
      </c>
      <c r="L612" s="28">
        <v>2</v>
      </c>
      <c r="M612" s="40" t="str" cm="1">
        <f t="array" ref="M612">_xlfn.IFS(L612=1,"Clear / Partly Cloudy",L612=2,"Mist / Cloudy",L612=3,"Light Snow / Rain",L612=4,"Heavy Precipitation")</f>
        <v>Mist / Cloudy</v>
      </c>
      <c r="N612" s="28">
        <v>0.2</v>
      </c>
      <c r="O612" s="28" t="str">
        <f t="shared" si="59"/>
        <v>Mild</v>
      </c>
      <c r="P612" s="28">
        <v>0.2576</v>
      </c>
      <c r="Q612" s="38">
        <f t="shared" si="55"/>
        <v>0.2576</v>
      </c>
      <c r="R612" s="28">
        <v>0.86</v>
      </c>
      <c r="S612" s="28">
        <v>0</v>
      </c>
      <c r="T612" s="40" t="str" cm="1">
        <f t="array" ref="T612">_xlfn.IFS(S612*18.6&lt;2,"Calm",S612*18.6&lt;6,"Light Breeze",S612*18.6&lt;14,"Gale",TRUE,"Extreme Storm")</f>
        <v>Calm</v>
      </c>
      <c r="U612" s="28">
        <v>1</v>
      </c>
      <c r="V612" s="28">
        <v>40</v>
      </c>
      <c r="W612" s="28">
        <v>41</v>
      </c>
      <c r="X612" s="44">
        <f>AVERAGE(INDEX($W:$W,MAX(ROW($W$3),ROW()-23)):INDEX($W:$W,ROW()))</f>
        <v>42.833333333333336</v>
      </c>
      <c r="Y612" s="44">
        <f>_xlfn.STDEV.S(INDEX($W:$W,MAX(ROW($W$3),ROW()-23)):INDEX($W:$W,ROW()))</f>
        <v>38.610278724562534</v>
      </c>
      <c r="Z612" s="44">
        <f t="shared" si="56"/>
        <v>-4.7483038037926209E-2</v>
      </c>
      <c r="AA612" s="40" t="b">
        <f t="shared" si="54"/>
        <v>0</v>
      </c>
    </row>
    <row r="613" spans="1:27" x14ac:dyDescent="0.3">
      <c r="A613" s="32">
        <v>611</v>
      </c>
      <c r="B613" s="33">
        <v>40571</v>
      </c>
      <c r="C613" s="40" t="str">
        <f t="shared" si="57"/>
        <v>Friday</v>
      </c>
      <c r="D613" s="28">
        <v>16</v>
      </c>
      <c r="E613" s="40" t="str" cm="1">
        <f t="array" ref="E613">_xlfn.IFS(D613&gt;=21,"Night",D613&gt;=17,"Evening",D613&gt;=12,"Midday",D613&gt;=6,"Morning", TRUE, "Night")</f>
        <v>Midday</v>
      </c>
      <c r="F613" s="28">
        <v>1</v>
      </c>
      <c r="G613" s="28">
        <v>0</v>
      </c>
      <c r="H613" s="28">
        <v>1</v>
      </c>
      <c r="I613" s="28">
        <v>5</v>
      </c>
      <c r="J613" s="40" t="str">
        <f t="shared" si="58"/>
        <v>Weekday</v>
      </c>
      <c r="K613" s="28" t="b">
        <v>0</v>
      </c>
      <c r="L613" s="28">
        <v>1</v>
      </c>
      <c r="M613" s="40" t="str" cm="1">
        <f t="array" ref="M613">_xlfn.IFS(L613=1,"Clear / Partly Cloudy",L613=2,"Mist / Cloudy",L613=3,"Light Snow / Rain",L613=4,"Heavy Precipitation")</f>
        <v>Clear / Partly Cloudy</v>
      </c>
      <c r="N613" s="28">
        <v>0.22</v>
      </c>
      <c r="O613" s="28" t="str">
        <f t="shared" si="59"/>
        <v>Mild</v>
      </c>
      <c r="P613" s="28">
        <v>0.2727</v>
      </c>
      <c r="Q613" s="38">
        <f t="shared" si="55"/>
        <v>0.2727</v>
      </c>
      <c r="R613" s="28">
        <v>0.8</v>
      </c>
      <c r="S613" s="28">
        <v>0</v>
      </c>
      <c r="T613" s="40" t="str" cm="1">
        <f t="array" ref="T613">_xlfn.IFS(S613*18.6&lt;2,"Calm",S613*18.6&lt;6,"Light Breeze",S613*18.6&lt;14,"Gale",TRUE,"Extreme Storm")</f>
        <v>Calm</v>
      </c>
      <c r="U613" s="28">
        <v>10</v>
      </c>
      <c r="V613" s="28">
        <v>70</v>
      </c>
      <c r="W613" s="28">
        <v>80</v>
      </c>
      <c r="X613" s="44">
        <f>AVERAGE(INDEX($W:$W,MAX(ROW($W$3),ROW()-23)):INDEX($W:$W,ROW()))</f>
        <v>45.083333333333336</v>
      </c>
      <c r="Y613" s="44">
        <f>_xlfn.STDEV.S(INDEX($W:$W,MAX(ROW($W$3),ROW()-23)):INDEX($W:$W,ROW()))</f>
        <v>39.156227409283652</v>
      </c>
      <c r="Z613" s="44">
        <f t="shared" si="56"/>
        <v>0.89172703748237458</v>
      </c>
      <c r="AA613" s="40" t="b">
        <f t="shared" si="54"/>
        <v>0</v>
      </c>
    </row>
    <row r="614" spans="1:27" x14ac:dyDescent="0.3">
      <c r="A614" s="32">
        <v>612</v>
      </c>
      <c r="B614" s="33">
        <v>40571</v>
      </c>
      <c r="C614" s="40" t="str">
        <f t="shared" si="57"/>
        <v>Friday</v>
      </c>
      <c r="D614" s="28">
        <v>17</v>
      </c>
      <c r="E614" s="40" t="str" cm="1">
        <f t="array" ref="E614">_xlfn.IFS(D614&gt;=21,"Night",D614&gt;=17,"Evening",D614&gt;=12,"Midday",D614&gt;=6,"Morning", TRUE, "Night")</f>
        <v>Evening</v>
      </c>
      <c r="F614" s="28">
        <v>1</v>
      </c>
      <c r="G614" s="28">
        <v>0</v>
      </c>
      <c r="H614" s="28">
        <v>1</v>
      </c>
      <c r="I614" s="28">
        <v>5</v>
      </c>
      <c r="J614" s="40" t="str">
        <f t="shared" si="58"/>
        <v>Weekday</v>
      </c>
      <c r="K614" s="28" t="b">
        <v>0</v>
      </c>
      <c r="L614" s="28">
        <v>1</v>
      </c>
      <c r="M614" s="40" t="str" cm="1">
        <f t="array" ref="M614">_xlfn.IFS(L614=1,"Clear / Partly Cloudy",L614=2,"Mist / Cloudy",L614=3,"Light Snow / Rain",L614=4,"Heavy Precipitation")</f>
        <v>Clear / Partly Cloudy</v>
      </c>
      <c r="N614" s="28">
        <v>0.24</v>
      </c>
      <c r="O614" s="28" t="str">
        <f t="shared" si="59"/>
        <v>Mild</v>
      </c>
      <c r="P614" s="28">
        <v>0.2424</v>
      </c>
      <c r="Q614" s="38">
        <f t="shared" si="55"/>
        <v>0.2424</v>
      </c>
      <c r="R614" s="28">
        <v>0.75</v>
      </c>
      <c r="S614" s="28">
        <v>0.1343</v>
      </c>
      <c r="T614" s="40" t="str" cm="1">
        <f t="array" ref="T614">_xlfn.IFS(S614*18.6&lt;2,"Calm",S614*18.6&lt;6,"Light Breeze",S614*18.6&lt;14,"Gale",TRUE,"Extreme Storm")</f>
        <v>Light Breeze</v>
      </c>
      <c r="U614" s="28">
        <v>2</v>
      </c>
      <c r="V614" s="28">
        <v>147</v>
      </c>
      <c r="W614" s="28">
        <v>149</v>
      </c>
      <c r="X614" s="44">
        <f>AVERAGE(INDEX($W:$W,MAX(ROW($W$3),ROW()-23)):INDEX($W:$W,ROW()))</f>
        <v>50.291666666666664</v>
      </c>
      <c r="Y614" s="44">
        <f>_xlfn.STDEV.S(INDEX($W:$W,MAX(ROW($W$3),ROW()-23)):INDEX($W:$W,ROW()))</f>
        <v>44.216344771221607</v>
      </c>
      <c r="Z614" s="44">
        <f t="shared" si="56"/>
        <v>2.2323946912404682</v>
      </c>
      <c r="AA614" s="40" t="b">
        <f t="shared" si="54"/>
        <v>0</v>
      </c>
    </row>
    <row r="615" spans="1:27" x14ac:dyDescent="0.3">
      <c r="A615" s="32">
        <v>613</v>
      </c>
      <c r="B615" s="33">
        <v>40571</v>
      </c>
      <c r="C615" s="40" t="str">
        <f t="shared" si="57"/>
        <v>Friday</v>
      </c>
      <c r="D615" s="28">
        <v>18</v>
      </c>
      <c r="E615" s="40" t="str" cm="1">
        <f t="array" ref="E615">_xlfn.IFS(D615&gt;=21,"Night",D615&gt;=17,"Evening",D615&gt;=12,"Midday",D615&gt;=6,"Morning", TRUE, "Night")</f>
        <v>Evening</v>
      </c>
      <c r="F615" s="28">
        <v>1</v>
      </c>
      <c r="G615" s="28">
        <v>0</v>
      </c>
      <c r="H615" s="28">
        <v>1</v>
      </c>
      <c r="I615" s="28">
        <v>5</v>
      </c>
      <c r="J615" s="40" t="str">
        <f t="shared" si="58"/>
        <v>Weekday</v>
      </c>
      <c r="K615" s="28" t="b">
        <v>0</v>
      </c>
      <c r="L615" s="28">
        <v>1</v>
      </c>
      <c r="M615" s="40" t="str" cm="1">
        <f t="array" ref="M615">_xlfn.IFS(L615=1,"Clear / Partly Cloudy",L615=2,"Mist / Cloudy",L615=3,"Light Snow / Rain",L615=4,"Heavy Precipitation")</f>
        <v>Clear / Partly Cloudy</v>
      </c>
      <c r="N615" s="28">
        <v>0.24</v>
      </c>
      <c r="O615" s="28" t="str">
        <f t="shared" si="59"/>
        <v>Mild</v>
      </c>
      <c r="P615" s="28">
        <v>0.2273</v>
      </c>
      <c r="Q615" s="38">
        <f t="shared" si="55"/>
        <v>0.2273</v>
      </c>
      <c r="R615" s="28">
        <v>0.75</v>
      </c>
      <c r="S615" s="28">
        <v>0.19400000000000001</v>
      </c>
      <c r="T615" s="40" t="str" cm="1">
        <f t="array" ref="T615">_xlfn.IFS(S615*18.6&lt;2,"Calm",S615*18.6&lt;6,"Light Breeze",S615*18.6&lt;14,"Gale",TRUE,"Extreme Storm")</f>
        <v>Light Breeze</v>
      </c>
      <c r="U615" s="28">
        <v>2</v>
      </c>
      <c r="V615" s="28">
        <v>107</v>
      </c>
      <c r="W615" s="28">
        <v>109</v>
      </c>
      <c r="X615" s="44">
        <f>AVERAGE(INDEX($W:$W,MAX(ROW($W$3),ROW()-23)):INDEX($W:$W,ROW()))</f>
        <v>51.333333333333336</v>
      </c>
      <c r="Y615" s="44">
        <f>_xlfn.STDEV.S(INDEX($W:$W,MAX(ROW($W$3),ROW()-23)):INDEX($W:$W,ROW()))</f>
        <v>45.325553467127676</v>
      </c>
      <c r="Z615" s="44">
        <f t="shared" si="56"/>
        <v>1.2722771649879439</v>
      </c>
      <c r="AA615" s="40" t="b">
        <f t="shared" si="54"/>
        <v>0</v>
      </c>
    </row>
    <row r="616" spans="1:27" x14ac:dyDescent="0.3">
      <c r="A616" s="32">
        <v>614</v>
      </c>
      <c r="B616" s="33">
        <v>40571</v>
      </c>
      <c r="C616" s="40" t="str">
        <f t="shared" si="57"/>
        <v>Friday</v>
      </c>
      <c r="D616" s="28">
        <v>19</v>
      </c>
      <c r="E616" s="40" t="str" cm="1">
        <f t="array" ref="E616">_xlfn.IFS(D616&gt;=21,"Night",D616&gt;=17,"Evening",D616&gt;=12,"Midday",D616&gt;=6,"Morning", TRUE, "Night")</f>
        <v>Evening</v>
      </c>
      <c r="F616" s="28">
        <v>1</v>
      </c>
      <c r="G616" s="28">
        <v>0</v>
      </c>
      <c r="H616" s="28">
        <v>1</v>
      </c>
      <c r="I616" s="28">
        <v>5</v>
      </c>
      <c r="J616" s="40" t="str">
        <f t="shared" si="58"/>
        <v>Weekday</v>
      </c>
      <c r="K616" s="28" t="b">
        <v>0</v>
      </c>
      <c r="L616" s="28">
        <v>2</v>
      </c>
      <c r="M616" s="40" t="str" cm="1">
        <f t="array" ref="M616">_xlfn.IFS(L616=1,"Clear / Partly Cloudy",L616=2,"Mist / Cloudy",L616=3,"Light Snow / Rain",L616=4,"Heavy Precipitation")</f>
        <v>Mist / Cloudy</v>
      </c>
      <c r="N616" s="28">
        <v>0.24</v>
      </c>
      <c r="O616" s="28" t="str">
        <f t="shared" si="59"/>
        <v>Mild</v>
      </c>
      <c r="P616" s="28">
        <v>0.2424</v>
      </c>
      <c r="Q616" s="38">
        <f t="shared" si="55"/>
        <v>0.2424</v>
      </c>
      <c r="R616" s="28">
        <v>0.75</v>
      </c>
      <c r="S616" s="28">
        <v>0.1343</v>
      </c>
      <c r="T616" s="40" t="str" cm="1">
        <f t="array" ref="T616">_xlfn.IFS(S616*18.6&lt;2,"Calm",S616*18.6&lt;6,"Light Breeze",S616*18.6&lt;14,"Gale",TRUE,"Extreme Storm")</f>
        <v>Light Breeze</v>
      </c>
      <c r="U616" s="28">
        <v>5</v>
      </c>
      <c r="V616" s="28">
        <v>84</v>
      </c>
      <c r="W616" s="28">
        <v>89</v>
      </c>
      <c r="X616" s="44">
        <f>AVERAGE(INDEX($W:$W,MAX(ROW($W$3),ROW()-23)):INDEX($W:$W,ROW()))</f>
        <v>50.708333333333336</v>
      </c>
      <c r="Y616" s="44">
        <f>_xlfn.STDEV.S(INDEX($W:$W,MAX(ROW($W$3),ROW()-23)):INDEX($W:$W,ROW()))</f>
        <v>44.666375999486867</v>
      </c>
      <c r="Z616" s="44">
        <f t="shared" si="56"/>
        <v>0.85728169814149602</v>
      </c>
      <c r="AA616" s="40" t="b">
        <f t="shared" si="54"/>
        <v>0</v>
      </c>
    </row>
    <row r="617" spans="1:27" x14ac:dyDescent="0.3">
      <c r="A617" s="32">
        <v>615</v>
      </c>
      <c r="B617" s="33">
        <v>40571</v>
      </c>
      <c r="C617" s="40" t="str">
        <f t="shared" si="57"/>
        <v>Friday</v>
      </c>
      <c r="D617" s="28">
        <v>20</v>
      </c>
      <c r="E617" s="40" t="str" cm="1">
        <f t="array" ref="E617">_xlfn.IFS(D617&gt;=21,"Night",D617&gt;=17,"Evening",D617&gt;=12,"Midday",D617&gt;=6,"Morning", TRUE, "Night")</f>
        <v>Evening</v>
      </c>
      <c r="F617" s="28">
        <v>1</v>
      </c>
      <c r="G617" s="28">
        <v>0</v>
      </c>
      <c r="H617" s="28">
        <v>1</v>
      </c>
      <c r="I617" s="28">
        <v>5</v>
      </c>
      <c r="J617" s="40" t="str">
        <f t="shared" si="58"/>
        <v>Weekday</v>
      </c>
      <c r="K617" s="28" t="b">
        <v>0</v>
      </c>
      <c r="L617" s="28">
        <v>2</v>
      </c>
      <c r="M617" s="40" t="str" cm="1">
        <f t="array" ref="M617">_xlfn.IFS(L617=1,"Clear / Partly Cloudy",L617=2,"Mist / Cloudy",L617=3,"Light Snow / Rain",L617=4,"Heavy Precipitation")</f>
        <v>Mist / Cloudy</v>
      </c>
      <c r="N617" s="28">
        <v>0.24</v>
      </c>
      <c r="O617" s="28" t="str">
        <f t="shared" si="59"/>
        <v>Mild</v>
      </c>
      <c r="P617" s="28">
        <v>0.2273</v>
      </c>
      <c r="Q617" s="38">
        <f t="shared" si="55"/>
        <v>0.2273</v>
      </c>
      <c r="R617" s="28">
        <v>0.7</v>
      </c>
      <c r="S617" s="28">
        <v>0.19400000000000001</v>
      </c>
      <c r="T617" s="40" t="str" cm="1">
        <f t="array" ref="T617">_xlfn.IFS(S617*18.6&lt;2,"Calm",S617*18.6&lt;6,"Light Breeze",S617*18.6&lt;14,"Gale",TRUE,"Extreme Storm")</f>
        <v>Light Breeze</v>
      </c>
      <c r="U617" s="28">
        <v>1</v>
      </c>
      <c r="V617" s="28">
        <v>61</v>
      </c>
      <c r="W617" s="28">
        <v>62</v>
      </c>
      <c r="X617" s="44">
        <f>AVERAGE(INDEX($W:$W,MAX(ROW($W$3),ROW()-23)):INDEX($W:$W,ROW()))</f>
        <v>50</v>
      </c>
      <c r="Y617" s="44">
        <f>_xlfn.STDEV.S(INDEX($W:$W,MAX(ROW($W$3),ROW()-23)):INDEX($W:$W,ROW()))</f>
        <v>44.331753268126981</v>
      </c>
      <c r="Z617" s="44">
        <f t="shared" si="56"/>
        <v>0.27068633914435303</v>
      </c>
      <c r="AA617" s="40" t="b">
        <f t="shared" si="54"/>
        <v>0</v>
      </c>
    </row>
    <row r="618" spans="1:27" x14ac:dyDescent="0.3">
      <c r="A618" s="32">
        <v>616</v>
      </c>
      <c r="B618" s="33">
        <v>40571</v>
      </c>
      <c r="C618" s="40" t="str">
        <f t="shared" si="57"/>
        <v>Friday</v>
      </c>
      <c r="D618" s="28">
        <v>21</v>
      </c>
      <c r="E618" s="40" t="str" cm="1">
        <f t="array" ref="E618">_xlfn.IFS(D618&gt;=21,"Night",D618&gt;=17,"Evening",D618&gt;=12,"Midday",D618&gt;=6,"Morning", TRUE, "Night")</f>
        <v>Night</v>
      </c>
      <c r="F618" s="28">
        <v>1</v>
      </c>
      <c r="G618" s="28">
        <v>0</v>
      </c>
      <c r="H618" s="28">
        <v>1</v>
      </c>
      <c r="I618" s="28">
        <v>5</v>
      </c>
      <c r="J618" s="40" t="str">
        <f t="shared" si="58"/>
        <v>Weekday</v>
      </c>
      <c r="K618" s="28" t="b">
        <v>0</v>
      </c>
      <c r="L618" s="28">
        <v>2</v>
      </c>
      <c r="M618" s="40" t="str" cm="1">
        <f t="array" ref="M618">_xlfn.IFS(L618=1,"Clear / Partly Cloudy",L618=2,"Mist / Cloudy",L618=3,"Light Snow / Rain",L618=4,"Heavy Precipitation")</f>
        <v>Mist / Cloudy</v>
      </c>
      <c r="N618" s="28">
        <v>0.22</v>
      </c>
      <c r="O618" s="28" t="str">
        <f t="shared" si="59"/>
        <v>Mild</v>
      </c>
      <c r="P618" s="28">
        <v>0.2273</v>
      </c>
      <c r="Q618" s="38">
        <f t="shared" si="55"/>
        <v>0.2273</v>
      </c>
      <c r="R618" s="28">
        <v>0.75</v>
      </c>
      <c r="S618" s="28">
        <v>0.1343</v>
      </c>
      <c r="T618" s="40" t="str" cm="1">
        <f t="array" ref="T618">_xlfn.IFS(S618*18.6&lt;2,"Calm",S618*18.6&lt;6,"Light Breeze",S618*18.6&lt;14,"Gale",TRUE,"Extreme Storm")</f>
        <v>Light Breeze</v>
      </c>
      <c r="U618" s="28">
        <v>1</v>
      </c>
      <c r="V618" s="28">
        <v>57</v>
      </c>
      <c r="W618" s="28">
        <v>58</v>
      </c>
      <c r="X618" s="44">
        <f>AVERAGE(INDEX($W:$W,MAX(ROW($W$3),ROW()-23)):INDEX($W:$W,ROW()))</f>
        <v>49.958333333333336</v>
      </c>
      <c r="Y618" s="44">
        <f>_xlfn.STDEV.S(INDEX($W:$W,MAX(ROW($W$3),ROW()-23)):INDEX($W:$W,ROW()))</f>
        <v>44.323395693438265</v>
      </c>
      <c r="Z618" s="44">
        <f t="shared" si="56"/>
        <v>0.18143164667000392</v>
      </c>
      <c r="AA618" s="40" t="b">
        <f t="shared" si="54"/>
        <v>0</v>
      </c>
    </row>
    <row r="619" spans="1:27" x14ac:dyDescent="0.3">
      <c r="A619" s="32">
        <v>617</v>
      </c>
      <c r="B619" s="33">
        <v>40571</v>
      </c>
      <c r="C619" s="40" t="str">
        <f t="shared" si="57"/>
        <v>Friday</v>
      </c>
      <c r="D619" s="28">
        <v>22</v>
      </c>
      <c r="E619" s="40" t="str" cm="1">
        <f t="array" ref="E619">_xlfn.IFS(D619&gt;=21,"Night",D619&gt;=17,"Evening",D619&gt;=12,"Midday",D619&gt;=6,"Morning", TRUE, "Night")</f>
        <v>Night</v>
      </c>
      <c r="F619" s="28">
        <v>1</v>
      </c>
      <c r="G619" s="28">
        <v>0</v>
      </c>
      <c r="H619" s="28">
        <v>1</v>
      </c>
      <c r="I619" s="28">
        <v>5</v>
      </c>
      <c r="J619" s="40" t="str">
        <f t="shared" si="58"/>
        <v>Weekday</v>
      </c>
      <c r="K619" s="28" t="b">
        <v>0</v>
      </c>
      <c r="L619" s="28">
        <v>1</v>
      </c>
      <c r="M619" s="40" t="str" cm="1">
        <f t="array" ref="M619">_xlfn.IFS(L619=1,"Clear / Partly Cloudy",L619=2,"Mist / Cloudy",L619=3,"Light Snow / Rain",L619=4,"Heavy Precipitation")</f>
        <v>Clear / Partly Cloudy</v>
      </c>
      <c r="N619" s="28">
        <v>0.24</v>
      </c>
      <c r="O619" s="28" t="str">
        <f t="shared" si="59"/>
        <v>Mild</v>
      </c>
      <c r="P619" s="28">
        <v>0.21210000000000001</v>
      </c>
      <c r="Q619" s="38">
        <f t="shared" si="55"/>
        <v>0.21210000000000001</v>
      </c>
      <c r="R619" s="28">
        <v>0.65</v>
      </c>
      <c r="S619" s="28">
        <v>0.35820000000000002</v>
      </c>
      <c r="T619" s="40" t="str" cm="1">
        <f t="array" ref="T619">_xlfn.IFS(S619*18.6&lt;2,"Calm",S619*18.6&lt;6,"Light Breeze",S619*18.6&lt;14,"Gale",TRUE,"Extreme Storm")</f>
        <v>Gale</v>
      </c>
      <c r="U619" s="28">
        <v>0</v>
      </c>
      <c r="V619" s="28">
        <v>26</v>
      </c>
      <c r="W619" s="28">
        <v>26</v>
      </c>
      <c r="X619" s="44">
        <f>AVERAGE(INDEX($W:$W,MAX(ROW($W$3),ROW()-23)):INDEX($W:$W,ROW()))</f>
        <v>49.458333333333336</v>
      </c>
      <c r="Y619" s="44">
        <f>_xlfn.STDEV.S(INDEX($W:$W,MAX(ROW($W$3),ROW()-23)):INDEX($W:$W,ROW()))</f>
        <v>44.531355994025901</v>
      </c>
      <c r="Z619" s="44">
        <f t="shared" si="56"/>
        <v>-0.52678237187478383</v>
      </c>
      <c r="AA619" s="40" t="b">
        <f t="shared" si="54"/>
        <v>0</v>
      </c>
    </row>
    <row r="620" spans="1:27" x14ac:dyDescent="0.3">
      <c r="A620" s="32">
        <v>618</v>
      </c>
      <c r="B620" s="33">
        <v>40571</v>
      </c>
      <c r="C620" s="40" t="str">
        <f t="shared" si="57"/>
        <v>Friday</v>
      </c>
      <c r="D620" s="28">
        <v>23</v>
      </c>
      <c r="E620" s="40" t="str" cm="1">
        <f t="array" ref="E620">_xlfn.IFS(D620&gt;=21,"Night",D620&gt;=17,"Evening",D620&gt;=12,"Midday",D620&gt;=6,"Morning", TRUE, "Night")</f>
        <v>Night</v>
      </c>
      <c r="F620" s="28">
        <v>1</v>
      </c>
      <c r="G620" s="28">
        <v>0</v>
      </c>
      <c r="H620" s="28">
        <v>1</v>
      </c>
      <c r="I620" s="28">
        <v>5</v>
      </c>
      <c r="J620" s="40" t="str">
        <f t="shared" si="58"/>
        <v>Weekday</v>
      </c>
      <c r="K620" s="28" t="b">
        <v>0</v>
      </c>
      <c r="L620" s="28">
        <v>1</v>
      </c>
      <c r="M620" s="40" t="str" cm="1">
        <f t="array" ref="M620">_xlfn.IFS(L620=1,"Clear / Partly Cloudy",L620=2,"Mist / Cloudy",L620=3,"Light Snow / Rain",L620=4,"Heavy Precipitation")</f>
        <v>Clear / Partly Cloudy</v>
      </c>
      <c r="N620" s="28">
        <v>0.24</v>
      </c>
      <c r="O620" s="28" t="str">
        <f t="shared" si="59"/>
        <v>Mild</v>
      </c>
      <c r="P620" s="28">
        <v>0.2273</v>
      </c>
      <c r="Q620" s="38">
        <f t="shared" si="55"/>
        <v>0.2273</v>
      </c>
      <c r="R620" s="28">
        <v>0.6</v>
      </c>
      <c r="S620" s="28">
        <v>0.22389999999999999</v>
      </c>
      <c r="T620" s="40" t="str" cm="1">
        <f t="array" ref="T620">_xlfn.IFS(S620*18.6&lt;2,"Calm",S620*18.6&lt;6,"Light Breeze",S620*18.6&lt;14,"Gale",TRUE,"Extreme Storm")</f>
        <v>Light Breeze</v>
      </c>
      <c r="U620" s="28">
        <v>1</v>
      </c>
      <c r="V620" s="28">
        <v>22</v>
      </c>
      <c r="W620" s="28">
        <v>23</v>
      </c>
      <c r="X620" s="44">
        <f>AVERAGE(INDEX($W:$W,MAX(ROW($W$3),ROW()-23)):INDEX($W:$W,ROW()))</f>
        <v>49.291666666666664</v>
      </c>
      <c r="Y620" s="44">
        <f>_xlfn.STDEV.S(INDEX($W:$W,MAX(ROW($W$3),ROW()-23)):INDEX($W:$W,ROW()))</f>
        <v>44.62644874439632</v>
      </c>
      <c r="Z620" s="44">
        <f t="shared" si="56"/>
        <v>-0.58914987426527121</v>
      </c>
      <c r="AA620" s="40" t="b">
        <f t="shared" si="54"/>
        <v>0</v>
      </c>
    </row>
    <row r="621" spans="1:27" x14ac:dyDescent="0.3">
      <c r="A621" s="32">
        <v>619</v>
      </c>
      <c r="B621" s="33">
        <v>40572</v>
      </c>
      <c r="C621" s="40" t="str">
        <f t="shared" si="57"/>
        <v>Saturday</v>
      </c>
      <c r="D621" s="28">
        <v>0</v>
      </c>
      <c r="E621" s="40" t="str" cm="1">
        <f t="array" ref="E621">_xlfn.IFS(D621&gt;=21,"Night",D621&gt;=17,"Evening",D621&gt;=12,"Midday",D621&gt;=6,"Morning", TRUE, "Night")</f>
        <v>Night</v>
      </c>
      <c r="F621" s="28">
        <v>1</v>
      </c>
      <c r="G621" s="28">
        <v>0</v>
      </c>
      <c r="H621" s="28">
        <v>1</v>
      </c>
      <c r="I621" s="28">
        <v>6</v>
      </c>
      <c r="J621" s="40" t="str">
        <f t="shared" si="58"/>
        <v>Weekday</v>
      </c>
      <c r="K621" s="28" t="b">
        <v>0</v>
      </c>
      <c r="L621" s="28">
        <v>1</v>
      </c>
      <c r="M621" s="40" t="str" cm="1">
        <f t="array" ref="M621">_xlfn.IFS(L621=1,"Clear / Partly Cloudy",L621=2,"Mist / Cloudy",L621=3,"Light Snow / Rain",L621=4,"Heavy Precipitation")</f>
        <v>Clear / Partly Cloudy</v>
      </c>
      <c r="N621" s="28">
        <v>0.22</v>
      </c>
      <c r="O621" s="28" t="str">
        <f t="shared" si="59"/>
        <v>Mild</v>
      </c>
      <c r="P621" s="28">
        <v>0.19700000000000001</v>
      </c>
      <c r="Q621" s="38">
        <f t="shared" si="55"/>
        <v>0.19700000000000001</v>
      </c>
      <c r="R621" s="28">
        <v>0.64</v>
      </c>
      <c r="S621" s="28">
        <v>0.35820000000000002</v>
      </c>
      <c r="T621" s="40" t="str" cm="1">
        <f t="array" ref="T621">_xlfn.IFS(S621*18.6&lt;2,"Calm",S621*18.6&lt;6,"Light Breeze",S621*18.6&lt;14,"Gale",TRUE,"Extreme Storm")</f>
        <v>Gale</v>
      </c>
      <c r="U621" s="28">
        <v>2</v>
      </c>
      <c r="V621" s="28">
        <v>26</v>
      </c>
      <c r="W621" s="28">
        <v>28</v>
      </c>
      <c r="X621" s="44">
        <f>AVERAGE(INDEX($W:$W,MAX(ROW($W$3),ROW()-23)):INDEX($W:$W,ROW()))</f>
        <v>49.791666666666664</v>
      </c>
      <c r="Y621" s="44">
        <f>_xlfn.STDEV.S(INDEX($W:$W,MAX(ROW($W$3),ROW()-23)):INDEX($W:$W,ROW()))</f>
        <v>44.303282012752163</v>
      </c>
      <c r="Z621" s="44">
        <f t="shared" si="56"/>
        <v>-0.49187477037015442</v>
      </c>
      <c r="AA621" s="40" t="b">
        <f t="shared" si="54"/>
        <v>0</v>
      </c>
    </row>
    <row r="622" spans="1:27" x14ac:dyDescent="0.3">
      <c r="A622" s="32">
        <v>620</v>
      </c>
      <c r="B622" s="33">
        <v>40572</v>
      </c>
      <c r="C622" s="40" t="str">
        <f t="shared" si="57"/>
        <v>Saturday</v>
      </c>
      <c r="D622" s="28">
        <v>1</v>
      </c>
      <c r="E622" s="40" t="str" cm="1">
        <f t="array" ref="E622">_xlfn.IFS(D622&gt;=21,"Night",D622&gt;=17,"Evening",D622&gt;=12,"Midday",D622&gt;=6,"Morning", TRUE, "Night")</f>
        <v>Night</v>
      </c>
      <c r="F622" s="28">
        <v>1</v>
      </c>
      <c r="G622" s="28">
        <v>0</v>
      </c>
      <c r="H622" s="28">
        <v>1</v>
      </c>
      <c r="I622" s="28">
        <v>6</v>
      </c>
      <c r="J622" s="40" t="str">
        <f t="shared" si="58"/>
        <v>Weekday</v>
      </c>
      <c r="K622" s="28" t="b">
        <v>0</v>
      </c>
      <c r="L622" s="28">
        <v>1</v>
      </c>
      <c r="M622" s="40" t="str" cm="1">
        <f t="array" ref="M622">_xlfn.IFS(L622=1,"Clear / Partly Cloudy",L622=2,"Mist / Cloudy",L622=3,"Light Snow / Rain",L622=4,"Heavy Precipitation")</f>
        <v>Clear / Partly Cloudy</v>
      </c>
      <c r="N622" s="28">
        <v>0.22</v>
      </c>
      <c r="O622" s="28" t="str">
        <f t="shared" si="59"/>
        <v>Mild</v>
      </c>
      <c r="P622" s="28">
        <v>0.2273</v>
      </c>
      <c r="Q622" s="38">
        <f t="shared" si="55"/>
        <v>0.2273</v>
      </c>
      <c r="R622" s="28">
        <v>0.64</v>
      </c>
      <c r="S622" s="28">
        <v>0.19400000000000001</v>
      </c>
      <c r="T622" s="40" t="str" cm="1">
        <f t="array" ref="T622">_xlfn.IFS(S622*18.6&lt;2,"Calm",S622*18.6&lt;6,"Light Breeze",S622*18.6&lt;14,"Gale",TRUE,"Extreme Storm")</f>
        <v>Light Breeze</v>
      </c>
      <c r="U622" s="28">
        <v>0</v>
      </c>
      <c r="V622" s="28">
        <v>20</v>
      </c>
      <c r="W622" s="28">
        <v>20</v>
      </c>
      <c r="X622" s="44">
        <f>AVERAGE(INDEX($W:$W,MAX(ROW($W$3),ROW()-23)):INDEX($W:$W,ROW()))</f>
        <v>50.25</v>
      </c>
      <c r="Y622" s="44">
        <f>_xlfn.STDEV.S(INDEX($W:$W,MAX(ROW($W$3),ROW()-23)):INDEX($W:$W,ROW()))</f>
        <v>43.918155104991456</v>
      </c>
      <c r="Z622" s="44">
        <f t="shared" si="56"/>
        <v>-0.68878120967704259</v>
      </c>
      <c r="AA622" s="40" t="b">
        <f t="shared" si="54"/>
        <v>0</v>
      </c>
    </row>
    <row r="623" spans="1:27" x14ac:dyDescent="0.3">
      <c r="A623" s="32">
        <v>621</v>
      </c>
      <c r="B623" s="33">
        <v>40572</v>
      </c>
      <c r="C623" s="40" t="str">
        <f t="shared" si="57"/>
        <v>Saturday</v>
      </c>
      <c r="D623" s="28">
        <v>2</v>
      </c>
      <c r="E623" s="40" t="str" cm="1">
        <f t="array" ref="E623">_xlfn.IFS(D623&gt;=21,"Night",D623&gt;=17,"Evening",D623&gt;=12,"Midday",D623&gt;=6,"Morning", TRUE, "Night")</f>
        <v>Night</v>
      </c>
      <c r="F623" s="28">
        <v>1</v>
      </c>
      <c r="G623" s="28">
        <v>0</v>
      </c>
      <c r="H623" s="28">
        <v>1</v>
      </c>
      <c r="I623" s="28">
        <v>6</v>
      </c>
      <c r="J623" s="40" t="str">
        <f t="shared" si="58"/>
        <v>Weekday</v>
      </c>
      <c r="K623" s="28" t="b">
        <v>0</v>
      </c>
      <c r="L623" s="28">
        <v>1</v>
      </c>
      <c r="M623" s="40" t="str" cm="1">
        <f t="array" ref="M623">_xlfn.IFS(L623=1,"Clear / Partly Cloudy",L623=2,"Mist / Cloudy",L623=3,"Light Snow / Rain",L623=4,"Heavy Precipitation")</f>
        <v>Clear / Partly Cloudy</v>
      </c>
      <c r="N623" s="28">
        <v>0.22</v>
      </c>
      <c r="O623" s="28" t="str">
        <f t="shared" si="59"/>
        <v>Mild</v>
      </c>
      <c r="P623" s="28">
        <v>0.2273</v>
      </c>
      <c r="Q623" s="38">
        <f t="shared" si="55"/>
        <v>0.2273</v>
      </c>
      <c r="R623" s="28">
        <v>0.64</v>
      </c>
      <c r="S623" s="28">
        <v>0.16420000000000001</v>
      </c>
      <c r="T623" s="40" t="str" cm="1">
        <f t="array" ref="T623">_xlfn.IFS(S623*18.6&lt;2,"Calm",S623*18.6&lt;6,"Light Breeze",S623*18.6&lt;14,"Gale",TRUE,"Extreme Storm")</f>
        <v>Light Breeze</v>
      </c>
      <c r="U623" s="28">
        <v>0</v>
      </c>
      <c r="V623" s="28">
        <v>15</v>
      </c>
      <c r="W623" s="28">
        <v>15</v>
      </c>
      <c r="X623" s="44">
        <f>AVERAGE(INDEX($W:$W,MAX(ROW($W$3),ROW()-23)):INDEX($W:$W,ROW()))</f>
        <v>50.75</v>
      </c>
      <c r="Y623" s="44">
        <f>_xlfn.STDEV.S(INDEX($W:$W,MAX(ROW($W$3),ROW()-23)):INDEX($W:$W,ROW()))</f>
        <v>43.422344478390386</v>
      </c>
      <c r="Z623" s="44">
        <f t="shared" si="56"/>
        <v>-0.82330883855871451</v>
      </c>
      <c r="AA623" s="40" t="b">
        <f t="shared" si="54"/>
        <v>0</v>
      </c>
    </row>
    <row r="624" spans="1:27" x14ac:dyDescent="0.3">
      <c r="A624" s="32">
        <v>622</v>
      </c>
      <c r="B624" s="33">
        <v>40572</v>
      </c>
      <c r="C624" s="40" t="str">
        <f t="shared" si="57"/>
        <v>Saturday</v>
      </c>
      <c r="D624" s="28">
        <v>3</v>
      </c>
      <c r="E624" s="40" t="str" cm="1">
        <f t="array" ref="E624">_xlfn.IFS(D624&gt;=21,"Night",D624&gt;=17,"Evening",D624&gt;=12,"Midday",D624&gt;=6,"Morning", TRUE, "Night")</f>
        <v>Night</v>
      </c>
      <c r="F624" s="28">
        <v>1</v>
      </c>
      <c r="G624" s="28">
        <v>0</v>
      </c>
      <c r="H624" s="28">
        <v>1</v>
      </c>
      <c r="I624" s="28">
        <v>6</v>
      </c>
      <c r="J624" s="40" t="str">
        <f t="shared" si="58"/>
        <v>Weekday</v>
      </c>
      <c r="K624" s="28" t="b">
        <v>0</v>
      </c>
      <c r="L624" s="28">
        <v>1</v>
      </c>
      <c r="M624" s="40" t="str" cm="1">
        <f t="array" ref="M624">_xlfn.IFS(L624=1,"Clear / Partly Cloudy",L624=2,"Mist / Cloudy",L624=3,"Light Snow / Rain",L624=4,"Heavy Precipitation")</f>
        <v>Clear / Partly Cloudy</v>
      </c>
      <c r="N624" s="28">
        <v>0.2</v>
      </c>
      <c r="O624" s="28" t="str">
        <f t="shared" si="59"/>
        <v>Mild</v>
      </c>
      <c r="P624" s="28">
        <v>0.21210000000000001</v>
      </c>
      <c r="Q624" s="38">
        <f t="shared" si="55"/>
        <v>0.21210000000000001</v>
      </c>
      <c r="R624" s="28">
        <v>0.64</v>
      </c>
      <c r="S624" s="28">
        <v>0.1343</v>
      </c>
      <c r="T624" s="40" t="str" cm="1">
        <f t="array" ref="T624">_xlfn.IFS(S624*18.6&lt;2,"Calm",S624*18.6&lt;6,"Light Breeze",S624*18.6&lt;14,"Gale",TRUE,"Extreme Storm")</f>
        <v>Light Breeze</v>
      </c>
      <c r="U624" s="28">
        <v>3</v>
      </c>
      <c r="V624" s="28">
        <v>5</v>
      </c>
      <c r="W624" s="28">
        <v>8</v>
      </c>
      <c r="X624" s="44">
        <f>AVERAGE(INDEX($W:$W,MAX(ROW($W$3),ROW()-23)):INDEX($W:$W,ROW()))</f>
        <v>51</v>
      </c>
      <c r="Y624" s="44">
        <f>_xlfn.STDEV.S(INDEX($W:$W,MAX(ROW($W$3),ROW()-23)):INDEX($W:$W,ROW()))</f>
        <v>43.145859794322149</v>
      </c>
      <c r="Z624" s="44">
        <f t="shared" si="56"/>
        <v>-0.99661937912426668</v>
      </c>
      <c r="AA624" s="40" t="b">
        <f t="shared" si="54"/>
        <v>0</v>
      </c>
    </row>
    <row r="625" spans="1:27" x14ac:dyDescent="0.3">
      <c r="A625" s="32">
        <v>623</v>
      </c>
      <c r="B625" s="33">
        <v>40572</v>
      </c>
      <c r="C625" s="40" t="str">
        <f t="shared" si="57"/>
        <v>Saturday</v>
      </c>
      <c r="D625" s="28">
        <v>4</v>
      </c>
      <c r="E625" s="40" t="str" cm="1">
        <f t="array" ref="E625">_xlfn.IFS(D625&gt;=21,"Night",D625&gt;=17,"Evening",D625&gt;=12,"Midday",D625&gt;=6,"Morning", TRUE, "Night")</f>
        <v>Night</v>
      </c>
      <c r="F625" s="28">
        <v>1</v>
      </c>
      <c r="G625" s="28">
        <v>0</v>
      </c>
      <c r="H625" s="28">
        <v>1</v>
      </c>
      <c r="I625" s="28">
        <v>6</v>
      </c>
      <c r="J625" s="40" t="str">
        <f t="shared" si="58"/>
        <v>Weekday</v>
      </c>
      <c r="K625" s="28" t="b">
        <v>0</v>
      </c>
      <c r="L625" s="28">
        <v>1</v>
      </c>
      <c r="M625" s="40" t="str" cm="1">
        <f t="array" ref="M625">_xlfn.IFS(L625=1,"Clear / Partly Cloudy",L625=2,"Mist / Cloudy",L625=3,"Light Snow / Rain",L625=4,"Heavy Precipitation")</f>
        <v>Clear / Partly Cloudy</v>
      </c>
      <c r="N625" s="28">
        <v>0.16</v>
      </c>
      <c r="O625" s="28" t="str">
        <f t="shared" si="59"/>
        <v>Cold</v>
      </c>
      <c r="P625" s="28">
        <v>0.18179999999999999</v>
      </c>
      <c r="Q625" s="38">
        <f t="shared" si="55"/>
        <v>0.18179999999999999</v>
      </c>
      <c r="R625" s="28">
        <v>0.69</v>
      </c>
      <c r="S625" s="28">
        <v>0.1045</v>
      </c>
      <c r="T625" s="40" t="str" cm="1">
        <f t="array" ref="T625">_xlfn.IFS(S625*18.6&lt;2,"Calm",S625*18.6&lt;6,"Light Breeze",S625*18.6&lt;14,"Gale",TRUE,"Extreme Storm")</f>
        <v>Calm</v>
      </c>
      <c r="U625" s="28">
        <v>1</v>
      </c>
      <c r="V625" s="28">
        <v>2</v>
      </c>
      <c r="W625" s="28">
        <v>3</v>
      </c>
      <c r="X625" s="44">
        <f>AVERAGE(INDEX($W:$W,MAX(ROW($W$3),ROW()-23)):INDEX($W:$W,ROW()))</f>
        <v>51.083333333333336</v>
      </c>
      <c r="Y625" s="44">
        <f>_xlfn.STDEV.S(INDEX($W:$W,MAX(ROW($W$3),ROW()-23)):INDEX($W:$W,ROW()))</f>
        <v>43.046907344013206</v>
      </c>
      <c r="Z625" s="44">
        <f t="shared" si="56"/>
        <v>-1.1169985557631605</v>
      </c>
      <c r="AA625" s="40" t="b">
        <f t="shared" si="54"/>
        <v>0</v>
      </c>
    </row>
    <row r="626" spans="1:27" x14ac:dyDescent="0.3">
      <c r="A626" s="32">
        <v>624</v>
      </c>
      <c r="B626" s="33">
        <v>40572</v>
      </c>
      <c r="C626" s="40" t="str">
        <f t="shared" si="57"/>
        <v>Saturday</v>
      </c>
      <c r="D626" s="28">
        <v>6</v>
      </c>
      <c r="E626" s="40" t="str" cm="1">
        <f t="array" ref="E626">_xlfn.IFS(D626&gt;=21,"Night",D626&gt;=17,"Evening",D626&gt;=12,"Midday",D626&gt;=6,"Morning", TRUE, "Night")</f>
        <v>Morning</v>
      </c>
      <c r="F626" s="28">
        <v>1</v>
      </c>
      <c r="G626" s="28">
        <v>0</v>
      </c>
      <c r="H626" s="28">
        <v>1</v>
      </c>
      <c r="I626" s="28">
        <v>6</v>
      </c>
      <c r="J626" s="40" t="str">
        <f t="shared" si="58"/>
        <v>Weekday</v>
      </c>
      <c r="K626" s="28" t="b">
        <v>0</v>
      </c>
      <c r="L626" s="28">
        <v>1</v>
      </c>
      <c r="M626" s="40" t="str" cm="1">
        <f t="array" ref="M626">_xlfn.IFS(L626=1,"Clear / Partly Cloudy",L626=2,"Mist / Cloudy",L626=3,"Light Snow / Rain",L626=4,"Heavy Precipitation")</f>
        <v>Clear / Partly Cloudy</v>
      </c>
      <c r="N626" s="28">
        <v>0.16</v>
      </c>
      <c r="O626" s="28" t="str">
        <f t="shared" si="59"/>
        <v>Cold</v>
      </c>
      <c r="P626" s="28">
        <v>0.18179999999999999</v>
      </c>
      <c r="Q626" s="38">
        <f t="shared" si="55"/>
        <v>0.18179999999999999</v>
      </c>
      <c r="R626" s="28">
        <v>0.64</v>
      </c>
      <c r="S626" s="28">
        <v>0.1343</v>
      </c>
      <c r="T626" s="40" t="str" cm="1">
        <f t="array" ref="T626">_xlfn.IFS(S626*18.6&lt;2,"Calm",S626*18.6&lt;6,"Light Breeze",S626*18.6&lt;14,"Gale",TRUE,"Extreme Storm")</f>
        <v>Light Breeze</v>
      </c>
      <c r="U626" s="28">
        <v>0</v>
      </c>
      <c r="V626" s="28">
        <v>2</v>
      </c>
      <c r="W626" s="28">
        <v>2</v>
      </c>
      <c r="X626" s="44">
        <f>AVERAGE(INDEX($W:$W,MAX(ROW($W$3),ROW()-23)):INDEX($W:$W,ROW()))</f>
        <v>51</v>
      </c>
      <c r="Y626" s="44">
        <f>_xlfn.STDEV.S(INDEX($W:$W,MAX(ROW($W$3),ROW()-23)):INDEX($W:$W,ROW()))</f>
        <v>43.143844338999578</v>
      </c>
      <c r="Z626" s="44">
        <f t="shared" si="56"/>
        <v>-1.1357356014681055</v>
      </c>
      <c r="AA626" s="40" t="b">
        <f t="shared" si="54"/>
        <v>0</v>
      </c>
    </row>
    <row r="627" spans="1:27" x14ac:dyDescent="0.3">
      <c r="A627" s="32">
        <v>625</v>
      </c>
      <c r="B627" s="33">
        <v>40572</v>
      </c>
      <c r="C627" s="40" t="str">
        <f t="shared" si="57"/>
        <v>Saturday</v>
      </c>
      <c r="D627" s="28">
        <v>7</v>
      </c>
      <c r="E627" s="40" t="str" cm="1">
        <f t="array" ref="E627">_xlfn.IFS(D627&gt;=21,"Night",D627&gt;=17,"Evening",D627&gt;=12,"Midday",D627&gt;=6,"Morning", TRUE, "Night")</f>
        <v>Morning</v>
      </c>
      <c r="F627" s="28">
        <v>1</v>
      </c>
      <c r="G627" s="28">
        <v>0</v>
      </c>
      <c r="H627" s="28">
        <v>1</v>
      </c>
      <c r="I627" s="28">
        <v>6</v>
      </c>
      <c r="J627" s="40" t="str">
        <f t="shared" si="58"/>
        <v>Weekday</v>
      </c>
      <c r="K627" s="28" t="b">
        <v>0</v>
      </c>
      <c r="L627" s="28">
        <v>1</v>
      </c>
      <c r="M627" s="40" t="str" cm="1">
        <f t="array" ref="M627">_xlfn.IFS(L627=1,"Clear / Partly Cloudy",L627=2,"Mist / Cloudy",L627=3,"Light Snow / Rain",L627=4,"Heavy Precipitation")</f>
        <v>Clear / Partly Cloudy</v>
      </c>
      <c r="N627" s="28">
        <v>0.16</v>
      </c>
      <c r="O627" s="28" t="str">
        <f t="shared" si="59"/>
        <v>Cold</v>
      </c>
      <c r="P627" s="28">
        <v>0.18179999999999999</v>
      </c>
      <c r="Q627" s="38">
        <f t="shared" si="55"/>
        <v>0.18179999999999999</v>
      </c>
      <c r="R627" s="28">
        <v>0.59</v>
      </c>
      <c r="S627" s="28">
        <v>0.1045</v>
      </c>
      <c r="T627" s="40" t="str" cm="1">
        <f t="array" ref="T627">_xlfn.IFS(S627*18.6&lt;2,"Calm",S627*18.6&lt;6,"Light Breeze",S627*18.6&lt;14,"Gale",TRUE,"Extreme Storm")</f>
        <v>Calm</v>
      </c>
      <c r="U627" s="28">
        <v>1</v>
      </c>
      <c r="V627" s="28">
        <v>4</v>
      </c>
      <c r="W627" s="28">
        <v>5</v>
      </c>
      <c r="X627" s="44">
        <f>AVERAGE(INDEX($W:$W,MAX(ROW($W$3),ROW()-23)):INDEX($W:$W,ROW()))</f>
        <v>50.541666666666664</v>
      </c>
      <c r="Y627" s="44">
        <f>_xlfn.STDEV.S(INDEX($W:$W,MAX(ROW($W$3),ROW()-23)):INDEX($W:$W,ROW()))</f>
        <v>43.587971183390238</v>
      </c>
      <c r="Z627" s="44">
        <f t="shared" si="56"/>
        <v>-1.0448218953586192</v>
      </c>
      <c r="AA627" s="40" t="b">
        <f t="shared" si="54"/>
        <v>0</v>
      </c>
    </row>
    <row r="628" spans="1:27" x14ac:dyDescent="0.3">
      <c r="A628" s="32">
        <v>626</v>
      </c>
      <c r="B628" s="33">
        <v>40572</v>
      </c>
      <c r="C628" s="40" t="str">
        <f t="shared" si="57"/>
        <v>Saturday</v>
      </c>
      <c r="D628" s="28">
        <v>8</v>
      </c>
      <c r="E628" s="40" t="str" cm="1">
        <f t="array" ref="E628">_xlfn.IFS(D628&gt;=21,"Night",D628&gt;=17,"Evening",D628&gt;=12,"Midday",D628&gt;=6,"Morning", TRUE, "Night")</f>
        <v>Morning</v>
      </c>
      <c r="F628" s="28">
        <v>1</v>
      </c>
      <c r="G628" s="28">
        <v>0</v>
      </c>
      <c r="H628" s="28">
        <v>1</v>
      </c>
      <c r="I628" s="28">
        <v>6</v>
      </c>
      <c r="J628" s="40" t="str">
        <f t="shared" si="58"/>
        <v>Weekday</v>
      </c>
      <c r="K628" s="28" t="b">
        <v>0</v>
      </c>
      <c r="L628" s="28">
        <v>1</v>
      </c>
      <c r="M628" s="40" t="str" cm="1">
        <f t="array" ref="M628">_xlfn.IFS(L628=1,"Clear / Partly Cloudy",L628=2,"Mist / Cloudy",L628=3,"Light Snow / Rain",L628=4,"Heavy Precipitation")</f>
        <v>Clear / Partly Cloudy</v>
      </c>
      <c r="N628" s="28">
        <v>0.18</v>
      </c>
      <c r="O628" s="28" t="str">
        <f t="shared" si="59"/>
        <v>Cold</v>
      </c>
      <c r="P628" s="28">
        <v>0.19700000000000001</v>
      </c>
      <c r="Q628" s="38">
        <f t="shared" si="55"/>
        <v>0.19700000000000001</v>
      </c>
      <c r="R628" s="28">
        <v>0.55000000000000004</v>
      </c>
      <c r="S628" s="28">
        <v>0.16420000000000001</v>
      </c>
      <c r="T628" s="40" t="str" cm="1">
        <f t="array" ref="T628">_xlfn.IFS(S628*18.6&lt;2,"Calm",S628*18.6&lt;6,"Light Breeze",S628*18.6&lt;14,"Gale",TRUE,"Extreme Storm")</f>
        <v>Light Breeze</v>
      </c>
      <c r="U628" s="28">
        <v>3</v>
      </c>
      <c r="V628" s="28">
        <v>31</v>
      </c>
      <c r="W628" s="28">
        <v>34</v>
      </c>
      <c r="X628" s="44">
        <f>AVERAGE(INDEX($W:$W,MAX(ROW($W$3),ROW()-23)):INDEX($W:$W,ROW()))</f>
        <v>49.458333333333336</v>
      </c>
      <c r="Y628" s="44">
        <f>_xlfn.STDEV.S(INDEX($W:$W,MAX(ROW($W$3),ROW()-23)):INDEX($W:$W,ROW()))</f>
        <v>43.665705543134308</v>
      </c>
      <c r="Z628" s="44">
        <f t="shared" si="56"/>
        <v>-0.35401542563106247</v>
      </c>
      <c r="AA628" s="40" t="b">
        <f t="shared" si="54"/>
        <v>0</v>
      </c>
    </row>
    <row r="629" spans="1:27" x14ac:dyDescent="0.3">
      <c r="A629" s="32">
        <v>627</v>
      </c>
      <c r="B629" s="33">
        <v>40572</v>
      </c>
      <c r="C629" s="40" t="str">
        <f t="shared" si="57"/>
        <v>Saturday</v>
      </c>
      <c r="D629" s="28">
        <v>9</v>
      </c>
      <c r="E629" s="40" t="str" cm="1">
        <f t="array" ref="E629">_xlfn.IFS(D629&gt;=21,"Night",D629&gt;=17,"Evening",D629&gt;=12,"Midday",D629&gt;=6,"Morning", TRUE, "Night")</f>
        <v>Morning</v>
      </c>
      <c r="F629" s="28">
        <v>1</v>
      </c>
      <c r="G629" s="28">
        <v>0</v>
      </c>
      <c r="H629" s="28">
        <v>1</v>
      </c>
      <c r="I629" s="28">
        <v>6</v>
      </c>
      <c r="J629" s="40" t="str">
        <f t="shared" si="58"/>
        <v>Weekday</v>
      </c>
      <c r="K629" s="28" t="b">
        <v>0</v>
      </c>
      <c r="L629" s="28">
        <v>1</v>
      </c>
      <c r="M629" s="40" t="str" cm="1">
        <f t="array" ref="M629">_xlfn.IFS(L629=1,"Clear / Partly Cloudy",L629=2,"Mist / Cloudy",L629=3,"Light Snow / Rain",L629=4,"Heavy Precipitation")</f>
        <v>Clear / Partly Cloudy</v>
      </c>
      <c r="N629" s="28">
        <v>0.18</v>
      </c>
      <c r="O629" s="28" t="str">
        <f t="shared" si="59"/>
        <v>Cold</v>
      </c>
      <c r="P629" s="28">
        <v>0.21210000000000001</v>
      </c>
      <c r="Q629" s="38">
        <f t="shared" si="55"/>
        <v>0.21210000000000001</v>
      </c>
      <c r="R629" s="28">
        <v>0.59</v>
      </c>
      <c r="S629" s="28">
        <v>8.9599999999999999E-2</v>
      </c>
      <c r="T629" s="40" t="str" cm="1">
        <f t="array" ref="T629">_xlfn.IFS(S629*18.6&lt;2,"Calm",S629*18.6&lt;6,"Light Breeze",S629*18.6&lt;14,"Gale",TRUE,"Extreme Storm")</f>
        <v>Calm</v>
      </c>
      <c r="U629" s="28">
        <v>0</v>
      </c>
      <c r="V629" s="28">
        <v>34</v>
      </c>
      <c r="W629" s="28">
        <v>34</v>
      </c>
      <c r="X629" s="44">
        <f>AVERAGE(INDEX($W:$W,MAX(ROW($W$3),ROW()-23)):INDEX($W:$W,ROW()))</f>
        <v>44.333333333333336</v>
      </c>
      <c r="Y629" s="44">
        <f>_xlfn.STDEV.S(INDEX($W:$W,MAX(ROW($W$3),ROW()-23)):INDEX($W:$W,ROW()))</f>
        <v>37.240308534035336</v>
      </c>
      <c r="Z629" s="44">
        <f t="shared" si="56"/>
        <v>-0.27747711391513602</v>
      </c>
      <c r="AA629" s="40" t="b">
        <f t="shared" si="54"/>
        <v>0</v>
      </c>
    </row>
    <row r="630" spans="1:27" x14ac:dyDescent="0.3">
      <c r="A630" s="32">
        <v>628</v>
      </c>
      <c r="B630" s="33">
        <v>40572</v>
      </c>
      <c r="C630" s="40" t="str">
        <f t="shared" si="57"/>
        <v>Saturday</v>
      </c>
      <c r="D630" s="28">
        <v>10</v>
      </c>
      <c r="E630" s="40" t="str" cm="1">
        <f t="array" ref="E630">_xlfn.IFS(D630&gt;=21,"Night",D630&gt;=17,"Evening",D630&gt;=12,"Midday",D630&gt;=6,"Morning", TRUE, "Night")</f>
        <v>Morning</v>
      </c>
      <c r="F630" s="28">
        <v>1</v>
      </c>
      <c r="G630" s="28">
        <v>0</v>
      </c>
      <c r="H630" s="28">
        <v>1</v>
      </c>
      <c r="I630" s="28">
        <v>6</v>
      </c>
      <c r="J630" s="40" t="str">
        <f t="shared" si="58"/>
        <v>Weekday</v>
      </c>
      <c r="K630" s="28" t="b">
        <v>0</v>
      </c>
      <c r="L630" s="28">
        <v>2</v>
      </c>
      <c r="M630" s="40" t="str" cm="1">
        <f t="array" ref="M630">_xlfn.IFS(L630=1,"Clear / Partly Cloudy",L630=2,"Mist / Cloudy",L630=3,"Light Snow / Rain",L630=4,"Heavy Precipitation")</f>
        <v>Mist / Cloudy</v>
      </c>
      <c r="N630" s="28">
        <v>0.18</v>
      </c>
      <c r="O630" s="28" t="str">
        <f t="shared" si="59"/>
        <v>Cold</v>
      </c>
      <c r="P630" s="28">
        <v>0.21210000000000001</v>
      </c>
      <c r="Q630" s="38">
        <f t="shared" si="55"/>
        <v>0.21210000000000001</v>
      </c>
      <c r="R630" s="28">
        <v>0.64</v>
      </c>
      <c r="S630" s="28">
        <v>0.1045</v>
      </c>
      <c r="T630" s="40" t="str" cm="1">
        <f t="array" ref="T630">_xlfn.IFS(S630*18.6&lt;2,"Calm",S630*18.6&lt;6,"Light Breeze",S630*18.6&lt;14,"Gale",TRUE,"Extreme Storm")</f>
        <v>Calm</v>
      </c>
      <c r="U630" s="28">
        <v>4</v>
      </c>
      <c r="V630" s="28">
        <v>51</v>
      </c>
      <c r="W630" s="28">
        <v>55</v>
      </c>
      <c r="X630" s="44">
        <f>AVERAGE(INDEX($W:$W,MAX(ROW($W$3),ROW()-23)):INDEX($W:$W,ROW()))</f>
        <v>42.416666666666664</v>
      </c>
      <c r="Y630" s="44">
        <f>_xlfn.STDEV.S(INDEX($W:$W,MAX(ROW($W$3),ROW()-23)):INDEX($W:$W,ROW()))</f>
        <v>35.331863518786342</v>
      </c>
      <c r="Z630" s="44">
        <f t="shared" si="56"/>
        <v>0.3561468906570025</v>
      </c>
      <c r="AA630" s="40" t="b">
        <f t="shared" si="54"/>
        <v>0</v>
      </c>
    </row>
    <row r="631" spans="1:27" x14ac:dyDescent="0.3">
      <c r="A631" s="32">
        <v>629</v>
      </c>
      <c r="B631" s="33">
        <v>40572</v>
      </c>
      <c r="C631" s="40" t="str">
        <f t="shared" si="57"/>
        <v>Saturday</v>
      </c>
      <c r="D631" s="28">
        <v>11</v>
      </c>
      <c r="E631" s="40" t="str" cm="1">
        <f t="array" ref="E631">_xlfn.IFS(D631&gt;=21,"Night",D631&gt;=17,"Evening",D631&gt;=12,"Midday",D631&gt;=6,"Morning", TRUE, "Night")</f>
        <v>Morning</v>
      </c>
      <c r="F631" s="28">
        <v>1</v>
      </c>
      <c r="G631" s="28">
        <v>0</v>
      </c>
      <c r="H631" s="28">
        <v>1</v>
      </c>
      <c r="I631" s="28">
        <v>6</v>
      </c>
      <c r="J631" s="40" t="str">
        <f t="shared" si="58"/>
        <v>Weekday</v>
      </c>
      <c r="K631" s="28" t="b">
        <v>0</v>
      </c>
      <c r="L631" s="28">
        <v>2</v>
      </c>
      <c r="M631" s="40" t="str" cm="1">
        <f t="array" ref="M631">_xlfn.IFS(L631=1,"Clear / Partly Cloudy",L631=2,"Mist / Cloudy",L631=3,"Light Snow / Rain",L631=4,"Heavy Precipitation")</f>
        <v>Mist / Cloudy</v>
      </c>
      <c r="N631" s="28">
        <v>0.18</v>
      </c>
      <c r="O631" s="28" t="str">
        <f t="shared" si="59"/>
        <v>Cold</v>
      </c>
      <c r="P631" s="28">
        <v>0.19700000000000001</v>
      </c>
      <c r="Q631" s="38">
        <f t="shared" si="55"/>
        <v>0.19700000000000001</v>
      </c>
      <c r="R631" s="28">
        <v>0.64</v>
      </c>
      <c r="S631" s="28">
        <v>0.1343</v>
      </c>
      <c r="T631" s="40" t="str" cm="1">
        <f t="array" ref="T631">_xlfn.IFS(S631*18.6&lt;2,"Calm",S631*18.6&lt;6,"Light Breeze",S631*18.6&lt;14,"Gale",TRUE,"Extreme Storm")</f>
        <v>Light Breeze</v>
      </c>
      <c r="U631" s="28">
        <v>4</v>
      </c>
      <c r="V631" s="28">
        <v>60</v>
      </c>
      <c r="W631" s="28">
        <v>64</v>
      </c>
      <c r="X631" s="44">
        <f>AVERAGE(INDEX($W:$W,MAX(ROW($W$3),ROW()-23)):INDEX($W:$W,ROW()))</f>
        <v>43.041666666666664</v>
      </c>
      <c r="Y631" s="44">
        <f>_xlfn.STDEV.S(INDEX($W:$W,MAX(ROW($W$3),ROW()-23)):INDEX($W:$W,ROW()))</f>
        <v>35.585144881423261</v>
      </c>
      <c r="Z631" s="44">
        <f t="shared" si="56"/>
        <v>0.58896299012328446</v>
      </c>
      <c r="AA631" s="40" t="b">
        <f t="shared" si="54"/>
        <v>0</v>
      </c>
    </row>
    <row r="632" spans="1:27" x14ac:dyDescent="0.3">
      <c r="A632" s="32">
        <v>630</v>
      </c>
      <c r="B632" s="33">
        <v>40572</v>
      </c>
      <c r="C632" s="40" t="str">
        <f t="shared" si="57"/>
        <v>Saturday</v>
      </c>
      <c r="D632" s="28">
        <v>12</v>
      </c>
      <c r="E632" s="40" t="str" cm="1">
        <f t="array" ref="E632">_xlfn.IFS(D632&gt;=21,"Night",D632&gt;=17,"Evening",D632&gt;=12,"Midday",D632&gt;=6,"Morning", TRUE, "Night")</f>
        <v>Midday</v>
      </c>
      <c r="F632" s="28">
        <v>1</v>
      </c>
      <c r="G632" s="28">
        <v>0</v>
      </c>
      <c r="H632" s="28">
        <v>1</v>
      </c>
      <c r="I632" s="28">
        <v>6</v>
      </c>
      <c r="J632" s="40" t="str">
        <f t="shared" si="58"/>
        <v>Weekday</v>
      </c>
      <c r="K632" s="28" t="b">
        <v>0</v>
      </c>
      <c r="L632" s="28">
        <v>2</v>
      </c>
      <c r="M632" s="40" t="str" cm="1">
        <f t="array" ref="M632">_xlfn.IFS(L632=1,"Clear / Partly Cloudy",L632=2,"Mist / Cloudy",L632=3,"Light Snow / Rain",L632=4,"Heavy Precipitation")</f>
        <v>Mist / Cloudy</v>
      </c>
      <c r="N632" s="28">
        <v>0.2</v>
      </c>
      <c r="O632" s="28" t="str">
        <f t="shared" si="59"/>
        <v>Mild</v>
      </c>
      <c r="P632" s="28">
        <v>0.19700000000000001</v>
      </c>
      <c r="Q632" s="38">
        <f t="shared" si="55"/>
        <v>0.19700000000000001</v>
      </c>
      <c r="R632" s="28">
        <v>0.59</v>
      </c>
      <c r="S632" s="28">
        <v>0.19400000000000001</v>
      </c>
      <c r="T632" s="40" t="str" cm="1">
        <f t="array" ref="T632">_xlfn.IFS(S632*18.6&lt;2,"Calm",S632*18.6&lt;6,"Light Breeze",S632*18.6&lt;14,"Gale",TRUE,"Extreme Storm")</f>
        <v>Light Breeze</v>
      </c>
      <c r="U632" s="28">
        <v>12</v>
      </c>
      <c r="V632" s="28">
        <v>66</v>
      </c>
      <c r="W632" s="28">
        <v>78</v>
      </c>
      <c r="X632" s="44">
        <f>AVERAGE(INDEX($W:$W,MAX(ROW($W$3),ROW()-23)):INDEX($W:$W,ROW()))</f>
        <v>45.041666666666664</v>
      </c>
      <c r="Y632" s="44">
        <f>_xlfn.STDEV.S(INDEX($W:$W,MAX(ROW($W$3),ROW()-23)):INDEX($W:$W,ROW()))</f>
        <v>36.164454283497605</v>
      </c>
      <c r="Z632" s="44">
        <f t="shared" si="56"/>
        <v>0.9113460713375876</v>
      </c>
      <c r="AA632" s="40" t="b">
        <f t="shared" si="54"/>
        <v>0</v>
      </c>
    </row>
    <row r="633" spans="1:27" x14ac:dyDescent="0.3">
      <c r="A633" s="32">
        <v>631</v>
      </c>
      <c r="B633" s="33">
        <v>40572</v>
      </c>
      <c r="C633" s="40" t="str">
        <f t="shared" si="57"/>
        <v>Saturday</v>
      </c>
      <c r="D633" s="28">
        <v>13</v>
      </c>
      <c r="E633" s="40" t="str" cm="1">
        <f t="array" ref="E633">_xlfn.IFS(D633&gt;=21,"Night",D633&gt;=17,"Evening",D633&gt;=12,"Midday",D633&gt;=6,"Morning", TRUE, "Night")</f>
        <v>Midday</v>
      </c>
      <c r="F633" s="28">
        <v>1</v>
      </c>
      <c r="G633" s="28">
        <v>0</v>
      </c>
      <c r="H633" s="28">
        <v>1</v>
      </c>
      <c r="I633" s="28">
        <v>6</v>
      </c>
      <c r="J633" s="40" t="str">
        <f t="shared" si="58"/>
        <v>Weekday</v>
      </c>
      <c r="K633" s="28" t="b">
        <v>0</v>
      </c>
      <c r="L633" s="28">
        <v>2</v>
      </c>
      <c r="M633" s="40" t="str" cm="1">
        <f t="array" ref="M633">_xlfn.IFS(L633=1,"Clear / Partly Cloudy",L633=2,"Mist / Cloudy",L633=3,"Light Snow / Rain",L633=4,"Heavy Precipitation")</f>
        <v>Mist / Cloudy</v>
      </c>
      <c r="N633" s="28">
        <v>0.22</v>
      </c>
      <c r="O633" s="28" t="str">
        <f t="shared" si="59"/>
        <v>Mild</v>
      </c>
      <c r="P633" s="28">
        <v>0.2273</v>
      </c>
      <c r="Q633" s="38">
        <f t="shared" si="55"/>
        <v>0.2273</v>
      </c>
      <c r="R633" s="28">
        <v>0.55000000000000004</v>
      </c>
      <c r="S633" s="28">
        <v>0.16420000000000001</v>
      </c>
      <c r="T633" s="40" t="str" cm="1">
        <f t="array" ref="T633">_xlfn.IFS(S633*18.6&lt;2,"Calm",S633*18.6&lt;6,"Light Breeze",S633*18.6&lt;14,"Gale",TRUE,"Extreme Storm")</f>
        <v>Light Breeze</v>
      </c>
      <c r="U633" s="28">
        <v>9</v>
      </c>
      <c r="V633" s="28">
        <v>56</v>
      </c>
      <c r="W633" s="28">
        <v>65</v>
      </c>
      <c r="X633" s="44">
        <f>AVERAGE(INDEX($W:$W,MAX(ROW($W$3),ROW()-23)):INDEX($W:$W,ROW()))</f>
        <v>46.541666666666664</v>
      </c>
      <c r="Y633" s="44">
        <f>_xlfn.STDEV.S(INDEX($W:$W,MAX(ROW($W$3),ROW()-23)):INDEX($W:$W,ROW()))</f>
        <v>36.216713853120922</v>
      </c>
      <c r="Z633" s="44">
        <f t="shared" si="56"/>
        <v>0.50966339486769074</v>
      </c>
      <c r="AA633" s="40" t="b">
        <f t="shared" si="54"/>
        <v>0</v>
      </c>
    </row>
    <row r="634" spans="1:27" x14ac:dyDescent="0.3">
      <c r="A634" s="32">
        <v>632</v>
      </c>
      <c r="B634" s="33">
        <v>40572</v>
      </c>
      <c r="C634" s="40" t="str">
        <f t="shared" si="57"/>
        <v>Saturday</v>
      </c>
      <c r="D634" s="28">
        <v>14</v>
      </c>
      <c r="E634" s="40" t="str" cm="1">
        <f t="array" ref="E634">_xlfn.IFS(D634&gt;=21,"Night",D634&gt;=17,"Evening",D634&gt;=12,"Midday",D634&gt;=6,"Morning", TRUE, "Night")</f>
        <v>Midday</v>
      </c>
      <c r="F634" s="28">
        <v>1</v>
      </c>
      <c r="G634" s="28">
        <v>0</v>
      </c>
      <c r="H634" s="28">
        <v>1</v>
      </c>
      <c r="I634" s="28">
        <v>6</v>
      </c>
      <c r="J634" s="40" t="str">
        <f t="shared" si="58"/>
        <v>Weekday</v>
      </c>
      <c r="K634" s="28" t="b">
        <v>0</v>
      </c>
      <c r="L634" s="28">
        <v>2</v>
      </c>
      <c r="M634" s="40" t="str" cm="1">
        <f t="array" ref="M634">_xlfn.IFS(L634=1,"Clear / Partly Cloudy",L634=2,"Mist / Cloudy",L634=3,"Light Snow / Rain",L634=4,"Heavy Precipitation")</f>
        <v>Mist / Cloudy</v>
      </c>
      <c r="N634" s="28">
        <v>0.22</v>
      </c>
      <c r="O634" s="28" t="str">
        <f t="shared" si="59"/>
        <v>Mild</v>
      </c>
      <c r="P634" s="28">
        <v>0.2273</v>
      </c>
      <c r="Q634" s="38">
        <f t="shared" si="55"/>
        <v>0.2273</v>
      </c>
      <c r="R634" s="28">
        <v>0.6</v>
      </c>
      <c r="S634" s="28">
        <v>0.1343</v>
      </c>
      <c r="T634" s="40" t="str" cm="1">
        <f t="array" ref="T634">_xlfn.IFS(S634*18.6&lt;2,"Calm",S634*18.6&lt;6,"Light Breeze",S634*18.6&lt;14,"Gale",TRUE,"Extreme Storm")</f>
        <v>Light Breeze</v>
      </c>
      <c r="U634" s="28">
        <v>10</v>
      </c>
      <c r="V634" s="28">
        <v>89</v>
      </c>
      <c r="W634" s="28">
        <v>99</v>
      </c>
      <c r="X634" s="44">
        <f>AVERAGE(INDEX($W:$W,MAX(ROW($W$3),ROW()-23)):INDEX($W:$W,ROW()))</f>
        <v>49.375</v>
      </c>
      <c r="Y634" s="44">
        <f>_xlfn.STDEV.S(INDEX($W:$W,MAX(ROW($W$3),ROW()-23)):INDEX($W:$W,ROW()))</f>
        <v>37.582156381198637</v>
      </c>
      <c r="Z634" s="44">
        <f t="shared" si="56"/>
        <v>1.3204404637309763</v>
      </c>
      <c r="AA634" s="40" t="b">
        <f t="shared" si="54"/>
        <v>0</v>
      </c>
    </row>
    <row r="635" spans="1:27" x14ac:dyDescent="0.3">
      <c r="A635" s="32">
        <v>633</v>
      </c>
      <c r="B635" s="33">
        <v>40572</v>
      </c>
      <c r="C635" s="40" t="str">
        <f t="shared" si="57"/>
        <v>Saturday</v>
      </c>
      <c r="D635" s="28">
        <v>15</v>
      </c>
      <c r="E635" s="40" t="str" cm="1">
        <f t="array" ref="E635">_xlfn.IFS(D635&gt;=21,"Night",D635&gt;=17,"Evening",D635&gt;=12,"Midday",D635&gt;=6,"Morning", TRUE, "Night")</f>
        <v>Midday</v>
      </c>
      <c r="F635" s="28">
        <v>1</v>
      </c>
      <c r="G635" s="28">
        <v>0</v>
      </c>
      <c r="H635" s="28">
        <v>1</v>
      </c>
      <c r="I635" s="28">
        <v>6</v>
      </c>
      <c r="J635" s="40" t="str">
        <f t="shared" si="58"/>
        <v>Weekday</v>
      </c>
      <c r="K635" s="28" t="b">
        <v>0</v>
      </c>
      <c r="L635" s="28">
        <v>1</v>
      </c>
      <c r="M635" s="40" t="str" cm="1">
        <f t="array" ref="M635">_xlfn.IFS(L635=1,"Clear / Partly Cloudy",L635=2,"Mist / Cloudy",L635=3,"Light Snow / Rain",L635=4,"Heavy Precipitation")</f>
        <v>Clear / Partly Cloudy</v>
      </c>
      <c r="N635" s="28">
        <v>0.22</v>
      </c>
      <c r="O635" s="28" t="str">
        <f t="shared" si="59"/>
        <v>Mild</v>
      </c>
      <c r="P635" s="28">
        <v>0.21210000000000001</v>
      </c>
      <c r="Q635" s="38">
        <f t="shared" si="55"/>
        <v>0.21210000000000001</v>
      </c>
      <c r="R635" s="28">
        <v>0.69</v>
      </c>
      <c r="S635" s="28">
        <v>0.25369999999999998</v>
      </c>
      <c r="T635" s="40" t="str" cm="1">
        <f t="array" ref="T635">_xlfn.IFS(S635*18.6&lt;2,"Calm",S635*18.6&lt;6,"Light Breeze",S635*18.6&lt;14,"Gale",TRUE,"Extreme Storm")</f>
        <v>Light Breeze</v>
      </c>
      <c r="U635" s="28">
        <v>22</v>
      </c>
      <c r="V635" s="28">
        <v>98</v>
      </c>
      <c r="W635" s="28">
        <v>120</v>
      </c>
      <c r="X635" s="44">
        <f>AVERAGE(INDEX($W:$W,MAX(ROW($W$3),ROW()-23)):INDEX($W:$W,ROW()))</f>
        <v>52.791666666666664</v>
      </c>
      <c r="Y635" s="44">
        <f>_xlfn.STDEV.S(INDEX($W:$W,MAX(ROW($W$3),ROW()-23)):INDEX($W:$W,ROW()))</f>
        <v>40.143199290482094</v>
      </c>
      <c r="Z635" s="44">
        <f t="shared" si="56"/>
        <v>1.6742146744957709</v>
      </c>
      <c r="AA635" s="40" t="b">
        <f t="shared" si="54"/>
        <v>0</v>
      </c>
    </row>
    <row r="636" spans="1:27" x14ac:dyDescent="0.3">
      <c r="A636" s="32">
        <v>634</v>
      </c>
      <c r="B636" s="33">
        <v>40572</v>
      </c>
      <c r="C636" s="40" t="str">
        <f t="shared" si="57"/>
        <v>Saturday</v>
      </c>
      <c r="D636" s="28">
        <v>16</v>
      </c>
      <c r="E636" s="40" t="str" cm="1">
        <f t="array" ref="E636">_xlfn.IFS(D636&gt;=21,"Night",D636&gt;=17,"Evening",D636&gt;=12,"Midday",D636&gt;=6,"Morning", TRUE, "Night")</f>
        <v>Midday</v>
      </c>
      <c r="F636" s="28">
        <v>1</v>
      </c>
      <c r="G636" s="28">
        <v>0</v>
      </c>
      <c r="H636" s="28">
        <v>1</v>
      </c>
      <c r="I636" s="28">
        <v>6</v>
      </c>
      <c r="J636" s="40" t="str">
        <f t="shared" si="58"/>
        <v>Weekday</v>
      </c>
      <c r="K636" s="28" t="b">
        <v>0</v>
      </c>
      <c r="L636" s="28">
        <v>1</v>
      </c>
      <c r="M636" s="40" t="str" cm="1">
        <f t="array" ref="M636">_xlfn.IFS(L636=1,"Clear / Partly Cloudy",L636=2,"Mist / Cloudy",L636=3,"Light Snow / Rain",L636=4,"Heavy Precipitation")</f>
        <v>Clear / Partly Cloudy</v>
      </c>
      <c r="N636" s="28">
        <v>0.24</v>
      </c>
      <c r="O636" s="28" t="str">
        <f t="shared" si="59"/>
        <v>Mild</v>
      </c>
      <c r="P636" s="28">
        <v>0.2424</v>
      </c>
      <c r="Q636" s="38">
        <f t="shared" si="55"/>
        <v>0.2424</v>
      </c>
      <c r="R636" s="28">
        <v>0.6</v>
      </c>
      <c r="S636" s="28">
        <v>0.16420000000000001</v>
      </c>
      <c r="T636" s="40" t="str" cm="1">
        <f t="array" ref="T636">_xlfn.IFS(S636*18.6&lt;2,"Calm",S636*18.6&lt;6,"Light Breeze",S636*18.6&lt;14,"Gale",TRUE,"Extreme Storm")</f>
        <v>Light Breeze</v>
      </c>
      <c r="U636" s="28">
        <v>19</v>
      </c>
      <c r="V636" s="28">
        <v>88</v>
      </c>
      <c r="W636" s="28">
        <v>107</v>
      </c>
      <c r="X636" s="44">
        <f>AVERAGE(INDEX($W:$W,MAX(ROW($W$3),ROW()-23)):INDEX($W:$W,ROW()))</f>
        <v>55.541666666666664</v>
      </c>
      <c r="Y636" s="44">
        <f>_xlfn.STDEV.S(INDEX($W:$W,MAX(ROW($W$3),ROW()-23)):INDEX($W:$W,ROW()))</f>
        <v>41.536761263149586</v>
      </c>
      <c r="Z636" s="44">
        <f t="shared" si="56"/>
        <v>1.2388624381984719</v>
      </c>
      <c r="AA636" s="40" t="b">
        <f t="shared" si="54"/>
        <v>0</v>
      </c>
    </row>
    <row r="637" spans="1:27" x14ac:dyDescent="0.3">
      <c r="A637" s="32">
        <v>635</v>
      </c>
      <c r="B637" s="33">
        <v>40572</v>
      </c>
      <c r="C637" s="40" t="str">
        <f t="shared" si="57"/>
        <v>Saturday</v>
      </c>
      <c r="D637" s="28">
        <v>17</v>
      </c>
      <c r="E637" s="40" t="str" cm="1">
        <f t="array" ref="E637">_xlfn.IFS(D637&gt;=21,"Night",D637&gt;=17,"Evening",D637&gt;=12,"Midday",D637&gt;=6,"Morning", TRUE, "Night")</f>
        <v>Evening</v>
      </c>
      <c r="F637" s="28">
        <v>1</v>
      </c>
      <c r="G637" s="28">
        <v>0</v>
      </c>
      <c r="H637" s="28">
        <v>1</v>
      </c>
      <c r="I637" s="28">
        <v>6</v>
      </c>
      <c r="J637" s="40" t="str">
        <f t="shared" si="58"/>
        <v>Weekday</v>
      </c>
      <c r="K637" s="28" t="b">
        <v>0</v>
      </c>
      <c r="L637" s="28">
        <v>1</v>
      </c>
      <c r="M637" s="40" t="str" cm="1">
        <f t="array" ref="M637">_xlfn.IFS(L637=1,"Clear / Partly Cloudy",L637=2,"Mist / Cloudy",L637=3,"Light Snow / Rain",L637=4,"Heavy Precipitation")</f>
        <v>Clear / Partly Cloudy</v>
      </c>
      <c r="N637" s="28">
        <v>0.24</v>
      </c>
      <c r="O637" s="28" t="str">
        <f t="shared" si="59"/>
        <v>Mild</v>
      </c>
      <c r="P637" s="28">
        <v>0.28789999999999999</v>
      </c>
      <c r="Q637" s="38">
        <f t="shared" si="55"/>
        <v>0.28789999999999999</v>
      </c>
      <c r="R637" s="28">
        <v>0.6</v>
      </c>
      <c r="S637" s="28">
        <v>0</v>
      </c>
      <c r="T637" s="40" t="str" cm="1">
        <f t="array" ref="T637">_xlfn.IFS(S637*18.6&lt;2,"Calm",S637*18.6&lt;6,"Light Breeze",S637*18.6&lt;14,"Gale",TRUE,"Extreme Storm")</f>
        <v>Calm</v>
      </c>
      <c r="U637" s="28">
        <v>9</v>
      </c>
      <c r="V637" s="28">
        <v>82</v>
      </c>
      <c r="W637" s="28">
        <v>91</v>
      </c>
      <c r="X637" s="44">
        <f>AVERAGE(INDEX($W:$W,MAX(ROW($W$3),ROW()-23)):INDEX($W:$W,ROW()))</f>
        <v>56</v>
      </c>
      <c r="Y637" s="44">
        <f>_xlfn.STDEV.S(INDEX($W:$W,MAX(ROW($W$3),ROW()-23)):INDEX($W:$W,ROW()))</f>
        <v>41.877668636575059</v>
      </c>
      <c r="Z637" s="44">
        <f t="shared" si="56"/>
        <v>0.83576763319225822</v>
      </c>
      <c r="AA637" s="40" t="b">
        <f t="shared" si="54"/>
        <v>0</v>
      </c>
    </row>
    <row r="638" spans="1:27" x14ac:dyDescent="0.3">
      <c r="A638" s="32">
        <v>636</v>
      </c>
      <c r="B638" s="33">
        <v>40572</v>
      </c>
      <c r="C638" s="40" t="str">
        <f t="shared" si="57"/>
        <v>Saturday</v>
      </c>
      <c r="D638" s="28">
        <v>18</v>
      </c>
      <c r="E638" s="40" t="str" cm="1">
        <f t="array" ref="E638">_xlfn.IFS(D638&gt;=21,"Night",D638&gt;=17,"Evening",D638&gt;=12,"Midday",D638&gt;=6,"Morning", TRUE, "Night")</f>
        <v>Evening</v>
      </c>
      <c r="F638" s="28">
        <v>1</v>
      </c>
      <c r="G638" s="28">
        <v>0</v>
      </c>
      <c r="H638" s="28">
        <v>1</v>
      </c>
      <c r="I638" s="28">
        <v>6</v>
      </c>
      <c r="J638" s="40" t="str">
        <f t="shared" si="58"/>
        <v>Weekday</v>
      </c>
      <c r="K638" s="28" t="b">
        <v>0</v>
      </c>
      <c r="L638" s="28">
        <v>1</v>
      </c>
      <c r="M638" s="40" t="str" cm="1">
        <f t="array" ref="M638">_xlfn.IFS(L638=1,"Clear / Partly Cloudy",L638=2,"Mist / Cloudy",L638=3,"Light Snow / Rain",L638=4,"Heavy Precipitation")</f>
        <v>Clear / Partly Cloudy</v>
      </c>
      <c r="N638" s="28">
        <v>0.22</v>
      </c>
      <c r="O638" s="28" t="str">
        <f t="shared" si="59"/>
        <v>Mild</v>
      </c>
      <c r="P638" s="28">
        <v>0.2273</v>
      </c>
      <c r="Q638" s="38">
        <f t="shared" si="55"/>
        <v>0.2273</v>
      </c>
      <c r="R638" s="28">
        <v>0.69</v>
      </c>
      <c r="S638" s="28">
        <v>0.1343</v>
      </c>
      <c r="T638" s="40" t="str" cm="1">
        <f t="array" ref="T638">_xlfn.IFS(S638*18.6&lt;2,"Calm",S638*18.6&lt;6,"Light Breeze",S638*18.6&lt;14,"Gale",TRUE,"Extreme Storm")</f>
        <v>Light Breeze</v>
      </c>
      <c r="U638" s="28">
        <v>9</v>
      </c>
      <c r="V638" s="28">
        <v>59</v>
      </c>
      <c r="W638" s="28">
        <v>68</v>
      </c>
      <c r="X638" s="44">
        <f>AVERAGE(INDEX($W:$W,MAX(ROW($W$3),ROW()-23)):INDEX($W:$W,ROW()))</f>
        <v>52.625</v>
      </c>
      <c r="Y638" s="44">
        <f>_xlfn.STDEV.S(INDEX($W:$W,MAX(ROW($W$3),ROW()-23)):INDEX($W:$W,ROW()))</f>
        <v>37.041472057329379</v>
      </c>
      <c r="Z638" s="44">
        <f t="shared" si="56"/>
        <v>0.41507529658119391</v>
      </c>
      <c r="AA638" s="40" t="b">
        <f t="shared" si="54"/>
        <v>0</v>
      </c>
    </row>
    <row r="639" spans="1:27" x14ac:dyDescent="0.3">
      <c r="A639" s="32">
        <v>637</v>
      </c>
      <c r="B639" s="33">
        <v>40572</v>
      </c>
      <c r="C639" s="40" t="str">
        <f t="shared" si="57"/>
        <v>Saturday</v>
      </c>
      <c r="D639" s="28">
        <v>19</v>
      </c>
      <c r="E639" s="40" t="str" cm="1">
        <f t="array" ref="E639">_xlfn.IFS(D639&gt;=21,"Night",D639&gt;=17,"Evening",D639&gt;=12,"Midday",D639&gt;=6,"Morning", TRUE, "Night")</f>
        <v>Evening</v>
      </c>
      <c r="F639" s="28">
        <v>1</v>
      </c>
      <c r="G639" s="28">
        <v>0</v>
      </c>
      <c r="H639" s="28">
        <v>1</v>
      </c>
      <c r="I639" s="28">
        <v>6</v>
      </c>
      <c r="J639" s="40" t="str">
        <f t="shared" si="58"/>
        <v>Weekday</v>
      </c>
      <c r="K639" s="28" t="b">
        <v>0</v>
      </c>
      <c r="L639" s="28">
        <v>2</v>
      </c>
      <c r="M639" s="40" t="str" cm="1">
        <f t="array" ref="M639">_xlfn.IFS(L639=1,"Clear / Partly Cloudy",L639=2,"Mist / Cloudy",L639=3,"Light Snow / Rain",L639=4,"Heavy Precipitation")</f>
        <v>Mist / Cloudy</v>
      </c>
      <c r="N639" s="28">
        <v>0.22</v>
      </c>
      <c r="O639" s="28" t="str">
        <f t="shared" si="59"/>
        <v>Mild</v>
      </c>
      <c r="P639" s="28">
        <v>0.21210000000000001</v>
      </c>
      <c r="Q639" s="38">
        <f t="shared" si="55"/>
        <v>0.21210000000000001</v>
      </c>
      <c r="R639" s="28">
        <v>0.69</v>
      </c>
      <c r="S639" s="28">
        <v>0.25369999999999998</v>
      </c>
      <c r="T639" s="40" t="str" cm="1">
        <f t="array" ref="T639">_xlfn.IFS(S639*18.6&lt;2,"Calm",S639*18.6&lt;6,"Light Breeze",S639*18.6&lt;14,"Gale",TRUE,"Extreme Storm")</f>
        <v>Light Breeze</v>
      </c>
      <c r="U639" s="28">
        <v>6</v>
      </c>
      <c r="V639" s="28">
        <v>52</v>
      </c>
      <c r="W639" s="28">
        <v>58</v>
      </c>
      <c r="X639" s="44">
        <f>AVERAGE(INDEX($W:$W,MAX(ROW($W$3),ROW()-23)):INDEX($W:$W,ROW()))</f>
        <v>50.5</v>
      </c>
      <c r="Y639" s="44">
        <f>_xlfn.STDEV.S(INDEX($W:$W,MAX(ROW($W$3),ROW()-23)):INDEX($W:$W,ROW()))</f>
        <v>35.077553828747746</v>
      </c>
      <c r="Z639" s="44">
        <f t="shared" si="56"/>
        <v>0.21381194471586523</v>
      </c>
      <c r="AA639" s="40" t="b">
        <f t="shared" si="54"/>
        <v>0</v>
      </c>
    </row>
    <row r="640" spans="1:27" x14ac:dyDescent="0.3">
      <c r="A640" s="32">
        <v>638</v>
      </c>
      <c r="B640" s="33">
        <v>40572</v>
      </c>
      <c r="C640" s="40" t="str">
        <f t="shared" si="57"/>
        <v>Saturday</v>
      </c>
      <c r="D640" s="28">
        <v>20</v>
      </c>
      <c r="E640" s="40" t="str" cm="1">
        <f t="array" ref="E640">_xlfn.IFS(D640&gt;=21,"Night",D640&gt;=17,"Evening",D640&gt;=12,"Midday",D640&gt;=6,"Morning", TRUE, "Night")</f>
        <v>Evening</v>
      </c>
      <c r="F640" s="28">
        <v>1</v>
      </c>
      <c r="G640" s="28">
        <v>0</v>
      </c>
      <c r="H640" s="28">
        <v>1</v>
      </c>
      <c r="I640" s="28">
        <v>6</v>
      </c>
      <c r="J640" s="40" t="str">
        <f t="shared" si="58"/>
        <v>Weekday</v>
      </c>
      <c r="K640" s="28" t="b">
        <v>0</v>
      </c>
      <c r="L640" s="28">
        <v>1</v>
      </c>
      <c r="M640" s="40" t="str" cm="1">
        <f t="array" ref="M640">_xlfn.IFS(L640=1,"Clear / Partly Cloudy",L640=2,"Mist / Cloudy",L640=3,"Light Snow / Rain",L640=4,"Heavy Precipitation")</f>
        <v>Clear / Partly Cloudy</v>
      </c>
      <c r="N640" s="28">
        <v>0.18</v>
      </c>
      <c r="O640" s="28" t="str">
        <f t="shared" si="59"/>
        <v>Cold</v>
      </c>
      <c r="P640" s="28">
        <v>0.21210000000000001</v>
      </c>
      <c r="Q640" s="38">
        <f t="shared" si="55"/>
        <v>0.21210000000000001</v>
      </c>
      <c r="R640" s="28">
        <v>0.74</v>
      </c>
      <c r="S640" s="28">
        <v>8.9599999999999999E-2</v>
      </c>
      <c r="T640" s="40" t="str" cm="1">
        <f t="array" ref="T640">_xlfn.IFS(S640*18.6&lt;2,"Calm",S640*18.6&lt;6,"Light Breeze",S640*18.6&lt;14,"Gale",TRUE,"Extreme Storm")</f>
        <v>Calm</v>
      </c>
      <c r="U640" s="28">
        <v>1</v>
      </c>
      <c r="V640" s="28">
        <v>42</v>
      </c>
      <c r="W640" s="28">
        <v>43</v>
      </c>
      <c r="X640" s="44">
        <f>AVERAGE(INDEX($W:$W,MAX(ROW($W$3),ROW()-23)):INDEX($W:$W,ROW()))</f>
        <v>48.583333333333336</v>
      </c>
      <c r="Y640" s="44">
        <f>_xlfn.STDEV.S(INDEX($W:$W,MAX(ROW($W$3),ROW()-23)):INDEX($W:$W,ROW()))</f>
        <v>34.126257475371695</v>
      </c>
      <c r="Z640" s="44">
        <f t="shared" si="56"/>
        <v>-0.16360813480243847</v>
      </c>
      <c r="AA640" s="40" t="b">
        <f t="shared" si="54"/>
        <v>0</v>
      </c>
    </row>
    <row r="641" spans="1:27" x14ac:dyDescent="0.3">
      <c r="A641" s="32">
        <v>639</v>
      </c>
      <c r="B641" s="33">
        <v>40572</v>
      </c>
      <c r="C641" s="40" t="str">
        <f t="shared" si="57"/>
        <v>Saturday</v>
      </c>
      <c r="D641" s="28">
        <v>21</v>
      </c>
      <c r="E641" s="40" t="str" cm="1">
        <f t="array" ref="E641">_xlfn.IFS(D641&gt;=21,"Night",D641&gt;=17,"Evening",D641&gt;=12,"Midday",D641&gt;=6,"Morning", TRUE, "Night")</f>
        <v>Night</v>
      </c>
      <c r="F641" s="28">
        <v>1</v>
      </c>
      <c r="G641" s="28">
        <v>0</v>
      </c>
      <c r="H641" s="28">
        <v>1</v>
      </c>
      <c r="I641" s="28">
        <v>6</v>
      </c>
      <c r="J641" s="40" t="str">
        <f t="shared" si="58"/>
        <v>Weekday</v>
      </c>
      <c r="K641" s="28" t="b">
        <v>0</v>
      </c>
      <c r="L641" s="28">
        <v>1</v>
      </c>
      <c r="M641" s="40" t="str" cm="1">
        <f t="array" ref="M641">_xlfn.IFS(L641=1,"Clear / Partly Cloudy",L641=2,"Mist / Cloudy",L641=3,"Light Snow / Rain",L641=4,"Heavy Precipitation")</f>
        <v>Clear / Partly Cloudy</v>
      </c>
      <c r="N641" s="28">
        <v>0.18</v>
      </c>
      <c r="O641" s="28" t="str">
        <f t="shared" si="59"/>
        <v>Cold</v>
      </c>
      <c r="P641" s="28">
        <v>0.21210000000000001</v>
      </c>
      <c r="Q641" s="38">
        <f t="shared" si="55"/>
        <v>0.21210000000000001</v>
      </c>
      <c r="R641" s="28">
        <v>0.74</v>
      </c>
      <c r="S641" s="28">
        <v>8.9599999999999999E-2</v>
      </c>
      <c r="T641" s="40" t="str" cm="1">
        <f t="array" ref="T641">_xlfn.IFS(S641*18.6&lt;2,"Calm",S641*18.6&lt;6,"Light Breeze",S641*18.6&lt;14,"Gale",TRUE,"Extreme Storm")</f>
        <v>Calm</v>
      </c>
      <c r="U641" s="28">
        <v>1</v>
      </c>
      <c r="V641" s="28">
        <v>35</v>
      </c>
      <c r="W641" s="28">
        <v>36</v>
      </c>
      <c r="X641" s="44">
        <f>AVERAGE(INDEX($W:$W,MAX(ROW($W$3),ROW()-23)):INDEX($W:$W,ROW()))</f>
        <v>47.5</v>
      </c>
      <c r="Y641" s="44">
        <f>_xlfn.STDEV.S(INDEX($W:$W,MAX(ROW($W$3),ROW()-23)):INDEX($W:$W,ROW()))</f>
        <v>34.094497834822199</v>
      </c>
      <c r="Z641" s="44">
        <f t="shared" si="56"/>
        <v>-0.33729782605140901</v>
      </c>
      <c r="AA641" s="40" t="b">
        <f t="shared" si="54"/>
        <v>0</v>
      </c>
    </row>
    <row r="642" spans="1:27" x14ac:dyDescent="0.3">
      <c r="A642" s="32">
        <v>640</v>
      </c>
      <c r="B642" s="33">
        <v>40572</v>
      </c>
      <c r="C642" s="40" t="str">
        <f t="shared" si="57"/>
        <v>Saturday</v>
      </c>
      <c r="D642" s="28">
        <v>22</v>
      </c>
      <c r="E642" s="40" t="str" cm="1">
        <f t="array" ref="E642">_xlfn.IFS(D642&gt;=21,"Night",D642&gt;=17,"Evening",D642&gt;=12,"Midday",D642&gt;=6,"Morning", TRUE, "Night")</f>
        <v>Night</v>
      </c>
      <c r="F642" s="28">
        <v>1</v>
      </c>
      <c r="G642" s="28">
        <v>0</v>
      </c>
      <c r="H642" s="28">
        <v>1</v>
      </c>
      <c r="I642" s="28">
        <v>6</v>
      </c>
      <c r="J642" s="40" t="str">
        <f t="shared" si="58"/>
        <v>Weekday</v>
      </c>
      <c r="K642" s="28" t="b">
        <v>0</v>
      </c>
      <c r="L642" s="28">
        <v>1</v>
      </c>
      <c r="M642" s="40" t="str" cm="1">
        <f t="array" ref="M642">_xlfn.IFS(L642=1,"Clear / Partly Cloudy",L642=2,"Mist / Cloudy",L642=3,"Light Snow / Rain",L642=4,"Heavy Precipitation")</f>
        <v>Clear / Partly Cloudy</v>
      </c>
      <c r="N642" s="28">
        <v>0.16</v>
      </c>
      <c r="O642" s="28" t="str">
        <f t="shared" si="59"/>
        <v>Cold</v>
      </c>
      <c r="P642" s="28">
        <v>0.19700000000000001</v>
      </c>
      <c r="Q642" s="38">
        <f t="shared" si="55"/>
        <v>0.19700000000000001</v>
      </c>
      <c r="R642" s="28">
        <v>0.8</v>
      </c>
      <c r="S642" s="28">
        <v>8.9599999999999999E-2</v>
      </c>
      <c r="T642" s="40" t="str" cm="1">
        <f t="array" ref="T642">_xlfn.IFS(S642*18.6&lt;2,"Calm",S642*18.6&lt;6,"Light Breeze",S642*18.6&lt;14,"Gale",TRUE,"Extreme Storm")</f>
        <v>Calm</v>
      </c>
      <c r="U642" s="28">
        <v>4</v>
      </c>
      <c r="V642" s="28">
        <v>28</v>
      </c>
      <c r="W642" s="28">
        <v>32</v>
      </c>
      <c r="X642" s="44">
        <f>AVERAGE(INDEX($W:$W,MAX(ROW($W$3),ROW()-23)):INDEX($W:$W,ROW()))</f>
        <v>46.416666666666664</v>
      </c>
      <c r="Y642" s="44">
        <f>_xlfn.STDEV.S(INDEX($W:$W,MAX(ROW($W$3),ROW()-23)):INDEX($W:$W,ROW()))</f>
        <v>34.159366487693823</v>
      </c>
      <c r="Z642" s="44">
        <f t="shared" si="56"/>
        <v>-0.4220413944696656</v>
      </c>
      <c r="AA642" s="40" t="b">
        <f t="shared" si="54"/>
        <v>0</v>
      </c>
    </row>
    <row r="643" spans="1:27" x14ac:dyDescent="0.3">
      <c r="A643" s="32">
        <v>641</v>
      </c>
      <c r="B643" s="33">
        <v>40572</v>
      </c>
      <c r="C643" s="40" t="str">
        <f t="shared" si="57"/>
        <v>Saturday</v>
      </c>
      <c r="D643" s="28">
        <v>23</v>
      </c>
      <c r="E643" s="40" t="str" cm="1">
        <f t="array" ref="E643">_xlfn.IFS(D643&gt;=21,"Night",D643&gt;=17,"Evening",D643&gt;=12,"Midday",D643&gt;=6,"Morning", TRUE, "Night")</f>
        <v>Night</v>
      </c>
      <c r="F643" s="28">
        <v>1</v>
      </c>
      <c r="G643" s="28">
        <v>0</v>
      </c>
      <c r="H643" s="28">
        <v>1</v>
      </c>
      <c r="I643" s="28">
        <v>6</v>
      </c>
      <c r="J643" s="40" t="str">
        <f t="shared" si="58"/>
        <v>Weekday</v>
      </c>
      <c r="K643" s="28" t="b">
        <v>0</v>
      </c>
      <c r="L643" s="28">
        <v>1</v>
      </c>
      <c r="M643" s="40" t="str" cm="1">
        <f t="array" ref="M643">_xlfn.IFS(L643=1,"Clear / Partly Cloudy",L643=2,"Mist / Cloudy",L643=3,"Light Snow / Rain",L643=4,"Heavy Precipitation")</f>
        <v>Clear / Partly Cloudy</v>
      </c>
      <c r="N643" s="28">
        <v>0.16</v>
      </c>
      <c r="O643" s="28" t="str">
        <f t="shared" si="59"/>
        <v>Cold</v>
      </c>
      <c r="P643" s="28">
        <v>0.19700000000000001</v>
      </c>
      <c r="Q643" s="38">
        <f t="shared" si="55"/>
        <v>0.19700000000000001</v>
      </c>
      <c r="R643" s="28">
        <v>0.8</v>
      </c>
      <c r="S643" s="28">
        <v>8.9599999999999999E-2</v>
      </c>
      <c r="T643" s="40" t="str" cm="1">
        <f t="array" ref="T643">_xlfn.IFS(S643*18.6&lt;2,"Calm",S643*18.6&lt;6,"Light Breeze",S643*18.6&lt;14,"Gale",TRUE,"Extreme Storm")</f>
        <v>Calm</v>
      </c>
      <c r="U643" s="28">
        <v>3</v>
      </c>
      <c r="V643" s="28">
        <v>30</v>
      </c>
      <c r="W643" s="28">
        <v>33</v>
      </c>
      <c r="X643" s="44">
        <f>AVERAGE(INDEX($W:$W,MAX(ROW($W$3),ROW()-23)):INDEX($W:$W,ROW()))</f>
        <v>46.708333333333336</v>
      </c>
      <c r="Y643" s="44">
        <f>_xlfn.STDEV.S(INDEX($W:$W,MAX(ROW($W$3),ROW()-23)):INDEX($W:$W,ROW()))</f>
        <v>34.007005885190225</v>
      </c>
      <c r="Z643" s="44">
        <f t="shared" si="56"/>
        <v>-0.40310321289717549</v>
      </c>
      <c r="AA643" s="40" t="b">
        <f t="shared" ref="AA643:AA706" si="60">IF(ABS(Z643)&gt;=3,TRUE,FALSE)</f>
        <v>0</v>
      </c>
    </row>
    <row r="644" spans="1:27" x14ac:dyDescent="0.3">
      <c r="A644" s="32">
        <v>642</v>
      </c>
      <c r="B644" s="33">
        <v>40573</v>
      </c>
      <c r="C644" s="40" t="str">
        <f t="shared" si="57"/>
        <v>Sunday</v>
      </c>
      <c r="D644" s="28">
        <v>0</v>
      </c>
      <c r="E644" s="40" t="str" cm="1">
        <f t="array" ref="E644">_xlfn.IFS(D644&gt;=21,"Night",D644&gt;=17,"Evening",D644&gt;=12,"Midday",D644&gt;=6,"Morning", TRUE, "Night")</f>
        <v>Night</v>
      </c>
      <c r="F644" s="28">
        <v>1</v>
      </c>
      <c r="G644" s="28">
        <v>0</v>
      </c>
      <c r="H644" s="28">
        <v>1</v>
      </c>
      <c r="I644" s="28">
        <v>0</v>
      </c>
      <c r="J644" s="40" t="str">
        <f t="shared" si="58"/>
        <v>Weekday</v>
      </c>
      <c r="K644" s="28" t="b">
        <v>0</v>
      </c>
      <c r="L644" s="28">
        <v>1</v>
      </c>
      <c r="M644" s="40" t="str" cm="1">
        <f t="array" ref="M644">_xlfn.IFS(L644=1,"Clear / Partly Cloudy",L644=2,"Mist / Cloudy",L644=3,"Light Snow / Rain",L644=4,"Heavy Precipitation")</f>
        <v>Clear / Partly Cloudy</v>
      </c>
      <c r="N644" s="28">
        <v>0.16</v>
      </c>
      <c r="O644" s="28" t="str">
        <f t="shared" si="59"/>
        <v>Cold</v>
      </c>
      <c r="P644" s="28">
        <v>0.18179999999999999</v>
      </c>
      <c r="Q644" s="38">
        <f t="shared" ref="Q644:Q707" si="61">IF(P644="", AVERAGE($P$3:$P$1002), P644)</f>
        <v>0.18179999999999999</v>
      </c>
      <c r="R644" s="28">
        <v>0.8</v>
      </c>
      <c r="S644" s="28">
        <v>0.1045</v>
      </c>
      <c r="T644" s="40" t="str" cm="1">
        <f t="array" ref="T644">_xlfn.IFS(S644*18.6&lt;2,"Calm",S644*18.6&lt;6,"Light Breeze",S644*18.6&lt;14,"Gale",TRUE,"Extreme Storm")</f>
        <v>Calm</v>
      </c>
      <c r="U644" s="28">
        <v>0</v>
      </c>
      <c r="V644" s="28">
        <v>33</v>
      </c>
      <c r="W644" s="28">
        <v>33</v>
      </c>
      <c r="X644" s="44">
        <f>AVERAGE(INDEX($W:$W,MAX(ROW($W$3),ROW()-23)):INDEX($W:$W,ROW()))</f>
        <v>47.125</v>
      </c>
      <c r="Y644" s="44">
        <f>_xlfn.STDEV.S(INDEX($W:$W,MAX(ROW($W$3),ROW()-23)):INDEX($W:$W,ROW()))</f>
        <v>33.76428844079264</v>
      </c>
      <c r="Z644" s="44">
        <f t="shared" ref="Z644:Z707" si="62">IFERROR((W644-X644)/Y644,0)</f>
        <v>-0.41834140899396977</v>
      </c>
      <c r="AA644" s="40" t="b">
        <f t="shared" si="60"/>
        <v>0</v>
      </c>
    </row>
    <row r="645" spans="1:27" x14ac:dyDescent="0.3">
      <c r="A645" s="32">
        <v>643</v>
      </c>
      <c r="B645" s="33">
        <v>40573</v>
      </c>
      <c r="C645" s="40" t="str">
        <f t="shared" ref="C645:C708" si="63">TEXT(B645,"dddd")</f>
        <v>Sunday</v>
      </c>
      <c r="D645" s="28">
        <v>1</v>
      </c>
      <c r="E645" s="40" t="str" cm="1">
        <f t="array" ref="E645">_xlfn.IFS(D645&gt;=21,"Night",D645&gt;=17,"Evening",D645&gt;=12,"Midday",D645&gt;=6,"Morning", TRUE, "Night")</f>
        <v>Night</v>
      </c>
      <c r="F645" s="28">
        <v>1</v>
      </c>
      <c r="G645" s="28">
        <v>0</v>
      </c>
      <c r="H645" s="28">
        <v>1</v>
      </c>
      <c r="I645" s="28">
        <v>0</v>
      </c>
      <c r="J645" s="40" t="str">
        <f t="shared" ref="J645:J708" si="64">IF(OR(I645="Saturday", I645="Sunday"), "Weekend", "Weekday")</f>
        <v>Weekday</v>
      </c>
      <c r="K645" s="28" t="b">
        <v>0</v>
      </c>
      <c r="L645" s="28">
        <v>1</v>
      </c>
      <c r="M645" s="40" t="str" cm="1">
        <f t="array" ref="M645">_xlfn.IFS(L645=1,"Clear / Partly Cloudy",L645=2,"Mist / Cloudy",L645=3,"Light Snow / Rain",L645=4,"Heavy Precipitation")</f>
        <v>Clear / Partly Cloudy</v>
      </c>
      <c r="N645" s="28">
        <v>0.14000000000000001</v>
      </c>
      <c r="O645" s="28" t="str">
        <f t="shared" ref="O645:O708" si="65">IF(N645&lt;0.2,"Cold",IF(N645&lt;0.6,"Mild","Hot"))</f>
        <v>Cold</v>
      </c>
      <c r="P645" s="28">
        <v>0.21210000000000001</v>
      </c>
      <c r="Q645" s="38">
        <f t="shared" si="61"/>
        <v>0.21210000000000001</v>
      </c>
      <c r="R645" s="28">
        <v>0.8</v>
      </c>
      <c r="S645" s="28">
        <v>0</v>
      </c>
      <c r="T645" s="40" t="str" cm="1">
        <f t="array" ref="T645">_xlfn.IFS(S645*18.6&lt;2,"Calm",S645*18.6&lt;6,"Light Breeze",S645*18.6&lt;14,"Gale",TRUE,"Extreme Storm")</f>
        <v>Calm</v>
      </c>
      <c r="U645" s="28">
        <v>7</v>
      </c>
      <c r="V645" s="28">
        <v>22</v>
      </c>
      <c r="W645" s="28">
        <v>29</v>
      </c>
      <c r="X645" s="44">
        <f>AVERAGE(INDEX($W:$W,MAX(ROW($W$3),ROW()-23)):INDEX($W:$W,ROW()))</f>
        <v>47.166666666666664</v>
      </c>
      <c r="Y645" s="44">
        <f>_xlfn.STDEV.S(INDEX($W:$W,MAX(ROW($W$3),ROW()-23)):INDEX($W:$W,ROW()))</f>
        <v>33.740269665511704</v>
      </c>
      <c r="Z645" s="44">
        <f t="shared" si="62"/>
        <v>-0.53842683673735092</v>
      </c>
      <c r="AA645" s="40" t="b">
        <f t="shared" si="60"/>
        <v>0</v>
      </c>
    </row>
    <row r="646" spans="1:27" x14ac:dyDescent="0.3">
      <c r="A646" s="32">
        <v>644</v>
      </c>
      <c r="B646" s="33">
        <v>40573</v>
      </c>
      <c r="C646" s="40" t="str">
        <f t="shared" si="63"/>
        <v>Sunday</v>
      </c>
      <c r="D646" s="28">
        <v>2</v>
      </c>
      <c r="E646" s="40" t="str" cm="1">
        <f t="array" ref="E646">_xlfn.IFS(D646&gt;=21,"Night",D646&gt;=17,"Evening",D646&gt;=12,"Midday",D646&gt;=6,"Morning", TRUE, "Night")</f>
        <v>Night</v>
      </c>
      <c r="F646" s="28">
        <v>1</v>
      </c>
      <c r="G646" s="28">
        <v>0</v>
      </c>
      <c r="H646" s="28">
        <v>1</v>
      </c>
      <c r="I646" s="28">
        <v>0</v>
      </c>
      <c r="J646" s="40" t="str">
        <f t="shared" si="64"/>
        <v>Weekday</v>
      </c>
      <c r="K646" s="28" t="b">
        <v>0</v>
      </c>
      <c r="L646" s="28">
        <v>1</v>
      </c>
      <c r="M646" s="40" t="str" cm="1">
        <f t="array" ref="M646">_xlfn.IFS(L646=1,"Clear / Partly Cloudy",L646=2,"Mist / Cloudy",L646=3,"Light Snow / Rain",L646=4,"Heavy Precipitation")</f>
        <v>Clear / Partly Cloudy</v>
      </c>
      <c r="N646" s="28">
        <v>0.16</v>
      </c>
      <c r="O646" s="28" t="str">
        <f t="shared" si="65"/>
        <v>Cold</v>
      </c>
      <c r="P646" s="28">
        <v>0.2273</v>
      </c>
      <c r="Q646" s="38">
        <f t="shared" si="61"/>
        <v>0.2273</v>
      </c>
      <c r="R646" s="28">
        <v>0.8</v>
      </c>
      <c r="S646" s="28">
        <v>0</v>
      </c>
      <c r="T646" s="40" t="str" cm="1">
        <f t="array" ref="T646">_xlfn.IFS(S646*18.6&lt;2,"Calm",S646*18.6&lt;6,"Light Breeze",S646*18.6&lt;14,"Gale",TRUE,"Extreme Storm")</f>
        <v>Calm</v>
      </c>
      <c r="U646" s="28">
        <v>1</v>
      </c>
      <c r="V646" s="28">
        <v>10</v>
      </c>
      <c r="W646" s="28">
        <v>11</v>
      </c>
      <c r="X646" s="44">
        <f>AVERAGE(INDEX($W:$W,MAX(ROW($W$3),ROW()-23)):INDEX($W:$W,ROW()))</f>
        <v>46.791666666666664</v>
      </c>
      <c r="Y646" s="44">
        <f>_xlfn.STDEV.S(INDEX($W:$W,MAX(ROW($W$3),ROW()-23)):INDEX($W:$W,ROW()))</f>
        <v>34.103396702772393</v>
      </c>
      <c r="Z646" s="44">
        <f t="shared" si="62"/>
        <v>-1.0495044519643706</v>
      </c>
      <c r="AA646" s="40" t="b">
        <f t="shared" si="60"/>
        <v>0</v>
      </c>
    </row>
    <row r="647" spans="1:27" x14ac:dyDescent="0.3">
      <c r="A647" s="32">
        <v>645</v>
      </c>
      <c r="B647" s="33">
        <v>40573</v>
      </c>
      <c r="C647" s="40" t="str">
        <f t="shared" si="63"/>
        <v>Sunday</v>
      </c>
      <c r="D647" s="28">
        <v>3</v>
      </c>
      <c r="E647" s="40" t="str" cm="1">
        <f t="array" ref="E647">_xlfn.IFS(D647&gt;=21,"Night",D647&gt;=17,"Evening",D647&gt;=12,"Midday",D647&gt;=6,"Morning", TRUE, "Night")</f>
        <v>Night</v>
      </c>
      <c r="F647" s="28">
        <v>1</v>
      </c>
      <c r="G647" s="28">
        <v>0</v>
      </c>
      <c r="H647" s="28">
        <v>1</v>
      </c>
      <c r="I647" s="28">
        <v>0</v>
      </c>
      <c r="J647" s="40" t="str">
        <f t="shared" si="64"/>
        <v>Weekday</v>
      </c>
      <c r="K647" s="28" t="b">
        <v>0</v>
      </c>
      <c r="L647" s="28">
        <v>1</v>
      </c>
      <c r="M647" s="40" t="str" cm="1">
        <f t="array" ref="M647">_xlfn.IFS(L647=1,"Clear / Partly Cloudy",L647=2,"Mist / Cloudy",L647=3,"Light Snow / Rain",L647=4,"Heavy Precipitation")</f>
        <v>Clear / Partly Cloudy</v>
      </c>
      <c r="N647" s="28">
        <v>0.14000000000000001</v>
      </c>
      <c r="O647" s="28" t="str">
        <f t="shared" si="65"/>
        <v>Cold</v>
      </c>
      <c r="P647" s="28">
        <v>0.21210000000000001</v>
      </c>
      <c r="Q647" s="38">
        <f t="shared" si="61"/>
        <v>0.21210000000000001</v>
      </c>
      <c r="R647" s="28">
        <v>0.93</v>
      </c>
      <c r="S647" s="28">
        <v>0</v>
      </c>
      <c r="T647" s="40" t="str" cm="1">
        <f t="array" ref="T647">_xlfn.IFS(S647*18.6&lt;2,"Calm",S647*18.6&lt;6,"Light Breeze",S647*18.6&lt;14,"Gale",TRUE,"Extreme Storm")</f>
        <v>Calm</v>
      </c>
      <c r="U647" s="28">
        <v>1</v>
      </c>
      <c r="V647" s="28">
        <v>7</v>
      </c>
      <c r="W647" s="28">
        <v>8</v>
      </c>
      <c r="X647" s="44">
        <f>AVERAGE(INDEX($W:$W,MAX(ROW($W$3),ROW()-23)):INDEX($W:$W,ROW()))</f>
        <v>46.5</v>
      </c>
      <c r="Y647" s="44">
        <f>_xlfn.STDEV.S(INDEX($W:$W,MAX(ROW($W$3),ROW()-23)):INDEX($W:$W,ROW()))</f>
        <v>34.415618294732056</v>
      </c>
      <c r="Z647" s="44">
        <f t="shared" si="62"/>
        <v>-1.1186781440417455</v>
      </c>
      <c r="AA647" s="40" t="b">
        <f t="shared" si="60"/>
        <v>0</v>
      </c>
    </row>
    <row r="648" spans="1:27" x14ac:dyDescent="0.3">
      <c r="A648" s="32">
        <v>646</v>
      </c>
      <c r="B648" s="33">
        <v>40573</v>
      </c>
      <c r="C648" s="40" t="str">
        <f t="shared" si="63"/>
        <v>Sunday</v>
      </c>
      <c r="D648" s="28">
        <v>4</v>
      </c>
      <c r="E648" s="40" t="str" cm="1">
        <f t="array" ref="E648">_xlfn.IFS(D648&gt;=21,"Night",D648&gt;=17,"Evening",D648&gt;=12,"Midday",D648&gt;=6,"Morning", TRUE, "Night")</f>
        <v>Night</v>
      </c>
      <c r="F648" s="28">
        <v>1</v>
      </c>
      <c r="G648" s="28">
        <v>0</v>
      </c>
      <c r="H648" s="28">
        <v>1</v>
      </c>
      <c r="I648" s="28">
        <v>0</v>
      </c>
      <c r="J648" s="40" t="str">
        <f t="shared" si="64"/>
        <v>Weekday</v>
      </c>
      <c r="K648" s="28" t="b">
        <v>0</v>
      </c>
      <c r="L648" s="28">
        <v>1</v>
      </c>
      <c r="M648" s="40" t="str" cm="1">
        <f t="array" ref="M648">_xlfn.IFS(L648=1,"Clear / Partly Cloudy",L648=2,"Mist / Cloudy",L648=3,"Light Snow / Rain",L648=4,"Heavy Precipitation")</f>
        <v>Clear / Partly Cloudy</v>
      </c>
      <c r="N648" s="28">
        <v>0.14000000000000001</v>
      </c>
      <c r="O648" s="28" t="str">
        <f t="shared" si="65"/>
        <v>Cold</v>
      </c>
      <c r="P648" s="28">
        <v>0.21210000000000001</v>
      </c>
      <c r="Q648" s="38">
        <f t="shared" si="61"/>
        <v>0.21210000000000001</v>
      </c>
      <c r="R648" s="28">
        <v>0.93</v>
      </c>
      <c r="S648" s="28">
        <v>0</v>
      </c>
      <c r="T648" s="40" t="str" cm="1">
        <f t="array" ref="T648">_xlfn.IFS(S648*18.6&lt;2,"Calm",S648*18.6&lt;6,"Light Breeze",S648*18.6&lt;14,"Gale",TRUE,"Extreme Storm")</f>
        <v>Calm</v>
      </c>
      <c r="U648" s="28">
        <v>0</v>
      </c>
      <c r="V648" s="28">
        <v>1</v>
      </c>
      <c r="W648" s="28">
        <v>1</v>
      </c>
      <c r="X648" s="44">
        <f>AVERAGE(INDEX($W:$W,MAX(ROW($W$3),ROW()-23)):INDEX($W:$W,ROW()))</f>
        <v>46.208333333333336</v>
      </c>
      <c r="Y648" s="44">
        <f>_xlfn.STDEV.S(INDEX($W:$W,MAX(ROW($W$3),ROW()-23)):INDEX($W:$W,ROW()))</f>
        <v>34.783778286495242</v>
      </c>
      <c r="Z648" s="44">
        <f t="shared" si="62"/>
        <v>-1.2996958801018295</v>
      </c>
      <c r="AA648" s="40" t="b">
        <f t="shared" si="60"/>
        <v>0</v>
      </c>
    </row>
    <row r="649" spans="1:27" x14ac:dyDescent="0.3">
      <c r="A649" s="32">
        <v>647</v>
      </c>
      <c r="B649" s="33">
        <v>40573</v>
      </c>
      <c r="C649" s="40" t="str">
        <f t="shared" si="63"/>
        <v>Sunday</v>
      </c>
      <c r="D649" s="28">
        <v>5</v>
      </c>
      <c r="E649" s="40" t="str" cm="1">
        <f t="array" ref="E649">_xlfn.IFS(D649&gt;=21,"Night",D649&gt;=17,"Evening",D649&gt;=12,"Midday",D649&gt;=6,"Morning", TRUE, "Night")</f>
        <v>Night</v>
      </c>
      <c r="F649" s="28">
        <v>1</v>
      </c>
      <c r="G649" s="28">
        <v>0</v>
      </c>
      <c r="H649" s="28">
        <v>1</v>
      </c>
      <c r="I649" s="28">
        <v>0</v>
      </c>
      <c r="J649" s="40" t="str">
        <f t="shared" si="64"/>
        <v>Weekday</v>
      </c>
      <c r="K649" s="28" t="b">
        <v>0</v>
      </c>
      <c r="L649" s="28">
        <v>1</v>
      </c>
      <c r="M649" s="40" t="str" cm="1">
        <f t="array" ref="M649">_xlfn.IFS(L649=1,"Clear / Partly Cloudy",L649=2,"Mist / Cloudy",L649=3,"Light Snow / Rain",L649=4,"Heavy Precipitation")</f>
        <v>Clear / Partly Cloudy</v>
      </c>
      <c r="N649" s="28">
        <v>0.14000000000000001</v>
      </c>
      <c r="O649" s="28" t="str">
        <f t="shared" si="65"/>
        <v>Cold</v>
      </c>
      <c r="P649" s="28">
        <v>0.21210000000000001</v>
      </c>
      <c r="Q649" s="38">
        <f t="shared" si="61"/>
        <v>0.21210000000000001</v>
      </c>
      <c r="R649" s="28">
        <v>0.86</v>
      </c>
      <c r="S649" s="28">
        <v>0</v>
      </c>
      <c r="T649" s="40" t="str" cm="1">
        <f t="array" ref="T649">_xlfn.IFS(S649*18.6&lt;2,"Calm",S649*18.6&lt;6,"Light Breeze",S649*18.6&lt;14,"Gale",TRUE,"Extreme Storm")</f>
        <v>Calm</v>
      </c>
      <c r="U649" s="28">
        <v>0</v>
      </c>
      <c r="V649" s="28">
        <v>3</v>
      </c>
      <c r="W649" s="28">
        <v>3</v>
      </c>
      <c r="X649" s="44">
        <f>AVERAGE(INDEX($W:$W,MAX(ROW($W$3),ROW()-23)):INDEX($W:$W,ROW()))</f>
        <v>46.208333333333336</v>
      </c>
      <c r="Y649" s="44">
        <f>_xlfn.STDEV.S(INDEX($W:$W,MAX(ROW($W$3),ROW()-23)):INDEX($W:$W,ROW()))</f>
        <v>34.783778286495242</v>
      </c>
      <c r="Z649" s="44">
        <f t="shared" si="62"/>
        <v>-1.2421978135166793</v>
      </c>
      <c r="AA649" s="40" t="b">
        <f t="shared" si="60"/>
        <v>0</v>
      </c>
    </row>
    <row r="650" spans="1:27" x14ac:dyDescent="0.3">
      <c r="A650" s="32">
        <v>648</v>
      </c>
      <c r="B650" s="33">
        <v>40573</v>
      </c>
      <c r="C650" s="40" t="str">
        <f t="shared" si="63"/>
        <v>Sunday</v>
      </c>
      <c r="D650" s="28">
        <v>7</v>
      </c>
      <c r="E650" s="40" t="str" cm="1">
        <f t="array" ref="E650">_xlfn.IFS(D650&gt;=21,"Night",D650&gt;=17,"Evening",D650&gt;=12,"Midday",D650&gt;=6,"Morning", TRUE, "Night")</f>
        <v>Morning</v>
      </c>
      <c r="F650" s="28">
        <v>1</v>
      </c>
      <c r="G650" s="28">
        <v>0</v>
      </c>
      <c r="H650" s="28">
        <v>1</v>
      </c>
      <c r="I650" s="28">
        <v>0</v>
      </c>
      <c r="J650" s="40" t="str">
        <f t="shared" si="64"/>
        <v>Weekday</v>
      </c>
      <c r="K650" s="28" t="b">
        <v>0</v>
      </c>
      <c r="L650" s="28">
        <v>1</v>
      </c>
      <c r="M650" s="40" t="str" cm="1">
        <f t="array" ref="M650">_xlfn.IFS(L650=1,"Clear / Partly Cloudy",L650=2,"Mist / Cloudy",L650=3,"Light Snow / Rain",L650=4,"Heavy Precipitation")</f>
        <v>Clear / Partly Cloudy</v>
      </c>
      <c r="N650" s="28">
        <v>0.14000000000000001</v>
      </c>
      <c r="O650" s="28" t="str">
        <f t="shared" si="65"/>
        <v>Cold</v>
      </c>
      <c r="P650" s="28">
        <v>0.21210000000000001</v>
      </c>
      <c r="Q650" s="38">
        <f t="shared" si="61"/>
        <v>0.21210000000000001</v>
      </c>
      <c r="R650" s="28">
        <v>0.86</v>
      </c>
      <c r="S650" s="28">
        <v>0</v>
      </c>
      <c r="T650" s="40" t="str" cm="1">
        <f t="array" ref="T650">_xlfn.IFS(S650*18.6&lt;2,"Calm",S650*18.6&lt;6,"Light Breeze",S650*18.6&lt;14,"Gale",TRUE,"Extreme Storm")</f>
        <v>Calm</v>
      </c>
      <c r="U650" s="28">
        <v>0</v>
      </c>
      <c r="V650" s="28">
        <v>3</v>
      </c>
      <c r="W650" s="28">
        <v>3</v>
      </c>
      <c r="X650" s="44">
        <f>AVERAGE(INDEX($W:$W,MAX(ROW($W$3),ROW()-23)):INDEX($W:$W,ROW()))</f>
        <v>46.25</v>
      </c>
      <c r="Y650" s="44">
        <f>_xlfn.STDEV.S(INDEX($W:$W,MAX(ROW($W$3),ROW()-23)):INDEX($W:$W,ROW()))</f>
        <v>34.729075652141596</v>
      </c>
      <c r="Z650" s="44">
        <f t="shared" si="62"/>
        <v>-1.2453541935065282</v>
      </c>
      <c r="AA650" s="40" t="b">
        <f t="shared" si="60"/>
        <v>0</v>
      </c>
    </row>
    <row r="651" spans="1:27" x14ac:dyDescent="0.3">
      <c r="A651" s="32">
        <v>649</v>
      </c>
      <c r="B651" s="33">
        <v>40573</v>
      </c>
      <c r="C651" s="40" t="str">
        <f t="shared" si="63"/>
        <v>Sunday</v>
      </c>
      <c r="D651" s="28">
        <v>8</v>
      </c>
      <c r="E651" s="40" t="str" cm="1">
        <f t="array" ref="E651">_xlfn.IFS(D651&gt;=21,"Night",D651&gt;=17,"Evening",D651&gt;=12,"Midday",D651&gt;=6,"Morning", TRUE, "Night")</f>
        <v>Morning</v>
      </c>
      <c r="F651" s="28">
        <v>1</v>
      </c>
      <c r="G651" s="28">
        <v>0</v>
      </c>
      <c r="H651" s="28">
        <v>1</v>
      </c>
      <c r="I651" s="28">
        <v>0</v>
      </c>
      <c r="J651" s="40" t="str">
        <f t="shared" si="64"/>
        <v>Weekday</v>
      </c>
      <c r="K651" s="28" t="b">
        <v>0</v>
      </c>
      <c r="L651" s="28">
        <v>2</v>
      </c>
      <c r="M651" s="40" t="str" cm="1">
        <f t="array" ref="M651">_xlfn.IFS(L651=1,"Clear / Partly Cloudy",L651=2,"Mist / Cloudy",L651=3,"Light Snow / Rain",L651=4,"Heavy Precipitation")</f>
        <v>Mist / Cloudy</v>
      </c>
      <c r="N651" s="28">
        <v>0.14000000000000001</v>
      </c>
      <c r="O651" s="28" t="str">
        <f t="shared" si="65"/>
        <v>Cold</v>
      </c>
      <c r="P651" s="28">
        <v>0.21210000000000001</v>
      </c>
      <c r="Q651" s="38">
        <f t="shared" si="61"/>
        <v>0.21210000000000001</v>
      </c>
      <c r="R651" s="28">
        <v>0.86</v>
      </c>
      <c r="S651" s="28">
        <v>0</v>
      </c>
      <c r="T651" s="40" t="str" cm="1">
        <f t="array" ref="T651">_xlfn.IFS(S651*18.6&lt;2,"Calm",S651*18.6&lt;6,"Light Breeze",S651*18.6&lt;14,"Gale",TRUE,"Extreme Storm")</f>
        <v>Calm</v>
      </c>
      <c r="U651" s="28">
        <v>1</v>
      </c>
      <c r="V651" s="28">
        <v>11</v>
      </c>
      <c r="W651" s="28">
        <v>12</v>
      </c>
      <c r="X651" s="44">
        <f>AVERAGE(INDEX($W:$W,MAX(ROW($W$3),ROW()-23)):INDEX($W:$W,ROW()))</f>
        <v>46.541666666666664</v>
      </c>
      <c r="Y651" s="44">
        <f>_xlfn.STDEV.S(INDEX($W:$W,MAX(ROW($W$3),ROW()-23)):INDEX($W:$W,ROW()))</f>
        <v>34.395372750802785</v>
      </c>
      <c r="Z651" s="44">
        <f t="shared" si="62"/>
        <v>-1.0042533022370128</v>
      </c>
      <c r="AA651" s="40" t="b">
        <f t="shared" si="60"/>
        <v>0</v>
      </c>
    </row>
    <row r="652" spans="1:27" x14ac:dyDescent="0.3">
      <c r="A652" s="32">
        <v>650</v>
      </c>
      <c r="B652" s="33">
        <v>40573</v>
      </c>
      <c r="C652" s="40" t="str">
        <f t="shared" si="63"/>
        <v>Sunday</v>
      </c>
      <c r="D652" s="28">
        <v>9</v>
      </c>
      <c r="E652" s="40" t="str" cm="1">
        <f t="array" ref="E652">_xlfn.IFS(D652&gt;=21,"Night",D652&gt;=17,"Evening",D652&gt;=12,"Midday",D652&gt;=6,"Morning", TRUE, "Night")</f>
        <v>Morning</v>
      </c>
      <c r="F652" s="28">
        <v>1</v>
      </c>
      <c r="G652" s="28">
        <v>0</v>
      </c>
      <c r="H652" s="28">
        <v>1</v>
      </c>
      <c r="I652" s="28">
        <v>0</v>
      </c>
      <c r="J652" s="40" t="str">
        <f t="shared" si="64"/>
        <v>Weekday</v>
      </c>
      <c r="K652" s="28" t="b">
        <v>0</v>
      </c>
      <c r="L652" s="28">
        <v>2</v>
      </c>
      <c r="M652" s="40" t="str" cm="1">
        <f t="array" ref="M652">_xlfn.IFS(L652=1,"Clear / Partly Cloudy",L652=2,"Mist / Cloudy",L652=3,"Light Snow / Rain",L652=4,"Heavy Precipitation")</f>
        <v>Mist / Cloudy</v>
      </c>
      <c r="N652" s="28">
        <v>0.16</v>
      </c>
      <c r="O652" s="28" t="str">
        <f t="shared" si="65"/>
        <v>Cold</v>
      </c>
      <c r="P652" s="28">
        <v>0.2273</v>
      </c>
      <c r="Q652" s="38">
        <f t="shared" si="61"/>
        <v>0.2273</v>
      </c>
      <c r="R652" s="28">
        <v>0.8</v>
      </c>
      <c r="S652" s="28">
        <v>0</v>
      </c>
      <c r="T652" s="40" t="str" cm="1">
        <f t="array" ref="T652">_xlfn.IFS(S652*18.6&lt;2,"Calm",S652*18.6&lt;6,"Light Breeze",S652*18.6&lt;14,"Gale",TRUE,"Extreme Storm")</f>
        <v>Calm</v>
      </c>
      <c r="U652" s="28">
        <v>4</v>
      </c>
      <c r="V652" s="28">
        <v>34</v>
      </c>
      <c r="W652" s="28">
        <v>38</v>
      </c>
      <c r="X652" s="44">
        <f>AVERAGE(INDEX($W:$W,MAX(ROW($W$3),ROW()-23)):INDEX($W:$W,ROW()))</f>
        <v>46.708333333333336</v>
      </c>
      <c r="Y652" s="44">
        <f>_xlfn.STDEV.S(INDEX($W:$W,MAX(ROW($W$3),ROW()-23)):INDEX($W:$W,ROW()))</f>
        <v>34.341607628251097</v>
      </c>
      <c r="Z652" s="44">
        <f t="shared" si="62"/>
        <v>-0.25357966428366713</v>
      </c>
      <c r="AA652" s="40" t="b">
        <f t="shared" si="60"/>
        <v>0</v>
      </c>
    </row>
    <row r="653" spans="1:27" x14ac:dyDescent="0.3">
      <c r="A653" s="32">
        <v>651</v>
      </c>
      <c r="B653" s="33">
        <v>40573</v>
      </c>
      <c r="C653" s="40" t="str">
        <f t="shared" si="63"/>
        <v>Sunday</v>
      </c>
      <c r="D653" s="28">
        <v>10</v>
      </c>
      <c r="E653" s="40" t="str" cm="1">
        <f t="array" ref="E653">_xlfn.IFS(D653&gt;=21,"Night",D653&gt;=17,"Evening",D653&gt;=12,"Midday",D653&gt;=6,"Morning", TRUE, "Night")</f>
        <v>Morning</v>
      </c>
      <c r="F653" s="28">
        <v>1</v>
      </c>
      <c r="G653" s="28">
        <v>0</v>
      </c>
      <c r="H653" s="28">
        <v>1</v>
      </c>
      <c r="I653" s="28">
        <v>0</v>
      </c>
      <c r="J653" s="40" t="str">
        <f t="shared" si="64"/>
        <v>Weekday</v>
      </c>
      <c r="K653" s="28" t="b">
        <v>0</v>
      </c>
      <c r="L653" s="28">
        <v>2</v>
      </c>
      <c r="M653" s="40" t="str" cm="1">
        <f t="array" ref="M653">_xlfn.IFS(L653=1,"Clear / Partly Cloudy",L653=2,"Mist / Cloudy",L653=3,"Light Snow / Rain",L653=4,"Heavy Precipitation")</f>
        <v>Mist / Cloudy</v>
      </c>
      <c r="N653" s="28">
        <v>0.18</v>
      </c>
      <c r="O653" s="28" t="str">
        <f t="shared" si="65"/>
        <v>Cold</v>
      </c>
      <c r="P653" s="28">
        <v>0.2424</v>
      </c>
      <c r="Q653" s="38">
        <f t="shared" si="61"/>
        <v>0.2424</v>
      </c>
      <c r="R653" s="28">
        <v>0.8</v>
      </c>
      <c r="S653" s="28">
        <v>0</v>
      </c>
      <c r="T653" s="40" t="str" cm="1">
        <f t="array" ref="T653">_xlfn.IFS(S653*18.6&lt;2,"Calm",S653*18.6&lt;6,"Light Breeze",S653*18.6&lt;14,"Gale",TRUE,"Extreme Storm")</f>
        <v>Calm</v>
      </c>
      <c r="U653" s="28">
        <v>7</v>
      </c>
      <c r="V653" s="28">
        <v>57</v>
      </c>
      <c r="W653" s="28">
        <v>64</v>
      </c>
      <c r="X653" s="44">
        <f>AVERAGE(INDEX($W:$W,MAX(ROW($W$3),ROW()-23)):INDEX($W:$W,ROW()))</f>
        <v>47.958333333333336</v>
      </c>
      <c r="Y653" s="44">
        <f>_xlfn.STDEV.S(INDEX($W:$W,MAX(ROW($W$3),ROW()-23)):INDEX($W:$W,ROW()))</f>
        <v>34.40485199182973</v>
      </c>
      <c r="Z653" s="44">
        <f t="shared" si="62"/>
        <v>0.46626175489655203</v>
      </c>
      <c r="AA653" s="40" t="b">
        <f t="shared" si="60"/>
        <v>0</v>
      </c>
    </row>
    <row r="654" spans="1:27" x14ac:dyDescent="0.3">
      <c r="A654" s="32">
        <v>652</v>
      </c>
      <c r="B654" s="33">
        <v>40573</v>
      </c>
      <c r="C654" s="40" t="str">
        <f t="shared" si="63"/>
        <v>Sunday</v>
      </c>
      <c r="D654" s="28">
        <v>11</v>
      </c>
      <c r="E654" s="40" t="str" cm="1">
        <f t="array" ref="E654">_xlfn.IFS(D654&gt;=21,"Night",D654&gt;=17,"Evening",D654&gt;=12,"Midday",D654&gt;=6,"Morning", TRUE, "Night")</f>
        <v>Morning</v>
      </c>
      <c r="F654" s="28">
        <v>1</v>
      </c>
      <c r="G654" s="28">
        <v>0</v>
      </c>
      <c r="H654" s="28">
        <v>1</v>
      </c>
      <c r="I654" s="28">
        <v>0</v>
      </c>
      <c r="J654" s="40" t="str">
        <f t="shared" si="64"/>
        <v>Weekday</v>
      </c>
      <c r="K654" s="28" t="b">
        <v>0</v>
      </c>
      <c r="L654" s="28">
        <v>1</v>
      </c>
      <c r="M654" s="40" t="str" cm="1">
        <f t="array" ref="M654">_xlfn.IFS(L654=1,"Clear / Partly Cloudy",L654=2,"Mist / Cloudy",L654=3,"Light Snow / Rain",L654=4,"Heavy Precipitation")</f>
        <v>Clear / Partly Cloudy</v>
      </c>
      <c r="N654" s="28">
        <v>0.22</v>
      </c>
      <c r="O654" s="28" t="str">
        <f t="shared" si="65"/>
        <v>Mild</v>
      </c>
      <c r="P654" s="28">
        <v>0.2727</v>
      </c>
      <c r="Q654" s="38">
        <f t="shared" si="61"/>
        <v>0.2727</v>
      </c>
      <c r="R654" s="28">
        <v>0.75</v>
      </c>
      <c r="S654" s="28">
        <v>0</v>
      </c>
      <c r="T654" s="40" t="str" cm="1">
        <f t="array" ref="T654">_xlfn.IFS(S654*18.6&lt;2,"Calm",S654*18.6&lt;6,"Light Breeze",S654*18.6&lt;14,"Gale",TRUE,"Extreme Storm")</f>
        <v>Calm</v>
      </c>
      <c r="U654" s="28">
        <v>9</v>
      </c>
      <c r="V654" s="28">
        <v>50</v>
      </c>
      <c r="W654" s="28">
        <v>59</v>
      </c>
      <c r="X654" s="44">
        <f>AVERAGE(INDEX($W:$W,MAX(ROW($W$3),ROW()-23)):INDEX($W:$W,ROW()))</f>
        <v>48.125</v>
      </c>
      <c r="Y654" s="44">
        <f>_xlfn.STDEV.S(INDEX($W:$W,MAX(ROW($W$3),ROW()-23)):INDEX($W:$W,ROW()))</f>
        <v>34.450105698077266</v>
      </c>
      <c r="Z654" s="44">
        <f t="shared" si="62"/>
        <v>0.31567392260880517</v>
      </c>
      <c r="AA654" s="40" t="b">
        <f t="shared" si="60"/>
        <v>0</v>
      </c>
    </row>
    <row r="655" spans="1:27" x14ac:dyDescent="0.3">
      <c r="A655" s="32">
        <v>653</v>
      </c>
      <c r="B655" s="33">
        <v>40573</v>
      </c>
      <c r="C655" s="40" t="str">
        <f t="shared" si="63"/>
        <v>Sunday</v>
      </c>
      <c r="D655" s="28">
        <v>12</v>
      </c>
      <c r="E655" s="40" t="str" cm="1">
        <f t="array" ref="E655">_xlfn.IFS(D655&gt;=21,"Night",D655&gt;=17,"Evening",D655&gt;=12,"Midday",D655&gt;=6,"Morning", TRUE, "Night")</f>
        <v>Midday</v>
      </c>
      <c r="F655" s="28">
        <v>1</v>
      </c>
      <c r="G655" s="28">
        <v>0</v>
      </c>
      <c r="H655" s="28">
        <v>1</v>
      </c>
      <c r="I655" s="28">
        <v>0</v>
      </c>
      <c r="J655" s="40" t="str">
        <f t="shared" si="64"/>
        <v>Weekday</v>
      </c>
      <c r="K655" s="28" t="b">
        <v>0</v>
      </c>
      <c r="L655" s="28">
        <v>1</v>
      </c>
      <c r="M655" s="40" t="str" cm="1">
        <f t="array" ref="M655">_xlfn.IFS(L655=1,"Clear / Partly Cloudy",L655=2,"Mist / Cloudy",L655=3,"Light Snow / Rain",L655=4,"Heavy Precipitation")</f>
        <v>Clear / Partly Cloudy</v>
      </c>
      <c r="N655" s="28">
        <v>0.3</v>
      </c>
      <c r="O655" s="28" t="str">
        <f t="shared" si="65"/>
        <v>Mild</v>
      </c>
      <c r="P655" s="28">
        <v>0.31819999999999998</v>
      </c>
      <c r="Q655" s="38">
        <f t="shared" si="61"/>
        <v>0.31819999999999998</v>
      </c>
      <c r="R655" s="28">
        <v>0.52</v>
      </c>
      <c r="S655" s="28">
        <v>0.1045</v>
      </c>
      <c r="T655" s="40" t="str" cm="1">
        <f t="array" ref="T655">_xlfn.IFS(S655*18.6&lt;2,"Calm",S655*18.6&lt;6,"Light Breeze",S655*18.6&lt;14,"Gale",TRUE,"Extreme Storm")</f>
        <v>Calm</v>
      </c>
      <c r="U655" s="28">
        <v>10</v>
      </c>
      <c r="V655" s="28">
        <v>87</v>
      </c>
      <c r="W655" s="28">
        <v>97</v>
      </c>
      <c r="X655" s="44">
        <f>AVERAGE(INDEX($W:$W,MAX(ROW($W$3),ROW()-23)):INDEX($W:$W,ROW()))</f>
        <v>49.5</v>
      </c>
      <c r="Y655" s="44">
        <f>_xlfn.STDEV.S(INDEX($W:$W,MAX(ROW($W$3),ROW()-23)):INDEX($W:$W,ROW()))</f>
        <v>35.745477062626854</v>
      </c>
      <c r="Z655" s="44">
        <f t="shared" si="62"/>
        <v>1.3288394477650687</v>
      </c>
      <c r="AA655" s="40" t="b">
        <f t="shared" si="60"/>
        <v>0</v>
      </c>
    </row>
    <row r="656" spans="1:27" x14ac:dyDescent="0.3">
      <c r="A656" s="32">
        <v>654</v>
      </c>
      <c r="B656" s="33">
        <v>40573</v>
      </c>
      <c r="C656" s="40" t="str">
        <f t="shared" si="63"/>
        <v>Sunday</v>
      </c>
      <c r="D656" s="28">
        <v>13</v>
      </c>
      <c r="E656" s="40" t="str" cm="1">
        <f t="array" ref="E656">_xlfn.IFS(D656&gt;=21,"Night",D656&gt;=17,"Evening",D656&gt;=12,"Midday",D656&gt;=6,"Morning", TRUE, "Night")</f>
        <v>Midday</v>
      </c>
      <c r="F656" s="28">
        <v>1</v>
      </c>
      <c r="G656" s="28">
        <v>0</v>
      </c>
      <c r="H656" s="28">
        <v>1</v>
      </c>
      <c r="I656" s="28">
        <v>0</v>
      </c>
      <c r="J656" s="40" t="str">
        <f t="shared" si="64"/>
        <v>Weekday</v>
      </c>
      <c r="K656" s="28" t="b">
        <v>0</v>
      </c>
      <c r="L656" s="28">
        <v>1</v>
      </c>
      <c r="M656" s="40" t="str" cm="1">
        <f t="array" ref="M656">_xlfn.IFS(L656=1,"Clear / Partly Cloudy",L656=2,"Mist / Cloudy",L656=3,"Light Snow / Rain",L656=4,"Heavy Precipitation")</f>
        <v>Clear / Partly Cloudy</v>
      </c>
      <c r="N656" s="28">
        <v>0.28000000000000003</v>
      </c>
      <c r="O656" s="28" t="str">
        <f t="shared" si="65"/>
        <v>Mild</v>
      </c>
      <c r="P656" s="28">
        <v>0.28789999999999999</v>
      </c>
      <c r="Q656" s="38">
        <f t="shared" si="61"/>
        <v>0.28789999999999999</v>
      </c>
      <c r="R656" s="28">
        <v>0.61</v>
      </c>
      <c r="S656" s="28">
        <v>0.1045</v>
      </c>
      <c r="T656" s="40" t="str" cm="1">
        <f t="array" ref="T656">_xlfn.IFS(S656*18.6&lt;2,"Calm",S656*18.6&lt;6,"Light Breeze",S656*18.6&lt;14,"Gale",TRUE,"Extreme Storm")</f>
        <v>Calm</v>
      </c>
      <c r="U656" s="28">
        <v>13</v>
      </c>
      <c r="V656" s="28">
        <v>71</v>
      </c>
      <c r="W656" s="28">
        <v>84</v>
      </c>
      <c r="X656" s="44">
        <f>AVERAGE(INDEX($W:$W,MAX(ROW($W$3),ROW()-23)):INDEX($W:$W,ROW()))</f>
        <v>49.75</v>
      </c>
      <c r="Y656" s="44">
        <f>_xlfn.STDEV.S(INDEX($W:$W,MAX(ROW($W$3),ROW()-23)):INDEX($W:$W,ROW()))</f>
        <v>35.973722293532177</v>
      </c>
      <c r="Z656" s="44">
        <f t="shared" si="62"/>
        <v>0.95208384944245572</v>
      </c>
      <c r="AA656" s="40" t="b">
        <f t="shared" si="60"/>
        <v>0</v>
      </c>
    </row>
    <row r="657" spans="1:27" x14ac:dyDescent="0.3">
      <c r="A657" s="32">
        <v>655</v>
      </c>
      <c r="B657" s="33">
        <v>40573</v>
      </c>
      <c r="C657" s="40" t="str">
        <f t="shared" si="63"/>
        <v>Sunday</v>
      </c>
      <c r="D657" s="28">
        <v>14</v>
      </c>
      <c r="E657" s="40" t="str" cm="1">
        <f t="array" ref="E657">_xlfn.IFS(D657&gt;=21,"Night",D657&gt;=17,"Evening",D657&gt;=12,"Midday",D657&gt;=6,"Morning", TRUE, "Night")</f>
        <v>Midday</v>
      </c>
      <c r="F657" s="28">
        <v>1</v>
      </c>
      <c r="G657" s="28">
        <v>0</v>
      </c>
      <c r="H657" s="28">
        <v>1</v>
      </c>
      <c r="I657" s="28">
        <v>0</v>
      </c>
      <c r="J657" s="40" t="str">
        <f t="shared" si="64"/>
        <v>Weekday</v>
      </c>
      <c r="K657" s="28" t="b">
        <v>0</v>
      </c>
      <c r="L657" s="28">
        <v>1</v>
      </c>
      <c r="M657" s="40" t="str" cm="1">
        <f t="array" ref="M657">_xlfn.IFS(L657=1,"Clear / Partly Cloudy",L657=2,"Mist / Cloudy",L657=3,"Light Snow / Rain",L657=4,"Heavy Precipitation")</f>
        <v>Clear / Partly Cloudy</v>
      </c>
      <c r="N657" s="28">
        <v>0.28000000000000003</v>
      </c>
      <c r="O657" s="28" t="str">
        <f t="shared" si="65"/>
        <v>Mild</v>
      </c>
      <c r="P657" s="28">
        <v>0.30299999999999999</v>
      </c>
      <c r="Q657" s="38">
        <f t="shared" si="61"/>
        <v>0.30299999999999999</v>
      </c>
      <c r="R657" s="28">
        <v>0.61</v>
      </c>
      <c r="S657" s="28">
        <v>8.9599999999999999E-2</v>
      </c>
      <c r="T657" s="40" t="str" cm="1">
        <f t="array" ref="T657">_xlfn.IFS(S657*18.6&lt;2,"Calm",S657*18.6&lt;6,"Light Breeze",S657*18.6&lt;14,"Gale",TRUE,"Extreme Storm")</f>
        <v>Calm</v>
      </c>
      <c r="U657" s="28">
        <v>18</v>
      </c>
      <c r="V657" s="28">
        <v>104</v>
      </c>
      <c r="W657" s="28">
        <v>122</v>
      </c>
      <c r="X657" s="44">
        <f>AVERAGE(INDEX($W:$W,MAX(ROW($W$3),ROW()-23)):INDEX($W:$W,ROW()))</f>
        <v>52.125</v>
      </c>
      <c r="Y657" s="44">
        <f>_xlfn.STDEV.S(INDEX($W:$W,MAX(ROW($W$3),ROW()-23)):INDEX($W:$W,ROW()))</f>
        <v>38.795240071095229</v>
      </c>
      <c r="Z657" s="44">
        <f t="shared" si="62"/>
        <v>1.8011230210703362</v>
      </c>
      <c r="AA657" s="40" t="b">
        <f t="shared" si="60"/>
        <v>0</v>
      </c>
    </row>
    <row r="658" spans="1:27" x14ac:dyDescent="0.3">
      <c r="A658" s="32">
        <v>656</v>
      </c>
      <c r="B658" s="33">
        <v>40573</v>
      </c>
      <c r="C658" s="40" t="str">
        <f t="shared" si="63"/>
        <v>Sunday</v>
      </c>
      <c r="D658" s="28">
        <v>15</v>
      </c>
      <c r="E658" s="40" t="str" cm="1">
        <f t="array" ref="E658">_xlfn.IFS(D658&gt;=21,"Night",D658&gt;=17,"Evening",D658&gt;=12,"Midday",D658&gt;=6,"Morning", TRUE, "Night")</f>
        <v>Midday</v>
      </c>
      <c r="F658" s="28">
        <v>1</v>
      </c>
      <c r="G658" s="28">
        <v>0</v>
      </c>
      <c r="H658" s="28">
        <v>1</v>
      </c>
      <c r="I658" s="28">
        <v>0</v>
      </c>
      <c r="J658" s="40" t="str">
        <f t="shared" si="64"/>
        <v>Weekday</v>
      </c>
      <c r="K658" s="28" t="b">
        <v>0</v>
      </c>
      <c r="L658" s="28">
        <v>1</v>
      </c>
      <c r="M658" s="40" t="str" cm="1">
        <f t="array" ref="M658">_xlfn.IFS(L658=1,"Clear / Partly Cloudy",L658=2,"Mist / Cloudy",L658=3,"Light Snow / Rain",L658=4,"Heavy Precipitation")</f>
        <v>Clear / Partly Cloudy</v>
      </c>
      <c r="N658" s="28">
        <v>0.3</v>
      </c>
      <c r="O658" s="28" t="str">
        <f t="shared" si="65"/>
        <v>Mild</v>
      </c>
      <c r="P658" s="28">
        <v>0.33329999999999999</v>
      </c>
      <c r="Q658" s="38">
        <f t="shared" si="61"/>
        <v>0.33329999999999999</v>
      </c>
      <c r="R658" s="28">
        <v>0.56000000000000005</v>
      </c>
      <c r="S658" s="28">
        <v>0</v>
      </c>
      <c r="T658" s="40" t="str" cm="1">
        <f t="array" ref="T658">_xlfn.IFS(S658*18.6&lt;2,"Calm",S658*18.6&lt;6,"Light Breeze",S658*18.6&lt;14,"Gale",TRUE,"Extreme Storm")</f>
        <v>Calm</v>
      </c>
      <c r="U658" s="28">
        <v>14</v>
      </c>
      <c r="V658" s="28">
        <v>95</v>
      </c>
      <c r="W658" s="28">
        <v>109</v>
      </c>
      <c r="X658" s="44">
        <f>AVERAGE(INDEX($W:$W,MAX(ROW($W$3),ROW()-23)):INDEX($W:$W,ROW()))</f>
        <v>52.541666666666664</v>
      </c>
      <c r="Y658" s="44">
        <f>_xlfn.STDEV.S(INDEX($W:$W,MAX(ROW($W$3),ROW()-23)):INDEX($W:$W,ROW()))</f>
        <v>39.370016362782941</v>
      </c>
      <c r="Z658" s="44">
        <f t="shared" si="62"/>
        <v>1.4340439387448218</v>
      </c>
      <c r="AA658" s="40" t="b">
        <f t="shared" si="60"/>
        <v>0</v>
      </c>
    </row>
    <row r="659" spans="1:27" x14ac:dyDescent="0.3">
      <c r="A659" s="32">
        <v>657</v>
      </c>
      <c r="B659" s="33">
        <v>40573</v>
      </c>
      <c r="C659" s="40" t="str">
        <f t="shared" si="63"/>
        <v>Sunday</v>
      </c>
      <c r="D659" s="28">
        <v>16</v>
      </c>
      <c r="E659" s="40" t="str" cm="1">
        <f t="array" ref="E659">_xlfn.IFS(D659&gt;=21,"Night",D659&gt;=17,"Evening",D659&gt;=12,"Midday",D659&gt;=6,"Morning", TRUE, "Night")</f>
        <v>Midday</v>
      </c>
      <c r="F659" s="28">
        <v>1</v>
      </c>
      <c r="G659" s="28">
        <v>0</v>
      </c>
      <c r="H659" s="28">
        <v>1</v>
      </c>
      <c r="I659" s="28">
        <v>0</v>
      </c>
      <c r="J659" s="40" t="str">
        <f t="shared" si="64"/>
        <v>Weekday</v>
      </c>
      <c r="K659" s="28" t="b">
        <v>0</v>
      </c>
      <c r="L659" s="28">
        <v>1</v>
      </c>
      <c r="M659" s="40" t="str" cm="1">
        <f t="array" ref="M659">_xlfn.IFS(L659=1,"Clear / Partly Cloudy",L659=2,"Mist / Cloudy",L659=3,"Light Snow / Rain",L659=4,"Heavy Precipitation")</f>
        <v>Clear / Partly Cloudy</v>
      </c>
      <c r="N659" s="28">
        <v>0.3</v>
      </c>
      <c r="O659" s="28" t="str">
        <f t="shared" si="65"/>
        <v>Mild</v>
      </c>
      <c r="P659" s="28">
        <v>0.33329999999999999</v>
      </c>
      <c r="Q659" s="38">
        <f t="shared" si="61"/>
        <v>0.33329999999999999</v>
      </c>
      <c r="R659" s="28">
        <v>0.56000000000000005</v>
      </c>
      <c r="S659" s="28">
        <v>0</v>
      </c>
      <c r="T659" s="40" t="str" cm="1">
        <f t="array" ref="T659">_xlfn.IFS(S659*18.6&lt;2,"Calm",S659*18.6&lt;6,"Light Breeze",S659*18.6&lt;14,"Gale",TRUE,"Extreme Storm")</f>
        <v>Calm</v>
      </c>
      <c r="U659" s="28">
        <v>19</v>
      </c>
      <c r="V659" s="28">
        <v>104</v>
      </c>
      <c r="W659" s="28">
        <v>123</v>
      </c>
      <c r="X659" s="44">
        <f>AVERAGE(INDEX($W:$W,MAX(ROW($W$3),ROW()-23)):INDEX($W:$W,ROW()))</f>
        <v>52.666666666666664</v>
      </c>
      <c r="Y659" s="44">
        <f>_xlfn.STDEV.S(INDEX($W:$W,MAX(ROW($W$3),ROW()-23)):INDEX($W:$W,ROW()))</f>
        <v>39.597613747456471</v>
      </c>
      <c r="Z659" s="44">
        <f t="shared" si="62"/>
        <v>1.7762013080359207</v>
      </c>
      <c r="AA659" s="40" t="b">
        <f t="shared" si="60"/>
        <v>0</v>
      </c>
    </row>
    <row r="660" spans="1:27" x14ac:dyDescent="0.3">
      <c r="A660" s="32">
        <v>658</v>
      </c>
      <c r="B660" s="33">
        <v>40573</v>
      </c>
      <c r="C660" s="40" t="str">
        <f t="shared" si="63"/>
        <v>Sunday</v>
      </c>
      <c r="D660" s="28">
        <v>17</v>
      </c>
      <c r="E660" s="40" t="str" cm="1">
        <f t="array" ref="E660">_xlfn.IFS(D660&gt;=21,"Night",D660&gt;=17,"Evening",D660&gt;=12,"Midday",D660&gt;=6,"Morning", TRUE, "Night")</f>
        <v>Evening</v>
      </c>
      <c r="F660" s="28">
        <v>1</v>
      </c>
      <c r="G660" s="28">
        <v>0</v>
      </c>
      <c r="H660" s="28">
        <v>1</v>
      </c>
      <c r="I660" s="28">
        <v>0</v>
      </c>
      <c r="J660" s="40" t="str">
        <f t="shared" si="64"/>
        <v>Weekday</v>
      </c>
      <c r="K660" s="28" t="b">
        <v>0</v>
      </c>
      <c r="L660" s="28">
        <v>1</v>
      </c>
      <c r="M660" s="40" t="str" cm="1">
        <f t="array" ref="M660">_xlfn.IFS(L660=1,"Clear / Partly Cloudy",L660=2,"Mist / Cloudy",L660=3,"Light Snow / Rain",L660=4,"Heavy Precipitation")</f>
        <v>Clear / Partly Cloudy</v>
      </c>
      <c r="N660" s="28">
        <v>0.3</v>
      </c>
      <c r="O660" s="28" t="str">
        <f t="shared" si="65"/>
        <v>Mild</v>
      </c>
      <c r="P660" s="28">
        <v>0.28789999999999999</v>
      </c>
      <c r="Q660" s="38">
        <f t="shared" si="61"/>
        <v>0.28789999999999999</v>
      </c>
      <c r="R660" s="28">
        <v>0.56000000000000005</v>
      </c>
      <c r="S660" s="28">
        <v>0.19400000000000001</v>
      </c>
      <c r="T660" s="40" t="str" cm="1">
        <f t="array" ref="T660">_xlfn.IFS(S660*18.6&lt;2,"Calm",S660*18.6&lt;6,"Light Breeze",S660*18.6&lt;14,"Gale",TRUE,"Extreme Storm")</f>
        <v>Light Breeze</v>
      </c>
      <c r="U660" s="28">
        <v>6</v>
      </c>
      <c r="V660" s="28">
        <v>71</v>
      </c>
      <c r="W660" s="28">
        <v>77</v>
      </c>
      <c r="X660" s="44">
        <f>AVERAGE(INDEX($W:$W,MAX(ROW($W$3),ROW()-23)):INDEX($W:$W,ROW()))</f>
        <v>51.416666666666664</v>
      </c>
      <c r="Y660" s="44">
        <f>_xlfn.STDEV.S(INDEX($W:$W,MAX(ROW($W$3),ROW()-23)):INDEX($W:$W,ROW()))</f>
        <v>38.258749117789662</v>
      </c>
      <c r="Z660" s="44">
        <f t="shared" si="62"/>
        <v>0.66869236248598429</v>
      </c>
      <c r="AA660" s="40" t="b">
        <f t="shared" si="60"/>
        <v>0</v>
      </c>
    </row>
    <row r="661" spans="1:27" x14ac:dyDescent="0.3">
      <c r="A661" s="32">
        <v>659</v>
      </c>
      <c r="B661" s="33">
        <v>40573</v>
      </c>
      <c r="C661" s="40" t="str">
        <f t="shared" si="63"/>
        <v>Sunday</v>
      </c>
      <c r="D661" s="28">
        <v>18</v>
      </c>
      <c r="E661" s="40" t="str" cm="1">
        <f t="array" ref="E661">_xlfn.IFS(D661&gt;=21,"Night",D661&gt;=17,"Evening",D661&gt;=12,"Midday",D661&gt;=6,"Morning", TRUE, "Night")</f>
        <v>Evening</v>
      </c>
      <c r="F661" s="28">
        <v>1</v>
      </c>
      <c r="G661" s="28">
        <v>0</v>
      </c>
      <c r="H661" s="28">
        <v>1</v>
      </c>
      <c r="I661" s="28">
        <v>0</v>
      </c>
      <c r="J661" s="40" t="str">
        <f t="shared" si="64"/>
        <v>Weekday</v>
      </c>
      <c r="K661" s="28" t="b">
        <v>0</v>
      </c>
      <c r="L661" s="28">
        <v>1</v>
      </c>
      <c r="M661" s="40" t="str" cm="1">
        <f t="array" ref="M661">_xlfn.IFS(L661=1,"Clear / Partly Cloudy",L661=2,"Mist / Cloudy",L661=3,"Light Snow / Rain",L661=4,"Heavy Precipitation")</f>
        <v>Clear / Partly Cloudy</v>
      </c>
      <c r="N661" s="28">
        <v>0.26</v>
      </c>
      <c r="O661" s="28" t="str">
        <f t="shared" si="65"/>
        <v>Mild</v>
      </c>
      <c r="P661" s="28">
        <v>0.2576</v>
      </c>
      <c r="Q661" s="38">
        <f t="shared" si="61"/>
        <v>0.2576</v>
      </c>
      <c r="R661" s="28">
        <v>0.65</v>
      </c>
      <c r="S661" s="28">
        <v>0.16420000000000001</v>
      </c>
      <c r="T661" s="40" t="str" cm="1">
        <f t="array" ref="T661">_xlfn.IFS(S661*18.6&lt;2,"Calm",S661*18.6&lt;6,"Light Breeze",S661*18.6&lt;14,"Gale",TRUE,"Extreme Storm")</f>
        <v>Light Breeze</v>
      </c>
      <c r="U661" s="28">
        <v>8</v>
      </c>
      <c r="V661" s="28">
        <v>57</v>
      </c>
      <c r="W661" s="28">
        <v>65</v>
      </c>
      <c r="X661" s="44">
        <f>AVERAGE(INDEX($W:$W,MAX(ROW($W$3),ROW()-23)):INDEX($W:$W,ROW()))</f>
        <v>50.333333333333336</v>
      </c>
      <c r="Y661" s="44">
        <f>_xlfn.STDEV.S(INDEX($W:$W,MAX(ROW($W$3),ROW()-23)):INDEX($W:$W,ROW()))</f>
        <v>37.44870888430534</v>
      </c>
      <c r="Z661" s="44">
        <f t="shared" si="62"/>
        <v>0.39164679113445822</v>
      </c>
      <c r="AA661" s="40" t="b">
        <f t="shared" si="60"/>
        <v>0</v>
      </c>
    </row>
    <row r="662" spans="1:27" x14ac:dyDescent="0.3">
      <c r="A662" s="32">
        <v>660</v>
      </c>
      <c r="B662" s="33">
        <v>40573</v>
      </c>
      <c r="C662" s="40" t="str">
        <f t="shared" si="63"/>
        <v>Sunday</v>
      </c>
      <c r="D662" s="28">
        <v>19</v>
      </c>
      <c r="E662" s="40" t="str" cm="1">
        <f t="array" ref="E662">_xlfn.IFS(D662&gt;=21,"Night",D662&gt;=17,"Evening",D662&gt;=12,"Midday",D662&gt;=6,"Morning", TRUE, "Night")</f>
        <v>Evening</v>
      </c>
      <c r="F662" s="28">
        <v>1</v>
      </c>
      <c r="G662" s="28">
        <v>0</v>
      </c>
      <c r="H662" s="28">
        <v>1</v>
      </c>
      <c r="I662" s="28">
        <v>0</v>
      </c>
      <c r="J662" s="40" t="str">
        <f t="shared" si="64"/>
        <v>Weekday</v>
      </c>
      <c r="K662" s="28" t="b">
        <v>0</v>
      </c>
      <c r="L662" s="28">
        <v>1</v>
      </c>
      <c r="M662" s="40" t="str" cm="1">
        <f t="array" ref="M662">_xlfn.IFS(L662=1,"Clear / Partly Cloudy",L662=2,"Mist / Cloudy",L662=3,"Light Snow / Rain",L662=4,"Heavy Precipitation")</f>
        <v>Clear / Partly Cloudy</v>
      </c>
      <c r="N662" s="28">
        <v>0.26</v>
      </c>
      <c r="O662" s="28" t="str">
        <f t="shared" si="65"/>
        <v>Mild</v>
      </c>
      <c r="P662" s="28">
        <v>0.2576</v>
      </c>
      <c r="Q662" s="38">
        <f t="shared" si="61"/>
        <v>0.2576</v>
      </c>
      <c r="R662" s="28">
        <v>0.65</v>
      </c>
      <c r="S662" s="28">
        <v>0.19400000000000001</v>
      </c>
      <c r="T662" s="40" t="str" cm="1">
        <f t="array" ref="T662">_xlfn.IFS(S662*18.6&lt;2,"Calm",S662*18.6&lt;6,"Light Breeze",S662*18.6&lt;14,"Gale",TRUE,"Extreme Storm")</f>
        <v>Light Breeze</v>
      </c>
      <c r="U662" s="28">
        <v>9</v>
      </c>
      <c r="V662" s="28">
        <v>46</v>
      </c>
      <c r="W662" s="28">
        <v>55</v>
      </c>
      <c r="X662" s="44">
        <f>AVERAGE(INDEX($W:$W,MAX(ROW($W$3),ROW()-23)):INDEX($W:$W,ROW()))</f>
        <v>49.791666666666664</v>
      </c>
      <c r="Y662" s="44">
        <f>_xlfn.STDEV.S(INDEX($W:$W,MAX(ROW($W$3),ROW()-23)):INDEX($W:$W,ROW()))</f>
        <v>37.275681741255418</v>
      </c>
      <c r="Z662" s="44">
        <f t="shared" si="62"/>
        <v>0.13972469690792899</v>
      </c>
      <c r="AA662" s="40" t="b">
        <f t="shared" si="60"/>
        <v>0</v>
      </c>
    </row>
    <row r="663" spans="1:27" x14ac:dyDescent="0.3">
      <c r="A663" s="32">
        <v>661</v>
      </c>
      <c r="B663" s="33">
        <v>40573</v>
      </c>
      <c r="C663" s="40" t="str">
        <f t="shared" si="63"/>
        <v>Sunday</v>
      </c>
      <c r="D663" s="28">
        <v>20</v>
      </c>
      <c r="E663" s="40" t="str" cm="1">
        <f t="array" ref="E663">_xlfn.IFS(D663&gt;=21,"Night",D663&gt;=17,"Evening",D663&gt;=12,"Midday",D663&gt;=6,"Morning", TRUE, "Night")</f>
        <v>Evening</v>
      </c>
      <c r="F663" s="28">
        <v>1</v>
      </c>
      <c r="G663" s="28">
        <v>0</v>
      </c>
      <c r="H663" s="28">
        <v>1</v>
      </c>
      <c r="I663" s="28">
        <v>0</v>
      </c>
      <c r="J663" s="40" t="str">
        <f t="shared" si="64"/>
        <v>Weekday</v>
      </c>
      <c r="K663" s="28" t="b">
        <v>0</v>
      </c>
      <c r="L663" s="28">
        <v>2</v>
      </c>
      <c r="M663" s="40" t="str" cm="1">
        <f t="array" ref="M663">_xlfn.IFS(L663=1,"Clear / Partly Cloudy",L663=2,"Mist / Cloudy",L663=3,"Light Snow / Rain",L663=4,"Heavy Precipitation")</f>
        <v>Mist / Cloudy</v>
      </c>
      <c r="N663" s="28">
        <v>0.26</v>
      </c>
      <c r="O663" s="28" t="str">
        <f t="shared" si="65"/>
        <v>Mild</v>
      </c>
      <c r="P663" s="28">
        <v>0.2727</v>
      </c>
      <c r="Q663" s="38">
        <f t="shared" si="61"/>
        <v>0.2727</v>
      </c>
      <c r="R663" s="28">
        <v>0.65</v>
      </c>
      <c r="S663" s="28">
        <v>0.1045</v>
      </c>
      <c r="T663" s="40" t="str" cm="1">
        <f t="array" ref="T663">_xlfn.IFS(S663*18.6&lt;2,"Calm",S663*18.6&lt;6,"Light Breeze",S663*18.6&lt;14,"Gale",TRUE,"Extreme Storm")</f>
        <v>Calm</v>
      </c>
      <c r="U663" s="28">
        <v>3</v>
      </c>
      <c r="V663" s="28">
        <v>30</v>
      </c>
      <c r="W663" s="28">
        <v>33</v>
      </c>
      <c r="X663" s="44">
        <f>AVERAGE(INDEX($W:$W,MAX(ROW($W$3),ROW()-23)):INDEX($W:$W,ROW()))</f>
        <v>48.75</v>
      </c>
      <c r="Y663" s="44">
        <f>_xlfn.STDEV.S(INDEX($W:$W,MAX(ROW($W$3),ROW()-23)):INDEX($W:$W,ROW()))</f>
        <v>37.385477301266036</v>
      </c>
      <c r="Z663" s="44">
        <f t="shared" si="62"/>
        <v>-0.42128658337248609</v>
      </c>
      <c r="AA663" s="40" t="b">
        <f t="shared" si="60"/>
        <v>0</v>
      </c>
    </row>
    <row r="664" spans="1:27" x14ac:dyDescent="0.3">
      <c r="A664" s="32">
        <v>662</v>
      </c>
      <c r="B664" s="33">
        <v>40573</v>
      </c>
      <c r="C664" s="40" t="str">
        <f t="shared" si="63"/>
        <v>Sunday</v>
      </c>
      <c r="D664" s="28">
        <v>21</v>
      </c>
      <c r="E664" s="40" t="str" cm="1">
        <f t="array" ref="E664">_xlfn.IFS(D664&gt;=21,"Night",D664&gt;=17,"Evening",D664&gt;=12,"Midday",D664&gt;=6,"Morning", TRUE, "Night")</f>
        <v>Night</v>
      </c>
      <c r="F664" s="28">
        <v>1</v>
      </c>
      <c r="G664" s="28">
        <v>0</v>
      </c>
      <c r="H664" s="28">
        <v>1</v>
      </c>
      <c r="I664" s="28">
        <v>0</v>
      </c>
      <c r="J664" s="40" t="str">
        <f t="shared" si="64"/>
        <v>Weekday</v>
      </c>
      <c r="K664" s="28" t="b">
        <v>0</v>
      </c>
      <c r="L664" s="28">
        <v>2</v>
      </c>
      <c r="M664" s="40" t="str" cm="1">
        <f t="array" ref="M664">_xlfn.IFS(L664=1,"Clear / Partly Cloudy",L664=2,"Mist / Cloudy",L664=3,"Light Snow / Rain",L664=4,"Heavy Precipitation")</f>
        <v>Mist / Cloudy</v>
      </c>
      <c r="N664" s="28">
        <v>0.24</v>
      </c>
      <c r="O664" s="28" t="str">
        <f t="shared" si="65"/>
        <v>Mild</v>
      </c>
      <c r="P664" s="28">
        <v>0.2424</v>
      </c>
      <c r="Q664" s="38">
        <f t="shared" si="61"/>
        <v>0.2424</v>
      </c>
      <c r="R664" s="28">
        <v>0.7</v>
      </c>
      <c r="S664" s="28">
        <v>0.16420000000000001</v>
      </c>
      <c r="T664" s="40" t="str" cm="1">
        <f t="array" ref="T664">_xlfn.IFS(S664*18.6&lt;2,"Calm",S664*18.6&lt;6,"Light Breeze",S664*18.6&lt;14,"Gale",TRUE,"Extreme Storm")</f>
        <v>Light Breeze</v>
      </c>
      <c r="U664" s="28">
        <v>3</v>
      </c>
      <c r="V664" s="28">
        <v>25</v>
      </c>
      <c r="W664" s="28">
        <v>28</v>
      </c>
      <c r="X664" s="44">
        <f>AVERAGE(INDEX($W:$W,MAX(ROW($W$3),ROW()-23)):INDEX($W:$W,ROW()))</f>
        <v>48.125</v>
      </c>
      <c r="Y664" s="44">
        <f>_xlfn.STDEV.S(INDEX($W:$W,MAX(ROW($W$3),ROW()-23)):INDEX($W:$W,ROW()))</f>
        <v>37.610489401807556</v>
      </c>
      <c r="Z664" s="44">
        <f t="shared" si="62"/>
        <v>-0.53509008577359263</v>
      </c>
      <c r="AA664" s="40" t="b">
        <f t="shared" si="60"/>
        <v>0</v>
      </c>
    </row>
    <row r="665" spans="1:27" x14ac:dyDescent="0.3">
      <c r="A665" s="32">
        <v>663</v>
      </c>
      <c r="B665" s="33">
        <v>40573</v>
      </c>
      <c r="C665" s="40" t="str">
        <f t="shared" si="63"/>
        <v>Sunday</v>
      </c>
      <c r="D665" s="28">
        <v>22</v>
      </c>
      <c r="E665" s="40" t="str" cm="1">
        <f t="array" ref="E665">_xlfn.IFS(D665&gt;=21,"Night",D665&gt;=17,"Evening",D665&gt;=12,"Midday",D665&gt;=6,"Morning", TRUE, "Night")</f>
        <v>Night</v>
      </c>
      <c r="F665" s="28">
        <v>1</v>
      </c>
      <c r="G665" s="28">
        <v>0</v>
      </c>
      <c r="H665" s="28">
        <v>1</v>
      </c>
      <c r="I665" s="28">
        <v>0</v>
      </c>
      <c r="J665" s="40" t="str">
        <f t="shared" si="64"/>
        <v>Weekday</v>
      </c>
      <c r="K665" s="28" t="b">
        <v>0</v>
      </c>
      <c r="L665" s="28">
        <v>2</v>
      </c>
      <c r="M665" s="40" t="str" cm="1">
        <f t="array" ref="M665">_xlfn.IFS(L665=1,"Clear / Partly Cloudy",L665=2,"Mist / Cloudy",L665=3,"Light Snow / Rain",L665=4,"Heavy Precipitation")</f>
        <v>Mist / Cloudy</v>
      </c>
      <c r="N665" s="28">
        <v>0.24</v>
      </c>
      <c r="O665" s="28" t="str">
        <f t="shared" si="65"/>
        <v>Mild</v>
      </c>
      <c r="P665" s="28">
        <v>0.2273</v>
      </c>
      <c r="Q665" s="38">
        <f t="shared" si="61"/>
        <v>0.2273</v>
      </c>
      <c r="R665" s="28">
        <v>0.7</v>
      </c>
      <c r="S665" s="28">
        <v>0.19400000000000001</v>
      </c>
      <c r="T665" s="40" t="str" cm="1">
        <f t="array" ref="T665">_xlfn.IFS(S665*18.6&lt;2,"Calm",S665*18.6&lt;6,"Light Breeze",S665*18.6&lt;14,"Gale",TRUE,"Extreme Storm")</f>
        <v>Light Breeze</v>
      </c>
      <c r="U665" s="28">
        <v>2</v>
      </c>
      <c r="V665" s="28">
        <v>19</v>
      </c>
      <c r="W665" s="28">
        <v>21</v>
      </c>
      <c r="X665" s="44">
        <f>AVERAGE(INDEX($W:$W,MAX(ROW($W$3),ROW()-23)):INDEX($W:$W,ROW()))</f>
        <v>47.5</v>
      </c>
      <c r="Y665" s="44">
        <f>_xlfn.STDEV.S(INDEX($W:$W,MAX(ROW($W$3),ROW()-23)):INDEX($W:$W,ROW()))</f>
        <v>37.943894508007247</v>
      </c>
      <c r="Z665" s="44">
        <f t="shared" si="62"/>
        <v>-0.69839958031740101</v>
      </c>
      <c r="AA665" s="40" t="b">
        <f t="shared" si="60"/>
        <v>0</v>
      </c>
    </row>
    <row r="666" spans="1:27" x14ac:dyDescent="0.3">
      <c r="A666" s="32">
        <v>664</v>
      </c>
      <c r="B666" s="33">
        <v>40573</v>
      </c>
      <c r="C666" s="40" t="str">
        <f t="shared" si="63"/>
        <v>Sunday</v>
      </c>
      <c r="D666" s="28">
        <v>23</v>
      </c>
      <c r="E666" s="40" t="str" cm="1">
        <f t="array" ref="E666">_xlfn.IFS(D666&gt;=21,"Night",D666&gt;=17,"Evening",D666&gt;=12,"Midday",D666&gt;=6,"Morning", TRUE, "Night")</f>
        <v>Night</v>
      </c>
      <c r="F666" s="28">
        <v>1</v>
      </c>
      <c r="G666" s="28">
        <v>0</v>
      </c>
      <c r="H666" s="28">
        <v>1</v>
      </c>
      <c r="I666" s="28">
        <v>0</v>
      </c>
      <c r="J666" s="40" t="str">
        <f t="shared" si="64"/>
        <v>Weekday</v>
      </c>
      <c r="K666" s="28" t="b">
        <v>0</v>
      </c>
      <c r="L666" s="28">
        <v>2</v>
      </c>
      <c r="M666" s="40" t="str" cm="1">
        <f t="array" ref="M666">_xlfn.IFS(L666=1,"Clear / Partly Cloudy",L666=2,"Mist / Cloudy",L666=3,"Light Snow / Rain",L666=4,"Heavy Precipitation")</f>
        <v>Mist / Cloudy</v>
      </c>
      <c r="N666" s="28">
        <v>0.24</v>
      </c>
      <c r="O666" s="28" t="str">
        <f t="shared" si="65"/>
        <v>Mild</v>
      </c>
      <c r="P666" s="28">
        <v>0.21210000000000001</v>
      </c>
      <c r="Q666" s="38">
        <f t="shared" si="61"/>
        <v>0.21210000000000001</v>
      </c>
      <c r="R666" s="28">
        <v>0.65</v>
      </c>
      <c r="S666" s="28">
        <v>0.28360000000000002</v>
      </c>
      <c r="T666" s="40" t="str" cm="1">
        <f t="array" ref="T666">_xlfn.IFS(S666*18.6&lt;2,"Calm",S666*18.6&lt;6,"Light Breeze",S666*18.6&lt;14,"Gale",TRUE,"Extreme Storm")</f>
        <v>Light Breeze</v>
      </c>
      <c r="U666" s="28">
        <v>5</v>
      </c>
      <c r="V666" s="28">
        <v>16</v>
      </c>
      <c r="W666" s="28">
        <v>21</v>
      </c>
      <c r="X666" s="44">
        <f>AVERAGE(INDEX($W:$W,MAX(ROW($W$3),ROW()-23)):INDEX($W:$W,ROW()))</f>
        <v>47.041666666666664</v>
      </c>
      <c r="Y666" s="44">
        <f>_xlfn.STDEV.S(INDEX($W:$W,MAX(ROW($W$3),ROW()-23)):INDEX($W:$W,ROW()))</f>
        <v>38.204801845553014</v>
      </c>
      <c r="Z666" s="44">
        <f t="shared" si="62"/>
        <v>-0.68163333949336735</v>
      </c>
      <c r="AA666" s="40" t="b">
        <f t="shared" si="60"/>
        <v>0</v>
      </c>
    </row>
    <row r="667" spans="1:27" x14ac:dyDescent="0.3">
      <c r="A667" s="32">
        <v>665</v>
      </c>
      <c r="B667" s="33">
        <v>40574</v>
      </c>
      <c r="C667" s="40" t="str">
        <f t="shared" si="63"/>
        <v>Monday</v>
      </c>
      <c r="D667" s="28">
        <v>0</v>
      </c>
      <c r="E667" s="40" t="str" cm="1">
        <f t="array" ref="E667">_xlfn.IFS(D667&gt;=21,"Night",D667&gt;=17,"Evening",D667&gt;=12,"Midday",D667&gt;=6,"Morning", TRUE, "Night")</f>
        <v>Night</v>
      </c>
      <c r="F667" s="28">
        <v>1</v>
      </c>
      <c r="G667" s="28">
        <v>0</v>
      </c>
      <c r="H667" s="28">
        <v>1</v>
      </c>
      <c r="I667" s="28">
        <v>1</v>
      </c>
      <c r="J667" s="40" t="str">
        <f t="shared" si="64"/>
        <v>Weekday</v>
      </c>
      <c r="K667" s="28" t="b">
        <v>0</v>
      </c>
      <c r="L667" s="28">
        <v>2</v>
      </c>
      <c r="M667" s="40" t="str" cm="1">
        <f t="array" ref="M667">_xlfn.IFS(L667=1,"Clear / Partly Cloudy",L667=2,"Mist / Cloudy",L667=3,"Light Snow / Rain",L667=4,"Heavy Precipitation")</f>
        <v>Mist / Cloudy</v>
      </c>
      <c r="N667" s="28">
        <v>0.24</v>
      </c>
      <c r="O667" s="28" t="str">
        <f t="shared" si="65"/>
        <v>Mild</v>
      </c>
      <c r="P667" s="28">
        <v>0.2273</v>
      </c>
      <c r="Q667" s="38">
        <f t="shared" si="61"/>
        <v>0.2273</v>
      </c>
      <c r="R667" s="28">
        <v>0.65</v>
      </c>
      <c r="S667" s="28">
        <v>0.22389999999999999</v>
      </c>
      <c r="T667" s="40" t="str" cm="1">
        <f t="array" ref="T667">_xlfn.IFS(S667*18.6&lt;2,"Calm",S667*18.6&lt;6,"Light Breeze",S667*18.6&lt;14,"Gale",TRUE,"Extreme Storm")</f>
        <v>Light Breeze</v>
      </c>
      <c r="U667" s="28">
        <v>1</v>
      </c>
      <c r="V667" s="28">
        <v>6</v>
      </c>
      <c r="W667" s="28">
        <v>7</v>
      </c>
      <c r="X667" s="44">
        <f>AVERAGE(INDEX($W:$W,MAX(ROW($W$3),ROW()-23)):INDEX($W:$W,ROW()))</f>
        <v>45.958333333333336</v>
      </c>
      <c r="Y667" s="44">
        <f>_xlfn.STDEV.S(INDEX($W:$W,MAX(ROW($W$3),ROW()-23)):INDEX($W:$W,ROW()))</f>
        <v>38.981020093581847</v>
      </c>
      <c r="Z667" s="44">
        <f t="shared" si="62"/>
        <v>-0.99941800496256772</v>
      </c>
      <c r="AA667" s="40" t="b">
        <f t="shared" si="60"/>
        <v>0</v>
      </c>
    </row>
    <row r="668" spans="1:27" x14ac:dyDescent="0.3">
      <c r="A668" s="32">
        <v>666</v>
      </c>
      <c r="B668" s="33">
        <v>40574</v>
      </c>
      <c r="C668" s="40" t="str">
        <f t="shared" si="63"/>
        <v>Monday</v>
      </c>
      <c r="D668" s="28">
        <v>1</v>
      </c>
      <c r="E668" s="40" t="str" cm="1">
        <f t="array" ref="E668">_xlfn.IFS(D668&gt;=21,"Night",D668&gt;=17,"Evening",D668&gt;=12,"Midday",D668&gt;=6,"Morning", TRUE, "Night")</f>
        <v>Night</v>
      </c>
      <c r="F668" s="28">
        <v>1</v>
      </c>
      <c r="G668" s="28">
        <v>0</v>
      </c>
      <c r="H668" s="28">
        <v>1</v>
      </c>
      <c r="I668" s="28">
        <v>1</v>
      </c>
      <c r="J668" s="40" t="str">
        <f t="shared" si="64"/>
        <v>Weekday</v>
      </c>
      <c r="K668" s="28" t="b">
        <v>0</v>
      </c>
      <c r="L668" s="28">
        <v>1</v>
      </c>
      <c r="M668" s="40" t="str" cm="1">
        <f t="array" ref="M668">_xlfn.IFS(L668=1,"Clear / Partly Cloudy",L668=2,"Mist / Cloudy",L668=3,"Light Snow / Rain",L668=4,"Heavy Precipitation")</f>
        <v>Clear / Partly Cloudy</v>
      </c>
      <c r="N668" s="28">
        <v>0.22</v>
      </c>
      <c r="O668" s="28" t="str">
        <f t="shared" si="65"/>
        <v>Mild</v>
      </c>
      <c r="P668" s="28">
        <v>0.21210000000000001</v>
      </c>
      <c r="Q668" s="38">
        <f t="shared" si="61"/>
        <v>0.21210000000000001</v>
      </c>
      <c r="R668" s="28">
        <v>0.64</v>
      </c>
      <c r="S668" s="28">
        <v>0.25369999999999998</v>
      </c>
      <c r="T668" s="40" t="str" cm="1">
        <f t="array" ref="T668">_xlfn.IFS(S668*18.6&lt;2,"Calm",S668*18.6&lt;6,"Light Breeze",S668*18.6&lt;14,"Gale",TRUE,"Extreme Storm")</f>
        <v>Light Breeze</v>
      </c>
      <c r="U668" s="28">
        <v>2</v>
      </c>
      <c r="V668" s="28">
        <v>5</v>
      </c>
      <c r="W668" s="28">
        <v>7</v>
      </c>
      <c r="X668" s="44">
        <f>AVERAGE(INDEX($W:$W,MAX(ROW($W$3),ROW()-23)):INDEX($W:$W,ROW()))</f>
        <v>44.875</v>
      </c>
      <c r="Y668" s="44">
        <f>_xlfn.STDEV.S(INDEX($W:$W,MAX(ROW($W$3),ROW()-23)):INDEX($W:$W,ROW()))</f>
        <v>39.711254017622942</v>
      </c>
      <c r="Z668" s="44">
        <f t="shared" si="62"/>
        <v>-0.95375985818005005</v>
      </c>
      <c r="AA668" s="40" t="b">
        <f t="shared" si="60"/>
        <v>0</v>
      </c>
    </row>
    <row r="669" spans="1:27" x14ac:dyDescent="0.3">
      <c r="A669" s="32">
        <v>667</v>
      </c>
      <c r="B669" s="33">
        <v>40574</v>
      </c>
      <c r="C669" s="40" t="str">
        <f t="shared" si="63"/>
        <v>Monday</v>
      </c>
      <c r="D669" s="28">
        <v>2</v>
      </c>
      <c r="E669" s="40" t="str" cm="1">
        <f t="array" ref="E669">_xlfn.IFS(D669&gt;=21,"Night",D669&gt;=17,"Evening",D669&gt;=12,"Midday",D669&gt;=6,"Morning", TRUE, "Night")</f>
        <v>Night</v>
      </c>
      <c r="F669" s="28">
        <v>1</v>
      </c>
      <c r="G669" s="28">
        <v>0</v>
      </c>
      <c r="H669" s="28">
        <v>1</v>
      </c>
      <c r="I669" s="28">
        <v>1</v>
      </c>
      <c r="J669" s="40" t="str">
        <f t="shared" si="64"/>
        <v>Weekday</v>
      </c>
      <c r="K669" s="28" t="b">
        <v>0</v>
      </c>
      <c r="L669" s="28">
        <v>1</v>
      </c>
      <c r="M669" s="40" t="str" cm="1">
        <f t="array" ref="M669">_xlfn.IFS(L669=1,"Clear / Partly Cloudy",L669=2,"Mist / Cloudy",L669=3,"Light Snow / Rain",L669=4,"Heavy Precipitation")</f>
        <v>Clear / Partly Cloudy</v>
      </c>
      <c r="N669" s="28">
        <v>0.22</v>
      </c>
      <c r="O669" s="28" t="str">
        <f t="shared" si="65"/>
        <v>Mild</v>
      </c>
      <c r="P669" s="28">
        <v>0.2273</v>
      </c>
      <c r="Q669" s="38">
        <f t="shared" si="61"/>
        <v>0.2273</v>
      </c>
      <c r="R669" s="28">
        <v>0.64</v>
      </c>
      <c r="S669" s="28">
        <v>0.19400000000000001</v>
      </c>
      <c r="T669" s="40" t="str" cm="1">
        <f t="array" ref="T669">_xlfn.IFS(S669*18.6&lt;2,"Calm",S669*18.6&lt;6,"Light Breeze",S669*18.6&lt;14,"Gale",TRUE,"Extreme Storm")</f>
        <v>Light Breeze</v>
      </c>
      <c r="U669" s="28">
        <v>0</v>
      </c>
      <c r="V669" s="28">
        <v>1</v>
      </c>
      <c r="W669" s="28">
        <v>1</v>
      </c>
      <c r="X669" s="44">
        <f>AVERAGE(INDEX($W:$W,MAX(ROW($W$3),ROW()-23)):INDEX($W:$W,ROW()))</f>
        <v>43.708333333333336</v>
      </c>
      <c r="Y669" s="44">
        <f>_xlfn.STDEV.S(INDEX($W:$W,MAX(ROW($W$3),ROW()-23)):INDEX($W:$W,ROW()))</f>
        <v>40.599292311958891</v>
      </c>
      <c r="Z669" s="44">
        <f t="shared" si="62"/>
        <v>-1.0519477286739112</v>
      </c>
      <c r="AA669" s="40" t="b">
        <f t="shared" si="60"/>
        <v>0</v>
      </c>
    </row>
    <row r="670" spans="1:27" x14ac:dyDescent="0.3">
      <c r="A670" s="32">
        <v>668</v>
      </c>
      <c r="B670" s="33">
        <v>40574</v>
      </c>
      <c r="C670" s="40" t="str">
        <f t="shared" si="63"/>
        <v>Monday</v>
      </c>
      <c r="D670" s="28">
        <v>3</v>
      </c>
      <c r="E670" s="40" t="str" cm="1">
        <f t="array" ref="E670">_xlfn.IFS(D670&gt;=21,"Night",D670&gt;=17,"Evening",D670&gt;=12,"Midday",D670&gt;=6,"Morning", TRUE, "Night")</f>
        <v>Night</v>
      </c>
      <c r="F670" s="28">
        <v>1</v>
      </c>
      <c r="G670" s="28">
        <v>0</v>
      </c>
      <c r="H670" s="28">
        <v>1</v>
      </c>
      <c r="I670" s="28">
        <v>1</v>
      </c>
      <c r="J670" s="40" t="str">
        <f t="shared" si="64"/>
        <v>Weekday</v>
      </c>
      <c r="K670" s="28" t="b">
        <v>0</v>
      </c>
      <c r="L670" s="28">
        <v>1</v>
      </c>
      <c r="M670" s="40" t="str" cm="1">
        <f t="array" ref="M670">_xlfn.IFS(L670=1,"Clear / Partly Cloudy",L670=2,"Mist / Cloudy",L670=3,"Light Snow / Rain",L670=4,"Heavy Precipitation")</f>
        <v>Clear / Partly Cloudy</v>
      </c>
      <c r="N670" s="28">
        <v>0.22</v>
      </c>
      <c r="O670" s="28" t="str">
        <f t="shared" si="65"/>
        <v>Mild</v>
      </c>
      <c r="P670" s="28">
        <v>0.2273</v>
      </c>
      <c r="Q670" s="38">
        <f t="shared" si="61"/>
        <v>0.2273</v>
      </c>
      <c r="R670" s="28">
        <v>0.64</v>
      </c>
      <c r="S670" s="28">
        <v>0.19400000000000001</v>
      </c>
      <c r="T670" s="40" t="str" cm="1">
        <f t="array" ref="T670">_xlfn.IFS(S670*18.6&lt;2,"Calm",S670*18.6&lt;6,"Light Breeze",S670*18.6&lt;14,"Gale",TRUE,"Extreme Storm")</f>
        <v>Light Breeze</v>
      </c>
      <c r="U670" s="28">
        <v>0</v>
      </c>
      <c r="V670" s="28">
        <v>2</v>
      </c>
      <c r="W670" s="28">
        <v>2</v>
      </c>
      <c r="X670" s="44">
        <f>AVERAGE(INDEX($W:$W,MAX(ROW($W$3),ROW()-23)):INDEX($W:$W,ROW()))</f>
        <v>43.333333333333336</v>
      </c>
      <c r="Y670" s="44">
        <f>_xlfn.STDEV.S(INDEX($W:$W,MAX(ROW($W$3),ROW()-23)):INDEX($W:$W,ROW()))</f>
        <v>40.954552400421136</v>
      </c>
      <c r="Z670" s="44">
        <f t="shared" si="62"/>
        <v>-1.0092488114436895</v>
      </c>
      <c r="AA670" s="40" t="b">
        <f t="shared" si="60"/>
        <v>0</v>
      </c>
    </row>
    <row r="671" spans="1:27" x14ac:dyDescent="0.3">
      <c r="A671" s="32">
        <v>669</v>
      </c>
      <c r="B671" s="33">
        <v>40574</v>
      </c>
      <c r="C671" s="40" t="str">
        <f t="shared" si="63"/>
        <v>Monday</v>
      </c>
      <c r="D671" s="28">
        <v>4</v>
      </c>
      <c r="E671" s="40" t="str" cm="1">
        <f t="array" ref="E671">_xlfn.IFS(D671&gt;=21,"Night",D671&gt;=17,"Evening",D671&gt;=12,"Midday",D671&gt;=6,"Morning", TRUE, "Night")</f>
        <v>Night</v>
      </c>
      <c r="F671" s="28">
        <v>1</v>
      </c>
      <c r="G671" s="28">
        <v>0</v>
      </c>
      <c r="H671" s="28">
        <v>1</v>
      </c>
      <c r="I671" s="28">
        <v>1</v>
      </c>
      <c r="J671" s="40" t="str">
        <f t="shared" si="64"/>
        <v>Weekday</v>
      </c>
      <c r="K671" s="28" t="b">
        <v>0</v>
      </c>
      <c r="L671" s="28">
        <v>1</v>
      </c>
      <c r="M671" s="40" t="str" cm="1">
        <f t="array" ref="M671">_xlfn.IFS(L671=1,"Clear / Partly Cloudy",L671=2,"Mist / Cloudy",L671=3,"Light Snow / Rain",L671=4,"Heavy Precipitation")</f>
        <v>Clear / Partly Cloudy</v>
      </c>
      <c r="N671" s="28">
        <v>0.2</v>
      </c>
      <c r="O671" s="28" t="str">
        <f t="shared" si="65"/>
        <v>Mild</v>
      </c>
      <c r="P671" s="28">
        <v>0.19700000000000001</v>
      </c>
      <c r="Q671" s="38">
        <f t="shared" si="61"/>
        <v>0.19700000000000001</v>
      </c>
      <c r="R671" s="28">
        <v>0.59</v>
      </c>
      <c r="S671" s="28">
        <v>0.22389999999999999</v>
      </c>
      <c r="T671" s="40" t="str" cm="1">
        <f t="array" ref="T671">_xlfn.IFS(S671*18.6&lt;2,"Calm",S671*18.6&lt;6,"Light Breeze",S671*18.6&lt;14,"Gale",TRUE,"Extreme Storm")</f>
        <v>Light Breeze</v>
      </c>
      <c r="U671" s="28">
        <v>0</v>
      </c>
      <c r="V671" s="28">
        <v>2</v>
      </c>
      <c r="W671" s="28">
        <v>2</v>
      </c>
      <c r="X671" s="44">
        <f>AVERAGE(INDEX($W:$W,MAX(ROW($W$3),ROW()-23)):INDEX($W:$W,ROW()))</f>
        <v>43.083333333333336</v>
      </c>
      <c r="Y671" s="44">
        <f>_xlfn.STDEV.S(INDEX($W:$W,MAX(ROW($W$3),ROW()-23)):INDEX($W:$W,ROW()))</f>
        <v>41.197210402253404</v>
      </c>
      <c r="Z671" s="44">
        <f t="shared" si="62"/>
        <v>-0.99723580631289932</v>
      </c>
      <c r="AA671" s="40" t="b">
        <f t="shared" si="60"/>
        <v>0</v>
      </c>
    </row>
    <row r="672" spans="1:27" x14ac:dyDescent="0.3">
      <c r="A672" s="32">
        <v>670</v>
      </c>
      <c r="B672" s="33">
        <v>40574</v>
      </c>
      <c r="C672" s="40" t="str">
        <f t="shared" si="63"/>
        <v>Monday</v>
      </c>
      <c r="D672" s="28">
        <v>5</v>
      </c>
      <c r="E672" s="40" t="str" cm="1">
        <f t="array" ref="E672">_xlfn.IFS(D672&gt;=21,"Night",D672&gt;=17,"Evening",D672&gt;=12,"Midday",D672&gt;=6,"Morning", TRUE, "Night")</f>
        <v>Night</v>
      </c>
      <c r="F672" s="28">
        <v>1</v>
      </c>
      <c r="G672" s="28">
        <v>0</v>
      </c>
      <c r="H672" s="28">
        <v>1</v>
      </c>
      <c r="I672" s="28">
        <v>1</v>
      </c>
      <c r="J672" s="40" t="str">
        <f t="shared" si="64"/>
        <v>Weekday</v>
      </c>
      <c r="K672" s="28" t="b">
        <v>0</v>
      </c>
      <c r="L672" s="28">
        <v>1</v>
      </c>
      <c r="M672" s="40" t="str" cm="1">
        <f t="array" ref="M672">_xlfn.IFS(L672=1,"Clear / Partly Cloudy",L672=2,"Mist / Cloudy",L672=3,"Light Snow / Rain",L672=4,"Heavy Precipitation")</f>
        <v>Clear / Partly Cloudy</v>
      </c>
      <c r="N672" s="28">
        <v>0.18</v>
      </c>
      <c r="O672" s="28" t="str">
        <f t="shared" si="65"/>
        <v>Cold</v>
      </c>
      <c r="P672" s="28">
        <v>0.16669999999999999</v>
      </c>
      <c r="Q672" s="38">
        <f t="shared" si="61"/>
        <v>0.16669999999999999</v>
      </c>
      <c r="R672" s="28">
        <v>0.64</v>
      </c>
      <c r="S672" s="28">
        <v>0.28360000000000002</v>
      </c>
      <c r="T672" s="40" t="str" cm="1">
        <f t="array" ref="T672">_xlfn.IFS(S672*18.6&lt;2,"Calm",S672*18.6&lt;6,"Light Breeze",S672*18.6&lt;14,"Gale",TRUE,"Extreme Storm")</f>
        <v>Light Breeze</v>
      </c>
      <c r="U672" s="28">
        <v>0</v>
      </c>
      <c r="V672" s="28">
        <v>8</v>
      </c>
      <c r="W672" s="28">
        <v>8</v>
      </c>
      <c r="X672" s="44">
        <f>AVERAGE(INDEX($W:$W,MAX(ROW($W$3),ROW()-23)):INDEX($W:$W,ROW()))</f>
        <v>43.375</v>
      </c>
      <c r="Y672" s="44">
        <f>_xlfn.STDEV.S(INDEX($W:$W,MAX(ROW($W$3),ROW()-23)):INDEX($W:$W,ROW()))</f>
        <v>40.910094959132245</v>
      </c>
      <c r="Z672" s="44">
        <f t="shared" si="62"/>
        <v>-0.86470099948040668</v>
      </c>
      <c r="AA672" s="40" t="b">
        <f t="shared" si="60"/>
        <v>0</v>
      </c>
    </row>
    <row r="673" spans="1:27" x14ac:dyDescent="0.3">
      <c r="A673" s="32">
        <v>671</v>
      </c>
      <c r="B673" s="33">
        <v>40574</v>
      </c>
      <c r="C673" s="40" t="str">
        <f t="shared" si="63"/>
        <v>Monday</v>
      </c>
      <c r="D673" s="28">
        <v>6</v>
      </c>
      <c r="E673" s="40" t="str" cm="1">
        <f t="array" ref="E673">_xlfn.IFS(D673&gt;=21,"Night",D673&gt;=17,"Evening",D673&gt;=12,"Midday",D673&gt;=6,"Morning", TRUE, "Night")</f>
        <v>Morning</v>
      </c>
      <c r="F673" s="28">
        <v>1</v>
      </c>
      <c r="G673" s="28">
        <v>0</v>
      </c>
      <c r="H673" s="28">
        <v>1</v>
      </c>
      <c r="I673" s="28">
        <v>1</v>
      </c>
      <c r="J673" s="40" t="str">
        <f t="shared" si="64"/>
        <v>Weekday</v>
      </c>
      <c r="K673" s="28" t="b">
        <v>0</v>
      </c>
      <c r="L673" s="28">
        <v>1</v>
      </c>
      <c r="M673" s="40" t="str" cm="1">
        <f t="array" ref="M673">_xlfn.IFS(L673=1,"Clear / Partly Cloudy",L673=2,"Mist / Cloudy",L673=3,"Light Snow / Rain",L673=4,"Heavy Precipitation")</f>
        <v>Clear / Partly Cloudy</v>
      </c>
      <c r="N673" s="28">
        <v>0.16</v>
      </c>
      <c r="O673" s="28" t="str">
        <f t="shared" si="65"/>
        <v>Cold</v>
      </c>
      <c r="P673" s="28">
        <v>0.13639999999999999</v>
      </c>
      <c r="Q673" s="38">
        <f t="shared" si="61"/>
        <v>0.13639999999999999</v>
      </c>
      <c r="R673" s="28">
        <v>0.69</v>
      </c>
      <c r="S673" s="28">
        <v>0.32840000000000003</v>
      </c>
      <c r="T673" s="40" t="str" cm="1">
        <f t="array" ref="T673">_xlfn.IFS(S673*18.6&lt;2,"Calm",S673*18.6&lt;6,"Light Breeze",S673*18.6&lt;14,"Gale",TRUE,"Extreme Storm")</f>
        <v>Gale</v>
      </c>
      <c r="U673" s="28">
        <v>0</v>
      </c>
      <c r="V673" s="28">
        <v>37</v>
      </c>
      <c r="W673" s="28">
        <v>37</v>
      </c>
      <c r="X673" s="44">
        <f>AVERAGE(INDEX($W:$W,MAX(ROW($W$3),ROW()-23)):INDEX($W:$W,ROW()))</f>
        <v>44.791666666666664</v>
      </c>
      <c r="Y673" s="44">
        <f>_xlfn.STDEV.S(INDEX($W:$W,MAX(ROW($W$3),ROW()-23)):INDEX($W:$W,ROW()))</f>
        <v>40.030400585236379</v>
      </c>
      <c r="Z673" s="44">
        <f t="shared" si="62"/>
        <v>-0.19464373458057052</v>
      </c>
      <c r="AA673" s="40" t="b">
        <f t="shared" si="60"/>
        <v>0</v>
      </c>
    </row>
    <row r="674" spans="1:27" x14ac:dyDescent="0.3">
      <c r="A674" s="32">
        <v>672</v>
      </c>
      <c r="B674" s="33">
        <v>40574</v>
      </c>
      <c r="C674" s="40" t="str">
        <f t="shared" si="63"/>
        <v>Monday</v>
      </c>
      <c r="D674" s="28">
        <v>7</v>
      </c>
      <c r="E674" s="40" t="str" cm="1">
        <f t="array" ref="E674">_xlfn.IFS(D674&gt;=21,"Night",D674&gt;=17,"Evening",D674&gt;=12,"Midday",D674&gt;=6,"Morning", TRUE, "Night")</f>
        <v>Morning</v>
      </c>
      <c r="F674" s="28">
        <v>1</v>
      </c>
      <c r="G674" s="28">
        <v>0</v>
      </c>
      <c r="H674" s="28">
        <v>1</v>
      </c>
      <c r="I674" s="28">
        <v>1</v>
      </c>
      <c r="J674" s="40" t="str">
        <f t="shared" si="64"/>
        <v>Weekday</v>
      </c>
      <c r="K674" s="28" t="b">
        <v>0</v>
      </c>
      <c r="L674" s="28">
        <v>2</v>
      </c>
      <c r="M674" s="40" t="str" cm="1">
        <f t="array" ref="M674">_xlfn.IFS(L674=1,"Clear / Partly Cloudy",L674=2,"Mist / Cloudy",L674=3,"Light Snow / Rain",L674=4,"Heavy Precipitation")</f>
        <v>Mist / Cloudy</v>
      </c>
      <c r="N674" s="28">
        <v>0.16</v>
      </c>
      <c r="O674" s="28" t="str">
        <f t="shared" si="65"/>
        <v>Cold</v>
      </c>
      <c r="P674" s="28">
        <v>0.13639999999999999</v>
      </c>
      <c r="Q674" s="38">
        <f t="shared" si="61"/>
        <v>0.13639999999999999</v>
      </c>
      <c r="R674" s="28">
        <v>0.64</v>
      </c>
      <c r="S674" s="28">
        <v>0.28360000000000002</v>
      </c>
      <c r="T674" s="40" t="str" cm="1">
        <f t="array" ref="T674">_xlfn.IFS(S674*18.6&lt;2,"Calm",S674*18.6&lt;6,"Light Breeze",S674*18.6&lt;14,"Gale",TRUE,"Extreme Storm")</f>
        <v>Light Breeze</v>
      </c>
      <c r="U674" s="28">
        <v>1</v>
      </c>
      <c r="V674" s="28">
        <v>71</v>
      </c>
      <c r="W674" s="28">
        <v>72</v>
      </c>
      <c r="X674" s="44">
        <f>AVERAGE(INDEX($W:$W,MAX(ROW($W$3),ROW()-23)):INDEX($W:$W,ROW()))</f>
        <v>47.666666666666664</v>
      </c>
      <c r="Y674" s="44">
        <f>_xlfn.STDEV.S(INDEX($W:$W,MAX(ROW($W$3),ROW()-23)):INDEX($W:$W,ROW()))</f>
        <v>39.370775595795578</v>
      </c>
      <c r="Z674" s="44">
        <f t="shared" si="62"/>
        <v>0.61805572699796907</v>
      </c>
      <c r="AA674" s="40" t="b">
        <f t="shared" si="60"/>
        <v>0</v>
      </c>
    </row>
    <row r="675" spans="1:27" x14ac:dyDescent="0.3">
      <c r="A675" s="32">
        <v>673</v>
      </c>
      <c r="B675" s="33">
        <v>40574</v>
      </c>
      <c r="C675" s="40" t="str">
        <f t="shared" si="63"/>
        <v>Monday</v>
      </c>
      <c r="D675" s="28">
        <v>8</v>
      </c>
      <c r="E675" s="40" t="str" cm="1">
        <f t="array" ref="E675">_xlfn.IFS(D675&gt;=21,"Night",D675&gt;=17,"Evening",D675&gt;=12,"Midday",D675&gt;=6,"Morning", TRUE, "Night")</f>
        <v>Morning</v>
      </c>
      <c r="F675" s="28">
        <v>1</v>
      </c>
      <c r="G675" s="28">
        <v>0</v>
      </c>
      <c r="H675" s="28">
        <v>1</v>
      </c>
      <c r="I675" s="28">
        <v>1</v>
      </c>
      <c r="J675" s="40" t="str">
        <f t="shared" si="64"/>
        <v>Weekday</v>
      </c>
      <c r="K675" s="28" t="b">
        <v>0</v>
      </c>
      <c r="L675" s="28">
        <v>2</v>
      </c>
      <c r="M675" s="40" t="str" cm="1">
        <f t="array" ref="M675">_xlfn.IFS(L675=1,"Clear / Partly Cloudy",L675=2,"Mist / Cloudy",L675=3,"Light Snow / Rain",L675=4,"Heavy Precipitation")</f>
        <v>Mist / Cloudy</v>
      </c>
      <c r="N675" s="28">
        <v>0.16</v>
      </c>
      <c r="O675" s="28" t="str">
        <f t="shared" si="65"/>
        <v>Cold</v>
      </c>
      <c r="P675" s="28">
        <v>0.13639999999999999</v>
      </c>
      <c r="Q675" s="38">
        <f t="shared" si="61"/>
        <v>0.13639999999999999</v>
      </c>
      <c r="R675" s="28">
        <v>0.59</v>
      </c>
      <c r="S675" s="28">
        <v>0.28360000000000002</v>
      </c>
      <c r="T675" s="40" t="str" cm="1">
        <f t="array" ref="T675">_xlfn.IFS(S675*18.6&lt;2,"Calm",S675*18.6&lt;6,"Light Breeze",S675*18.6&lt;14,"Gale",TRUE,"Extreme Storm")</f>
        <v>Light Breeze</v>
      </c>
      <c r="U675" s="28">
        <v>3</v>
      </c>
      <c r="V675" s="28">
        <v>182</v>
      </c>
      <c r="W675" s="28">
        <v>185</v>
      </c>
      <c r="X675" s="44">
        <f>AVERAGE(INDEX($W:$W,MAX(ROW($W$3),ROW()-23)):INDEX($W:$W,ROW()))</f>
        <v>54.875</v>
      </c>
      <c r="Y675" s="44">
        <f>_xlfn.STDEV.S(INDEX($W:$W,MAX(ROW($W$3),ROW()-23)):INDEX($W:$W,ROW()))</f>
        <v>47.545230181832949</v>
      </c>
      <c r="Z675" s="44">
        <f t="shared" si="62"/>
        <v>2.7368675995961591</v>
      </c>
      <c r="AA675" s="40" t="b">
        <f t="shared" si="60"/>
        <v>0</v>
      </c>
    </row>
    <row r="676" spans="1:27" x14ac:dyDescent="0.3">
      <c r="A676" s="32">
        <v>674</v>
      </c>
      <c r="B676" s="33">
        <v>40574</v>
      </c>
      <c r="C676" s="40" t="str">
        <f t="shared" si="63"/>
        <v>Monday</v>
      </c>
      <c r="D676" s="28">
        <v>9</v>
      </c>
      <c r="E676" s="40" t="str" cm="1">
        <f t="array" ref="E676">_xlfn.IFS(D676&gt;=21,"Night",D676&gt;=17,"Evening",D676&gt;=12,"Midday",D676&gt;=6,"Morning", TRUE, "Night")</f>
        <v>Morning</v>
      </c>
      <c r="F676" s="28">
        <v>1</v>
      </c>
      <c r="G676" s="28">
        <v>0</v>
      </c>
      <c r="H676" s="28">
        <v>1</v>
      </c>
      <c r="I676" s="28">
        <v>1</v>
      </c>
      <c r="J676" s="40" t="str">
        <f t="shared" si="64"/>
        <v>Weekday</v>
      </c>
      <c r="K676" s="28" t="b">
        <v>0</v>
      </c>
      <c r="L676" s="28">
        <v>2</v>
      </c>
      <c r="M676" s="40" t="str" cm="1">
        <f t="array" ref="M676">_xlfn.IFS(L676=1,"Clear / Partly Cloudy",L676=2,"Mist / Cloudy",L676=3,"Light Snow / Rain",L676=4,"Heavy Precipitation")</f>
        <v>Mist / Cloudy</v>
      </c>
      <c r="N676" s="28">
        <v>0.16</v>
      </c>
      <c r="O676" s="28" t="str">
        <f t="shared" si="65"/>
        <v>Cold</v>
      </c>
      <c r="P676" s="28">
        <v>0.13639999999999999</v>
      </c>
      <c r="Q676" s="38">
        <f t="shared" si="61"/>
        <v>0.13639999999999999</v>
      </c>
      <c r="R676" s="28">
        <v>0.59</v>
      </c>
      <c r="S676" s="28">
        <v>0.29849999999999999</v>
      </c>
      <c r="T676" s="40" t="str" cm="1">
        <f t="array" ref="T676">_xlfn.IFS(S676*18.6&lt;2,"Calm",S676*18.6&lt;6,"Light Breeze",S676*18.6&lt;14,"Gale",TRUE,"Extreme Storm")</f>
        <v>Light Breeze</v>
      </c>
      <c r="U676" s="28">
        <v>0</v>
      </c>
      <c r="V676" s="28">
        <v>112</v>
      </c>
      <c r="W676" s="28">
        <v>112</v>
      </c>
      <c r="X676" s="44">
        <f>AVERAGE(INDEX($W:$W,MAX(ROW($W$3),ROW()-23)):INDEX($W:$W,ROW()))</f>
        <v>57.958333333333336</v>
      </c>
      <c r="Y676" s="44">
        <f>_xlfn.STDEV.S(INDEX($W:$W,MAX(ROW($W$3),ROW()-23)):INDEX($W:$W,ROW()))</f>
        <v>48.786561911948716</v>
      </c>
      <c r="Z676" s="44">
        <f t="shared" si="62"/>
        <v>1.1077162347328862</v>
      </c>
      <c r="AA676" s="40" t="b">
        <f t="shared" si="60"/>
        <v>0</v>
      </c>
    </row>
    <row r="677" spans="1:27" x14ac:dyDescent="0.3">
      <c r="A677" s="32">
        <v>675</v>
      </c>
      <c r="B677" s="33">
        <v>40574</v>
      </c>
      <c r="C677" s="40" t="str">
        <f t="shared" si="63"/>
        <v>Monday</v>
      </c>
      <c r="D677" s="28">
        <v>10</v>
      </c>
      <c r="E677" s="40" t="str" cm="1">
        <f t="array" ref="E677">_xlfn.IFS(D677&gt;=21,"Night",D677&gt;=17,"Evening",D677&gt;=12,"Midday",D677&gt;=6,"Morning", TRUE, "Night")</f>
        <v>Morning</v>
      </c>
      <c r="F677" s="28">
        <v>1</v>
      </c>
      <c r="G677" s="28">
        <v>0</v>
      </c>
      <c r="H677" s="28">
        <v>1</v>
      </c>
      <c r="I677" s="28">
        <v>1</v>
      </c>
      <c r="J677" s="40" t="str">
        <f t="shared" si="64"/>
        <v>Weekday</v>
      </c>
      <c r="K677" s="28" t="b">
        <v>0</v>
      </c>
      <c r="L677" s="28">
        <v>2</v>
      </c>
      <c r="M677" s="40" t="str" cm="1">
        <f t="array" ref="M677">_xlfn.IFS(L677=1,"Clear / Partly Cloudy",L677=2,"Mist / Cloudy",L677=3,"Light Snow / Rain",L677=4,"Heavy Precipitation")</f>
        <v>Mist / Cloudy</v>
      </c>
      <c r="N677" s="28">
        <v>0.16</v>
      </c>
      <c r="O677" s="28" t="str">
        <f t="shared" si="65"/>
        <v>Cold</v>
      </c>
      <c r="P677" s="28">
        <v>0.1515</v>
      </c>
      <c r="Q677" s="38">
        <f t="shared" si="61"/>
        <v>0.1515</v>
      </c>
      <c r="R677" s="28">
        <v>0.59</v>
      </c>
      <c r="S677" s="28">
        <v>0.19400000000000001</v>
      </c>
      <c r="T677" s="40" t="str" cm="1">
        <f t="array" ref="T677">_xlfn.IFS(S677*18.6&lt;2,"Calm",S677*18.6&lt;6,"Light Breeze",S677*18.6&lt;14,"Gale",TRUE,"Extreme Storm")</f>
        <v>Light Breeze</v>
      </c>
      <c r="U677" s="28">
        <v>1</v>
      </c>
      <c r="V677" s="28">
        <v>68</v>
      </c>
      <c r="W677" s="28">
        <v>69</v>
      </c>
      <c r="X677" s="44">
        <f>AVERAGE(INDEX($W:$W,MAX(ROW($W$3),ROW()-23)):INDEX($W:$W,ROW()))</f>
        <v>58.166666666666664</v>
      </c>
      <c r="Y677" s="44">
        <f>_xlfn.STDEV.S(INDEX($W:$W,MAX(ROW($W$3),ROW()-23)):INDEX($W:$W,ROW()))</f>
        <v>48.82414465660689</v>
      </c>
      <c r="Z677" s="44">
        <f t="shared" si="62"/>
        <v>0.22188475414217765</v>
      </c>
      <c r="AA677" s="40" t="b">
        <f t="shared" si="60"/>
        <v>0</v>
      </c>
    </row>
    <row r="678" spans="1:27" x14ac:dyDescent="0.3">
      <c r="A678" s="32">
        <v>676</v>
      </c>
      <c r="B678" s="33">
        <v>40574</v>
      </c>
      <c r="C678" s="40" t="str">
        <f t="shared" si="63"/>
        <v>Monday</v>
      </c>
      <c r="D678" s="28">
        <v>11</v>
      </c>
      <c r="E678" s="40" t="str" cm="1">
        <f t="array" ref="E678">_xlfn.IFS(D678&gt;=21,"Night",D678&gt;=17,"Evening",D678&gt;=12,"Midday",D678&gt;=6,"Morning", TRUE, "Night")</f>
        <v>Morning</v>
      </c>
      <c r="F678" s="28">
        <v>1</v>
      </c>
      <c r="G678" s="28">
        <v>0</v>
      </c>
      <c r="H678" s="28">
        <v>1</v>
      </c>
      <c r="I678" s="28">
        <v>1</v>
      </c>
      <c r="J678" s="40" t="str">
        <f t="shared" si="64"/>
        <v>Weekday</v>
      </c>
      <c r="K678" s="28" t="b">
        <v>0</v>
      </c>
      <c r="L678" s="28">
        <v>2</v>
      </c>
      <c r="M678" s="40" t="str" cm="1">
        <f t="array" ref="M678">_xlfn.IFS(L678=1,"Clear / Partly Cloudy",L678=2,"Mist / Cloudy",L678=3,"Light Snow / Rain",L678=4,"Heavy Precipitation")</f>
        <v>Mist / Cloudy</v>
      </c>
      <c r="N678" s="28">
        <v>0.16</v>
      </c>
      <c r="O678" s="28" t="str">
        <f t="shared" si="65"/>
        <v>Cold</v>
      </c>
      <c r="P678" s="28">
        <v>0.1515</v>
      </c>
      <c r="Q678" s="38">
        <f t="shared" si="61"/>
        <v>0.1515</v>
      </c>
      <c r="R678" s="28">
        <v>0.59</v>
      </c>
      <c r="S678" s="28">
        <v>0.19400000000000001</v>
      </c>
      <c r="T678" s="40" t="str" cm="1">
        <f t="array" ref="T678">_xlfn.IFS(S678*18.6&lt;2,"Calm",S678*18.6&lt;6,"Light Breeze",S678*18.6&lt;14,"Gale",TRUE,"Extreme Storm")</f>
        <v>Light Breeze</v>
      </c>
      <c r="U678" s="28">
        <v>2</v>
      </c>
      <c r="V678" s="28">
        <v>46</v>
      </c>
      <c r="W678" s="28">
        <v>48</v>
      </c>
      <c r="X678" s="44">
        <f>AVERAGE(INDEX($W:$W,MAX(ROW($W$3),ROW()-23)):INDEX($W:$W,ROW()))</f>
        <v>57.708333333333336</v>
      </c>
      <c r="Y678" s="44">
        <f>_xlfn.STDEV.S(INDEX($W:$W,MAX(ROW($W$3),ROW()-23)):INDEX($W:$W,ROW()))</f>
        <v>48.867593215408782</v>
      </c>
      <c r="Z678" s="44">
        <f t="shared" si="62"/>
        <v>-0.19866608307347811</v>
      </c>
      <c r="AA678" s="40" t="b">
        <f t="shared" si="60"/>
        <v>0</v>
      </c>
    </row>
    <row r="679" spans="1:27" x14ac:dyDescent="0.3">
      <c r="A679" s="32">
        <v>677</v>
      </c>
      <c r="B679" s="33">
        <v>40574</v>
      </c>
      <c r="C679" s="40" t="str">
        <f t="shared" si="63"/>
        <v>Monday</v>
      </c>
      <c r="D679" s="28">
        <v>12</v>
      </c>
      <c r="E679" s="40" t="str" cm="1">
        <f t="array" ref="E679">_xlfn.IFS(D679&gt;=21,"Night",D679&gt;=17,"Evening",D679&gt;=12,"Midday",D679&gt;=6,"Morning", TRUE, "Night")</f>
        <v>Midday</v>
      </c>
      <c r="F679" s="28">
        <v>1</v>
      </c>
      <c r="G679" s="28">
        <v>0</v>
      </c>
      <c r="H679" s="28">
        <v>1</v>
      </c>
      <c r="I679" s="28">
        <v>1</v>
      </c>
      <c r="J679" s="40" t="str">
        <f t="shared" si="64"/>
        <v>Weekday</v>
      </c>
      <c r="K679" s="28" t="b">
        <v>0</v>
      </c>
      <c r="L679" s="28">
        <v>2</v>
      </c>
      <c r="M679" s="40" t="str" cm="1">
        <f t="array" ref="M679">_xlfn.IFS(L679=1,"Clear / Partly Cloudy",L679=2,"Mist / Cloudy",L679=3,"Light Snow / Rain",L679=4,"Heavy Precipitation")</f>
        <v>Mist / Cloudy</v>
      </c>
      <c r="N679" s="28">
        <v>0.18</v>
      </c>
      <c r="O679" s="28" t="str">
        <f t="shared" si="65"/>
        <v>Cold</v>
      </c>
      <c r="P679" s="28">
        <v>0.21210000000000001</v>
      </c>
      <c r="Q679" s="38">
        <f t="shared" si="61"/>
        <v>0.21210000000000001</v>
      </c>
      <c r="R679" s="28">
        <v>0.55000000000000004</v>
      </c>
      <c r="S679" s="28">
        <v>0.1045</v>
      </c>
      <c r="T679" s="40" t="str" cm="1">
        <f t="array" ref="T679">_xlfn.IFS(S679*18.6&lt;2,"Calm",S679*18.6&lt;6,"Light Breeze",S679*18.6&lt;14,"Gale",TRUE,"Extreme Storm")</f>
        <v>Calm</v>
      </c>
      <c r="U679" s="28">
        <v>6</v>
      </c>
      <c r="V679" s="28">
        <v>62</v>
      </c>
      <c r="W679" s="28">
        <v>68</v>
      </c>
      <c r="X679" s="44">
        <f>AVERAGE(INDEX($W:$W,MAX(ROW($W$3),ROW()-23)):INDEX($W:$W,ROW()))</f>
        <v>56.5</v>
      </c>
      <c r="Y679" s="44">
        <f>_xlfn.STDEV.S(INDEX($W:$W,MAX(ROW($W$3),ROW()-23)):INDEX($W:$W,ROW()))</f>
        <v>48.207883172775801</v>
      </c>
      <c r="Z679" s="44">
        <f t="shared" si="62"/>
        <v>0.23855019642294392</v>
      </c>
      <c r="AA679" s="40" t="b">
        <f t="shared" si="60"/>
        <v>0</v>
      </c>
    </row>
    <row r="680" spans="1:27" x14ac:dyDescent="0.3">
      <c r="A680" s="32">
        <v>678</v>
      </c>
      <c r="B680" s="33">
        <v>40574</v>
      </c>
      <c r="C680" s="40" t="str">
        <f t="shared" si="63"/>
        <v>Monday</v>
      </c>
      <c r="D680" s="28">
        <v>13</v>
      </c>
      <c r="E680" s="40" t="str" cm="1">
        <f t="array" ref="E680">_xlfn.IFS(D680&gt;=21,"Night",D680&gt;=17,"Evening",D680&gt;=12,"Midday",D680&gt;=6,"Morning", TRUE, "Night")</f>
        <v>Midday</v>
      </c>
      <c r="F680" s="28">
        <v>1</v>
      </c>
      <c r="G680" s="28">
        <v>0</v>
      </c>
      <c r="H680" s="28">
        <v>1</v>
      </c>
      <c r="I680" s="28">
        <v>1</v>
      </c>
      <c r="J680" s="40" t="str">
        <f t="shared" si="64"/>
        <v>Weekday</v>
      </c>
      <c r="K680" s="28" t="b">
        <v>0</v>
      </c>
      <c r="L680" s="28">
        <v>2</v>
      </c>
      <c r="M680" s="40" t="str" cm="1">
        <f t="array" ref="M680">_xlfn.IFS(L680=1,"Clear / Partly Cloudy",L680=2,"Mist / Cloudy",L680=3,"Light Snow / Rain",L680=4,"Heavy Precipitation")</f>
        <v>Mist / Cloudy</v>
      </c>
      <c r="N680" s="28">
        <v>0.16</v>
      </c>
      <c r="O680" s="28" t="str">
        <f t="shared" si="65"/>
        <v>Cold</v>
      </c>
      <c r="P680" s="28">
        <v>0.2273</v>
      </c>
      <c r="Q680" s="38">
        <f t="shared" si="61"/>
        <v>0.2273</v>
      </c>
      <c r="R680" s="28">
        <v>0.59</v>
      </c>
      <c r="S680" s="28">
        <v>0</v>
      </c>
      <c r="T680" s="40" t="str" cm="1">
        <f t="array" ref="T680">_xlfn.IFS(S680*18.6&lt;2,"Calm",S680*18.6&lt;6,"Light Breeze",S680*18.6&lt;14,"Gale",TRUE,"Extreme Storm")</f>
        <v>Calm</v>
      </c>
      <c r="U680" s="28">
        <v>2</v>
      </c>
      <c r="V680" s="28">
        <v>52</v>
      </c>
      <c r="W680" s="28">
        <v>54</v>
      </c>
      <c r="X680" s="44">
        <f>AVERAGE(INDEX($W:$W,MAX(ROW($W$3),ROW()-23)):INDEX($W:$W,ROW()))</f>
        <v>55.25</v>
      </c>
      <c r="Y680" s="44">
        <f>_xlfn.STDEV.S(INDEX($W:$W,MAX(ROW($W$3),ROW()-23)):INDEX($W:$W,ROW()))</f>
        <v>47.851445846131099</v>
      </c>
      <c r="Z680" s="44">
        <f t="shared" si="62"/>
        <v>-2.612251266177917E-2</v>
      </c>
      <c r="AA680" s="40" t="b">
        <f t="shared" si="60"/>
        <v>0</v>
      </c>
    </row>
    <row r="681" spans="1:27" x14ac:dyDescent="0.3">
      <c r="A681" s="32">
        <v>679</v>
      </c>
      <c r="B681" s="33">
        <v>40574</v>
      </c>
      <c r="C681" s="40" t="str">
        <f t="shared" si="63"/>
        <v>Monday</v>
      </c>
      <c r="D681" s="28">
        <v>14</v>
      </c>
      <c r="E681" s="40" t="str" cm="1">
        <f t="array" ref="E681">_xlfn.IFS(D681&gt;=21,"Night",D681&gt;=17,"Evening",D681&gt;=12,"Midday",D681&gt;=6,"Morning", TRUE, "Night")</f>
        <v>Midday</v>
      </c>
      <c r="F681" s="28">
        <v>1</v>
      </c>
      <c r="G681" s="28">
        <v>0</v>
      </c>
      <c r="H681" s="28">
        <v>1</v>
      </c>
      <c r="I681" s="28">
        <v>1</v>
      </c>
      <c r="J681" s="40" t="str">
        <f t="shared" si="64"/>
        <v>Weekday</v>
      </c>
      <c r="K681" s="28" t="b">
        <v>0</v>
      </c>
      <c r="L681" s="28">
        <v>2</v>
      </c>
      <c r="M681" s="40" t="str" cm="1">
        <f t="array" ref="M681">_xlfn.IFS(L681=1,"Clear / Partly Cloudy",L681=2,"Mist / Cloudy",L681=3,"Light Snow / Rain",L681=4,"Heavy Precipitation")</f>
        <v>Mist / Cloudy</v>
      </c>
      <c r="N681" s="28">
        <v>0.18</v>
      </c>
      <c r="O681" s="28" t="str">
        <f t="shared" si="65"/>
        <v>Cold</v>
      </c>
      <c r="P681" s="28">
        <v>0.19700000000000001</v>
      </c>
      <c r="Q681" s="38">
        <f t="shared" si="61"/>
        <v>0.19700000000000001</v>
      </c>
      <c r="R681" s="28">
        <v>0.55000000000000004</v>
      </c>
      <c r="S681" s="28">
        <v>0.1343</v>
      </c>
      <c r="T681" s="40" t="str" cm="1">
        <f t="array" ref="T681">_xlfn.IFS(S681*18.6&lt;2,"Calm",S681*18.6&lt;6,"Light Breeze",S681*18.6&lt;14,"Gale",TRUE,"Extreme Storm")</f>
        <v>Light Breeze</v>
      </c>
      <c r="U681" s="28">
        <v>1</v>
      </c>
      <c r="V681" s="28">
        <v>85</v>
      </c>
      <c r="W681" s="28">
        <v>86</v>
      </c>
      <c r="X681" s="44">
        <f>AVERAGE(INDEX($W:$W,MAX(ROW($W$3),ROW()-23)):INDEX($W:$W,ROW()))</f>
        <v>53.75</v>
      </c>
      <c r="Y681" s="44">
        <f>_xlfn.STDEV.S(INDEX($W:$W,MAX(ROW($W$3),ROW()-23)):INDEX($W:$W,ROW()))</f>
        <v>46.203942990031564</v>
      </c>
      <c r="Z681" s="44">
        <f t="shared" si="62"/>
        <v>0.69799237712153472</v>
      </c>
      <c r="AA681" s="40" t="b">
        <f t="shared" si="60"/>
        <v>0</v>
      </c>
    </row>
    <row r="682" spans="1:27" x14ac:dyDescent="0.3">
      <c r="A682" s="32">
        <v>680</v>
      </c>
      <c r="B682" s="33">
        <v>40574</v>
      </c>
      <c r="C682" s="40" t="str">
        <f t="shared" si="63"/>
        <v>Monday</v>
      </c>
      <c r="D682" s="28">
        <v>15</v>
      </c>
      <c r="E682" s="40" t="str" cm="1">
        <f t="array" ref="E682">_xlfn.IFS(D682&gt;=21,"Night",D682&gt;=17,"Evening",D682&gt;=12,"Midday",D682&gt;=6,"Morning", TRUE, "Night")</f>
        <v>Midday</v>
      </c>
      <c r="F682" s="28">
        <v>1</v>
      </c>
      <c r="G682" s="28">
        <v>0</v>
      </c>
      <c r="H682" s="28">
        <v>1</v>
      </c>
      <c r="I682" s="28">
        <v>1</v>
      </c>
      <c r="J682" s="40" t="str">
        <f t="shared" si="64"/>
        <v>Weekday</v>
      </c>
      <c r="K682" s="28" t="b">
        <v>0</v>
      </c>
      <c r="L682" s="28">
        <v>2</v>
      </c>
      <c r="M682" s="40" t="str" cm="1">
        <f t="array" ref="M682">_xlfn.IFS(L682=1,"Clear / Partly Cloudy",L682=2,"Mist / Cloudy",L682=3,"Light Snow / Rain",L682=4,"Heavy Precipitation")</f>
        <v>Mist / Cloudy</v>
      </c>
      <c r="N682" s="28">
        <v>0.16</v>
      </c>
      <c r="O682" s="28" t="str">
        <f t="shared" si="65"/>
        <v>Cold</v>
      </c>
      <c r="P682" s="28">
        <v>0.18179999999999999</v>
      </c>
      <c r="Q682" s="38">
        <f t="shared" si="61"/>
        <v>0.18179999999999999</v>
      </c>
      <c r="R682" s="28">
        <v>0.59</v>
      </c>
      <c r="S682" s="28">
        <v>0.1343</v>
      </c>
      <c r="T682" s="40" t="str" cm="1">
        <f t="array" ref="T682">_xlfn.IFS(S682*18.6&lt;2,"Calm",S682*18.6&lt;6,"Light Breeze",S682*18.6&lt;14,"Gale",TRUE,"Extreme Storm")</f>
        <v>Light Breeze</v>
      </c>
      <c r="U682" s="28">
        <v>3</v>
      </c>
      <c r="V682" s="28">
        <v>41</v>
      </c>
      <c r="W682" s="28">
        <v>44</v>
      </c>
      <c r="X682" s="44">
        <f>AVERAGE(INDEX($W:$W,MAX(ROW($W$3),ROW()-23)):INDEX($W:$W,ROW()))</f>
        <v>51.041666666666664</v>
      </c>
      <c r="Y682" s="44">
        <f>_xlfn.STDEV.S(INDEX($W:$W,MAX(ROW($W$3),ROW()-23)):INDEX($W:$W,ROW()))</f>
        <v>44.705295053238395</v>
      </c>
      <c r="Z682" s="44">
        <f t="shared" si="62"/>
        <v>-0.15751303415581808</v>
      </c>
      <c r="AA682" s="40" t="b">
        <f t="shared" si="60"/>
        <v>0</v>
      </c>
    </row>
    <row r="683" spans="1:27" x14ac:dyDescent="0.3">
      <c r="A683" s="32">
        <v>681</v>
      </c>
      <c r="B683" s="33">
        <v>40574</v>
      </c>
      <c r="C683" s="40" t="str">
        <f t="shared" si="63"/>
        <v>Monday</v>
      </c>
      <c r="D683" s="28">
        <v>16</v>
      </c>
      <c r="E683" s="40" t="str" cm="1">
        <f t="array" ref="E683">_xlfn.IFS(D683&gt;=21,"Night",D683&gt;=17,"Evening",D683&gt;=12,"Midday",D683&gt;=6,"Morning", TRUE, "Night")</f>
        <v>Midday</v>
      </c>
      <c r="F683" s="28">
        <v>1</v>
      </c>
      <c r="G683" s="28">
        <v>0</v>
      </c>
      <c r="H683" s="28">
        <v>1</v>
      </c>
      <c r="I683" s="28">
        <v>1</v>
      </c>
      <c r="J683" s="40" t="str">
        <f t="shared" si="64"/>
        <v>Weekday</v>
      </c>
      <c r="K683" s="28" t="b">
        <v>0</v>
      </c>
      <c r="L683" s="28">
        <v>2</v>
      </c>
      <c r="M683" s="40" t="str" cm="1">
        <f t="array" ref="M683">_xlfn.IFS(L683=1,"Clear / Partly Cloudy",L683=2,"Mist / Cloudy",L683=3,"Light Snow / Rain",L683=4,"Heavy Precipitation")</f>
        <v>Mist / Cloudy</v>
      </c>
      <c r="N683" s="28">
        <v>0.16</v>
      </c>
      <c r="O683" s="28" t="str">
        <f t="shared" si="65"/>
        <v>Cold</v>
      </c>
      <c r="P683" s="28">
        <v>0.18179999999999999</v>
      </c>
      <c r="Q683" s="38">
        <f t="shared" si="61"/>
        <v>0.18179999999999999</v>
      </c>
      <c r="R683" s="28">
        <v>0.56000000000000005</v>
      </c>
      <c r="S683" s="28">
        <v>0.19400000000000001</v>
      </c>
      <c r="T683" s="40" t="str" cm="1">
        <f t="array" ref="T683">_xlfn.IFS(S683*18.6&lt;2,"Calm",S683*18.6&lt;6,"Light Breeze",S683*18.6&lt;14,"Gale",TRUE,"Extreme Storm")</f>
        <v>Light Breeze</v>
      </c>
      <c r="U683" s="28">
        <v>3</v>
      </c>
      <c r="V683" s="28">
        <v>83</v>
      </c>
      <c r="W683" s="28">
        <v>86</v>
      </c>
      <c r="X683" s="44">
        <f>AVERAGE(INDEX($W:$W,MAX(ROW($W$3),ROW()-23)):INDEX($W:$W,ROW()))</f>
        <v>49.5</v>
      </c>
      <c r="Y683" s="44">
        <f>_xlfn.STDEV.S(INDEX($W:$W,MAX(ROW($W$3),ROW()-23)):INDEX($W:$W,ROW()))</f>
        <v>42.709331024048353</v>
      </c>
      <c r="Z683" s="44">
        <f t="shared" si="62"/>
        <v>0.85461418207295115</v>
      </c>
      <c r="AA683" s="40" t="b">
        <f t="shared" si="60"/>
        <v>0</v>
      </c>
    </row>
    <row r="684" spans="1:27" x14ac:dyDescent="0.3">
      <c r="A684" s="32">
        <v>682</v>
      </c>
      <c r="B684" s="33">
        <v>40574</v>
      </c>
      <c r="C684" s="40" t="str">
        <f t="shared" si="63"/>
        <v>Monday</v>
      </c>
      <c r="D684" s="28">
        <v>17</v>
      </c>
      <c r="E684" s="40" t="str" cm="1">
        <f t="array" ref="E684">_xlfn.IFS(D684&gt;=21,"Night",D684&gt;=17,"Evening",D684&gt;=12,"Midday",D684&gt;=6,"Morning", TRUE, "Night")</f>
        <v>Evening</v>
      </c>
      <c r="F684" s="28">
        <v>1</v>
      </c>
      <c r="G684" s="28">
        <v>0</v>
      </c>
      <c r="H684" s="28">
        <v>1</v>
      </c>
      <c r="I684" s="28">
        <v>1</v>
      </c>
      <c r="J684" s="40" t="str">
        <f t="shared" si="64"/>
        <v>Weekday</v>
      </c>
      <c r="K684" s="28" t="b">
        <v>0</v>
      </c>
      <c r="L684" s="28">
        <v>2</v>
      </c>
      <c r="M684" s="40" t="str" cm="1">
        <f t="array" ref="M684">_xlfn.IFS(L684=1,"Clear / Partly Cloudy",L684=2,"Mist / Cloudy",L684=3,"Light Snow / Rain",L684=4,"Heavy Precipitation")</f>
        <v>Mist / Cloudy</v>
      </c>
      <c r="N684" s="28">
        <v>0.16</v>
      </c>
      <c r="O684" s="28" t="str">
        <f t="shared" si="65"/>
        <v>Cold</v>
      </c>
      <c r="P684" s="28">
        <v>0.1515</v>
      </c>
      <c r="Q684" s="38">
        <f t="shared" si="61"/>
        <v>0.1515</v>
      </c>
      <c r="R684" s="28">
        <v>0.59</v>
      </c>
      <c r="S684" s="28">
        <v>0.19400000000000001</v>
      </c>
      <c r="T684" s="40" t="str" cm="1">
        <f t="array" ref="T684">_xlfn.IFS(S684*18.6&lt;2,"Calm",S684*18.6&lt;6,"Light Breeze",S684*18.6&lt;14,"Gale",TRUE,"Extreme Storm")</f>
        <v>Light Breeze</v>
      </c>
      <c r="U684" s="28">
        <v>6</v>
      </c>
      <c r="V684" s="28">
        <v>155</v>
      </c>
      <c r="W684" s="28">
        <v>161</v>
      </c>
      <c r="X684" s="44">
        <f>AVERAGE(INDEX($W:$W,MAX(ROW($W$3),ROW()-23)):INDEX($W:$W,ROW()))</f>
        <v>53</v>
      </c>
      <c r="Y684" s="44">
        <f>_xlfn.STDEV.S(INDEX($W:$W,MAX(ROW($W$3),ROW()-23)):INDEX($W:$W,ROW()))</f>
        <v>48.155545077790684</v>
      </c>
      <c r="Z684" s="44">
        <f t="shared" si="62"/>
        <v>2.2427323753793318</v>
      </c>
      <c r="AA684" s="40" t="b">
        <f t="shared" si="60"/>
        <v>0</v>
      </c>
    </row>
    <row r="685" spans="1:27" x14ac:dyDescent="0.3">
      <c r="A685" s="32">
        <v>683</v>
      </c>
      <c r="B685" s="33">
        <v>40574</v>
      </c>
      <c r="C685" s="40" t="str">
        <f t="shared" si="63"/>
        <v>Monday</v>
      </c>
      <c r="D685" s="28">
        <v>18</v>
      </c>
      <c r="E685" s="40" t="str" cm="1">
        <f t="array" ref="E685">_xlfn.IFS(D685&gt;=21,"Night",D685&gt;=17,"Evening",D685&gt;=12,"Midday",D685&gt;=6,"Morning", TRUE, "Night")</f>
        <v>Evening</v>
      </c>
      <c r="F685" s="28">
        <v>1</v>
      </c>
      <c r="G685" s="28">
        <v>0</v>
      </c>
      <c r="H685" s="28">
        <v>1</v>
      </c>
      <c r="I685" s="28">
        <v>1</v>
      </c>
      <c r="J685" s="40" t="str">
        <f t="shared" si="64"/>
        <v>Weekday</v>
      </c>
      <c r="K685" s="28" t="b">
        <v>0</v>
      </c>
      <c r="L685" s="28">
        <v>2</v>
      </c>
      <c r="M685" s="40" t="str" cm="1">
        <f t="array" ref="M685">_xlfn.IFS(L685=1,"Clear / Partly Cloudy",L685=2,"Mist / Cloudy",L685=3,"Light Snow / Rain",L685=4,"Heavy Precipitation")</f>
        <v>Mist / Cloudy</v>
      </c>
      <c r="N685" s="28">
        <v>0.16</v>
      </c>
      <c r="O685" s="28" t="str">
        <f t="shared" si="65"/>
        <v>Cold</v>
      </c>
      <c r="P685" s="28">
        <v>0.1515</v>
      </c>
      <c r="Q685" s="38">
        <f t="shared" si="61"/>
        <v>0.1515</v>
      </c>
      <c r="R685" s="28">
        <v>0.55000000000000004</v>
      </c>
      <c r="S685" s="28">
        <v>0.22389999999999999</v>
      </c>
      <c r="T685" s="40" t="str" cm="1">
        <f t="array" ref="T685">_xlfn.IFS(S685*18.6&lt;2,"Calm",S685*18.6&lt;6,"Light Breeze",S685*18.6&lt;14,"Gale",TRUE,"Extreme Storm")</f>
        <v>Light Breeze</v>
      </c>
      <c r="U685" s="28">
        <v>3</v>
      </c>
      <c r="V685" s="28">
        <v>153</v>
      </c>
      <c r="W685" s="28">
        <v>156</v>
      </c>
      <c r="X685" s="44">
        <f>AVERAGE(INDEX($W:$W,MAX(ROW($W$3),ROW()-23)):INDEX($W:$W,ROW()))</f>
        <v>56.791666666666664</v>
      </c>
      <c r="Y685" s="44">
        <f>_xlfn.STDEV.S(INDEX($W:$W,MAX(ROW($W$3),ROW()-23)):INDEX($W:$W,ROW()))</f>
        <v>52.525752827969328</v>
      </c>
      <c r="Z685" s="44">
        <f t="shared" si="62"/>
        <v>1.888756048071454</v>
      </c>
      <c r="AA685" s="40" t="b">
        <f t="shared" si="60"/>
        <v>0</v>
      </c>
    </row>
    <row r="686" spans="1:27" x14ac:dyDescent="0.3">
      <c r="A686" s="32">
        <v>684</v>
      </c>
      <c r="B686" s="33">
        <v>40574</v>
      </c>
      <c r="C686" s="40" t="str">
        <f t="shared" si="63"/>
        <v>Monday</v>
      </c>
      <c r="D686" s="28">
        <v>19</v>
      </c>
      <c r="E686" s="40" t="str" cm="1">
        <f t="array" ref="E686">_xlfn.IFS(D686&gt;=21,"Night",D686&gt;=17,"Evening",D686&gt;=12,"Midday",D686&gt;=6,"Morning", TRUE, "Night")</f>
        <v>Evening</v>
      </c>
      <c r="F686" s="28">
        <v>1</v>
      </c>
      <c r="G686" s="28">
        <v>0</v>
      </c>
      <c r="H686" s="28">
        <v>1</v>
      </c>
      <c r="I686" s="28">
        <v>1</v>
      </c>
      <c r="J686" s="40" t="str">
        <f t="shared" si="64"/>
        <v>Weekday</v>
      </c>
      <c r="K686" s="28" t="b">
        <v>0</v>
      </c>
      <c r="L686" s="28">
        <v>1</v>
      </c>
      <c r="M686" s="40" t="str" cm="1">
        <f t="array" ref="M686">_xlfn.IFS(L686=1,"Clear / Partly Cloudy",L686=2,"Mist / Cloudy",L686=3,"Light Snow / Rain",L686=4,"Heavy Precipitation")</f>
        <v>Clear / Partly Cloudy</v>
      </c>
      <c r="N686" s="28">
        <v>0.3</v>
      </c>
      <c r="O686" s="28" t="str">
        <f t="shared" si="65"/>
        <v>Mild</v>
      </c>
      <c r="P686" s="28">
        <v>0.31819999999999998</v>
      </c>
      <c r="Q686" s="38">
        <f t="shared" si="61"/>
        <v>0.31819999999999998</v>
      </c>
      <c r="R686" s="28">
        <v>0.61</v>
      </c>
      <c r="S686" s="28">
        <v>0.1045</v>
      </c>
      <c r="T686" s="40" t="str" cm="1">
        <f t="array" ref="T686">_xlfn.IFS(S686*18.6&lt;2,"Calm",S686*18.6&lt;6,"Light Breeze",S686*18.6&lt;14,"Gale",TRUE,"Extreme Storm")</f>
        <v>Calm</v>
      </c>
      <c r="U686" s="28">
        <v>3</v>
      </c>
      <c r="V686" s="28">
        <v>108</v>
      </c>
      <c r="W686" s="28">
        <v>111</v>
      </c>
      <c r="X686" s="44">
        <f>AVERAGE(INDEX($W:$W,MAX(ROW($W$3),ROW()-23)):INDEX($W:$W,ROW()))</f>
        <v>59.125</v>
      </c>
      <c r="Y686" s="44">
        <f>_xlfn.STDEV.S(INDEX($W:$W,MAX(ROW($W$3),ROW()-23)):INDEX($W:$W,ROW()))</f>
        <v>53.673985683293864</v>
      </c>
      <c r="Z686" s="44">
        <f t="shared" si="62"/>
        <v>0.96648309864840531</v>
      </c>
      <c r="AA686" s="40" t="b">
        <f t="shared" si="60"/>
        <v>0</v>
      </c>
    </row>
    <row r="687" spans="1:27" x14ac:dyDescent="0.3">
      <c r="A687" s="32">
        <v>685</v>
      </c>
      <c r="B687" s="33">
        <v>40574</v>
      </c>
      <c r="C687" s="40" t="str">
        <f t="shared" si="63"/>
        <v>Monday</v>
      </c>
      <c r="D687" s="28">
        <v>20</v>
      </c>
      <c r="E687" s="40" t="str" cm="1">
        <f t="array" ref="E687">_xlfn.IFS(D687&gt;=21,"Night",D687&gt;=17,"Evening",D687&gt;=12,"Midday",D687&gt;=6,"Morning", TRUE, "Night")</f>
        <v>Evening</v>
      </c>
      <c r="F687" s="28">
        <v>1</v>
      </c>
      <c r="G687" s="28">
        <v>0</v>
      </c>
      <c r="H687" s="28">
        <v>1</v>
      </c>
      <c r="I687" s="28">
        <v>1</v>
      </c>
      <c r="J687" s="40" t="str">
        <f t="shared" si="64"/>
        <v>Weekday</v>
      </c>
      <c r="K687" s="28" t="b">
        <v>0</v>
      </c>
      <c r="L687" s="28">
        <v>3</v>
      </c>
      <c r="M687" s="40" t="str" cm="1">
        <f t="array" ref="M687">_xlfn.IFS(L687=1,"Clear / Partly Cloudy",L687=2,"Mist / Cloudy",L687=3,"Light Snow / Rain",L687=4,"Heavy Precipitation")</f>
        <v>Light Snow / Rain</v>
      </c>
      <c r="N687" s="28">
        <v>0.16</v>
      </c>
      <c r="O687" s="28" t="str">
        <f t="shared" si="65"/>
        <v>Cold</v>
      </c>
      <c r="P687" s="28">
        <v>0.16669999999999999</v>
      </c>
      <c r="Q687" s="38">
        <f t="shared" si="61"/>
        <v>0.16669999999999999</v>
      </c>
      <c r="R687" s="28">
        <v>0.59</v>
      </c>
      <c r="S687" s="28">
        <v>0.16420000000000001</v>
      </c>
      <c r="T687" s="40" t="str" cm="1">
        <f t="array" ref="T687">_xlfn.IFS(S687*18.6&lt;2,"Calm",S687*18.6&lt;6,"Light Breeze",S687*18.6&lt;14,"Gale",TRUE,"Extreme Storm")</f>
        <v>Light Breeze</v>
      </c>
      <c r="U687" s="28">
        <v>0</v>
      </c>
      <c r="V687" s="28">
        <v>78</v>
      </c>
      <c r="W687" s="28">
        <v>78</v>
      </c>
      <c r="X687" s="44">
        <f>AVERAGE(INDEX($W:$W,MAX(ROW($W$3),ROW()-23)):INDEX($W:$W,ROW()))</f>
        <v>61</v>
      </c>
      <c r="Y687" s="44">
        <f>_xlfn.STDEV.S(INDEX($W:$W,MAX(ROW($W$3),ROW()-23)):INDEX($W:$W,ROW()))</f>
        <v>53.507415170804776</v>
      </c>
      <c r="Z687" s="44">
        <f t="shared" si="62"/>
        <v>0.31771297390713243</v>
      </c>
      <c r="AA687" s="40" t="b">
        <f t="shared" si="60"/>
        <v>0</v>
      </c>
    </row>
    <row r="688" spans="1:27" x14ac:dyDescent="0.3">
      <c r="A688" s="32">
        <v>686</v>
      </c>
      <c r="B688" s="33">
        <v>40574</v>
      </c>
      <c r="C688" s="40" t="str">
        <f t="shared" si="63"/>
        <v>Monday</v>
      </c>
      <c r="D688" s="28">
        <v>21</v>
      </c>
      <c r="E688" s="40" t="str" cm="1">
        <f t="array" ref="E688">_xlfn.IFS(D688&gt;=21,"Night",D688&gt;=17,"Evening",D688&gt;=12,"Midday",D688&gt;=6,"Morning", TRUE, "Night")</f>
        <v>Night</v>
      </c>
      <c r="F688" s="28">
        <v>1</v>
      </c>
      <c r="G688" s="28">
        <v>0</v>
      </c>
      <c r="H688" s="28">
        <v>1</v>
      </c>
      <c r="I688" s="28">
        <v>1</v>
      </c>
      <c r="J688" s="40" t="str">
        <f t="shared" si="64"/>
        <v>Weekday</v>
      </c>
      <c r="K688" s="28" t="b">
        <v>0</v>
      </c>
      <c r="L688" s="28">
        <v>3</v>
      </c>
      <c r="M688" s="40" t="str" cm="1">
        <f t="array" ref="M688">_xlfn.IFS(L688=1,"Clear / Partly Cloudy",L688=2,"Mist / Cloudy",L688=3,"Light Snow / Rain",L688=4,"Heavy Precipitation")</f>
        <v>Light Snow / Rain</v>
      </c>
      <c r="N688" s="28">
        <v>0.16</v>
      </c>
      <c r="O688" s="28" t="str">
        <f t="shared" si="65"/>
        <v>Cold</v>
      </c>
      <c r="P688" s="28">
        <v>0.19700000000000001</v>
      </c>
      <c r="Q688" s="38">
        <f t="shared" si="61"/>
        <v>0.19700000000000001</v>
      </c>
      <c r="R688" s="28">
        <v>0.59</v>
      </c>
      <c r="S688" s="28">
        <v>8.9599999999999999E-2</v>
      </c>
      <c r="T688" s="40" t="str" cm="1">
        <f t="array" ref="T688">_xlfn.IFS(S688*18.6&lt;2,"Calm",S688*18.6&lt;6,"Light Breeze",S688*18.6&lt;14,"Gale",TRUE,"Extreme Storm")</f>
        <v>Calm</v>
      </c>
      <c r="U688" s="28">
        <v>3</v>
      </c>
      <c r="V688" s="28">
        <v>53</v>
      </c>
      <c r="W688" s="28">
        <v>56</v>
      </c>
      <c r="X688" s="44">
        <f>AVERAGE(INDEX($W:$W,MAX(ROW($W$3),ROW()-23)):INDEX($W:$W,ROW()))</f>
        <v>62.166666666666664</v>
      </c>
      <c r="Y688" s="44">
        <f>_xlfn.STDEV.S(INDEX($W:$W,MAX(ROW($W$3),ROW()-23)):INDEX($W:$W,ROW()))</f>
        <v>53.059987927256252</v>
      </c>
      <c r="Z688" s="44">
        <f t="shared" si="62"/>
        <v>-0.11622065717619444</v>
      </c>
      <c r="AA688" s="40" t="b">
        <f t="shared" si="60"/>
        <v>0</v>
      </c>
    </row>
    <row r="689" spans="1:27" x14ac:dyDescent="0.3">
      <c r="A689" s="32">
        <v>687</v>
      </c>
      <c r="B689" s="33">
        <v>40574</v>
      </c>
      <c r="C689" s="40" t="str">
        <f t="shared" si="63"/>
        <v>Monday</v>
      </c>
      <c r="D689" s="28">
        <v>22</v>
      </c>
      <c r="E689" s="40" t="str" cm="1">
        <f t="array" ref="E689">_xlfn.IFS(D689&gt;=21,"Night",D689&gt;=17,"Evening",D689&gt;=12,"Midday",D689&gt;=6,"Morning", TRUE, "Night")</f>
        <v>Night</v>
      </c>
      <c r="F689" s="28">
        <v>1</v>
      </c>
      <c r="G689" s="28">
        <v>0</v>
      </c>
      <c r="H689" s="28">
        <v>1</v>
      </c>
      <c r="I689" s="28">
        <v>1</v>
      </c>
      <c r="J689" s="40" t="str">
        <f t="shared" si="64"/>
        <v>Weekday</v>
      </c>
      <c r="K689" s="28" t="b">
        <v>0</v>
      </c>
      <c r="L689" s="28">
        <v>2</v>
      </c>
      <c r="M689" s="40" t="str" cm="1">
        <f t="array" ref="M689">_xlfn.IFS(L689=1,"Clear / Partly Cloudy",L689=2,"Mist / Cloudy",L689=3,"Light Snow / Rain",L689=4,"Heavy Precipitation")</f>
        <v>Mist / Cloudy</v>
      </c>
      <c r="N689" s="28">
        <v>0.16</v>
      </c>
      <c r="O689" s="28" t="str">
        <f t="shared" si="65"/>
        <v>Cold</v>
      </c>
      <c r="P689" s="28">
        <v>0.18179999999999999</v>
      </c>
      <c r="Q689" s="38">
        <f t="shared" si="61"/>
        <v>0.18179999999999999</v>
      </c>
      <c r="R689" s="28">
        <v>0.59</v>
      </c>
      <c r="S689" s="28">
        <v>0.1045</v>
      </c>
      <c r="T689" s="40" t="str" cm="1">
        <f t="array" ref="T689">_xlfn.IFS(S689*18.6&lt;2,"Calm",S689*18.6&lt;6,"Light Breeze",S689*18.6&lt;14,"Gale",TRUE,"Extreme Storm")</f>
        <v>Calm</v>
      </c>
      <c r="U689" s="28">
        <v>0</v>
      </c>
      <c r="V689" s="28">
        <v>34</v>
      </c>
      <c r="W689" s="28">
        <v>34</v>
      </c>
      <c r="X689" s="44">
        <f>AVERAGE(INDEX($W:$W,MAX(ROW($W$3),ROW()-23)):INDEX($W:$W,ROW()))</f>
        <v>62.708333333333336</v>
      </c>
      <c r="Y689" s="44">
        <f>_xlfn.STDEV.S(INDEX($W:$W,MAX(ROW($W$3),ROW()-23)):INDEX($W:$W,ROW()))</f>
        <v>52.686504473377127</v>
      </c>
      <c r="Z689" s="44">
        <f t="shared" si="62"/>
        <v>-0.54488969462454784</v>
      </c>
      <c r="AA689" s="40" t="b">
        <f t="shared" si="60"/>
        <v>0</v>
      </c>
    </row>
    <row r="690" spans="1:27" x14ac:dyDescent="0.3">
      <c r="A690" s="32">
        <v>688</v>
      </c>
      <c r="B690" s="33">
        <v>40574</v>
      </c>
      <c r="C690" s="40" t="str">
        <f t="shared" si="63"/>
        <v>Monday</v>
      </c>
      <c r="D690" s="28">
        <v>23</v>
      </c>
      <c r="E690" s="40" t="str" cm="1">
        <f t="array" ref="E690">_xlfn.IFS(D690&gt;=21,"Night",D690&gt;=17,"Evening",D690&gt;=12,"Midday",D690&gt;=6,"Morning", TRUE, "Night")</f>
        <v>Night</v>
      </c>
      <c r="F690" s="28">
        <v>1</v>
      </c>
      <c r="G690" s="28">
        <v>0</v>
      </c>
      <c r="H690" s="28">
        <v>1</v>
      </c>
      <c r="I690" s="28">
        <v>1</v>
      </c>
      <c r="J690" s="40" t="str">
        <f t="shared" si="64"/>
        <v>Weekday</v>
      </c>
      <c r="K690" s="28" t="b">
        <v>0</v>
      </c>
      <c r="L690" s="28">
        <v>2</v>
      </c>
      <c r="M690" s="40" t="str" cm="1">
        <f t="array" ref="M690">_xlfn.IFS(L690=1,"Clear / Partly Cloudy",L690=2,"Mist / Cloudy",L690=3,"Light Snow / Rain",L690=4,"Heavy Precipitation")</f>
        <v>Mist / Cloudy</v>
      </c>
      <c r="N690" s="28">
        <v>0.16</v>
      </c>
      <c r="O690" s="28" t="str">
        <f t="shared" si="65"/>
        <v>Cold</v>
      </c>
      <c r="P690" s="28">
        <v>0.19700000000000001</v>
      </c>
      <c r="Q690" s="38">
        <f t="shared" si="61"/>
        <v>0.19700000000000001</v>
      </c>
      <c r="R690" s="28">
        <v>0.64</v>
      </c>
      <c r="S690" s="28">
        <v>8.9599999999999999E-2</v>
      </c>
      <c r="T690" s="40" t="str" cm="1">
        <f t="array" ref="T690">_xlfn.IFS(S690*18.6&lt;2,"Calm",S690*18.6&lt;6,"Light Breeze",S690*18.6&lt;14,"Gale",TRUE,"Extreme Storm")</f>
        <v>Calm</v>
      </c>
      <c r="U690" s="28">
        <v>2</v>
      </c>
      <c r="V690" s="28">
        <v>15</v>
      </c>
      <c r="W690" s="28">
        <v>17</v>
      </c>
      <c r="X690" s="44">
        <f>AVERAGE(INDEX($W:$W,MAX(ROW($W$3),ROW()-23)):INDEX($W:$W,ROW()))</f>
        <v>62.541666666666664</v>
      </c>
      <c r="Y690" s="44">
        <f>_xlfn.STDEV.S(INDEX($W:$W,MAX(ROW($W$3),ROW()-23)):INDEX($W:$W,ROW()))</f>
        <v>52.830310113292605</v>
      </c>
      <c r="Z690" s="44">
        <f t="shared" si="62"/>
        <v>-0.86203670902185281</v>
      </c>
      <c r="AA690" s="40" t="b">
        <f t="shared" si="60"/>
        <v>0</v>
      </c>
    </row>
    <row r="691" spans="1:27" x14ac:dyDescent="0.3">
      <c r="A691" s="32">
        <v>689</v>
      </c>
      <c r="B691" s="33">
        <v>40575</v>
      </c>
      <c r="C691" s="40" t="str">
        <f t="shared" si="63"/>
        <v>Tuesday</v>
      </c>
      <c r="D691" s="28">
        <v>0</v>
      </c>
      <c r="E691" s="40" t="str" cm="1">
        <f t="array" ref="E691">_xlfn.IFS(D691&gt;=21,"Night",D691&gt;=17,"Evening",D691&gt;=12,"Midday",D691&gt;=6,"Morning", TRUE, "Night")</f>
        <v>Night</v>
      </c>
      <c r="F691" s="28">
        <v>1</v>
      </c>
      <c r="G691" s="28">
        <v>0</v>
      </c>
      <c r="H691" s="28">
        <v>2</v>
      </c>
      <c r="I691" s="28">
        <v>2</v>
      </c>
      <c r="J691" s="40" t="str">
        <f t="shared" si="64"/>
        <v>Weekday</v>
      </c>
      <c r="K691" s="28" t="b">
        <v>0</v>
      </c>
      <c r="L691" s="28">
        <v>2</v>
      </c>
      <c r="M691" s="40" t="str" cm="1">
        <f t="array" ref="M691">_xlfn.IFS(L691=1,"Clear / Partly Cloudy",L691=2,"Mist / Cloudy",L691=3,"Light Snow / Rain",L691=4,"Heavy Precipitation")</f>
        <v>Mist / Cloudy</v>
      </c>
      <c r="N691" s="28">
        <v>0.16</v>
      </c>
      <c r="O691" s="28" t="str">
        <f t="shared" si="65"/>
        <v>Cold</v>
      </c>
      <c r="P691" s="28">
        <v>0.18179999999999999</v>
      </c>
      <c r="Q691" s="38">
        <f t="shared" si="61"/>
        <v>0.18179999999999999</v>
      </c>
      <c r="R691" s="28">
        <v>0.64</v>
      </c>
      <c r="S691" s="28">
        <v>0.1045</v>
      </c>
      <c r="T691" s="40" t="str" cm="1">
        <f t="array" ref="T691">_xlfn.IFS(S691*18.6&lt;2,"Calm",S691*18.6&lt;6,"Light Breeze",S691*18.6&lt;14,"Gale",TRUE,"Extreme Storm")</f>
        <v>Calm</v>
      </c>
      <c r="U691" s="28">
        <v>2</v>
      </c>
      <c r="V691" s="28">
        <v>6</v>
      </c>
      <c r="W691" s="28">
        <v>8</v>
      </c>
      <c r="X691" s="44">
        <f>AVERAGE(INDEX($W:$W,MAX(ROW($W$3),ROW()-23)):INDEX($W:$W,ROW()))</f>
        <v>62.583333333333336</v>
      </c>
      <c r="Y691" s="44">
        <f>_xlfn.STDEV.S(INDEX($W:$W,MAX(ROW($W$3),ROW()-23)):INDEX($W:$W,ROW()))</f>
        <v>52.784975354625352</v>
      </c>
      <c r="Z691" s="44">
        <f t="shared" si="62"/>
        <v>-1.0340695049420043</v>
      </c>
      <c r="AA691" s="40" t="b">
        <f t="shared" si="60"/>
        <v>0</v>
      </c>
    </row>
    <row r="692" spans="1:27" x14ac:dyDescent="0.3">
      <c r="A692" s="32">
        <v>690</v>
      </c>
      <c r="B692" s="33">
        <v>40575</v>
      </c>
      <c r="C692" s="40" t="str">
        <f t="shared" si="63"/>
        <v>Tuesday</v>
      </c>
      <c r="D692" s="28">
        <v>1</v>
      </c>
      <c r="E692" s="40" t="str" cm="1">
        <f t="array" ref="E692">_xlfn.IFS(D692&gt;=21,"Night",D692&gt;=17,"Evening",D692&gt;=12,"Midday",D692&gt;=6,"Morning", TRUE, "Night")</f>
        <v>Night</v>
      </c>
      <c r="F692" s="28">
        <v>1</v>
      </c>
      <c r="G692" s="28">
        <v>0</v>
      </c>
      <c r="H692" s="28">
        <v>2</v>
      </c>
      <c r="I692" s="28">
        <v>2</v>
      </c>
      <c r="J692" s="40" t="str">
        <f t="shared" si="64"/>
        <v>Weekday</v>
      </c>
      <c r="K692" s="28" t="b">
        <v>0</v>
      </c>
      <c r="L692" s="28">
        <v>2</v>
      </c>
      <c r="M692" s="40" t="str" cm="1">
        <f t="array" ref="M692">_xlfn.IFS(L692=1,"Clear / Partly Cloudy",L692=2,"Mist / Cloudy",L692=3,"Light Snow / Rain",L692=4,"Heavy Precipitation")</f>
        <v>Mist / Cloudy</v>
      </c>
      <c r="N692" s="28">
        <v>0.16</v>
      </c>
      <c r="O692" s="28" t="str">
        <f t="shared" si="65"/>
        <v>Cold</v>
      </c>
      <c r="P692" s="28">
        <v>0.18179999999999999</v>
      </c>
      <c r="Q692" s="38">
        <f t="shared" si="61"/>
        <v>0.18179999999999999</v>
      </c>
      <c r="R692" s="28">
        <v>0.69</v>
      </c>
      <c r="S692" s="28">
        <v>0.1045</v>
      </c>
      <c r="T692" s="40" t="str" cm="1">
        <f t="array" ref="T692">_xlfn.IFS(S692*18.6&lt;2,"Calm",S692*18.6&lt;6,"Light Breeze",S692*18.6&lt;14,"Gale",TRUE,"Extreme Storm")</f>
        <v>Calm</v>
      </c>
      <c r="U692" s="28">
        <v>0</v>
      </c>
      <c r="V692" s="28">
        <v>3</v>
      </c>
      <c r="W692" s="28">
        <v>3</v>
      </c>
      <c r="X692" s="44">
        <f>AVERAGE(INDEX($W:$W,MAX(ROW($W$3),ROW()-23)):INDEX($W:$W,ROW()))</f>
        <v>62.416666666666664</v>
      </c>
      <c r="Y692" s="44">
        <f>_xlfn.STDEV.S(INDEX($W:$W,MAX(ROW($W$3),ROW()-23)):INDEX($W:$W,ROW()))</f>
        <v>52.974084448798223</v>
      </c>
      <c r="Z692" s="44">
        <f t="shared" si="62"/>
        <v>-1.121617622747128</v>
      </c>
      <c r="AA692" s="40" t="b">
        <f t="shared" si="60"/>
        <v>0</v>
      </c>
    </row>
    <row r="693" spans="1:27" x14ac:dyDescent="0.3">
      <c r="A693" s="32">
        <v>691</v>
      </c>
      <c r="B693" s="33">
        <v>40575</v>
      </c>
      <c r="C693" s="40" t="str">
        <f t="shared" si="63"/>
        <v>Tuesday</v>
      </c>
      <c r="D693" s="28">
        <v>2</v>
      </c>
      <c r="E693" s="40" t="str" cm="1">
        <f t="array" ref="E693">_xlfn.IFS(D693&gt;=21,"Night",D693&gt;=17,"Evening",D693&gt;=12,"Midday",D693&gt;=6,"Morning", TRUE, "Night")</f>
        <v>Night</v>
      </c>
      <c r="F693" s="28">
        <v>1</v>
      </c>
      <c r="G693" s="28">
        <v>0</v>
      </c>
      <c r="H693" s="28">
        <v>2</v>
      </c>
      <c r="I693" s="28">
        <v>2</v>
      </c>
      <c r="J693" s="40" t="str">
        <f t="shared" si="64"/>
        <v>Weekday</v>
      </c>
      <c r="K693" s="28" t="b">
        <v>0</v>
      </c>
      <c r="L693" s="28">
        <v>2</v>
      </c>
      <c r="M693" s="40" t="str" cm="1">
        <f t="array" ref="M693">_xlfn.IFS(L693=1,"Clear / Partly Cloudy",L693=2,"Mist / Cloudy",L693=3,"Light Snow / Rain",L693=4,"Heavy Precipitation")</f>
        <v>Mist / Cloudy</v>
      </c>
      <c r="N693" s="28">
        <v>0.16</v>
      </c>
      <c r="O693" s="28" t="str">
        <f t="shared" si="65"/>
        <v>Cold</v>
      </c>
      <c r="P693" s="28">
        <v>0.2273</v>
      </c>
      <c r="Q693" s="38">
        <f t="shared" si="61"/>
        <v>0.2273</v>
      </c>
      <c r="R693" s="28">
        <v>0.69</v>
      </c>
      <c r="S693" s="28">
        <v>0</v>
      </c>
      <c r="T693" s="40" t="str" cm="1">
        <f t="array" ref="T693">_xlfn.IFS(S693*18.6&lt;2,"Calm",S693*18.6&lt;6,"Light Breeze",S693*18.6&lt;14,"Gale",TRUE,"Extreme Storm")</f>
        <v>Calm</v>
      </c>
      <c r="U693" s="28">
        <v>0</v>
      </c>
      <c r="V693" s="28">
        <v>2</v>
      </c>
      <c r="W693" s="28">
        <v>2</v>
      </c>
      <c r="X693" s="44">
        <f>AVERAGE(INDEX($W:$W,MAX(ROW($W$3),ROW()-23)):INDEX($W:$W,ROW()))</f>
        <v>62.458333333333336</v>
      </c>
      <c r="Y693" s="44">
        <f>_xlfn.STDEV.S(INDEX($W:$W,MAX(ROW($W$3),ROW()-23)):INDEX($W:$W,ROW()))</f>
        <v>52.92404661536122</v>
      </c>
      <c r="Z693" s="44">
        <f t="shared" si="62"/>
        <v>-1.1423603673530378</v>
      </c>
      <c r="AA693" s="40" t="b">
        <f t="shared" si="60"/>
        <v>0</v>
      </c>
    </row>
    <row r="694" spans="1:27" x14ac:dyDescent="0.3">
      <c r="A694" s="32">
        <v>692</v>
      </c>
      <c r="B694" s="33">
        <v>40575</v>
      </c>
      <c r="C694" s="40" t="str">
        <f t="shared" si="63"/>
        <v>Tuesday</v>
      </c>
      <c r="D694" s="28">
        <v>3</v>
      </c>
      <c r="E694" s="40" t="str" cm="1">
        <f t="array" ref="E694">_xlfn.IFS(D694&gt;=21,"Night",D694&gt;=17,"Evening",D694&gt;=12,"Midday",D694&gt;=6,"Morning", TRUE, "Night")</f>
        <v>Night</v>
      </c>
      <c r="F694" s="28">
        <v>1</v>
      </c>
      <c r="G694" s="28">
        <v>0</v>
      </c>
      <c r="H694" s="28">
        <v>2</v>
      </c>
      <c r="I694" s="28">
        <v>2</v>
      </c>
      <c r="J694" s="40" t="str">
        <f t="shared" si="64"/>
        <v>Weekday</v>
      </c>
      <c r="K694" s="28" t="b">
        <v>0</v>
      </c>
      <c r="L694" s="28">
        <v>2</v>
      </c>
      <c r="M694" s="40" t="str" cm="1">
        <f t="array" ref="M694">_xlfn.IFS(L694=1,"Clear / Partly Cloudy",L694=2,"Mist / Cloudy",L694=3,"Light Snow / Rain",L694=4,"Heavy Precipitation")</f>
        <v>Mist / Cloudy</v>
      </c>
      <c r="N694" s="28">
        <v>0.16</v>
      </c>
      <c r="O694" s="28" t="str">
        <f t="shared" si="65"/>
        <v>Cold</v>
      </c>
      <c r="P694" s="28">
        <v>0.2273</v>
      </c>
      <c r="Q694" s="38">
        <f t="shared" si="61"/>
        <v>0.2273</v>
      </c>
      <c r="R694" s="28">
        <v>0.69</v>
      </c>
      <c r="S694" s="28">
        <v>0</v>
      </c>
      <c r="T694" s="40" t="str" cm="1">
        <f t="array" ref="T694">_xlfn.IFS(S694*18.6&lt;2,"Calm",S694*18.6&lt;6,"Light Breeze",S694*18.6&lt;14,"Gale",TRUE,"Extreme Storm")</f>
        <v>Calm</v>
      </c>
      <c r="U694" s="28">
        <v>0</v>
      </c>
      <c r="V694" s="28">
        <v>2</v>
      </c>
      <c r="W694" s="28">
        <v>2</v>
      </c>
      <c r="X694" s="44">
        <f>AVERAGE(INDEX($W:$W,MAX(ROW($W$3),ROW()-23)):INDEX($W:$W,ROW()))</f>
        <v>62.458333333333336</v>
      </c>
      <c r="Y694" s="44">
        <f>_xlfn.STDEV.S(INDEX($W:$W,MAX(ROW($W$3),ROW()-23)):INDEX($W:$W,ROW()))</f>
        <v>52.92404661536122</v>
      </c>
      <c r="Z694" s="44">
        <f t="shared" si="62"/>
        <v>-1.1423603673530378</v>
      </c>
      <c r="AA694" s="40" t="b">
        <f t="shared" si="60"/>
        <v>0</v>
      </c>
    </row>
    <row r="695" spans="1:27" x14ac:dyDescent="0.3">
      <c r="A695" s="32">
        <v>693</v>
      </c>
      <c r="B695" s="33">
        <v>40575</v>
      </c>
      <c r="C695" s="40" t="str">
        <f t="shared" si="63"/>
        <v>Tuesday</v>
      </c>
      <c r="D695" s="28">
        <v>5</v>
      </c>
      <c r="E695" s="40" t="str" cm="1">
        <f t="array" ref="E695">_xlfn.IFS(D695&gt;=21,"Night",D695&gt;=17,"Evening",D695&gt;=12,"Midday",D695&gt;=6,"Morning", TRUE, "Night")</f>
        <v>Night</v>
      </c>
      <c r="F695" s="28">
        <v>1</v>
      </c>
      <c r="G695" s="28">
        <v>0</v>
      </c>
      <c r="H695" s="28">
        <v>2</v>
      </c>
      <c r="I695" s="28">
        <v>2</v>
      </c>
      <c r="J695" s="40" t="str">
        <f t="shared" si="64"/>
        <v>Weekday</v>
      </c>
      <c r="K695" s="28" t="b">
        <v>0</v>
      </c>
      <c r="L695" s="28">
        <v>3</v>
      </c>
      <c r="M695" s="40" t="str" cm="1">
        <f t="array" ref="M695">_xlfn.IFS(L695=1,"Clear / Partly Cloudy",L695=2,"Mist / Cloudy",L695=3,"Light Snow / Rain",L695=4,"Heavy Precipitation")</f>
        <v>Light Snow / Rain</v>
      </c>
      <c r="N695" s="28">
        <v>0.14000000000000001</v>
      </c>
      <c r="O695" s="28" t="str">
        <f t="shared" si="65"/>
        <v>Cold</v>
      </c>
      <c r="P695" s="28">
        <v>0.21210000000000001</v>
      </c>
      <c r="Q695" s="38">
        <f t="shared" si="61"/>
        <v>0.21210000000000001</v>
      </c>
      <c r="R695" s="28">
        <v>0.93</v>
      </c>
      <c r="S695" s="28">
        <v>0</v>
      </c>
      <c r="T695" s="40" t="str" cm="1">
        <f t="array" ref="T695">_xlfn.IFS(S695*18.6&lt;2,"Calm",S695*18.6&lt;6,"Light Breeze",S695*18.6&lt;14,"Gale",TRUE,"Extreme Storm")</f>
        <v>Calm</v>
      </c>
      <c r="U695" s="28">
        <v>0</v>
      </c>
      <c r="V695" s="28">
        <v>3</v>
      </c>
      <c r="W695" s="28">
        <v>3</v>
      </c>
      <c r="X695" s="44">
        <f>AVERAGE(INDEX($W:$W,MAX(ROW($W$3),ROW()-23)):INDEX($W:$W,ROW()))</f>
        <v>62.5</v>
      </c>
      <c r="Y695" s="44">
        <f>_xlfn.STDEV.S(INDEX($W:$W,MAX(ROW($W$3),ROW()-23)):INDEX($W:$W,ROW()))</f>
        <v>52.87474945978262</v>
      </c>
      <c r="Z695" s="44">
        <f t="shared" si="62"/>
        <v>-1.1253008403426412</v>
      </c>
      <c r="AA695" s="40" t="b">
        <f t="shared" si="60"/>
        <v>0</v>
      </c>
    </row>
    <row r="696" spans="1:27" x14ac:dyDescent="0.3">
      <c r="A696" s="32">
        <v>694</v>
      </c>
      <c r="B696" s="33">
        <v>40575</v>
      </c>
      <c r="C696" s="40" t="str">
        <f t="shared" si="63"/>
        <v>Tuesday</v>
      </c>
      <c r="D696" s="28">
        <v>6</v>
      </c>
      <c r="E696" s="40" t="str" cm="1">
        <f t="array" ref="E696">_xlfn.IFS(D696&gt;=21,"Night",D696&gt;=17,"Evening",D696&gt;=12,"Midday",D696&gt;=6,"Morning", TRUE, "Night")</f>
        <v>Morning</v>
      </c>
      <c r="F696" s="28">
        <v>1</v>
      </c>
      <c r="G696" s="28">
        <v>0</v>
      </c>
      <c r="H696" s="28">
        <v>2</v>
      </c>
      <c r="I696" s="28">
        <v>2</v>
      </c>
      <c r="J696" s="40" t="str">
        <f t="shared" si="64"/>
        <v>Weekday</v>
      </c>
      <c r="K696" s="28" t="b">
        <v>0</v>
      </c>
      <c r="L696" s="28">
        <v>3</v>
      </c>
      <c r="M696" s="40" t="str" cm="1">
        <f t="array" ref="M696">_xlfn.IFS(L696=1,"Clear / Partly Cloudy",L696=2,"Mist / Cloudy",L696=3,"Light Snow / Rain",L696=4,"Heavy Precipitation")</f>
        <v>Light Snow / Rain</v>
      </c>
      <c r="N696" s="28">
        <v>0.14000000000000001</v>
      </c>
      <c r="O696" s="28" t="str">
        <f t="shared" si="65"/>
        <v>Cold</v>
      </c>
      <c r="P696" s="28">
        <v>0.21210000000000001</v>
      </c>
      <c r="Q696" s="38">
        <f t="shared" si="61"/>
        <v>0.21210000000000001</v>
      </c>
      <c r="R696" s="28">
        <v>0.93</v>
      </c>
      <c r="S696" s="28">
        <v>0</v>
      </c>
      <c r="T696" s="40" t="str" cm="1">
        <f t="array" ref="T696">_xlfn.IFS(S696*18.6&lt;2,"Calm",S696*18.6&lt;6,"Light Breeze",S696*18.6&lt;14,"Gale",TRUE,"Extreme Storm")</f>
        <v>Calm</v>
      </c>
      <c r="U696" s="28">
        <v>0</v>
      </c>
      <c r="V696" s="28">
        <v>22</v>
      </c>
      <c r="W696" s="28">
        <v>22</v>
      </c>
      <c r="X696" s="44">
        <f>AVERAGE(INDEX($W:$W,MAX(ROW($W$3),ROW()-23)):INDEX($W:$W,ROW()))</f>
        <v>63.083333333333336</v>
      </c>
      <c r="Y696" s="44">
        <f>_xlfn.STDEV.S(INDEX($W:$W,MAX(ROW($W$3),ROW()-23)):INDEX($W:$W,ROW()))</f>
        <v>52.321677830651538</v>
      </c>
      <c r="Z696" s="44">
        <f t="shared" si="62"/>
        <v>-0.78520672571523575</v>
      </c>
      <c r="AA696" s="40" t="b">
        <f t="shared" si="60"/>
        <v>0</v>
      </c>
    </row>
    <row r="697" spans="1:27" x14ac:dyDescent="0.3">
      <c r="A697" s="32">
        <v>695</v>
      </c>
      <c r="B697" s="33">
        <v>40575</v>
      </c>
      <c r="C697" s="40" t="str">
        <f t="shared" si="63"/>
        <v>Tuesday</v>
      </c>
      <c r="D697" s="28">
        <v>7</v>
      </c>
      <c r="E697" s="40" t="str" cm="1">
        <f t="array" ref="E697">_xlfn.IFS(D697&gt;=21,"Night",D697&gt;=17,"Evening",D697&gt;=12,"Midday",D697&gt;=6,"Morning", TRUE, "Night")</f>
        <v>Morning</v>
      </c>
      <c r="F697" s="28">
        <v>1</v>
      </c>
      <c r="G697" s="28">
        <v>0</v>
      </c>
      <c r="H697" s="28">
        <v>2</v>
      </c>
      <c r="I697" s="28">
        <v>2</v>
      </c>
      <c r="J697" s="40" t="str">
        <f t="shared" si="64"/>
        <v>Weekday</v>
      </c>
      <c r="K697" s="28" t="b">
        <v>0</v>
      </c>
      <c r="L697" s="28">
        <v>3</v>
      </c>
      <c r="M697" s="40" t="str" cm="1">
        <f t="array" ref="M697">_xlfn.IFS(L697=1,"Clear / Partly Cloudy",L697=2,"Mist / Cloudy",L697=3,"Light Snow / Rain",L697=4,"Heavy Precipitation")</f>
        <v>Light Snow / Rain</v>
      </c>
      <c r="N697" s="28">
        <v>0.16</v>
      </c>
      <c r="O697" s="28" t="str">
        <f t="shared" si="65"/>
        <v>Cold</v>
      </c>
      <c r="P697" s="28">
        <v>0.2273</v>
      </c>
      <c r="Q697" s="38">
        <f t="shared" si="61"/>
        <v>0.2273</v>
      </c>
      <c r="R697" s="28">
        <v>0.93</v>
      </c>
      <c r="S697" s="28">
        <v>0</v>
      </c>
      <c r="T697" s="40" t="str" cm="1">
        <f t="array" ref="T697">_xlfn.IFS(S697*18.6&lt;2,"Calm",S697*18.6&lt;6,"Light Breeze",S697*18.6&lt;14,"Gale",TRUE,"Extreme Storm")</f>
        <v>Calm</v>
      </c>
      <c r="U697" s="28">
        <v>0</v>
      </c>
      <c r="V697" s="28">
        <v>52</v>
      </c>
      <c r="W697" s="28">
        <v>52</v>
      </c>
      <c r="X697" s="44">
        <f>AVERAGE(INDEX($W:$W,MAX(ROW($W$3),ROW()-23)):INDEX($W:$W,ROW()))</f>
        <v>63.708333333333336</v>
      </c>
      <c r="Y697" s="44">
        <f>_xlfn.STDEV.S(INDEX($W:$W,MAX(ROW($W$3),ROW()-23)):INDEX($W:$W,ROW()))</f>
        <v>52.085614442800399</v>
      </c>
      <c r="Z697" s="44">
        <f t="shared" si="62"/>
        <v>-0.22479015479775596</v>
      </c>
      <c r="AA697" s="40" t="b">
        <f t="shared" si="60"/>
        <v>0</v>
      </c>
    </row>
    <row r="698" spans="1:27" x14ac:dyDescent="0.3">
      <c r="A698" s="32">
        <v>696</v>
      </c>
      <c r="B698" s="33">
        <v>40575</v>
      </c>
      <c r="C698" s="40" t="str">
        <f t="shared" si="63"/>
        <v>Tuesday</v>
      </c>
      <c r="D698" s="28">
        <v>8</v>
      </c>
      <c r="E698" s="40" t="str" cm="1">
        <f t="array" ref="E698">_xlfn.IFS(D698&gt;=21,"Night",D698&gt;=17,"Evening",D698&gt;=12,"Midday",D698&gt;=6,"Morning", TRUE, "Night")</f>
        <v>Morning</v>
      </c>
      <c r="F698" s="28">
        <v>1</v>
      </c>
      <c r="G698" s="28">
        <v>0</v>
      </c>
      <c r="H698" s="28">
        <v>2</v>
      </c>
      <c r="I698" s="28">
        <v>2</v>
      </c>
      <c r="J698" s="40" t="str">
        <f t="shared" si="64"/>
        <v>Weekday</v>
      </c>
      <c r="K698" s="28" t="b">
        <v>0</v>
      </c>
      <c r="L698" s="28">
        <v>3</v>
      </c>
      <c r="M698" s="40" t="str" cm="1">
        <f t="array" ref="M698">_xlfn.IFS(L698=1,"Clear / Partly Cloudy",L698=2,"Mist / Cloudy",L698=3,"Light Snow / Rain",L698=4,"Heavy Precipitation")</f>
        <v>Light Snow / Rain</v>
      </c>
      <c r="N698" s="28">
        <v>0.16</v>
      </c>
      <c r="O698" s="28" t="str">
        <f t="shared" si="65"/>
        <v>Cold</v>
      </c>
      <c r="P698" s="28">
        <v>0.2273</v>
      </c>
      <c r="Q698" s="38">
        <f t="shared" si="61"/>
        <v>0.2273</v>
      </c>
      <c r="R698" s="28">
        <v>0.93</v>
      </c>
      <c r="S698" s="28">
        <v>0</v>
      </c>
      <c r="T698" s="40" t="str" cm="1">
        <f t="array" ref="T698">_xlfn.IFS(S698*18.6&lt;2,"Calm",S698*18.6&lt;6,"Light Breeze",S698*18.6&lt;14,"Gale",TRUE,"Extreme Storm")</f>
        <v>Calm</v>
      </c>
      <c r="U698" s="28">
        <v>3</v>
      </c>
      <c r="V698" s="28">
        <v>132</v>
      </c>
      <c r="W698" s="28">
        <v>135</v>
      </c>
      <c r="X698" s="44">
        <f>AVERAGE(INDEX($W:$W,MAX(ROW($W$3),ROW()-23)):INDEX($W:$W,ROW()))</f>
        <v>66.333333333333329</v>
      </c>
      <c r="Y698" s="44">
        <f>_xlfn.STDEV.S(INDEX($W:$W,MAX(ROW($W$3),ROW()-23)):INDEX($W:$W,ROW()))</f>
        <v>54.071343102678114</v>
      </c>
      <c r="Z698" s="44">
        <f t="shared" si="62"/>
        <v>1.2699271504366545</v>
      </c>
      <c r="AA698" s="40" t="b">
        <f t="shared" si="60"/>
        <v>0</v>
      </c>
    </row>
    <row r="699" spans="1:27" x14ac:dyDescent="0.3">
      <c r="A699" s="32">
        <v>697</v>
      </c>
      <c r="B699" s="33">
        <v>40575</v>
      </c>
      <c r="C699" s="40" t="str">
        <f t="shared" si="63"/>
        <v>Tuesday</v>
      </c>
      <c r="D699" s="28">
        <v>9</v>
      </c>
      <c r="E699" s="40" t="str" cm="1">
        <f t="array" ref="E699">_xlfn.IFS(D699&gt;=21,"Night",D699&gt;=17,"Evening",D699&gt;=12,"Midday",D699&gt;=6,"Morning", TRUE, "Night")</f>
        <v>Morning</v>
      </c>
      <c r="F699" s="28">
        <v>1</v>
      </c>
      <c r="G699" s="28">
        <v>0</v>
      </c>
      <c r="H699" s="28">
        <v>2</v>
      </c>
      <c r="I699" s="28">
        <v>2</v>
      </c>
      <c r="J699" s="40" t="str">
        <f t="shared" si="64"/>
        <v>Weekday</v>
      </c>
      <c r="K699" s="28" t="b">
        <v>0</v>
      </c>
      <c r="L699" s="28">
        <v>2</v>
      </c>
      <c r="M699" s="40" t="str" cm="1">
        <f t="array" ref="M699">_xlfn.IFS(L699=1,"Clear / Partly Cloudy",L699=2,"Mist / Cloudy",L699=3,"Light Snow / Rain",L699=4,"Heavy Precipitation")</f>
        <v>Mist / Cloudy</v>
      </c>
      <c r="N699" s="28">
        <v>0.16</v>
      </c>
      <c r="O699" s="28" t="str">
        <f t="shared" si="65"/>
        <v>Cold</v>
      </c>
      <c r="P699" s="28">
        <v>0.2273</v>
      </c>
      <c r="Q699" s="38">
        <f t="shared" si="61"/>
        <v>0.2273</v>
      </c>
      <c r="R699" s="28">
        <v>0.93</v>
      </c>
      <c r="S699" s="28">
        <v>0</v>
      </c>
      <c r="T699" s="40" t="str" cm="1">
        <f t="array" ref="T699">_xlfn.IFS(S699*18.6&lt;2,"Calm",S699*18.6&lt;6,"Light Breeze",S699*18.6&lt;14,"Gale",TRUE,"Extreme Storm")</f>
        <v>Calm</v>
      </c>
      <c r="U699" s="28">
        <v>2</v>
      </c>
      <c r="V699" s="28">
        <v>114</v>
      </c>
      <c r="W699" s="28">
        <v>116</v>
      </c>
      <c r="X699" s="44">
        <f>AVERAGE(INDEX($W:$W,MAX(ROW($W$3),ROW()-23)):INDEX($W:$W,ROW()))</f>
        <v>63.458333333333336</v>
      </c>
      <c r="Y699" s="44">
        <f>_xlfn.STDEV.S(INDEX($W:$W,MAX(ROW($W$3),ROW()-23)):INDEX($W:$W,ROW()))</f>
        <v>49.09261802885986</v>
      </c>
      <c r="Z699" s="44">
        <f t="shared" si="62"/>
        <v>1.0702559524484767</v>
      </c>
      <c r="AA699" s="40" t="b">
        <f t="shared" si="60"/>
        <v>0</v>
      </c>
    </row>
    <row r="700" spans="1:27" x14ac:dyDescent="0.3">
      <c r="A700" s="32">
        <v>698</v>
      </c>
      <c r="B700" s="33">
        <v>40575</v>
      </c>
      <c r="C700" s="40" t="str">
        <f t="shared" si="63"/>
        <v>Tuesday</v>
      </c>
      <c r="D700" s="28">
        <v>10</v>
      </c>
      <c r="E700" s="40" t="str" cm="1">
        <f t="array" ref="E700">_xlfn.IFS(D700&gt;=21,"Night",D700&gt;=17,"Evening",D700&gt;=12,"Midday",D700&gt;=6,"Morning", TRUE, "Night")</f>
        <v>Morning</v>
      </c>
      <c r="F700" s="28">
        <v>1</v>
      </c>
      <c r="G700" s="28">
        <v>0</v>
      </c>
      <c r="H700" s="28">
        <v>2</v>
      </c>
      <c r="I700" s="28">
        <v>2</v>
      </c>
      <c r="J700" s="40" t="str">
        <f t="shared" si="64"/>
        <v>Weekday</v>
      </c>
      <c r="K700" s="28" t="b">
        <v>0</v>
      </c>
      <c r="L700" s="28">
        <v>2</v>
      </c>
      <c r="M700" s="40" t="str" cm="1">
        <f t="array" ref="M700">_xlfn.IFS(L700=1,"Clear / Partly Cloudy",L700=2,"Mist / Cloudy",L700=3,"Light Snow / Rain",L700=4,"Heavy Precipitation")</f>
        <v>Mist / Cloudy</v>
      </c>
      <c r="N700" s="28">
        <v>0.16</v>
      </c>
      <c r="O700" s="28" t="str">
        <f t="shared" si="65"/>
        <v>Cold</v>
      </c>
      <c r="P700" s="28">
        <v>0.2273</v>
      </c>
      <c r="Q700" s="38">
        <f t="shared" si="61"/>
        <v>0.2273</v>
      </c>
      <c r="R700" s="28">
        <v>0.93</v>
      </c>
      <c r="S700" s="28">
        <v>0</v>
      </c>
      <c r="T700" s="40" t="str" cm="1">
        <f t="array" ref="T700">_xlfn.IFS(S700*18.6&lt;2,"Calm",S700*18.6&lt;6,"Light Breeze",S700*18.6&lt;14,"Gale",TRUE,"Extreme Storm")</f>
        <v>Calm</v>
      </c>
      <c r="U700" s="28">
        <v>0</v>
      </c>
      <c r="V700" s="28">
        <v>47</v>
      </c>
      <c r="W700" s="28">
        <v>47</v>
      </c>
      <c r="X700" s="44">
        <f>AVERAGE(INDEX($W:$W,MAX(ROW($W$3),ROW()-23)):INDEX($W:$W,ROW()))</f>
        <v>60.75</v>
      </c>
      <c r="Y700" s="44">
        <f>_xlfn.STDEV.S(INDEX($W:$W,MAX(ROW($W$3),ROW()-23)):INDEX($W:$W,ROW()))</f>
        <v>48.080774427677611</v>
      </c>
      <c r="Z700" s="44">
        <f t="shared" si="62"/>
        <v>-0.2859770909198342</v>
      </c>
      <c r="AA700" s="40" t="b">
        <f t="shared" si="60"/>
        <v>0</v>
      </c>
    </row>
    <row r="701" spans="1:27" x14ac:dyDescent="0.3">
      <c r="A701" s="32">
        <v>699</v>
      </c>
      <c r="B701" s="33">
        <v>40575</v>
      </c>
      <c r="C701" s="40" t="str">
        <f t="shared" si="63"/>
        <v>Tuesday</v>
      </c>
      <c r="D701" s="28">
        <v>11</v>
      </c>
      <c r="E701" s="40" t="str" cm="1">
        <f t="array" ref="E701">_xlfn.IFS(D701&gt;=21,"Night",D701&gt;=17,"Evening",D701&gt;=12,"Midday",D701&gt;=6,"Morning", TRUE, "Night")</f>
        <v>Morning</v>
      </c>
      <c r="F701" s="28">
        <v>1</v>
      </c>
      <c r="G701" s="28">
        <v>0</v>
      </c>
      <c r="H701" s="28">
        <v>2</v>
      </c>
      <c r="I701" s="28">
        <v>2</v>
      </c>
      <c r="J701" s="40" t="str">
        <f t="shared" si="64"/>
        <v>Weekday</v>
      </c>
      <c r="K701" s="28" t="b">
        <v>0</v>
      </c>
      <c r="L701" s="28">
        <v>2</v>
      </c>
      <c r="M701" s="40" t="str" cm="1">
        <f t="array" ref="M701">_xlfn.IFS(L701=1,"Clear / Partly Cloudy",L701=2,"Mist / Cloudy",L701=3,"Light Snow / Rain",L701=4,"Heavy Precipitation")</f>
        <v>Mist / Cloudy</v>
      </c>
      <c r="N701" s="28">
        <v>0.18</v>
      </c>
      <c r="O701" s="28" t="str">
        <f t="shared" si="65"/>
        <v>Cold</v>
      </c>
      <c r="P701" s="28">
        <v>0.2424</v>
      </c>
      <c r="Q701" s="38">
        <f t="shared" si="61"/>
        <v>0.2424</v>
      </c>
      <c r="R701" s="28">
        <v>0.86</v>
      </c>
      <c r="S701" s="28">
        <v>0</v>
      </c>
      <c r="T701" s="40" t="str" cm="1">
        <f t="array" ref="T701">_xlfn.IFS(S701*18.6&lt;2,"Calm",S701*18.6&lt;6,"Light Breeze",S701*18.6&lt;14,"Gale",TRUE,"Extreme Storm")</f>
        <v>Calm</v>
      </c>
      <c r="U701" s="28">
        <v>2</v>
      </c>
      <c r="V701" s="28">
        <v>49</v>
      </c>
      <c r="W701" s="28">
        <v>51</v>
      </c>
      <c r="X701" s="44">
        <f>AVERAGE(INDEX($W:$W,MAX(ROW($W$3),ROW()-23)):INDEX($W:$W,ROW()))</f>
        <v>60</v>
      </c>
      <c r="Y701" s="44">
        <f>_xlfn.STDEV.S(INDEX($W:$W,MAX(ROW($W$3),ROW()-23)):INDEX($W:$W,ROW()))</f>
        <v>48.086877899141641</v>
      </c>
      <c r="Z701" s="44">
        <f t="shared" si="62"/>
        <v>-0.18716124633578365</v>
      </c>
      <c r="AA701" s="40" t="b">
        <f t="shared" si="60"/>
        <v>0</v>
      </c>
    </row>
    <row r="702" spans="1:27" x14ac:dyDescent="0.3">
      <c r="A702" s="32">
        <v>700</v>
      </c>
      <c r="B702" s="33">
        <v>40575</v>
      </c>
      <c r="C702" s="40" t="str">
        <f t="shared" si="63"/>
        <v>Tuesday</v>
      </c>
      <c r="D702" s="28">
        <v>12</v>
      </c>
      <c r="E702" s="40" t="str" cm="1">
        <f t="array" ref="E702">_xlfn.IFS(D702&gt;=21,"Night",D702&gt;=17,"Evening",D702&gt;=12,"Midday",D702&gt;=6,"Morning", TRUE, "Night")</f>
        <v>Midday</v>
      </c>
      <c r="F702" s="28">
        <v>1</v>
      </c>
      <c r="G702" s="28">
        <v>0</v>
      </c>
      <c r="H702" s="28">
        <v>2</v>
      </c>
      <c r="I702" s="28">
        <v>2</v>
      </c>
      <c r="J702" s="40" t="str">
        <f t="shared" si="64"/>
        <v>Weekday</v>
      </c>
      <c r="K702" s="28" t="b">
        <v>0</v>
      </c>
      <c r="L702" s="28">
        <v>2</v>
      </c>
      <c r="M702" s="40" t="str" cm="1">
        <f t="array" ref="M702">_xlfn.IFS(L702=1,"Clear / Partly Cloudy",L702=2,"Mist / Cloudy",L702=3,"Light Snow / Rain",L702=4,"Heavy Precipitation")</f>
        <v>Mist / Cloudy</v>
      </c>
      <c r="N702" s="28">
        <v>0.2</v>
      </c>
      <c r="O702" s="28" t="str">
        <f t="shared" si="65"/>
        <v>Mild</v>
      </c>
      <c r="P702" s="28">
        <v>0.2576</v>
      </c>
      <c r="Q702" s="38">
        <f t="shared" si="61"/>
        <v>0.2576</v>
      </c>
      <c r="R702" s="28">
        <v>0.86</v>
      </c>
      <c r="S702" s="28">
        <v>0</v>
      </c>
      <c r="T702" s="40" t="str" cm="1">
        <f t="array" ref="T702">_xlfn.IFS(S702*18.6&lt;2,"Calm",S702*18.6&lt;6,"Light Breeze",S702*18.6&lt;14,"Gale",TRUE,"Extreme Storm")</f>
        <v>Calm</v>
      </c>
      <c r="U702" s="28">
        <v>2</v>
      </c>
      <c r="V702" s="28">
        <v>53</v>
      </c>
      <c r="W702" s="28">
        <v>55</v>
      </c>
      <c r="X702" s="44">
        <f>AVERAGE(INDEX($W:$W,MAX(ROW($W$3),ROW()-23)):INDEX($W:$W,ROW()))</f>
        <v>60.291666666666664</v>
      </c>
      <c r="Y702" s="44">
        <f>_xlfn.STDEV.S(INDEX($W:$W,MAX(ROW($W$3),ROW()-23)):INDEX($W:$W,ROW()))</f>
        <v>48.032126175379076</v>
      </c>
      <c r="Z702" s="44">
        <f t="shared" si="62"/>
        <v>-0.11016931974539855</v>
      </c>
      <c r="AA702" s="40" t="b">
        <f t="shared" si="60"/>
        <v>0</v>
      </c>
    </row>
    <row r="703" spans="1:27" x14ac:dyDescent="0.3">
      <c r="A703" s="32">
        <v>701</v>
      </c>
      <c r="B703" s="33">
        <v>40575</v>
      </c>
      <c r="C703" s="40" t="str">
        <f t="shared" si="63"/>
        <v>Tuesday</v>
      </c>
      <c r="D703" s="28">
        <v>13</v>
      </c>
      <c r="E703" s="40" t="str" cm="1">
        <f t="array" ref="E703">_xlfn.IFS(D703&gt;=21,"Night",D703&gt;=17,"Evening",D703&gt;=12,"Midday",D703&gt;=6,"Morning", TRUE, "Night")</f>
        <v>Midday</v>
      </c>
      <c r="F703" s="28">
        <v>1</v>
      </c>
      <c r="G703" s="28">
        <v>0</v>
      </c>
      <c r="H703" s="28">
        <v>2</v>
      </c>
      <c r="I703" s="28">
        <v>2</v>
      </c>
      <c r="J703" s="40" t="str">
        <f t="shared" si="64"/>
        <v>Weekday</v>
      </c>
      <c r="K703" s="28" t="b">
        <v>0</v>
      </c>
      <c r="L703" s="28">
        <v>2</v>
      </c>
      <c r="M703" s="40" t="str" cm="1">
        <f t="array" ref="M703">_xlfn.IFS(L703=1,"Clear / Partly Cloudy",L703=2,"Mist / Cloudy",L703=3,"Light Snow / Rain",L703=4,"Heavy Precipitation")</f>
        <v>Mist / Cloudy</v>
      </c>
      <c r="N703" s="28">
        <v>0.2</v>
      </c>
      <c r="O703" s="28" t="str">
        <f t="shared" si="65"/>
        <v>Mild</v>
      </c>
      <c r="P703" s="28">
        <v>0.2576</v>
      </c>
      <c r="Q703" s="38">
        <f t="shared" si="61"/>
        <v>0.2576</v>
      </c>
      <c r="R703" s="28">
        <v>0.86</v>
      </c>
      <c r="S703" s="28">
        <v>0</v>
      </c>
      <c r="T703" s="40" t="str" cm="1">
        <f t="array" ref="T703">_xlfn.IFS(S703*18.6&lt;2,"Calm",S703*18.6&lt;6,"Light Breeze",S703*18.6&lt;14,"Gale",TRUE,"Extreme Storm")</f>
        <v>Calm</v>
      </c>
      <c r="U703" s="28">
        <v>3</v>
      </c>
      <c r="V703" s="28">
        <v>49</v>
      </c>
      <c r="W703" s="28">
        <v>52</v>
      </c>
      <c r="X703" s="44">
        <f>AVERAGE(INDEX($W:$W,MAX(ROW($W$3),ROW()-23)):INDEX($W:$W,ROW()))</f>
        <v>59.625</v>
      </c>
      <c r="Y703" s="44">
        <f>_xlfn.STDEV.S(INDEX($W:$W,MAX(ROW($W$3),ROW()-23)):INDEX($W:$W,ROW()))</f>
        <v>48.031522710747403</v>
      </c>
      <c r="Z703" s="44">
        <f t="shared" si="62"/>
        <v>-0.15874991192594132</v>
      </c>
      <c r="AA703" s="40" t="b">
        <f t="shared" si="60"/>
        <v>0</v>
      </c>
    </row>
    <row r="704" spans="1:27" x14ac:dyDescent="0.3">
      <c r="A704" s="32">
        <v>702</v>
      </c>
      <c r="B704" s="33">
        <v>40575</v>
      </c>
      <c r="C704" s="40" t="str">
        <f t="shared" si="63"/>
        <v>Tuesday</v>
      </c>
      <c r="D704" s="28">
        <v>14</v>
      </c>
      <c r="E704" s="40" t="str" cm="1">
        <f t="array" ref="E704">_xlfn.IFS(D704&gt;=21,"Night",D704&gt;=17,"Evening",D704&gt;=12,"Midday",D704&gt;=6,"Morning", TRUE, "Night")</f>
        <v>Midday</v>
      </c>
      <c r="F704" s="28">
        <v>1</v>
      </c>
      <c r="G704" s="28">
        <v>0</v>
      </c>
      <c r="H704" s="28">
        <v>2</v>
      </c>
      <c r="I704" s="28">
        <v>2</v>
      </c>
      <c r="J704" s="40" t="str">
        <f t="shared" si="64"/>
        <v>Weekday</v>
      </c>
      <c r="K704" s="28" t="b">
        <v>0</v>
      </c>
      <c r="L704" s="28">
        <v>2</v>
      </c>
      <c r="M704" s="40" t="str" cm="1">
        <f t="array" ref="M704">_xlfn.IFS(L704=1,"Clear / Partly Cloudy",L704=2,"Mist / Cloudy",L704=3,"Light Snow / Rain",L704=4,"Heavy Precipitation")</f>
        <v>Mist / Cloudy</v>
      </c>
      <c r="N704" s="28">
        <v>0.22</v>
      </c>
      <c r="O704" s="28" t="str">
        <f t="shared" si="65"/>
        <v>Mild</v>
      </c>
      <c r="P704" s="28">
        <v>0.2576</v>
      </c>
      <c r="Q704" s="38">
        <f t="shared" si="61"/>
        <v>0.2576</v>
      </c>
      <c r="R704" s="28">
        <v>0.8</v>
      </c>
      <c r="S704" s="28">
        <v>8.9599999999999999E-2</v>
      </c>
      <c r="T704" s="40" t="str" cm="1">
        <f t="array" ref="T704">_xlfn.IFS(S704*18.6&lt;2,"Calm",S704*18.6&lt;6,"Light Breeze",S704*18.6&lt;14,"Gale",TRUE,"Extreme Storm")</f>
        <v>Calm</v>
      </c>
      <c r="U704" s="28">
        <v>5</v>
      </c>
      <c r="V704" s="28">
        <v>49</v>
      </c>
      <c r="W704" s="28">
        <v>54</v>
      </c>
      <c r="X704" s="44">
        <f>AVERAGE(INDEX($W:$W,MAX(ROW($W$3),ROW()-23)):INDEX($W:$W,ROW()))</f>
        <v>59.625</v>
      </c>
      <c r="Y704" s="44">
        <f>_xlfn.STDEV.S(INDEX($W:$W,MAX(ROW($W$3),ROW()-23)):INDEX($W:$W,ROW()))</f>
        <v>48.031522710747403</v>
      </c>
      <c r="Z704" s="44">
        <f t="shared" si="62"/>
        <v>-0.11711059076503867</v>
      </c>
      <c r="AA704" s="40" t="b">
        <f t="shared" si="60"/>
        <v>0</v>
      </c>
    </row>
    <row r="705" spans="1:27" x14ac:dyDescent="0.3">
      <c r="A705" s="32">
        <v>703</v>
      </c>
      <c r="B705" s="33">
        <v>40575</v>
      </c>
      <c r="C705" s="40" t="str">
        <f t="shared" si="63"/>
        <v>Tuesday</v>
      </c>
      <c r="D705" s="28">
        <v>15</v>
      </c>
      <c r="E705" s="40" t="str" cm="1">
        <f t="array" ref="E705">_xlfn.IFS(D705&gt;=21,"Night",D705&gt;=17,"Evening",D705&gt;=12,"Midday",D705&gt;=6,"Morning", TRUE, "Night")</f>
        <v>Midday</v>
      </c>
      <c r="F705" s="28">
        <v>1</v>
      </c>
      <c r="G705" s="28">
        <v>0</v>
      </c>
      <c r="H705" s="28">
        <v>2</v>
      </c>
      <c r="I705" s="28">
        <v>2</v>
      </c>
      <c r="J705" s="40" t="str">
        <f t="shared" si="64"/>
        <v>Weekday</v>
      </c>
      <c r="K705" s="28" t="b">
        <v>0</v>
      </c>
      <c r="L705" s="28">
        <v>2</v>
      </c>
      <c r="M705" s="40" t="str" cm="1">
        <f t="array" ref="M705">_xlfn.IFS(L705=1,"Clear / Partly Cloudy",L705=2,"Mist / Cloudy",L705=3,"Light Snow / Rain",L705=4,"Heavy Precipitation")</f>
        <v>Mist / Cloudy</v>
      </c>
      <c r="N705" s="28">
        <v>0.24</v>
      </c>
      <c r="O705" s="28" t="str">
        <f t="shared" si="65"/>
        <v>Mild</v>
      </c>
      <c r="P705" s="28">
        <v>0.28789999999999999</v>
      </c>
      <c r="Q705" s="38">
        <f t="shared" si="61"/>
        <v>0.28789999999999999</v>
      </c>
      <c r="R705" s="28">
        <v>0.75</v>
      </c>
      <c r="S705" s="28">
        <v>0</v>
      </c>
      <c r="T705" s="40" t="str" cm="1">
        <f t="array" ref="T705">_xlfn.IFS(S705*18.6&lt;2,"Calm",S705*18.6&lt;6,"Light Breeze",S705*18.6&lt;14,"Gale",TRUE,"Extreme Storm")</f>
        <v>Calm</v>
      </c>
      <c r="U705" s="28">
        <v>7</v>
      </c>
      <c r="V705" s="28">
        <v>45</v>
      </c>
      <c r="W705" s="28">
        <v>52</v>
      </c>
      <c r="X705" s="44">
        <f>AVERAGE(INDEX($W:$W,MAX(ROW($W$3),ROW()-23)):INDEX($W:$W,ROW()))</f>
        <v>58.208333333333336</v>
      </c>
      <c r="Y705" s="44">
        <f>_xlfn.STDEV.S(INDEX($W:$W,MAX(ROW($W$3),ROW()-23)):INDEX($W:$W,ROW()))</f>
        <v>47.720180005005687</v>
      </c>
      <c r="Z705" s="44">
        <f t="shared" si="62"/>
        <v>-0.13009869897142262</v>
      </c>
      <c r="AA705" s="40" t="b">
        <f t="shared" si="60"/>
        <v>0</v>
      </c>
    </row>
    <row r="706" spans="1:27" x14ac:dyDescent="0.3">
      <c r="A706" s="32">
        <v>704</v>
      </c>
      <c r="B706" s="33">
        <v>40575</v>
      </c>
      <c r="C706" s="40" t="str">
        <f t="shared" si="63"/>
        <v>Tuesday</v>
      </c>
      <c r="D706" s="28">
        <v>16</v>
      </c>
      <c r="E706" s="40" t="str" cm="1">
        <f t="array" ref="E706">_xlfn.IFS(D706&gt;=21,"Night",D706&gt;=17,"Evening",D706&gt;=12,"Midday",D706&gt;=6,"Morning", TRUE, "Night")</f>
        <v>Midday</v>
      </c>
      <c r="F706" s="28">
        <v>1</v>
      </c>
      <c r="G706" s="28">
        <v>0</v>
      </c>
      <c r="H706" s="28">
        <v>2</v>
      </c>
      <c r="I706" s="28">
        <v>2</v>
      </c>
      <c r="J706" s="40" t="str">
        <f t="shared" si="64"/>
        <v>Weekday</v>
      </c>
      <c r="K706" s="28" t="b">
        <v>0</v>
      </c>
      <c r="L706" s="28">
        <v>2</v>
      </c>
      <c r="M706" s="40" t="str" cm="1">
        <f t="array" ref="M706">_xlfn.IFS(L706=1,"Clear / Partly Cloudy",L706=2,"Mist / Cloudy",L706=3,"Light Snow / Rain",L706=4,"Heavy Precipitation")</f>
        <v>Mist / Cloudy</v>
      </c>
      <c r="N706" s="28">
        <v>0.24</v>
      </c>
      <c r="O706" s="28" t="str">
        <f t="shared" si="65"/>
        <v>Mild</v>
      </c>
      <c r="P706" s="28">
        <v>0.2424</v>
      </c>
      <c r="Q706" s="38">
        <f t="shared" si="61"/>
        <v>0.2424</v>
      </c>
      <c r="R706" s="28">
        <v>0.75</v>
      </c>
      <c r="S706" s="28">
        <v>0.1343</v>
      </c>
      <c r="T706" s="40" t="str" cm="1">
        <f t="array" ref="T706">_xlfn.IFS(S706*18.6&lt;2,"Calm",S706*18.6&lt;6,"Light Breeze",S706*18.6&lt;14,"Gale",TRUE,"Extreme Storm")</f>
        <v>Light Breeze</v>
      </c>
      <c r="U706" s="28">
        <v>3</v>
      </c>
      <c r="V706" s="28">
        <v>61</v>
      </c>
      <c r="W706" s="28">
        <v>64</v>
      </c>
      <c r="X706" s="44">
        <f>AVERAGE(INDEX($W:$W,MAX(ROW($W$3),ROW()-23)):INDEX($W:$W,ROW()))</f>
        <v>59.041666666666664</v>
      </c>
      <c r="Y706" s="44">
        <f>_xlfn.STDEV.S(INDEX($W:$W,MAX(ROW($W$3),ROW()-23)):INDEX($W:$W,ROW()))</f>
        <v>47.635827918167593</v>
      </c>
      <c r="Z706" s="44">
        <f t="shared" si="62"/>
        <v>0.10408832070371767</v>
      </c>
      <c r="AA706" s="40" t="b">
        <f t="shared" si="60"/>
        <v>0</v>
      </c>
    </row>
    <row r="707" spans="1:27" x14ac:dyDescent="0.3">
      <c r="A707" s="32">
        <v>705</v>
      </c>
      <c r="B707" s="33">
        <v>40575</v>
      </c>
      <c r="C707" s="40" t="str">
        <f t="shared" si="63"/>
        <v>Tuesday</v>
      </c>
      <c r="D707" s="28">
        <v>17</v>
      </c>
      <c r="E707" s="40" t="str" cm="1">
        <f t="array" ref="E707">_xlfn.IFS(D707&gt;=21,"Night",D707&gt;=17,"Evening",D707&gt;=12,"Midday",D707&gt;=6,"Morning", TRUE, "Night")</f>
        <v>Evening</v>
      </c>
      <c r="F707" s="28">
        <v>1</v>
      </c>
      <c r="G707" s="28">
        <v>0</v>
      </c>
      <c r="H707" s="28">
        <v>2</v>
      </c>
      <c r="I707" s="28">
        <v>2</v>
      </c>
      <c r="J707" s="40" t="str">
        <f t="shared" si="64"/>
        <v>Weekday</v>
      </c>
      <c r="K707" s="28" t="b">
        <v>0</v>
      </c>
      <c r="L707" s="28">
        <v>2</v>
      </c>
      <c r="M707" s="40" t="str" cm="1">
        <f t="array" ref="M707">_xlfn.IFS(L707=1,"Clear / Partly Cloudy",L707=2,"Mist / Cloudy",L707=3,"Light Snow / Rain",L707=4,"Heavy Precipitation")</f>
        <v>Mist / Cloudy</v>
      </c>
      <c r="N707" s="28">
        <v>0.24</v>
      </c>
      <c r="O707" s="28" t="str">
        <f t="shared" si="65"/>
        <v>Mild</v>
      </c>
      <c r="P707" s="28">
        <v>0.28789999999999999</v>
      </c>
      <c r="Q707" s="38">
        <f t="shared" si="61"/>
        <v>0.28789999999999999</v>
      </c>
      <c r="R707" s="28">
        <v>0.75</v>
      </c>
      <c r="S707" s="28">
        <v>0</v>
      </c>
      <c r="T707" s="40" t="str" cm="1">
        <f t="array" ref="T707">_xlfn.IFS(S707*18.6&lt;2,"Calm",S707*18.6&lt;6,"Light Breeze",S707*18.6&lt;14,"Gale",TRUE,"Extreme Storm")</f>
        <v>Calm</v>
      </c>
      <c r="U707" s="28">
        <v>4</v>
      </c>
      <c r="V707" s="28">
        <v>172</v>
      </c>
      <c r="W707" s="28">
        <v>176</v>
      </c>
      <c r="X707" s="44">
        <f>AVERAGE(INDEX($W:$W,MAX(ROW($W$3),ROW()-23)):INDEX($W:$W,ROW()))</f>
        <v>62.791666666666664</v>
      </c>
      <c r="Y707" s="44">
        <f>_xlfn.STDEV.S(INDEX($W:$W,MAX(ROW($W$3),ROW()-23)):INDEX($W:$W,ROW()))</f>
        <v>53.081544460564075</v>
      </c>
      <c r="Z707" s="44">
        <f t="shared" si="62"/>
        <v>2.1327249326258646</v>
      </c>
      <c r="AA707" s="40" t="b">
        <f t="shared" ref="AA707:AA770" si="66">IF(ABS(Z707)&gt;=3,TRUE,FALSE)</f>
        <v>0</v>
      </c>
    </row>
    <row r="708" spans="1:27" x14ac:dyDescent="0.3">
      <c r="A708" s="32">
        <v>706</v>
      </c>
      <c r="B708" s="33">
        <v>40575</v>
      </c>
      <c r="C708" s="40" t="str">
        <f t="shared" si="63"/>
        <v>Tuesday</v>
      </c>
      <c r="D708" s="28">
        <v>18</v>
      </c>
      <c r="E708" s="40" t="str" cm="1">
        <f t="array" ref="E708">_xlfn.IFS(D708&gt;=21,"Night",D708&gt;=17,"Evening",D708&gt;=12,"Midday",D708&gt;=6,"Morning", TRUE, "Night")</f>
        <v>Evening</v>
      </c>
      <c r="F708" s="28">
        <v>1</v>
      </c>
      <c r="G708" s="28">
        <v>0</v>
      </c>
      <c r="H708" s="28">
        <v>2</v>
      </c>
      <c r="I708" s="28">
        <v>2</v>
      </c>
      <c r="J708" s="40" t="str">
        <f t="shared" si="64"/>
        <v>Weekday</v>
      </c>
      <c r="K708" s="28" t="b">
        <v>0</v>
      </c>
      <c r="L708" s="28">
        <v>2</v>
      </c>
      <c r="M708" s="40" t="str" cm="1">
        <f t="array" ref="M708">_xlfn.IFS(L708=1,"Clear / Partly Cloudy",L708=2,"Mist / Cloudy",L708=3,"Light Snow / Rain",L708=4,"Heavy Precipitation")</f>
        <v>Mist / Cloudy</v>
      </c>
      <c r="N708" s="28">
        <v>0.24</v>
      </c>
      <c r="O708" s="28" t="str">
        <f t="shared" si="65"/>
        <v>Mild</v>
      </c>
      <c r="P708" s="28">
        <v>0.2576</v>
      </c>
      <c r="Q708" s="38">
        <f t="shared" ref="Q708:Q771" si="67">IF(P708="", AVERAGE($P$3:$P$1002), P708)</f>
        <v>0.2576</v>
      </c>
      <c r="R708" s="28">
        <v>0.81</v>
      </c>
      <c r="S708" s="28">
        <v>0.1045</v>
      </c>
      <c r="T708" s="40" t="str" cm="1">
        <f t="array" ref="T708">_xlfn.IFS(S708*18.6&lt;2,"Calm",S708*18.6&lt;6,"Light Breeze",S708*18.6&lt;14,"Gale",TRUE,"Extreme Storm")</f>
        <v>Calm</v>
      </c>
      <c r="U708" s="28">
        <v>3</v>
      </c>
      <c r="V708" s="28">
        <v>165</v>
      </c>
      <c r="W708" s="28">
        <v>168</v>
      </c>
      <c r="X708" s="44">
        <f>AVERAGE(INDEX($W:$W,MAX(ROW($W$3),ROW()-23)):INDEX($W:$W,ROW()))</f>
        <v>63.083333333333336</v>
      </c>
      <c r="Y708" s="44">
        <f>_xlfn.STDEV.S(INDEX($W:$W,MAX(ROW($W$3),ROW()-23)):INDEX($W:$W,ROW()))</f>
        <v>53.660702702189369</v>
      </c>
      <c r="Z708" s="44">
        <f t="shared" ref="Z708:Z771" si="68">IFERROR((W708-X708)/Y708,0)</f>
        <v>1.9551862235003128</v>
      </c>
      <c r="AA708" s="40" t="b">
        <f t="shared" si="66"/>
        <v>0</v>
      </c>
    </row>
    <row r="709" spans="1:27" x14ac:dyDescent="0.3">
      <c r="A709" s="32">
        <v>707</v>
      </c>
      <c r="B709" s="33">
        <v>40575</v>
      </c>
      <c r="C709" s="40" t="str">
        <f t="shared" ref="C709:C772" si="69">TEXT(B709,"dddd")</f>
        <v>Tuesday</v>
      </c>
      <c r="D709" s="28">
        <v>19</v>
      </c>
      <c r="E709" s="40" t="str" cm="1">
        <f t="array" ref="E709">_xlfn.IFS(D709&gt;=21,"Night",D709&gt;=17,"Evening",D709&gt;=12,"Midday",D709&gt;=6,"Morning", TRUE, "Night")</f>
        <v>Evening</v>
      </c>
      <c r="F709" s="28">
        <v>1</v>
      </c>
      <c r="G709" s="28">
        <v>0</v>
      </c>
      <c r="H709" s="28">
        <v>2</v>
      </c>
      <c r="I709" s="28">
        <v>2</v>
      </c>
      <c r="J709" s="40" t="str">
        <f t="shared" ref="J709:J772" si="70">IF(OR(I709="Saturday", I709="Sunday"), "Weekend", "Weekday")</f>
        <v>Weekday</v>
      </c>
      <c r="K709" s="28" t="b">
        <v>0</v>
      </c>
      <c r="L709" s="28">
        <v>2</v>
      </c>
      <c r="M709" s="40" t="str" cm="1">
        <f t="array" ref="M709">_xlfn.IFS(L709=1,"Clear / Partly Cloudy",L709=2,"Mist / Cloudy",L709=3,"Light Snow / Rain",L709=4,"Heavy Precipitation")</f>
        <v>Mist / Cloudy</v>
      </c>
      <c r="N709" s="28">
        <v>0.24</v>
      </c>
      <c r="O709" s="28" t="str">
        <f t="shared" ref="O709:O772" si="71">IF(N709&lt;0.2,"Cold",IF(N709&lt;0.6,"Mild","Hot"))</f>
        <v>Mild</v>
      </c>
      <c r="P709" s="28">
        <v>0.2424</v>
      </c>
      <c r="Q709" s="38">
        <f t="shared" si="67"/>
        <v>0.2424</v>
      </c>
      <c r="R709" s="28">
        <v>0.81</v>
      </c>
      <c r="S709" s="28">
        <v>0.1343</v>
      </c>
      <c r="T709" s="40" t="str" cm="1">
        <f t="array" ref="T709">_xlfn.IFS(S709*18.6&lt;2,"Calm",S709*18.6&lt;6,"Light Breeze",S709*18.6&lt;14,"Gale",TRUE,"Extreme Storm")</f>
        <v>Light Breeze</v>
      </c>
      <c r="U709" s="28">
        <v>3</v>
      </c>
      <c r="V709" s="28">
        <v>105</v>
      </c>
      <c r="W709" s="28">
        <v>108</v>
      </c>
      <c r="X709" s="44">
        <f>AVERAGE(INDEX($W:$W,MAX(ROW($W$3),ROW()-23)):INDEX($W:$W,ROW()))</f>
        <v>61.083333333333336</v>
      </c>
      <c r="Y709" s="44">
        <f>_xlfn.STDEV.S(INDEX($W:$W,MAX(ROW($W$3),ROW()-23)):INDEX($W:$W,ROW()))</f>
        <v>50.868899413455289</v>
      </c>
      <c r="Z709" s="44">
        <f t="shared" si="68"/>
        <v>0.92230551884629097</v>
      </c>
      <c r="AA709" s="40" t="b">
        <f t="shared" si="66"/>
        <v>0</v>
      </c>
    </row>
    <row r="710" spans="1:27" x14ac:dyDescent="0.3">
      <c r="A710" s="32">
        <v>708</v>
      </c>
      <c r="B710" s="33">
        <v>40575</v>
      </c>
      <c r="C710" s="40" t="str">
        <f t="shared" si="69"/>
        <v>Tuesday</v>
      </c>
      <c r="D710" s="28">
        <v>20</v>
      </c>
      <c r="E710" s="40" t="str" cm="1">
        <f t="array" ref="E710">_xlfn.IFS(D710&gt;=21,"Night",D710&gt;=17,"Evening",D710&gt;=12,"Midday",D710&gt;=6,"Morning", TRUE, "Night")</f>
        <v>Evening</v>
      </c>
      <c r="F710" s="28">
        <v>1</v>
      </c>
      <c r="G710" s="28">
        <v>0</v>
      </c>
      <c r="H710" s="28">
        <v>2</v>
      </c>
      <c r="I710" s="28">
        <v>2</v>
      </c>
      <c r="J710" s="40" t="str">
        <f t="shared" si="70"/>
        <v>Weekday</v>
      </c>
      <c r="K710" s="28" t="b">
        <v>0</v>
      </c>
      <c r="L710" s="28">
        <v>2</v>
      </c>
      <c r="M710" s="40" t="str" cm="1">
        <f t="array" ref="M710">_xlfn.IFS(L710=1,"Clear / Partly Cloudy",L710=2,"Mist / Cloudy",L710=3,"Light Snow / Rain",L710=4,"Heavy Precipitation")</f>
        <v>Mist / Cloudy</v>
      </c>
      <c r="N710" s="28">
        <v>0.22</v>
      </c>
      <c r="O710" s="28" t="str">
        <f t="shared" si="71"/>
        <v>Mild</v>
      </c>
      <c r="P710" s="28">
        <v>0.2273</v>
      </c>
      <c r="Q710" s="38">
        <f t="shared" si="67"/>
        <v>0.2273</v>
      </c>
      <c r="R710" s="28">
        <v>0.87</v>
      </c>
      <c r="S710" s="28">
        <v>0.1343</v>
      </c>
      <c r="T710" s="40" t="str" cm="1">
        <f t="array" ref="T710">_xlfn.IFS(S710*18.6&lt;2,"Calm",S710*18.6&lt;6,"Light Breeze",S710*18.6&lt;14,"Gale",TRUE,"Extreme Storm")</f>
        <v>Light Breeze</v>
      </c>
      <c r="U710" s="28">
        <v>5</v>
      </c>
      <c r="V710" s="28">
        <v>69</v>
      </c>
      <c r="W710" s="28">
        <v>74</v>
      </c>
      <c r="X710" s="44">
        <f>AVERAGE(INDEX($W:$W,MAX(ROW($W$3),ROW()-23)):INDEX($W:$W,ROW()))</f>
        <v>59.541666666666664</v>
      </c>
      <c r="Y710" s="44">
        <f>_xlfn.STDEV.S(INDEX($W:$W,MAX(ROW($W$3),ROW()-23)):INDEX($W:$W,ROW()))</f>
        <v>49.840597357250203</v>
      </c>
      <c r="Z710" s="44">
        <f t="shared" si="68"/>
        <v>0.29009149368130743</v>
      </c>
      <c r="AA710" s="40" t="b">
        <f t="shared" si="66"/>
        <v>0</v>
      </c>
    </row>
    <row r="711" spans="1:27" x14ac:dyDescent="0.3">
      <c r="A711" s="32">
        <v>709</v>
      </c>
      <c r="B711" s="33">
        <v>40575</v>
      </c>
      <c r="C711" s="40" t="str">
        <f t="shared" si="69"/>
        <v>Tuesday</v>
      </c>
      <c r="D711" s="28">
        <v>21</v>
      </c>
      <c r="E711" s="40" t="str" cm="1">
        <f t="array" ref="E711">_xlfn.IFS(D711&gt;=21,"Night",D711&gt;=17,"Evening",D711&gt;=12,"Midday",D711&gt;=6,"Morning", TRUE, "Night")</f>
        <v>Night</v>
      </c>
      <c r="F711" s="28">
        <v>1</v>
      </c>
      <c r="G711" s="28">
        <v>0</v>
      </c>
      <c r="H711" s="28">
        <v>2</v>
      </c>
      <c r="I711" s="28">
        <v>2</v>
      </c>
      <c r="J711" s="40" t="str">
        <f t="shared" si="70"/>
        <v>Weekday</v>
      </c>
      <c r="K711" s="28" t="b">
        <v>0</v>
      </c>
      <c r="L711" s="28">
        <v>2</v>
      </c>
      <c r="M711" s="40" t="str" cm="1">
        <f t="array" ref="M711">_xlfn.IFS(L711=1,"Clear / Partly Cloudy",L711=2,"Mist / Cloudy",L711=3,"Light Snow / Rain",L711=4,"Heavy Precipitation")</f>
        <v>Mist / Cloudy</v>
      </c>
      <c r="N711" s="28">
        <v>0.22</v>
      </c>
      <c r="O711" s="28" t="str">
        <f t="shared" si="71"/>
        <v>Mild</v>
      </c>
      <c r="P711" s="28">
        <v>0.2273</v>
      </c>
      <c r="Q711" s="38">
        <f t="shared" si="67"/>
        <v>0.2273</v>
      </c>
      <c r="R711" s="28">
        <v>0.87</v>
      </c>
      <c r="S711" s="28">
        <v>0.1343</v>
      </c>
      <c r="T711" s="40" t="str" cm="1">
        <f t="array" ref="T711">_xlfn.IFS(S711*18.6&lt;2,"Calm",S711*18.6&lt;6,"Light Breeze",S711*18.6&lt;14,"Gale",TRUE,"Extreme Storm")</f>
        <v>Light Breeze</v>
      </c>
      <c r="U711" s="28">
        <v>0</v>
      </c>
      <c r="V711" s="28">
        <v>64</v>
      </c>
      <c r="W711" s="28">
        <v>64</v>
      </c>
      <c r="X711" s="44">
        <f>AVERAGE(INDEX($W:$W,MAX(ROW($W$3),ROW()-23)):INDEX($W:$W,ROW()))</f>
        <v>58.958333333333336</v>
      </c>
      <c r="Y711" s="44">
        <f>_xlfn.STDEV.S(INDEX($W:$W,MAX(ROW($W$3),ROW()-23)):INDEX($W:$W,ROW()))</f>
        <v>49.696889209501322</v>
      </c>
      <c r="Z711" s="44">
        <f t="shared" si="68"/>
        <v>0.10144833503387111</v>
      </c>
      <c r="AA711" s="40" t="b">
        <f t="shared" si="66"/>
        <v>0</v>
      </c>
    </row>
    <row r="712" spans="1:27" x14ac:dyDescent="0.3">
      <c r="A712" s="32">
        <v>710</v>
      </c>
      <c r="B712" s="33">
        <v>40575</v>
      </c>
      <c r="C712" s="40" t="str">
        <f t="shared" si="69"/>
        <v>Tuesday</v>
      </c>
      <c r="D712" s="28">
        <v>22</v>
      </c>
      <c r="E712" s="40" t="str" cm="1">
        <f t="array" ref="E712">_xlfn.IFS(D712&gt;=21,"Night",D712&gt;=17,"Evening",D712&gt;=12,"Midday",D712&gt;=6,"Morning", TRUE, "Night")</f>
        <v>Night</v>
      </c>
      <c r="F712" s="28">
        <v>1</v>
      </c>
      <c r="G712" s="28">
        <v>0</v>
      </c>
      <c r="H712" s="28">
        <v>2</v>
      </c>
      <c r="I712" s="28">
        <v>2</v>
      </c>
      <c r="J712" s="40" t="str">
        <f t="shared" si="70"/>
        <v>Weekday</v>
      </c>
      <c r="K712" s="28" t="b">
        <v>0</v>
      </c>
      <c r="L712" s="28">
        <v>2</v>
      </c>
      <c r="M712" s="40" t="str" cm="1">
        <f t="array" ref="M712">_xlfn.IFS(L712=1,"Clear / Partly Cloudy",L712=2,"Mist / Cloudy",L712=3,"Light Snow / Rain",L712=4,"Heavy Precipitation")</f>
        <v>Mist / Cloudy</v>
      </c>
      <c r="N712" s="28">
        <v>0.22</v>
      </c>
      <c r="O712" s="28" t="str">
        <f t="shared" si="71"/>
        <v>Mild</v>
      </c>
      <c r="P712" s="28">
        <v>0.2576</v>
      </c>
      <c r="Q712" s="38">
        <f t="shared" si="67"/>
        <v>0.2576</v>
      </c>
      <c r="R712" s="28">
        <v>0.87</v>
      </c>
      <c r="S712" s="28">
        <v>8.9599999999999999E-2</v>
      </c>
      <c r="T712" s="40" t="str" cm="1">
        <f t="array" ref="T712">_xlfn.IFS(S712*18.6&lt;2,"Calm",S712*18.6&lt;6,"Light Breeze",S712*18.6&lt;14,"Gale",TRUE,"Extreme Storm")</f>
        <v>Calm</v>
      </c>
      <c r="U712" s="28">
        <v>2</v>
      </c>
      <c r="V712" s="28">
        <v>34</v>
      </c>
      <c r="W712" s="28">
        <v>36</v>
      </c>
      <c r="X712" s="44">
        <f>AVERAGE(INDEX($W:$W,MAX(ROW($W$3),ROW()-23)):INDEX($W:$W,ROW()))</f>
        <v>58.125</v>
      </c>
      <c r="Y712" s="44">
        <f>_xlfn.STDEV.S(INDEX($W:$W,MAX(ROW($W$3),ROW()-23)):INDEX($W:$W,ROW()))</f>
        <v>49.915853106045859</v>
      </c>
      <c r="Z712" s="44">
        <f t="shared" si="68"/>
        <v>-0.44324595540810657</v>
      </c>
      <c r="AA712" s="40" t="b">
        <f t="shared" si="66"/>
        <v>0</v>
      </c>
    </row>
    <row r="713" spans="1:27" x14ac:dyDescent="0.3">
      <c r="A713" s="32">
        <v>711</v>
      </c>
      <c r="B713" s="33">
        <v>40575</v>
      </c>
      <c r="C713" s="40" t="str">
        <f t="shared" si="69"/>
        <v>Tuesday</v>
      </c>
      <c r="D713" s="28">
        <v>23</v>
      </c>
      <c r="E713" s="40" t="str" cm="1">
        <f t="array" ref="E713">_xlfn.IFS(D713&gt;=21,"Night",D713&gt;=17,"Evening",D713&gt;=12,"Midday",D713&gt;=6,"Morning", TRUE, "Night")</f>
        <v>Night</v>
      </c>
      <c r="F713" s="28">
        <v>1</v>
      </c>
      <c r="G713" s="28">
        <v>0</v>
      </c>
      <c r="H713" s="28">
        <v>2</v>
      </c>
      <c r="I713" s="28">
        <v>2</v>
      </c>
      <c r="J713" s="40" t="str">
        <f t="shared" si="70"/>
        <v>Weekday</v>
      </c>
      <c r="K713" s="28" t="b">
        <v>0</v>
      </c>
      <c r="L713" s="28">
        <v>3</v>
      </c>
      <c r="M713" s="40" t="str" cm="1">
        <f t="array" ref="M713">_xlfn.IFS(L713=1,"Clear / Partly Cloudy",L713=2,"Mist / Cloudy",L713=3,"Light Snow / Rain",L713=4,"Heavy Precipitation")</f>
        <v>Light Snow / Rain</v>
      </c>
      <c r="N713" s="28">
        <v>0.2</v>
      </c>
      <c r="O713" s="28" t="str">
        <f t="shared" si="71"/>
        <v>Mild</v>
      </c>
      <c r="P713" s="28">
        <v>0.19700000000000001</v>
      </c>
      <c r="Q713" s="38">
        <f t="shared" si="67"/>
        <v>0.19700000000000001</v>
      </c>
      <c r="R713" s="28">
        <v>0.93</v>
      </c>
      <c r="S713" s="28">
        <v>0.19400000000000001</v>
      </c>
      <c r="T713" s="40" t="str" cm="1">
        <f t="array" ref="T713">_xlfn.IFS(S713*18.6&lt;2,"Calm",S713*18.6&lt;6,"Light Breeze",S713*18.6&lt;14,"Gale",TRUE,"Extreme Storm")</f>
        <v>Light Breeze</v>
      </c>
      <c r="U713" s="28">
        <v>1</v>
      </c>
      <c r="V713" s="28">
        <v>15</v>
      </c>
      <c r="W713" s="28">
        <v>16</v>
      </c>
      <c r="X713" s="44">
        <f>AVERAGE(INDEX($W:$W,MAX(ROW($W$3),ROW()-23)):INDEX($W:$W,ROW()))</f>
        <v>57.375</v>
      </c>
      <c r="Y713" s="44">
        <f>_xlfn.STDEV.S(INDEX($W:$W,MAX(ROW($W$3),ROW()-23)):INDEX($W:$W,ROW()))</f>
        <v>50.426711779269972</v>
      </c>
      <c r="Z713" s="44">
        <f t="shared" si="68"/>
        <v>-0.82049767950582375</v>
      </c>
      <c r="AA713" s="40" t="b">
        <f t="shared" si="66"/>
        <v>0</v>
      </c>
    </row>
    <row r="714" spans="1:27" x14ac:dyDescent="0.3">
      <c r="A714" s="32">
        <v>712</v>
      </c>
      <c r="B714" s="33">
        <v>40576</v>
      </c>
      <c r="C714" s="40" t="str">
        <f t="shared" si="69"/>
        <v>Wednesday</v>
      </c>
      <c r="D714" s="28">
        <v>0</v>
      </c>
      <c r="E714" s="40" t="str" cm="1">
        <f t="array" ref="E714">_xlfn.IFS(D714&gt;=21,"Night",D714&gt;=17,"Evening",D714&gt;=12,"Midday",D714&gt;=6,"Morning", TRUE, "Night")</f>
        <v>Night</v>
      </c>
      <c r="F714" s="28">
        <v>1</v>
      </c>
      <c r="G714" s="28">
        <v>0</v>
      </c>
      <c r="H714" s="28">
        <v>2</v>
      </c>
      <c r="I714" s="28">
        <v>3</v>
      </c>
      <c r="J714" s="40" t="str">
        <f t="shared" si="70"/>
        <v>Weekday</v>
      </c>
      <c r="K714" s="28" t="b">
        <v>0</v>
      </c>
      <c r="L714" s="28">
        <v>3</v>
      </c>
      <c r="M714" s="40" t="str" cm="1">
        <f t="array" ref="M714">_xlfn.IFS(L714=1,"Clear / Partly Cloudy",L714=2,"Mist / Cloudy",L714=3,"Light Snow / Rain",L714=4,"Heavy Precipitation")</f>
        <v>Light Snow / Rain</v>
      </c>
      <c r="N714" s="28">
        <v>0.22</v>
      </c>
      <c r="O714" s="28" t="str">
        <f t="shared" si="71"/>
        <v>Mild</v>
      </c>
      <c r="P714" s="28">
        <v>0.2424</v>
      </c>
      <c r="Q714" s="38">
        <f t="shared" si="67"/>
        <v>0.2424</v>
      </c>
      <c r="R714" s="28">
        <v>0.93</v>
      </c>
      <c r="S714" s="28">
        <v>0.1045</v>
      </c>
      <c r="T714" s="40" t="str" cm="1">
        <f t="array" ref="T714">_xlfn.IFS(S714*18.6&lt;2,"Calm",S714*18.6&lt;6,"Light Breeze",S714*18.6&lt;14,"Gale",TRUE,"Extreme Storm")</f>
        <v>Calm</v>
      </c>
      <c r="U714" s="28">
        <v>0</v>
      </c>
      <c r="V714" s="28">
        <v>2</v>
      </c>
      <c r="W714" s="28">
        <v>2</v>
      </c>
      <c r="X714" s="44">
        <f>AVERAGE(INDEX($W:$W,MAX(ROW($W$3),ROW()-23)):INDEX($W:$W,ROW()))</f>
        <v>56.75</v>
      </c>
      <c r="Y714" s="44">
        <f>_xlfn.STDEV.S(INDEX($W:$W,MAX(ROW($W$3),ROW()-23)):INDEX($W:$W,ROW()))</f>
        <v>51.03813578440954</v>
      </c>
      <c r="Z714" s="44">
        <f t="shared" si="68"/>
        <v>-1.0727272687088292</v>
      </c>
      <c r="AA714" s="40" t="b">
        <f t="shared" si="66"/>
        <v>0</v>
      </c>
    </row>
    <row r="715" spans="1:27" x14ac:dyDescent="0.3">
      <c r="A715" s="32">
        <v>713</v>
      </c>
      <c r="B715" s="33">
        <v>40576</v>
      </c>
      <c r="C715" s="40" t="str">
        <f t="shared" si="69"/>
        <v>Wednesday</v>
      </c>
      <c r="D715" s="28">
        <v>1</v>
      </c>
      <c r="E715" s="40" t="str" cm="1">
        <f t="array" ref="E715">_xlfn.IFS(D715&gt;=21,"Night",D715&gt;=17,"Evening",D715&gt;=12,"Midday",D715&gt;=6,"Morning", TRUE, "Night")</f>
        <v>Night</v>
      </c>
      <c r="F715" s="28">
        <v>1</v>
      </c>
      <c r="G715" s="28">
        <v>0</v>
      </c>
      <c r="H715" s="28">
        <v>2</v>
      </c>
      <c r="I715" s="28">
        <v>3</v>
      </c>
      <c r="J715" s="40" t="str">
        <f t="shared" si="70"/>
        <v>Weekday</v>
      </c>
      <c r="K715" s="28" t="b">
        <v>0</v>
      </c>
      <c r="L715" s="28">
        <v>3</v>
      </c>
      <c r="M715" s="40" t="str" cm="1">
        <f t="array" ref="M715">_xlfn.IFS(L715=1,"Clear / Partly Cloudy",L715=2,"Mist / Cloudy",L715=3,"Light Snow / Rain",L715=4,"Heavy Precipitation")</f>
        <v>Light Snow / Rain</v>
      </c>
      <c r="N715" s="28">
        <v>0.22</v>
      </c>
      <c r="O715" s="28" t="str">
        <f t="shared" si="71"/>
        <v>Mild</v>
      </c>
      <c r="P715" s="28">
        <v>0.2273</v>
      </c>
      <c r="Q715" s="38">
        <f t="shared" si="67"/>
        <v>0.2273</v>
      </c>
      <c r="R715" s="28">
        <v>0.93</v>
      </c>
      <c r="S715" s="28">
        <v>0.19400000000000001</v>
      </c>
      <c r="T715" s="40" t="str" cm="1">
        <f t="array" ref="T715">_xlfn.IFS(S715*18.6&lt;2,"Calm",S715*18.6&lt;6,"Light Breeze",S715*18.6&lt;14,"Gale",TRUE,"Extreme Storm")</f>
        <v>Light Breeze</v>
      </c>
      <c r="U715" s="28">
        <v>0</v>
      </c>
      <c r="V715" s="28">
        <v>3</v>
      </c>
      <c r="W715" s="28">
        <v>3</v>
      </c>
      <c r="X715" s="44">
        <f>AVERAGE(INDEX($W:$W,MAX(ROW($W$3),ROW()-23)):INDEX($W:$W,ROW()))</f>
        <v>56.541666666666664</v>
      </c>
      <c r="Y715" s="44">
        <f>_xlfn.STDEV.S(INDEX($W:$W,MAX(ROW($W$3),ROW()-23)):INDEX($W:$W,ROW()))</f>
        <v>51.255522855477786</v>
      </c>
      <c r="Z715" s="44">
        <f t="shared" si="68"/>
        <v>-1.0446028775793583</v>
      </c>
      <c r="AA715" s="40" t="b">
        <f t="shared" si="66"/>
        <v>0</v>
      </c>
    </row>
    <row r="716" spans="1:27" x14ac:dyDescent="0.3">
      <c r="A716" s="32">
        <v>714</v>
      </c>
      <c r="B716" s="33">
        <v>40576</v>
      </c>
      <c r="C716" s="40" t="str">
        <f t="shared" si="69"/>
        <v>Wednesday</v>
      </c>
      <c r="D716" s="28">
        <v>2</v>
      </c>
      <c r="E716" s="40" t="str" cm="1">
        <f t="array" ref="E716">_xlfn.IFS(D716&gt;=21,"Night",D716&gt;=17,"Evening",D716&gt;=12,"Midday",D716&gt;=6,"Morning", TRUE, "Night")</f>
        <v>Night</v>
      </c>
      <c r="F716" s="28">
        <v>1</v>
      </c>
      <c r="G716" s="28">
        <v>0</v>
      </c>
      <c r="H716" s="28">
        <v>2</v>
      </c>
      <c r="I716" s="28">
        <v>3</v>
      </c>
      <c r="J716" s="40" t="str">
        <f t="shared" si="70"/>
        <v>Weekday</v>
      </c>
      <c r="K716" s="28" t="b">
        <v>0</v>
      </c>
      <c r="L716" s="28">
        <v>3</v>
      </c>
      <c r="M716" s="40" t="str" cm="1">
        <f t="array" ref="M716">_xlfn.IFS(L716=1,"Clear / Partly Cloudy",L716=2,"Mist / Cloudy",L716=3,"Light Snow / Rain",L716=4,"Heavy Precipitation")</f>
        <v>Light Snow / Rain</v>
      </c>
      <c r="N716" s="28">
        <v>0.22</v>
      </c>
      <c r="O716" s="28" t="str">
        <f t="shared" si="71"/>
        <v>Mild</v>
      </c>
      <c r="P716" s="28">
        <v>0.2273</v>
      </c>
      <c r="Q716" s="38">
        <f t="shared" si="67"/>
        <v>0.2273</v>
      </c>
      <c r="R716" s="28">
        <v>0.93</v>
      </c>
      <c r="S716" s="28">
        <v>0.1343</v>
      </c>
      <c r="T716" s="40" t="str" cm="1">
        <f t="array" ref="T716">_xlfn.IFS(S716*18.6&lt;2,"Calm",S716*18.6&lt;6,"Light Breeze",S716*18.6&lt;14,"Gale",TRUE,"Extreme Storm")</f>
        <v>Light Breeze</v>
      </c>
      <c r="U716" s="28">
        <v>4</v>
      </c>
      <c r="V716" s="28">
        <v>0</v>
      </c>
      <c r="W716" s="28">
        <v>4</v>
      </c>
      <c r="X716" s="44">
        <f>AVERAGE(INDEX($W:$W,MAX(ROW($W$3),ROW()-23)):INDEX($W:$W,ROW()))</f>
        <v>56.583333333333336</v>
      </c>
      <c r="Y716" s="44">
        <f>_xlfn.STDEV.S(INDEX($W:$W,MAX(ROW($W$3),ROW()-23)):INDEX($W:$W,ROW()))</f>
        <v>51.2104920182732</v>
      </c>
      <c r="Z716" s="44">
        <f t="shared" si="68"/>
        <v>-1.0268078134178105</v>
      </c>
      <c r="AA716" s="40" t="b">
        <f t="shared" si="66"/>
        <v>0</v>
      </c>
    </row>
    <row r="717" spans="1:27" x14ac:dyDescent="0.3">
      <c r="A717" s="32">
        <v>715</v>
      </c>
      <c r="B717" s="33">
        <v>40576</v>
      </c>
      <c r="C717" s="40" t="str">
        <f t="shared" si="69"/>
        <v>Wednesday</v>
      </c>
      <c r="D717" s="28">
        <v>3</v>
      </c>
      <c r="E717" s="40" t="str" cm="1">
        <f t="array" ref="E717">_xlfn.IFS(D717&gt;=21,"Night",D717&gt;=17,"Evening",D717&gt;=12,"Midday",D717&gt;=6,"Morning", TRUE, "Night")</f>
        <v>Night</v>
      </c>
      <c r="F717" s="28">
        <v>1</v>
      </c>
      <c r="G717" s="28">
        <v>0</v>
      </c>
      <c r="H717" s="28">
        <v>2</v>
      </c>
      <c r="I717" s="28">
        <v>3</v>
      </c>
      <c r="J717" s="40" t="str">
        <f t="shared" si="70"/>
        <v>Weekday</v>
      </c>
      <c r="K717" s="28" t="b">
        <v>0</v>
      </c>
      <c r="L717" s="28">
        <v>3</v>
      </c>
      <c r="M717" s="40" t="str" cm="1">
        <f t="array" ref="M717">_xlfn.IFS(L717=1,"Clear / Partly Cloudy",L717=2,"Mist / Cloudy",L717=3,"Light Snow / Rain",L717=4,"Heavy Precipitation")</f>
        <v>Light Snow / Rain</v>
      </c>
      <c r="N717" s="28">
        <v>0.22</v>
      </c>
      <c r="O717" s="28" t="str">
        <f t="shared" si="71"/>
        <v>Mild</v>
      </c>
      <c r="P717" s="28">
        <v>0.2273</v>
      </c>
      <c r="Q717" s="38">
        <f t="shared" si="67"/>
        <v>0.2273</v>
      </c>
      <c r="R717" s="28">
        <v>0.93</v>
      </c>
      <c r="S717" s="28">
        <v>0.1343</v>
      </c>
      <c r="T717" s="40" t="str" cm="1">
        <f t="array" ref="T717">_xlfn.IFS(S717*18.6&lt;2,"Calm",S717*18.6&lt;6,"Light Breeze",S717*18.6&lt;14,"Gale",TRUE,"Extreme Storm")</f>
        <v>Light Breeze</v>
      </c>
      <c r="U717" s="28">
        <v>0</v>
      </c>
      <c r="V717" s="28">
        <v>1</v>
      </c>
      <c r="W717" s="28">
        <v>1</v>
      </c>
      <c r="X717" s="44">
        <f>AVERAGE(INDEX($W:$W,MAX(ROW($W$3),ROW()-23)):INDEX($W:$W,ROW()))</f>
        <v>56.541666666666664</v>
      </c>
      <c r="Y717" s="44">
        <f>_xlfn.STDEV.S(INDEX($W:$W,MAX(ROW($W$3),ROW()-23)):INDEX($W:$W,ROW()))</f>
        <v>51.257219357197712</v>
      </c>
      <c r="Z717" s="44">
        <f t="shared" si="68"/>
        <v>-1.0835871973392039</v>
      </c>
      <c r="AA717" s="40" t="b">
        <f t="shared" si="66"/>
        <v>0</v>
      </c>
    </row>
    <row r="718" spans="1:27" x14ac:dyDescent="0.3">
      <c r="A718" s="32">
        <v>716</v>
      </c>
      <c r="B718" s="33">
        <v>40576</v>
      </c>
      <c r="C718" s="40" t="str">
        <f t="shared" si="69"/>
        <v>Wednesday</v>
      </c>
      <c r="D718" s="28">
        <v>4</v>
      </c>
      <c r="E718" s="40" t="str" cm="1">
        <f t="array" ref="E718">_xlfn.IFS(D718&gt;=21,"Night",D718&gt;=17,"Evening",D718&gt;=12,"Midday",D718&gt;=6,"Morning", TRUE, "Night")</f>
        <v>Night</v>
      </c>
      <c r="F718" s="28">
        <v>1</v>
      </c>
      <c r="G718" s="28">
        <v>0</v>
      </c>
      <c r="H718" s="28">
        <v>2</v>
      </c>
      <c r="I718" s="28">
        <v>3</v>
      </c>
      <c r="J718" s="40" t="str">
        <f t="shared" si="70"/>
        <v>Weekday</v>
      </c>
      <c r="K718" s="28" t="b">
        <v>0</v>
      </c>
      <c r="L718" s="28">
        <v>3</v>
      </c>
      <c r="M718" s="40" t="str" cm="1">
        <f t="array" ref="M718">_xlfn.IFS(L718=1,"Clear / Partly Cloudy",L718=2,"Mist / Cloudy",L718=3,"Light Snow / Rain",L718=4,"Heavy Precipitation")</f>
        <v>Light Snow / Rain</v>
      </c>
      <c r="N718" s="28">
        <v>0.22</v>
      </c>
      <c r="O718" s="28" t="str">
        <f t="shared" si="71"/>
        <v>Mild</v>
      </c>
      <c r="P718" s="28">
        <v>0.21210000000000001</v>
      </c>
      <c r="Q718" s="38">
        <f t="shared" si="67"/>
        <v>0.21210000000000001</v>
      </c>
      <c r="R718" s="28">
        <v>0.93</v>
      </c>
      <c r="S718" s="28">
        <v>0.28360000000000002</v>
      </c>
      <c r="T718" s="40" t="str" cm="1">
        <f t="array" ref="T718">_xlfn.IFS(S718*18.6&lt;2,"Calm",S718*18.6&lt;6,"Light Breeze",S718*18.6&lt;14,"Gale",TRUE,"Extreme Storm")</f>
        <v>Light Breeze</v>
      </c>
      <c r="U718" s="28">
        <v>0</v>
      </c>
      <c r="V718" s="28">
        <v>1</v>
      </c>
      <c r="W718" s="28">
        <v>1</v>
      </c>
      <c r="X718" s="44">
        <f>AVERAGE(INDEX($W:$W,MAX(ROW($W$3),ROW()-23)):INDEX($W:$W,ROW()))</f>
        <v>56.5</v>
      </c>
      <c r="Y718" s="44">
        <f>_xlfn.STDEV.S(INDEX($W:$W,MAX(ROW($W$3),ROW()-23)):INDEX($W:$W,ROW()))</f>
        <v>51.303868826061638</v>
      </c>
      <c r="Z718" s="44">
        <f t="shared" si="68"/>
        <v>-1.0817897610834133</v>
      </c>
      <c r="AA718" s="40" t="b">
        <f t="shared" si="66"/>
        <v>0</v>
      </c>
    </row>
    <row r="719" spans="1:27" x14ac:dyDescent="0.3">
      <c r="A719" s="32">
        <v>717</v>
      </c>
      <c r="B719" s="33">
        <v>40576</v>
      </c>
      <c r="C719" s="40" t="str">
        <f t="shared" si="69"/>
        <v>Wednesday</v>
      </c>
      <c r="D719" s="28">
        <v>5</v>
      </c>
      <c r="E719" s="40" t="str" cm="1">
        <f t="array" ref="E719">_xlfn.IFS(D719&gt;=21,"Night",D719&gt;=17,"Evening",D719&gt;=12,"Midday",D719&gt;=6,"Morning", TRUE, "Night")</f>
        <v>Night</v>
      </c>
      <c r="F719" s="28">
        <v>1</v>
      </c>
      <c r="G719" s="28">
        <v>0</v>
      </c>
      <c r="H719" s="28">
        <v>2</v>
      </c>
      <c r="I719" s="28">
        <v>3</v>
      </c>
      <c r="J719" s="40" t="str">
        <f t="shared" si="70"/>
        <v>Weekday</v>
      </c>
      <c r="K719" s="28" t="b">
        <v>0</v>
      </c>
      <c r="L719" s="28">
        <v>3</v>
      </c>
      <c r="M719" s="40" t="str" cm="1">
        <f t="array" ref="M719">_xlfn.IFS(L719=1,"Clear / Partly Cloudy",L719=2,"Mist / Cloudy",L719=3,"Light Snow / Rain",L719=4,"Heavy Precipitation")</f>
        <v>Light Snow / Rain</v>
      </c>
      <c r="N719" s="28">
        <v>0.22</v>
      </c>
      <c r="O719" s="28" t="str">
        <f t="shared" si="71"/>
        <v>Mild</v>
      </c>
      <c r="P719" s="28">
        <v>0.2424</v>
      </c>
      <c r="Q719" s="38">
        <f t="shared" si="67"/>
        <v>0.2424</v>
      </c>
      <c r="R719" s="28">
        <v>0.93</v>
      </c>
      <c r="S719" s="28">
        <v>0.1045</v>
      </c>
      <c r="T719" s="40" t="str" cm="1">
        <f t="array" ref="T719">_xlfn.IFS(S719*18.6&lt;2,"Calm",S719*18.6&lt;6,"Light Breeze",S719*18.6&lt;14,"Gale",TRUE,"Extreme Storm")</f>
        <v>Calm</v>
      </c>
      <c r="U719" s="28">
        <v>0</v>
      </c>
      <c r="V719" s="28">
        <v>3</v>
      </c>
      <c r="W719" s="28">
        <v>3</v>
      </c>
      <c r="X719" s="44">
        <f>AVERAGE(INDEX($W:$W,MAX(ROW($W$3),ROW()-23)):INDEX($W:$W,ROW()))</f>
        <v>56.5</v>
      </c>
      <c r="Y719" s="44">
        <f>_xlfn.STDEV.S(INDEX($W:$W,MAX(ROW($W$3),ROW()-23)):INDEX($W:$W,ROW()))</f>
        <v>51.303868826061638</v>
      </c>
      <c r="Z719" s="44">
        <f t="shared" si="68"/>
        <v>-1.0428063462695967</v>
      </c>
      <c r="AA719" s="40" t="b">
        <f t="shared" si="66"/>
        <v>0</v>
      </c>
    </row>
    <row r="720" spans="1:27" x14ac:dyDescent="0.3">
      <c r="A720" s="32">
        <v>718</v>
      </c>
      <c r="B720" s="33">
        <v>40576</v>
      </c>
      <c r="C720" s="40" t="str">
        <f t="shared" si="69"/>
        <v>Wednesday</v>
      </c>
      <c r="D720" s="28">
        <v>6</v>
      </c>
      <c r="E720" s="40" t="str" cm="1">
        <f t="array" ref="E720">_xlfn.IFS(D720&gt;=21,"Night",D720&gt;=17,"Evening",D720&gt;=12,"Midday",D720&gt;=6,"Morning", TRUE, "Night")</f>
        <v>Morning</v>
      </c>
      <c r="F720" s="28">
        <v>1</v>
      </c>
      <c r="G720" s="28">
        <v>0</v>
      </c>
      <c r="H720" s="28">
        <v>2</v>
      </c>
      <c r="I720" s="28">
        <v>3</v>
      </c>
      <c r="J720" s="40" t="str">
        <f t="shared" si="70"/>
        <v>Weekday</v>
      </c>
      <c r="K720" s="28" t="b">
        <v>0</v>
      </c>
      <c r="L720" s="28">
        <v>3</v>
      </c>
      <c r="M720" s="40" t="str" cm="1">
        <f t="array" ref="M720">_xlfn.IFS(L720=1,"Clear / Partly Cloudy",L720=2,"Mist / Cloudy",L720=3,"Light Snow / Rain",L720=4,"Heavy Precipitation")</f>
        <v>Light Snow / Rain</v>
      </c>
      <c r="N720" s="28">
        <v>0.22</v>
      </c>
      <c r="O720" s="28" t="str">
        <f t="shared" si="71"/>
        <v>Mild</v>
      </c>
      <c r="P720" s="28">
        <v>0.2424</v>
      </c>
      <c r="Q720" s="38">
        <f t="shared" si="67"/>
        <v>0.2424</v>
      </c>
      <c r="R720" s="28">
        <v>0.93</v>
      </c>
      <c r="S720" s="28">
        <v>0.1045</v>
      </c>
      <c r="T720" s="40" t="str" cm="1">
        <f t="array" ref="T720">_xlfn.IFS(S720*18.6&lt;2,"Calm",S720*18.6&lt;6,"Light Breeze",S720*18.6&lt;14,"Gale",TRUE,"Extreme Storm")</f>
        <v>Calm</v>
      </c>
      <c r="U720" s="28">
        <v>1</v>
      </c>
      <c r="V720" s="28">
        <v>17</v>
      </c>
      <c r="W720" s="28">
        <v>18</v>
      </c>
      <c r="X720" s="44">
        <f>AVERAGE(INDEX($W:$W,MAX(ROW($W$3),ROW()-23)):INDEX($W:$W,ROW()))</f>
        <v>56.333333333333336</v>
      </c>
      <c r="Y720" s="44">
        <f>_xlfn.STDEV.S(INDEX($W:$W,MAX(ROW($W$3),ROW()-23)):INDEX($W:$W,ROW()))</f>
        <v>51.427168142805662</v>
      </c>
      <c r="Z720" s="44">
        <f t="shared" si="68"/>
        <v>-0.74539070918482853</v>
      </c>
      <c r="AA720" s="40" t="b">
        <f t="shared" si="66"/>
        <v>0</v>
      </c>
    </row>
    <row r="721" spans="1:27" x14ac:dyDescent="0.3">
      <c r="A721" s="32">
        <v>719</v>
      </c>
      <c r="B721" s="33">
        <v>40576</v>
      </c>
      <c r="C721" s="40" t="str">
        <f t="shared" si="69"/>
        <v>Wednesday</v>
      </c>
      <c r="D721" s="28">
        <v>7</v>
      </c>
      <c r="E721" s="40" t="str" cm="1">
        <f t="array" ref="E721">_xlfn.IFS(D721&gt;=21,"Night",D721&gt;=17,"Evening",D721&gt;=12,"Midday",D721&gt;=6,"Morning", TRUE, "Night")</f>
        <v>Morning</v>
      </c>
      <c r="F721" s="28">
        <v>1</v>
      </c>
      <c r="G721" s="28">
        <v>0</v>
      </c>
      <c r="H721" s="28">
        <v>2</v>
      </c>
      <c r="I721" s="28">
        <v>3</v>
      </c>
      <c r="J721" s="40" t="str">
        <f t="shared" si="70"/>
        <v>Weekday</v>
      </c>
      <c r="K721" s="28" t="b">
        <v>0</v>
      </c>
      <c r="L721" s="28">
        <v>3</v>
      </c>
      <c r="M721" s="40" t="str" cm="1">
        <f t="array" ref="M721">_xlfn.IFS(L721=1,"Clear / Partly Cloudy",L721=2,"Mist / Cloudy",L721=3,"Light Snow / Rain",L721=4,"Heavy Precipitation")</f>
        <v>Light Snow / Rain</v>
      </c>
      <c r="N721" s="28">
        <v>0.22</v>
      </c>
      <c r="O721" s="28" t="str">
        <f t="shared" si="71"/>
        <v>Mild</v>
      </c>
      <c r="P721" s="28">
        <v>0.21210000000000001</v>
      </c>
      <c r="Q721" s="38">
        <f t="shared" si="67"/>
        <v>0.21210000000000001</v>
      </c>
      <c r="R721" s="28">
        <v>0.93</v>
      </c>
      <c r="S721" s="28">
        <v>0.22389999999999999</v>
      </c>
      <c r="T721" s="40" t="str" cm="1">
        <f t="array" ref="T721">_xlfn.IFS(S721*18.6&lt;2,"Calm",S721*18.6&lt;6,"Light Breeze",S721*18.6&lt;14,"Gale",TRUE,"Extreme Storm")</f>
        <v>Light Breeze</v>
      </c>
      <c r="U721" s="28">
        <v>1</v>
      </c>
      <c r="V721" s="28">
        <v>48</v>
      </c>
      <c r="W721" s="28">
        <v>49</v>
      </c>
      <c r="X721" s="44">
        <f>AVERAGE(INDEX($W:$W,MAX(ROW($W$3),ROW()-23)):INDEX($W:$W,ROW()))</f>
        <v>56.208333333333336</v>
      </c>
      <c r="Y721" s="44">
        <f>_xlfn.STDEV.S(INDEX($W:$W,MAX(ROW($W$3),ROW()-23)):INDEX($W:$W,ROW()))</f>
        <v>51.441802631430157</v>
      </c>
      <c r="Z721" s="44">
        <f t="shared" si="68"/>
        <v>-0.14012598634965318</v>
      </c>
      <c r="AA721" s="40" t="b">
        <f t="shared" si="66"/>
        <v>0</v>
      </c>
    </row>
    <row r="722" spans="1:27" x14ac:dyDescent="0.3">
      <c r="A722" s="32">
        <v>720</v>
      </c>
      <c r="B722" s="33">
        <v>40576</v>
      </c>
      <c r="C722" s="40" t="str">
        <f t="shared" si="69"/>
        <v>Wednesday</v>
      </c>
      <c r="D722" s="28">
        <v>8</v>
      </c>
      <c r="E722" s="40" t="str" cm="1">
        <f t="array" ref="E722">_xlfn.IFS(D722&gt;=21,"Night",D722&gt;=17,"Evening",D722&gt;=12,"Midday",D722&gt;=6,"Morning", TRUE, "Night")</f>
        <v>Morning</v>
      </c>
      <c r="F722" s="28">
        <v>1</v>
      </c>
      <c r="G722" s="28">
        <v>0</v>
      </c>
      <c r="H722" s="28">
        <v>2</v>
      </c>
      <c r="I722" s="28">
        <v>3</v>
      </c>
      <c r="J722" s="40" t="str">
        <f t="shared" si="70"/>
        <v>Weekday</v>
      </c>
      <c r="K722" s="28" t="b">
        <v>0</v>
      </c>
      <c r="L722" s="28">
        <v>3</v>
      </c>
      <c r="M722" s="40" t="str" cm="1">
        <f t="array" ref="M722">_xlfn.IFS(L722=1,"Clear / Partly Cloudy",L722=2,"Mist / Cloudy",L722=3,"Light Snow / Rain",L722=4,"Heavy Precipitation")</f>
        <v>Light Snow / Rain</v>
      </c>
      <c r="N722" s="28">
        <v>0.22</v>
      </c>
      <c r="O722" s="28" t="str">
        <f t="shared" si="71"/>
        <v>Mild</v>
      </c>
      <c r="P722" s="28">
        <v>0.21210000000000001</v>
      </c>
      <c r="Q722" s="38">
        <f t="shared" si="67"/>
        <v>0.21210000000000001</v>
      </c>
      <c r="R722" s="28">
        <v>0.93</v>
      </c>
      <c r="S722" s="28">
        <v>0.22389999999999999</v>
      </c>
      <c r="T722" s="40" t="str" cm="1">
        <f t="array" ref="T722">_xlfn.IFS(S722*18.6&lt;2,"Calm",S722*18.6&lt;6,"Light Breeze",S722*18.6&lt;14,"Gale",TRUE,"Extreme Storm")</f>
        <v>Light Breeze</v>
      </c>
      <c r="U722" s="28">
        <v>1</v>
      </c>
      <c r="V722" s="28">
        <v>154</v>
      </c>
      <c r="W722" s="28">
        <v>155</v>
      </c>
      <c r="X722" s="44">
        <f>AVERAGE(INDEX($W:$W,MAX(ROW($W$3),ROW()-23)):INDEX($W:$W,ROW()))</f>
        <v>57.041666666666664</v>
      </c>
      <c r="Y722" s="44">
        <f>_xlfn.STDEV.S(INDEX($W:$W,MAX(ROW($W$3),ROW()-23)):INDEX($W:$W,ROW()))</f>
        <v>52.914598270656157</v>
      </c>
      <c r="Z722" s="44">
        <f t="shared" si="68"/>
        <v>1.851253463784799</v>
      </c>
      <c r="AA722" s="40" t="b">
        <f t="shared" si="66"/>
        <v>0</v>
      </c>
    </row>
    <row r="723" spans="1:27" x14ac:dyDescent="0.3">
      <c r="A723" s="32">
        <v>721</v>
      </c>
      <c r="B723" s="33">
        <v>40576</v>
      </c>
      <c r="C723" s="40" t="str">
        <f t="shared" si="69"/>
        <v>Wednesday</v>
      </c>
      <c r="D723" s="28">
        <v>9</v>
      </c>
      <c r="E723" s="40" t="str" cm="1">
        <f t="array" ref="E723">_xlfn.IFS(D723&gt;=21,"Night",D723&gt;=17,"Evening",D723&gt;=12,"Midday",D723&gt;=6,"Morning", TRUE, "Night")</f>
        <v>Morning</v>
      </c>
      <c r="F723" s="28">
        <v>1</v>
      </c>
      <c r="G723" s="28">
        <v>0</v>
      </c>
      <c r="H723" s="28">
        <v>2</v>
      </c>
      <c r="I723" s="28">
        <v>3</v>
      </c>
      <c r="J723" s="40" t="str">
        <f t="shared" si="70"/>
        <v>Weekday</v>
      </c>
      <c r="K723" s="28" t="b">
        <v>0</v>
      </c>
      <c r="L723" s="28">
        <v>2</v>
      </c>
      <c r="M723" s="40" t="str" cm="1">
        <f t="array" ref="M723">_xlfn.IFS(L723=1,"Clear / Partly Cloudy",L723=2,"Mist / Cloudy",L723=3,"Light Snow / Rain",L723=4,"Heavy Precipitation")</f>
        <v>Mist / Cloudy</v>
      </c>
      <c r="N723" s="28">
        <v>0.24</v>
      </c>
      <c r="O723" s="28" t="str">
        <f t="shared" si="71"/>
        <v>Mild</v>
      </c>
      <c r="P723" s="28">
        <v>0.2576</v>
      </c>
      <c r="Q723" s="38">
        <f t="shared" si="67"/>
        <v>0.2576</v>
      </c>
      <c r="R723" s="28">
        <v>0.93</v>
      </c>
      <c r="S723" s="28">
        <v>8.9599999999999999E-2</v>
      </c>
      <c r="T723" s="40" t="str" cm="1">
        <f t="array" ref="T723">_xlfn.IFS(S723*18.6&lt;2,"Calm",S723*18.6&lt;6,"Light Breeze",S723*18.6&lt;14,"Gale",TRUE,"Extreme Storm")</f>
        <v>Calm</v>
      </c>
      <c r="U723" s="28">
        <v>4</v>
      </c>
      <c r="V723" s="28">
        <v>119</v>
      </c>
      <c r="W723" s="28">
        <v>123</v>
      </c>
      <c r="X723" s="44">
        <f>AVERAGE(INDEX($W:$W,MAX(ROW($W$3),ROW()-23)):INDEX($W:$W,ROW()))</f>
        <v>57.333333333333336</v>
      </c>
      <c r="Y723" s="44">
        <f>_xlfn.STDEV.S(INDEX($W:$W,MAX(ROW($W$3),ROW()-23)):INDEX($W:$W,ROW()))</f>
        <v>53.271794206418605</v>
      </c>
      <c r="Z723" s="44">
        <f t="shared" si="68"/>
        <v>1.2326723296050468</v>
      </c>
      <c r="AA723" s="40" t="b">
        <f t="shared" si="66"/>
        <v>0</v>
      </c>
    </row>
    <row r="724" spans="1:27" x14ac:dyDescent="0.3">
      <c r="A724" s="32">
        <v>722</v>
      </c>
      <c r="B724" s="33">
        <v>40576</v>
      </c>
      <c r="C724" s="40" t="str">
        <f t="shared" si="69"/>
        <v>Wednesday</v>
      </c>
      <c r="D724" s="28">
        <v>10</v>
      </c>
      <c r="E724" s="40" t="str" cm="1">
        <f t="array" ref="E724">_xlfn.IFS(D724&gt;=21,"Night",D724&gt;=17,"Evening",D724&gt;=12,"Midday",D724&gt;=6,"Morning", TRUE, "Night")</f>
        <v>Morning</v>
      </c>
      <c r="F724" s="28">
        <v>1</v>
      </c>
      <c r="G724" s="28">
        <v>0</v>
      </c>
      <c r="H724" s="28">
        <v>2</v>
      </c>
      <c r="I724" s="28">
        <v>3</v>
      </c>
      <c r="J724" s="40" t="str">
        <f t="shared" si="70"/>
        <v>Weekday</v>
      </c>
      <c r="K724" s="28" t="b">
        <v>0</v>
      </c>
      <c r="L724" s="28">
        <v>2</v>
      </c>
      <c r="M724" s="40" t="str" cm="1">
        <f t="array" ref="M724">_xlfn.IFS(L724=1,"Clear / Partly Cloudy",L724=2,"Mist / Cloudy",L724=3,"Light Snow / Rain",L724=4,"Heavy Precipitation")</f>
        <v>Mist / Cloudy</v>
      </c>
      <c r="N724" s="28">
        <v>0.22</v>
      </c>
      <c r="O724" s="28" t="str">
        <f t="shared" si="71"/>
        <v>Mild</v>
      </c>
      <c r="P724" s="28">
        <v>0.2727</v>
      </c>
      <c r="Q724" s="38">
        <f t="shared" si="67"/>
        <v>0.2727</v>
      </c>
      <c r="R724" s="28">
        <v>1</v>
      </c>
      <c r="S724" s="28">
        <v>0</v>
      </c>
      <c r="T724" s="40" t="str" cm="1">
        <f t="array" ref="T724">_xlfn.IFS(S724*18.6&lt;2,"Calm",S724*18.6&lt;6,"Light Breeze",S724*18.6&lt;14,"Gale",TRUE,"Extreme Storm")</f>
        <v>Calm</v>
      </c>
      <c r="U724" s="28">
        <v>2</v>
      </c>
      <c r="V724" s="28">
        <v>59</v>
      </c>
      <c r="W724" s="28">
        <v>61</v>
      </c>
      <c r="X724" s="44">
        <f>AVERAGE(INDEX($W:$W,MAX(ROW($W$3),ROW()-23)):INDEX($W:$W,ROW()))</f>
        <v>57.916666666666664</v>
      </c>
      <c r="Y724" s="44">
        <f>_xlfn.STDEV.S(INDEX($W:$W,MAX(ROW($W$3),ROW()-23)):INDEX($W:$W,ROW()))</f>
        <v>53.230358015823576</v>
      </c>
      <c r="Z724" s="44">
        <f t="shared" si="68"/>
        <v>5.7924339573608832E-2</v>
      </c>
      <c r="AA724" s="40" t="b">
        <f t="shared" si="66"/>
        <v>0</v>
      </c>
    </row>
    <row r="725" spans="1:27" x14ac:dyDescent="0.3">
      <c r="A725" s="32">
        <v>723</v>
      </c>
      <c r="B725" s="33">
        <v>40576</v>
      </c>
      <c r="C725" s="40" t="str">
        <f t="shared" si="69"/>
        <v>Wednesday</v>
      </c>
      <c r="D725" s="28">
        <v>11</v>
      </c>
      <c r="E725" s="40" t="str" cm="1">
        <f t="array" ref="E725">_xlfn.IFS(D725&gt;=21,"Night",D725&gt;=17,"Evening",D725&gt;=12,"Midday",D725&gt;=6,"Morning", TRUE, "Night")</f>
        <v>Morning</v>
      </c>
      <c r="F725" s="28">
        <v>1</v>
      </c>
      <c r="G725" s="28">
        <v>0</v>
      </c>
      <c r="H725" s="28">
        <v>2</v>
      </c>
      <c r="I725" s="28">
        <v>3</v>
      </c>
      <c r="J725" s="40" t="str">
        <f t="shared" si="70"/>
        <v>Weekday</v>
      </c>
      <c r="K725" s="28" t="b">
        <v>0</v>
      </c>
      <c r="L725" s="28">
        <v>2</v>
      </c>
      <c r="M725" s="40" t="str" cm="1">
        <f t="array" ref="M725">_xlfn.IFS(L725=1,"Clear / Partly Cloudy",L725=2,"Mist / Cloudy",L725=3,"Light Snow / Rain",L725=4,"Heavy Precipitation")</f>
        <v>Mist / Cloudy</v>
      </c>
      <c r="N725" s="28">
        <v>0.24</v>
      </c>
      <c r="O725" s="28" t="str">
        <f t="shared" si="71"/>
        <v>Mild</v>
      </c>
      <c r="P725" s="28">
        <v>0.2273</v>
      </c>
      <c r="Q725" s="38">
        <f t="shared" si="67"/>
        <v>0.2273</v>
      </c>
      <c r="R725" s="28">
        <v>0.93</v>
      </c>
      <c r="S725" s="28">
        <v>0.19400000000000001</v>
      </c>
      <c r="T725" s="40" t="str" cm="1">
        <f t="array" ref="T725">_xlfn.IFS(S725*18.6&lt;2,"Calm",S725*18.6&lt;6,"Light Breeze",S725*18.6&lt;14,"Gale",TRUE,"Extreme Storm")</f>
        <v>Light Breeze</v>
      </c>
      <c r="U725" s="28">
        <v>5</v>
      </c>
      <c r="V725" s="28">
        <v>47</v>
      </c>
      <c r="W725" s="28">
        <v>52</v>
      </c>
      <c r="X725" s="44">
        <f>AVERAGE(INDEX($W:$W,MAX(ROW($W$3),ROW()-23)):INDEX($W:$W,ROW()))</f>
        <v>57.958333333333336</v>
      </c>
      <c r="Y725" s="44">
        <f>_xlfn.STDEV.S(INDEX($W:$W,MAX(ROW($W$3),ROW()-23)):INDEX($W:$W,ROW()))</f>
        <v>53.225099641842455</v>
      </c>
      <c r="Z725" s="44">
        <f t="shared" si="68"/>
        <v>-0.11194593102554275</v>
      </c>
      <c r="AA725" s="40" t="b">
        <f t="shared" si="66"/>
        <v>0</v>
      </c>
    </row>
    <row r="726" spans="1:27" x14ac:dyDescent="0.3">
      <c r="A726" s="32">
        <v>724</v>
      </c>
      <c r="B726" s="33">
        <v>40576</v>
      </c>
      <c r="C726" s="40" t="str">
        <f t="shared" si="69"/>
        <v>Wednesday</v>
      </c>
      <c r="D726" s="28">
        <v>12</v>
      </c>
      <c r="E726" s="40" t="str" cm="1">
        <f t="array" ref="E726">_xlfn.IFS(D726&gt;=21,"Night",D726&gt;=17,"Evening",D726&gt;=12,"Midday",D726&gt;=6,"Morning", TRUE, "Night")</f>
        <v>Midday</v>
      </c>
      <c r="F726" s="28">
        <v>1</v>
      </c>
      <c r="G726" s="28">
        <v>0</v>
      </c>
      <c r="H726" s="28">
        <v>2</v>
      </c>
      <c r="I726" s="28">
        <v>3</v>
      </c>
      <c r="J726" s="40" t="str">
        <f t="shared" si="70"/>
        <v>Weekday</v>
      </c>
      <c r="K726" s="28" t="b">
        <v>0</v>
      </c>
      <c r="L726" s="28">
        <v>2</v>
      </c>
      <c r="M726" s="40" t="str" cm="1">
        <f t="array" ref="M726">_xlfn.IFS(L726=1,"Clear / Partly Cloudy",L726=2,"Mist / Cloudy",L726=3,"Light Snow / Rain",L726=4,"Heavy Precipitation")</f>
        <v>Mist / Cloudy</v>
      </c>
      <c r="N726" s="28">
        <v>0.24</v>
      </c>
      <c r="O726" s="28" t="str">
        <f t="shared" si="71"/>
        <v>Mild</v>
      </c>
      <c r="P726" s="28">
        <v>0.2273</v>
      </c>
      <c r="Q726" s="38">
        <f t="shared" si="67"/>
        <v>0.2273</v>
      </c>
      <c r="R726" s="28">
        <v>0.93</v>
      </c>
      <c r="S726" s="28">
        <v>0.22389999999999999</v>
      </c>
      <c r="T726" s="40" t="str" cm="1">
        <f t="array" ref="T726">_xlfn.IFS(S726*18.6&lt;2,"Calm",S726*18.6&lt;6,"Light Breeze",S726*18.6&lt;14,"Gale",TRUE,"Extreme Storm")</f>
        <v>Light Breeze</v>
      </c>
      <c r="U726" s="28">
        <v>3</v>
      </c>
      <c r="V726" s="28">
        <v>61</v>
      </c>
      <c r="W726" s="28">
        <v>64</v>
      </c>
      <c r="X726" s="44">
        <f>AVERAGE(INDEX($W:$W,MAX(ROW($W$3),ROW()-23)):INDEX($W:$W,ROW()))</f>
        <v>58.333333333333336</v>
      </c>
      <c r="Y726" s="44">
        <f>_xlfn.STDEV.S(INDEX($W:$W,MAX(ROW($W$3),ROW()-23)):INDEX($W:$W,ROW()))</f>
        <v>53.23505437672393</v>
      </c>
      <c r="Z726" s="44">
        <f t="shared" si="68"/>
        <v>0.10644615156332614</v>
      </c>
      <c r="AA726" s="40" t="b">
        <f t="shared" si="66"/>
        <v>0</v>
      </c>
    </row>
    <row r="727" spans="1:27" x14ac:dyDescent="0.3">
      <c r="A727" s="32">
        <v>725</v>
      </c>
      <c r="B727" s="33">
        <v>40576</v>
      </c>
      <c r="C727" s="40" t="str">
        <f t="shared" si="69"/>
        <v>Wednesday</v>
      </c>
      <c r="D727" s="28">
        <v>13</v>
      </c>
      <c r="E727" s="40" t="str" cm="1">
        <f t="array" ref="E727">_xlfn.IFS(D727&gt;=21,"Night",D727&gt;=17,"Evening",D727&gt;=12,"Midday",D727&gt;=6,"Morning", TRUE, "Night")</f>
        <v>Midday</v>
      </c>
      <c r="F727" s="28">
        <v>1</v>
      </c>
      <c r="G727" s="28">
        <v>0</v>
      </c>
      <c r="H727" s="28">
        <v>2</v>
      </c>
      <c r="I727" s="28">
        <v>3</v>
      </c>
      <c r="J727" s="40" t="str">
        <f t="shared" si="70"/>
        <v>Weekday</v>
      </c>
      <c r="K727" s="28" t="b">
        <v>0</v>
      </c>
      <c r="L727" s="28">
        <v>1</v>
      </c>
      <c r="M727" s="40" t="str" cm="1">
        <f t="array" ref="M727">_xlfn.IFS(L727=1,"Clear / Partly Cloudy",L727=2,"Mist / Cloudy",L727=3,"Light Snow / Rain",L727=4,"Heavy Precipitation")</f>
        <v>Clear / Partly Cloudy</v>
      </c>
      <c r="N727" s="28">
        <v>0.34</v>
      </c>
      <c r="O727" s="28" t="str">
        <f t="shared" si="71"/>
        <v>Mild</v>
      </c>
      <c r="P727" s="28">
        <v>0.33329999999999999</v>
      </c>
      <c r="Q727" s="38">
        <f t="shared" si="67"/>
        <v>0.33329999999999999</v>
      </c>
      <c r="R727" s="28">
        <v>0.93</v>
      </c>
      <c r="S727" s="28">
        <v>0.16420000000000001</v>
      </c>
      <c r="T727" s="40" t="str" cm="1">
        <f t="array" ref="T727">_xlfn.IFS(S727*18.6&lt;2,"Calm",S727*18.6&lt;6,"Light Breeze",S727*18.6&lt;14,"Gale",TRUE,"Extreme Storm")</f>
        <v>Light Breeze</v>
      </c>
      <c r="U727" s="28">
        <v>1</v>
      </c>
      <c r="V727" s="28">
        <v>74</v>
      </c>
      <c r="W727" s="28">
        <v>75</v>
      </c>
      <c r="X727" s="44">
        <f>AVERAGE(INDEX($W:$W,MAX(ROW($W$3),ROW()-23)):INDEX($W:$W,ROW()))</f>
        <v>59.291666666666664</v>
      </c>
      <c r="Y727" s="44">
        <f>_xlfn.STDEV.S(INDEX($W:$W,MAX(ROW($W$3),ROW()-23)):INDEX($W:$W,ROW()))</f>
        <v>53.323034558179017</v>
      </c>
      <c r="Z727" s="44">
        <f t="shared" si="68"/>
        <v>0.29458813556821278</v>
      </c>
      <c r="AA727" s="40" t="b">
        <f t="shared" si="66"/>
        <v>0</v>
      </c>
    </row>
    <row r="728" spans="1:27" x14ac:dyDescent="0.3">
      <c r="A728" s="32">
        <v>726</v>
      </c>
      <c r="B728" s="33">
        <v>40576</v>
      </c>
      <c r="C728" s="40" t="str">
        <f t="shared" si="69"/>
        <v>Wednesday</v>
      </c>
      <c r="D728" s="28">
        <v>14</v>
      </c>
      <c r="E728" s="40" t="str" cm="1">
        <f t="array" ref="E728">_xlfn.IFS(D728&gt;=21,"Night",D728&gt;=17,"Evening",D728&gt;=12,"Midday",D728&gt;=6,"Morning", TRUE, "Night")</f>
        <v>Midday</v>
      </c>
      <c r="F728" s="28">
        <v>1</v>
      </c>
      <c r="G728" s="28">
        <v>0</v>
      </c>
      <c r="H728" s="28">
        <v>2</v>
      </c>
      <c r="I728" s="28">
        <v>3</v>
      </c>
      <c r="J728" s="40" t="str">
        <f t="shared" si="70"/>
        <v>Weekday</v>
      </c>
      <c r="K728" s="28" t="b">
        <v>0</v>
      </c>
      <c r="L728" s="28">
        <v>1</v>
      </c>
      <c r="M728" s="40" t="str" cm="1">
        <f t="array" ref="M728">_xlfn.IFS(L728=1,"Clear / Partly Cloudy",L728=2,"Mist / Cloudy",L728=3,"Light Snow / Rain",L728=4,"Heavy Precipitation")</f>
        <v>Clear / Partly Cloudy</v>
      </c>
      <c r="N728" s="28">
        <v>0.38</v>
      </c>
      <c r="O728" s="28" t="str">
        <f t="shared" si="71"/>
        <v>Mild</v>
      </c>
      <c r="P728" s="28">
        <v>0.39389999999999997</v>
      </c>
      <c r="Q728" s="38">
        <f t="shared" si="67"/>
        <v>0.39389999999999997</v>
      </c>
      <c r="R728" s="28">
        <v>0.82</v>
      </c>
      <c r="S728" s="28">
        <v>0.3881</v>
      </c>
      <c r="T728" s="40" t="str" cm="1">
        <f t="array" ref="T728">_xlfn.IFS(S728*18.6&lt;2,"Calm",S728*18.6&lt;6,"Light Breeze",S728*18.6&lt;14,"Gale",TRUE,"Extreme Storm")</f>
        <v>Gale</v>
      </c>
      <c r="U728" s="28">
        <v>2</v>
      </c>
      <c r="V728" s="28">
        <v>61</v>
      </c>
      <c r="W728" s="28">
        <v>63</v>
      </c>
      <c r="X728" s="44">
        <f>AVERAGE(INDEX($W:$W,MAX(ROW($W$3),ROW()-23)):INDEX($W:$W,ROW()))</f>
        <v>59.666666666666664</v>
      </c>
      <c r="Y728" s="44">
        <f>_xlfn.STDEV.S(INDEX($W:$W,MAX(ROW($W$3),ROW()-23)):INDEX($W:$W,ROW()))</f>
        <v>53.315848583183289</v>
      </c>
      <c r="Z728" s="44">
        <f t="shared" si="68"/>
        <v>6.2520496661188377E-2</v>
      </c>
      <c r="AA728" s="40" t="b">
        <f t="shared" si="66"/>
        <v>0</v>
      </c>
    </row>
    <row r="729" spans="1:27" x14ac:dyDescent="0.3">
      <c r="A729" s="32">
        <v>727</v>
      </c>
      <c r="B729" s="33">
        <v>40576</v>
      </c>
      <c r="C729" s="40" t="str">
        <f t="shared" si="69"/>
        <v>Wednesday</v>
      </c>
      <c r="D729" s="28">
        <v>15</v>
      </c>
      <c r="E729" s="40" t="str" cm="1">
        <f t="array" ref="E729">_xlfn.IFS(D729&gt;=21,"Night",D729&gt;=17,"Evening",D729&gt;=12,"Midday",D729&gt;=6,"Morning", TRUE, "Night")</f>
        <v>Midday</v>
      </c>
      <c r="F729" s="28">
        <v>1</v>
      </c>
      <c r="G729" s="28">
        <v>0</v>
      </c>
      <c r="H729" s="28">
        <v>2</v>
      </c>
      <c r="I729" s="28">
        <v>3</v>
      </c>
      <c r="J729" s="40" t="str">
        <f t="shared" si="70"/>
        <v>Weekday</v>
      </c>
      <c r="K729" s="28" t="b">
        <v>0</v>
      </c>
      <c r="L729" s="28">
        <v>1</v>
      </c>
      <c r="M729" s="40" t="str" cm="1">
        <f t="array" ref="M729">_xlfn.IFS(L729=1,"Clear / Partly Cloudy",L729=2,"Mist / Cloudy",L729=3,"Light Snow / Rain",L729=4,"Heavy Precipitation")</f>
        <v>Clear / Partly Cloudy</v>
      </c>
      <c r="N729" s="28">
        <v>0.38</v>
      </c>
      <c r="O729" s="28" t="str">
        <f t="shared" si="71"/>
        <v>Mild</v>
      </c>
      <c r="P729" s="28">
        <v>0.39389999999999997</v>
      </c>
      <c r="Q729" s="38">
        <f t="shared" si="67"/>
        <v>0.39389999999999997</v>
      </c>
      <c r="R729" s="28">
        <v>0.76</v>
      </c>
      <c r="S729" s="28">
        <v>0.32840000000000003</v>
      </c>
      <c r="T729" s="40" t="str" cm="1">
        <f t="array" ref="T729">_xlfn.IFS(S729*18.6&lt;2,"Calm",S729*18.6&lt;6,"Light Breeze",S729*18.6&lt;14,"Gale",TRUE,"Extreme Storm")</f>
        <v>Gale</v>
      </c>
      <c r="U729" s="28">
        <v>10</v>
      </c>
      <c r="V729" s="28">
        <v>66</v>
      </c>
      <c r="W729" s="28">
        <v>76</v>
      </c>
      <c r="X729" s="44">
        <f>AVERAGE(INDEX($W:$W,MAX(ROW($W$3),ROW()-23)):INDEX($W:$W,ROW()))</f>
        <v>60.666666666666664</v>
      </c>
      <c r="Y729" s="44">
        <f>_xlfn.STDEV.S(INDEX($W:$W,MAX(ROW($W$3),ROW()-23)):INDEX($W:$W,ROW()))</f>
        <v>53.390820467051519</v>
      </c>
      <c r="Z729" s="44">
        <f t="shared" si="68"/>
        <v>0.28719044208724653</v>
      </c>
      <c r="AA729" s="40" t="b">
        <f t="shared" si="66"/>
        <v>0</v>
      </c>
    </row>
    <row r="730" spans="1:27" x14ac:dyDescent="0.3">
      <c r="A730" s="32">
        <v>728</v>
      </c>
      <c r="B730" s="33">
        <v>40576</v>
      </c>
      <c r="C730" s="40" t="str">
        <f t="shared" si="69"/>
        <v>Wednesday</v>
      </c>
      <c r="D730" s="28">
        <v>16</v>
      </c>
      <c r="E730" s="40" t="str" cm="1">
        <f t="array" ref="E730">_xlfn.IFS(D730&gt;=21,"Night",D730&gt;=17,"Evening",D730&gt;=12,"Midday",D730&gt;=6,"Morning", TRUE, "Night")</f>
        <v>Midday</v>
      </c>
      <c r="F730" s="28">
        <v>1</v>
      </c>
      <c r="G730" s="28">
        <v>0</v>
      </c>
      <c r="H730" s="28">
        <v>2</v>
      </c>
      <c r="I730" s="28">
        <v>3</v>
      </c>
      <c r="J730" s="40" t="str">
        <f t="shared" si="70"/>
        <v>Weekday</v>
      </c>
      <c r="K730" s="28" t="b">
        <v>0</v>
      </c>
      <c r="L730" s="28">
        <v>1</v>
      </c>
      <c r="M730" s="40" t="str" cm="1">
        <f t="array" ref="M730">_xlfn.IFS(L730=1,"Clear / Partly Cloudy",L730=2,"Mist / Cloudy",L730=3,"Light Snow / Rain",L730=4,"Heavy Precipitation")</f>
        <v>Clear / Partly Cloudy</v>
      </c>
      <c r="N730" s="28">
        <v>0.36</v>
      </c>
      <c r="O730" s="28" t="str">
        <f t="shared" si="71"/>
        <v>Mild</v>
      </c>
      <c r="P730" s="28">
        <v>0.33329999999999999</v>
      </c>
      <c r="Q730" s="38">
        <f t="shared" si="67"/>
        <v>0.33329999999999999</v>
      </c>
      <c r="R730" s="28">
        <v>0.71</v>
      </c>
      <c r="S730" s="28">
        <v>0.29849999999999999</v>
      </c>
      <c r="T730" s="40" t="str" cm="1">
        <f t="array" ref="T730">_xlfn.IFS(S730*18.6&lt;2,"Calm",S730*18.6&lt;6,"Light Breeze",S730*18.6&lt;14,"Gale",TRUE,"Extreme Storm")</f>
        <v>Light Breeze</v>
      </c>
      <c r="U730" s="28">
        <v>8</v>
      </c>
      <c r="V730" s="28">
        <v>95</v>
      </c>
      <c r="W730" s="28">
        <v>103</v>
      </c>
      <c r="X730" s="44">
        <f>AVERAGE(INDEX($W:$W,MAX(ROW($W$3),ROW()-23)):INDEX($W:$W,ROW()))</f>
        <v>62.291666666666664</v>
      </c>
      <c r="Y730" s="44">
        <f>_xlfn.STDEV.S(INDEX($W:$W,MAX(ROW($W$3),ROW()-23)):INDEX($W:$W,ROW()))</f>
        <v>54.085664070722238</v>
      </c>
      <c r="Z730" s="44">
        <f t="shared" si="68"/>
        <v>0.75266401980575204</v>
      </c>
      <c r="AA730" s="40" t="b">
        <f t="shared" si="66"/>
        <v>0</v>
      </c>
    </row>
    <row r="731" spans="1:27" x14ac:dyDescent="0.3">
      <c r="A731" s="32">
        <v>729</v>
      </c>
      <c r="B731" s="33">
        <v>40576</v>
      </c>
      <c r="C731" s="40" t="str">
        <f t="shared" si="69"/>
        <v>Wednesday</v>
      </c>
      <c r="D731" s="28">
        <v>17</v>
      </c>
      <c r="E731" s="40" t="str" cm="1">
        <f t="array" ref="E731">_xlfn.IFS(D731&gt;=21,"Night",D731&gt;=17,"Evening",D731&gt;=12,"Midday",D731&gt;=6,"Morning", TRUE, "Night")</f>
        <v>Evening</v>
      </c>
      <c r="F731" s="28">
        <v>1</v>
      </c>
      <c r="G731" s="28">
        <v>0</v>
      </c>
      <c r="H731" s="28">
        <v>2</v>
      </c>
      <c r="I731" s="28">
        <v>3</v>
      </c>
      <c r="J731" s="40" t="str">
        <f t="shared" si="70"/>
        <v>Weekday</v>
      </c>
      <c r="K731" s="28" t="b">
        <v>0</v>
      </c>
      <c r="L731" s="28">
        <v>1</v>
      </c>
      <c r="M731" s="40" t="str" cm="1">
        <f t="array" ref="M731">_xlfn.IFS(L731=1,"Clear / Partly Cloudy",L731=2,"Mist / Cloudy",L731=3,"Light Snow / Rain",L731=4,"Heavy Precipitation")</f>
        <v>Clear / Partly Cloudy</v>
      </c>
      <c r="N731" s="28">
        <v>0.36</v>
      </c>
      <c r="O731" s="28" t="str">
        <f t="shared" si="71"/>
        <v>Mild</v>
      </c>
      <c r="P731" s="28">
        <v>0.31819999999999998</v>
      </c>
      <c r="Q731" s="38">
        <f t="shared" si="67"/>
        <v>0.31819999999999998</v>
      </c>
      <c r="R731" s="28">
        <v>0.53</v>
      </c>
      <c r="S731" s="28">
        <v>0.52239999999999998</v>
      </c>
      <c r="T731" s="40" t="str" cm="1">
        <f t="array" ref="T731">_xlfn.IFS(S731*18.6&lt;2,"Calm",S731*18.6&lt;6,"Light Breeze",S731*18.6&lt;14,"Gale",TRUE,"Extreme Storm")</f>
        <v>Gale</v>
      </c>
      <c r="U731" s="28">
        <v>7</v>
      </c>
      <c r="V731" s="28">
        <v>183</v>
      </c>
      <c r="W731" s="28">
        <v>190</v>
      </c>
      <c r="X731" s="44">
        <f>AVERAGE(INDEX($W:$W,MAX(ROW($W$3),ROW()-23)):INDEX($W:$W,ROW()))</f>
        <v>62.875</v>
      </c>
      <c r="Y731" s="44">
        <f>_xlfn.STDEV.S(INDEX($W:$W,MAX(ROW($W$3),ROW()-23)):INDEX($W:$W,ROW()))</f>
        <v>55.424302078326299</v>
      </c>
      <c r="Z731" s="44">
        <f t="shared" si="68"/>
        <v>2.2936689364233294</v>
      </c>
      <c r="AA731" s="40" t="b">
        <f t="shared" si="66"/>
        <v>0</v>
      </c>
    </row>
    <row r="732" spans="1:27" x14ac:dyDescent="0.3">
      <c r="A732" s="32">
        <v>730</v>
      </c>
      <c r="B732" s="33">
        <v>40576</v>
      </c>
      <c r="C732" s="40" t="str">
        <f t="shared" si="69"/>
        <v>Wednesday</v>
      </c>
      <c r="D732" s="28">
        <v>18</v>
      </c>
      <c r="E732" s="40" t="str" cm="1">
        <f t="array" ref="E732">_xlfn.IFS(D732&gt;=21,"Night",D732&gt;=17,"Evening",D732&gt;=12,"Midday",D732&gt;=6,"Morning", TRUE, "Night")</f>
        <v>Evening</v>
      </c>
      <c r="F732" s="28">
        <v>1</v>
      </c>
      <c r="G732" s="28">
        <v>0</v>
      </c>
      <c r="H732" s="28">
        <v>2</v>
      </c>
      <c r="I732" s="28">
        <v>3</v>
      </c>
      <c r="J732" s="40" t="str">
        <f t="shared" si="70"/>
        <v>Weekday</v>
      </c>
      <c r="K732" s="28" t="b">
        <v>0</v>
      </c>
      <c r="L732" s="28">
        <v>1</v>
      </c>
      <c r="M732" s="40" t="str" cm="1">
        <f t="array" ref="M732">_xlfn.IFS(L732=1,"Clear / Partly Cloudy",L732=2,"Mist / Cloudy",L732=3,"Light Snow / Rain",L732=4,"Heavy Precipitation")</f>
        <v>Clear / Partly Cloudy</v>
      </c>
      <c r="N732" s="28">
        <v>0.34</v>
      </c>
      <c r="O732" s="28" t="str">
        <f t="shared" si="71"/>
        <v>Mild</v>
      </c>
      <c r="P732" s="28">
        <v>0.28789999999999999</v>
      </c>
      <c r="Q732" s="38">
        <f t="shared" si="67"/>
        <v>0.28789999999999999</v>
      </c>
      <c r="R732" s="28">
        <v>0.42</v>
      </c>
      <c r="S732" s="28">
        <v>0.55220000000000002</v>
      </c>
      <c r="T732" s="40" t="str" cm="1">
        <f t="array" ref="T732">_xlfn.IFS(S732*18.6&lt;2,"Calm",S732*18.6&lt;6,"Light Breeze",S732*18.6&lt;14,"Gale",TRUE,"Extreme Storm")</f>
        <v>Gale</v>
      </c>
      <c r="U732" s="28">
        <v>7</v>
      </c>
      <c r="V732" s="28">
        <v>175</v>
      </c>
      <c r="W732" s="28">
        <v>182</v>
      </c>
      <c r="X732" s="44">
        <f>AVERAGE(INDEX($W:$W,MAX(ROW($W$3),ROW()-23)):INDEX($W:$W,ROW()))</f>
        <v>63.458333333333336</v>
      </c>
      <c r="Y732" s="44">
        <f>_xlfn.STDEV.S(INDEX($W:$W,MAX(ROW($W$3),ROW()-23)):INDEX($W:$W,ROW()))</f>
        <v>56.63919304161913</v>
      </c>
      <c r="Z732" s="44">
        <f t="shared" si="68"/>
        <v>2.0929264754806955</v>
      </c>
      <c r="AA732" s="40" t="b">
        <f t="shared" si="66"/>
        <v>0</v>
      </c>
    </row>
    <row r="733" spans="1:27" x14ac:dyDescent="0.3">
      <c r="A733" s="32">
        <v>731</v>
      </c>
      <c r="B733" s="33">
        <v>40576</v>
      </c>
      <c r="C733" s="40" t="str">
        <f t="shared" si="69"/>
        <v>Wednesday</v>
      </c>
      <c r="D733" s="28">
        <v>19</v>
      </c>
      <c r="E733" s="40" t="str" cm="1">
        <f t="array" ref="E733">_xlfn.IFS(D733&gt;=21,"Night",D733&gt;=17,"Evening",D733&gt;=12,"Midday",D733&gt;=6,"Morning", TRUE, "Night")</f>
        <v>Evening</v>
      </c>
      <c r="F733" s="28">
        <v>1</v>
      </c>
      <c r="G733" s="28">
        <v>0</v>
      </c>
      <c r="H733" s="28">
        <v>2</v>
      </c>
      <c r="I733" s="28">
        <v>3</v>
      </c>
      <c r="J733" s="40" t="str">
        <f t="shared" si="70"/>
        <v>Weekday</v>
      </c>
      <c r="K733" s="28" t="b">
        <v>0</v>
      </c>
      <c r="L733" s="28">
        <v>1</v>
      </c>
      <c r="M733" s="40" t="str" cm="1">
        <f t="array" ref="M733">_xlfn.IFS(L733=1,"Clear / Partly Cloudy",L733=2,"Mist / Cloudy",L733=3,"Light Snow / Rain",L733=4,"Heavy Precipitation")</f>
        <v>Clear / Partly Cloudy</v>
      </c>
      <c r="N733" s="28">
        <v>0.28000000000000003</v>
      </c>
      <c r="O733" s="28" t="str">
        <f t="shared" si="71"/>
        <v>Mild</v>
      </c>
      <c r="P733" s="28">
        <v>0.2424</v>
      </c>
      <c r="Q733" s="38">
        <f t="shared" si="67"/>
        <v>0.2424</v>
      </c>
      <c r="R733" s="28">
        <v>0.45</v>
      </c>
      <c r="S733" s="28">
        <v>0.49249999999999999</v>
      </c>
      <c r="T733" s="40" t="str" cm="1">
        <f t="array" ref="T733">_xlfn.IFS(S733*18.6&lt;2,"Calm",S733*18.6&lt;6,"Light Breeze",S733*18.6&lt;14,"Gale",TRUE,"Extreme Storm")</f>
        <v>Gale</v>
      </c>
      <c r="U733" s="28">
        <v>3</v>
      </c>
      <c r="V733" s="28">
        <v>88</v>
      </c>
      <c r="W733" s="28">
        <v>91</v>
      </c>
      <c r="X733" s="44">
        <f>AVERAGE(INDEX($W:$W,MAX(ROW($W$3),ROW()-23)):INDEX($W:$W,ROW()))</f>
        <v>62.75</v>
      </c>
      <c r="Y733" s="44">
        <f>_xlfn.STDEV.S(INDEX($W:$W,MAX(ROW($W$3),ROW()-23)):INDEX($W:$W,ROW()))</f>
        <v>56.162226203863334</v>
      </c>
      <c r="Z733" s="44">
        <f t="shared" si="68"/>
        <v>0.50300712613234544</v>
      </c>
      <c r="AA733" s="40" t="b">
        <f t="shared" si="66"/>
        <v>0</v>
      </c>
    </row>
    <row r="734" spans="1:27" x14ac:dyDescent="0.3">
      <c r="A734" s="32">
        <v>732</v>
      </c>
      <c r="B734" s="33">
        <v>40576</v>
      </c>
      <c r="C734" s="40" t="str">
        <f t="shared" si="69"/>
        <v>Wednesday</v>
      </c>
      <c r="D734" s="28">
        <v>20</v>
      </c>
      <c r="E734" s="40" t="str" cm="1">
        <f t="array" ref="E734">_xlfn.IFS(D734&gt;=21,"Night",D734&gt;=17,"Evening",D734&gt;=12,"Midday",D734&gt;=6,"Morning", TRUE, "Night")</f>
        <v>Evening</v>
      </c>
      <c r="F734" s="28">
        <v>1</v>
      </c>
      <c r="G734" s="28">
        <v>0</v>
      </c>
      <c r="H734" s="28">
        <v>2</v>
      </c>
      <c r="I734" s="28">
        <v>3</v>
      </c>
      <c r="J734" s="40" t="str">
        <f t="shared" si="70"/>
        <v>Weekday</v>
      </c>
      <c r="K734" s="28" t="b">
        <v>0</v>
      </c>
      <c r="L734" s="28">
        <v>1</v>
      </c>
      <c r="M734" s="40" t="str" cm="1">
        <f t="array" ref="M734">_xlfn.IFS(L734=1,"Clear / Partly Cloudy",L734=2,"Mist / Cloudy",L734=3,"Light Snow / Rain",L734=4,"Heavy Precipitation")</f>
        <v>Clear / Partly Cloudy</v>
      </c>
      <c r="N734" s="28">
        <v>0.24</v>
      </c>
      <c r="O734" s="28" t="str">
        <f t="shared" si="71"/>
        <v>Mild</v>
      </c>
      <c r="P734" s="28">
        <v>0.19700000000000001</v>
      </c>
      <c r="Q734" s="38">
        <f t="shared" si="67"/>
        <v>0.19700000000000001</v>
      </c>
      <c r="R734" s="28">
        <v>0.48</v>
      </c>
      <c r="S734" s="28">
        <v>0.55220000000000002</v>
      </c>
      <c r="T734" s="40" t="str" cm="1">
        <f t="array" ref="T734">_xlfn.IFS(S734*18.6&lt;2,"Calm",S734*18.6&lt;6,"Light Breeze",S734*18.6&lt;14,"Gale",TRUE,"Extreme Storm")</f>
        <v>Gale</v>
      </c>
      <c r="U734" s="28">
        <v>4</v>
      </c>
      <c r="V734" s="28">
        <v>71</v>
      </c>
      <c r="W734" s="28">
        <v>75</v>
      </c>
      <c r="X734" s="44">
        <f>AVERAGE(INDEX($W:$W,MAX(ROW($W$3),ROW()-23)):INDEX($W:$W,ROW()))</f>
        <v>62.791666666666664</v>
      </c>
      <c r="Y734" s="44">
        <f>_xlfn.STDEV.S(INDEX($W:$W,MAX(ROW($W$3),ROW()-23)):INDEX($W:$W,ROW()))</f>
        <v>56.171305661433088</v>
      </c>
      <c r="Z734" s="44">
        <f t="shared" si="68"/>
        <v>0.21734109950938013</v>
      </c>
      <c r="AA734" s="40" t="b">
        <f t="shared" si="66"/>
        <v>0</v>
      </c>
    </row>
    <row r="735" spans="1:27" x14ac:dyDescent="0.3">
      <c r="A735" s="32">
        <v>733</v>
      </c>
      <c r="B735" s="33">
        <v>40576</v>
      </c>
      <c r="C735" s="40" t="str">
        <f t="shared" si="69"/>
        <v>Wednesday</v>
      </c>
      <c r="D735" s="28">
        <v>21</v>
      </c>
      <c r="E735" s="40" t="str" cm="1">
        <f t="array" ref="E735">_xlfn.IFS(D735&gt;=21,"Night",D735&gt;=17,"Evening",D735&gt;=12,"Midday",D735&gt;=6,"Morning", TRUE, "Night")</f>
        <v>Night</v>
      </c>
      <c r="F735" s="28">
        <v>1</v>
      </c>
      <c r="G735" s="28">
        <v>0</v>
      </c>
      <c r="H735" s="28">
        <v>2</v>
      </c>
      <c r="I735" s="28">
        <v>3</v>
      </c>
      <c r="J735" s="40" t="str">
        <f t="shared" si="70"/>
        <v>Weekday</v>
      </c>
      <c r="K735" s="28" t="b">
        <v>0</v>
      </c>
      <c r="L735" s="28">
        <v>1</v>
      </c>
      <c r="M735" s="40" t="str" cm="1">
        <f t="array" ref="M735">_xlfn.IFS(L735=1,"Clear / Partly Cloudy",L735=2,"Mist / Cloudy",L735=3,"Light Snow / Rain",L735=4,"Heavy Precipitation")</f>
        <v>Clear / Partly Cloudy</v>
      </c>
      <c r="N735" s="28">
        <v>0.22</v>
      </c>
      <c r="O735" s="28" t="str">
        <f t="shared" si="71"/>
        <v>Mild</v>
      </c>
      <c r="P735" s="28">
        <v>0.19700000000000001</v>
      </c>
      <c r="Q735" s="38">
        <f t="shared" si="67"/>
        <v>0.19700000000000001</v>
      </c>
      <c r="R735" s="28">
        <v>0.47</v>
      </c>
      <c r="S735" s="28">
        <v>0.32840000000000003</v>
      </c>
      <c r="T735" s="40" t="str" cm="1">
        <f t="array" ref="T735">_xlfn.IFS(S735*18.6&lt;2,"Calm",S735*18.6&lt;6,"Light Breeze",S735*18.6&lt;14,"Gale",TRUE,"Extreme Storm")</f>
        <v>Gale</v>
      </c>
      <c r="U735" s="28">
        <v>1</v>
      </c>
      <c r="V735" s="28">
        <v>62</v>
      </c>
      <c r="W735" s="28">
        <v>63</v>
      </c>
      <c r="X735" s="44">
        <f>AVERAGE(INDEX($W:$W,MAX(ROW($W$3),ROW()-23)):INDEX($W:$W,ROW()))</f>
        <v>62.75</v>
      </c>
      <c r="Y735" s="44">
        <f>_xlfn.STDEV.S(INDEX($W:$W,MAX(ROW($W$3),ROW()-23)):INDEX($W:$W,ROW()))</f>
        <v>56.170741261915381</v>
      </c>
      <c r="Z735" s="44">
        <f t="shared" si="68"/>
        <v>4.4507156997321629E-3</v>
      </c>
      <c r="AA735" s="40" t="b">
        <f t="shared" si="66"/>
        <v>0</v>
      </c>
    </row>
    <row r="736" spans="1:27" x14ac:dyDescent="0.3">
      <c r="A736" s="32">
        <v>734</v>
      </c>
      <c r="B736" s="33">
        <v>40576</v>
      </c>
      <c r="C736" s="40" t="str">
        <f t="shared" si="69"/>
        <v>Wednesday</v>
      </c>
      <c r="D736" s="28">
        <v>22</v>
      </c>
      <c r="E736" s="40" t="str" cm="1">
        <f t="array" ref="E736">_xlfn.IFS(D736&gt;=21,"Night",D736&gt;=17,"Evening",D736&gt;=12,"Midday",D736&gt;=6,"Morning", TRUE, "Night")</f>
        <v>Night</v>
      </c>
      <c r="F736" s="28">
        <v>1</v>
      </c>
      <c r="G736" s="28">
        <v>0</v>
      </c>
      <c r="H736" s="28">
        <v>2</v>
      </c>
      <c r="I736" s="28">
        <v>3</v>
      </c>
      <c r="J736" s="40" t="str">
        <f t="shared" si="70"/>
        <v>Weekday</v>
      </c>
      <c r="K736" s="28" t="b">
        <v>0</v>
      </c>
      <c r="L736" s="28">
        <v>1</v>
      </c>
      <c r="M736" s="40" t="str" cm="1">
        <f t="array" ref="M736">_xlfn.IFS(L736=1,"Clear / Partly Cloudy",L736=2,"Mist / Cloudy",L736=3,"Light Snow / Rain",L736=4,"Heavy Precipitation")</f>
        <v>Clear / Partly Cloudy</v>
      </c>
      <c r="N736" s="28">
        <v>0.22</v>
      </c>
      <c r="O736" s="28" t="str">
        <f t="shared" si="71"/>
        <v>Mild</v>
      </c>
      <c r="P736" s="28">
        <v>0.21210000000000001</v>
      </c>
      <c r="Q736" s="38">
        <f t="shared" si="67"/>
        <v>0.21210000000000001</v>
      </c>
      <c r="R736" s="28">
        <v>0.44</v>
      </c>
      <c r="S736" s="28">
        <v>0.25369999999999998</v>
      </c>
      <c r="T736" s="40" t="str" cm="1">
        <f t="array" ref="T736">_xlfn.IFS(S736*18.6&lt;2,"Calm",S736*18.6&lt;6,"Light Breeze",S736*18.6&lt;14,"Gale",TRUE,"Extreme Storm")</f>
        <v>Light Breeze</v>
      </c>
      <c r="U736" s="28">
        <v>5</v>
      </c>
      <c r="V736" s="28">
        <v>35</v>
      </c>
      <c r="W736" s="28">
        <v>40</v>
      </c>
      <c r="X736" s="44">
        <f>AVERAGE(INDEX($W:$W,MAX(ROW($W$3),ROW()-23)):INDEX($W:$W,ROW()))</f>
        <v>62.916666666666664</v>
      </c>
      <c r="Y736" s="44">
        <f>_xlfn.STDEV.S(INDEX($W:$W,MAX(ROW($W$3),ROW()-23)):INDEX($W:$W,ROW()))</f>
        <v>56.09380084067778</v>
      </c>
      <c r="Z736" s="44">
        <f t="shared" si="68"/>
        <v>-0.4085418766996457</v>
      </c>
      <c r="AA736" s="40" t="b">
        <f t="shared" si="66"/>
        <v>0</v>
      </c>
    </row>
    <row r="737" spans="1:27" x14ac:dyDescent="0.3">
      <c r="A737" s="32">
        <v>735</v>
      </c>
      <c r="B737" s="33">
        <v>40576</v>
      </c>
      <c r="C737" s="40" t="str">
        <f t="shared" si="69"/>
        <v>Wednesday</v>
      </c>
      <c r="D737" s="28">
        <v>23</v>
      </c>
      <c r="E737" s="40" t="str" cm="1">
        <f t="array" ref="E737">_xlfn.IFS(D737&gt;=21,"Night",D737&gt;=17,"Evening",D737&gt;=12,"Midday",D737&gt;=6,"Morning", TRUE, "Night")</f>
        <v>Night</v>
      </c>
      <c r="F737" s="28">
        <v>1</v>
      </c>
      <c r="G737" s="28">
        <v>0</v>
      </c>
      <c r="H737" s="28">
        <v>2</v>
      </c>
      <c r="I737" s="28">
        <v>3</v>
      </c>
      <c r="J737" s="40" t="str">
        <f t="shared" si="70"/>
        <v>Weekday</v>
      </c>
      <c r="K737" s="28" t="b">
        <v>0</v>
      </c>
      <c r="L737" s="28">
        <v>1</v>
      </c>
      <c r="M737" s="40" t="str" cm="1">
        <f t="array" ref="M737">_xlfn.IFS(L737=1,"Clear / Partly Cloudy",L737=2,"Mist / Cloudy",L737=3,"Light Snow / Rain",L737=4,"Heavy Precipitation")</f>
        <v>Clear / Partly Cloudy</v>
      </c>
      <c r="N737" s="28">
        <v>0.2</v>
      </c>
      <c r="O737" s="28" t="str">
        <f t="shared" si="71"/>
        <v>Mild</v>
      </c>
      <c r="P737" s="28">
        <v>0.16669999999999999</v>
      </c>
      <c r="Q737" s="38">
        <f t="shared" si="67"/>
        <v>0.16669999999999999</v>
      </c>
      <c r="R737" s="28">
        <v>0.44</v>
      </c>
      <c r="S737" s="28">
        <v>0.44779999999999998</v>
      </c>
      <c r="T737" s="40" t="str" cm="1">
        <f t="array" ref="T737">_xlfn.IFS(S737*18.6&lt;2,"Calm",S737*18.6&lt;6,"Light Breeze",S737*18.6&lt;14,"Gale",TRUE,"Extreme Storm")</f>
        <v>Gale</v>
      </c>
      <c r="U737" s="28">
        <v>3</v>
      </c>
      <c r="V737" s="28">
        <v>29</v>
      </c>
      <c r="W737" s="28">
        <v>32</v>
      </c>
      <c r="X737" s="44">
        <f>AVERAGE(INDEX($W:$W,MAX(ROW($W$3),ROW()-23)):INDEX($W:$W,ROW()))</f>
        <v>63.583333333333336</v>
      </c>
      <c r="Y737" s="44">
        <f>_xlfn.STDEV.S(INDEX($W:$W,MAX(ROW($W$3),ROW()-23)):INDEX($W:$W,ROW()))</f>
        <v>55.6049080306896</v>
      </c>
      <c r="Z737" s="44">
        <f t="shared" si="68"/>
        <v>-0.56799542435897532</v>
      </c>
      <c r="AA737" s="40" t="b">
        <f t="shared" si="66"/>
        <v>0</v>
      </c>
    </row>
    <row r="738" spans="1:27" x14ac:dyDescent="0.3">
      <c r="A738" s="32">
        <v>736</v>
      </c>
      <c r="B738" s="33">
        <v>40577</v>
      </c>
      <c r="C738" s="40" t="str">
        <f t="shared" si="69"/>
        <v>Thursday</v>
      </c>
      <c r="D738" s="28">
        <v>0</v>
      </c>
      <c r="E738" s="40" t="str" cm="1">
        <f t="array" ref="E738">_xlfn.IFS(D738&gt;=21,"Night",D738&gt;=17,"Evening",D738&gt;=12,"Midday",D738&gt;=6,"Morning", TRUE, "Night")</f>
        <v>Night</v>
      </c>
      <c r="F738" s="28">
        <v>1</v>
      </c>
      <c r="G738" s="28">
        <v>0</v>
      </c>
      <c r="H738" s="28">
        <v>2</v>
      </c>
      <c r="I738" s="28">
        <v>4</v>
      </c>
      <c r="J738" s="40" t="str">
        <f t="shared" si="70"/>
        <v>Weekday</v>
      </c>
      <c r="K738" s="28" t="b">
        <v>0</v>
      </c>
      <c r="L738" s="28">
        <v>1</v>
      </c>
      <c r="M738" s="40" t="str" cm="1">
        <f t="array" ref="M738">_xlfn.IFS(L738=1,"Clear / Partly Cloudy",L738=2,"Mist / Cloudy",L738=3,"Light Snow / Rain",L738=4,"Heavy Precipitation")</f>
        <v>Clear / Partly Cloudy</v>
      </c>
      <c r="N738" s="28">
        <v>0.2</v>
      </c>
      <c r="O738" s="28" t="str">
        <f t="shared" si="71"/>
        <v>Mild</v>
      </c>
      <c r="P738" s="28">
        <v>0.16669999999999999</v>
      </c>
      <c r="Q738" s="38">
        <f t="shared" si="67"/>
        <v>0.16669999999999999</v>
      </c>
      <c r="R738" s="28">
        <v>0.4</v>
      </c>
      <c r="S738" s="28">
        <v>0.44779999999999998</v>
      </c>
      <c r="T738" s="40" t="str" cm="1">
        <f t="array" ref="T738">_xlfn.IFS(S738*18.6&lt;2,"Calm",S738*18.6&lt;6,"Light Breeze",S738*18.6&lt;14,"Gale",TRUE,"Extreme Storm")</f>
        <v>Gale</v>
      </c>
      <c r="U738" s="28">
        <v>1</v>
      </c>
      <c r="V738" s="28">
        <v>11</v>
      </c>
      <c r="W738" s="28">
        <v>12</v>
      </c>
      <c r="X738" s="44">
        <f>AVERAGE(INDEX($W:$W,MAX(ROW($W$3),ROW()-23)):INDEX($W:$W,ROW()))</f>
        <v>64</v>
      </c>
      <c r="Y738" s="44">
        <f>_xlfn.STDEV.S(INDEX($W:$W,MAX(ROW($W$3),ROW()-23)):INDEX($W:$W,ROW()))</f>
        <v>55.15905854100879</v>
      </c>
      <c r="Z738" s="44">
        <f t="shared" si="68"/>
        <v>-0.94272820050653794</v>
      </c>
      <c r="AA738" s="40" t="b">
        <f t="shared" si="66"/>
        <v>0</v>
      </c>
    </row>
    <row r="739" spans="1:27" x14ac:dyDescent="0.3">
      <c r="A739" s="32">
        <v>737</v>
      </c>
      <c r="B739" s="33">
        <v>40577</v>
      </c>
      <c r="C739" s="40" t="str">
        <f t="shared" si="69"/>
        <v>Thursday</v>
      </c>
      <c r="D739" s="28">
        <v>1</v>
      </c>
      <c r="E739" s="40" t="str" cm="1">
        <f t="array" ref="E739">_xlfn.IFS(D739&gt;=21,"Night",D739&gt;=17,"Evening",D739&gt;=12,"Midday",D739&gt;=6,"Morning", TRUE, "Night")</f>
        <v>Night</v>
      </c>
      <c r="F739" s="28">
        <v>1</v>
      </c>
      <c r="G739" s="28">
        <v>0</v>
      </c>
      <c r="H739" s="28">
        <v>2</v>
      </c>
      <c r="I739" s="28">
        <v>4</v>
      </c>
      <c r="J739" s="40" t="str">
        <f t="shared" si="70"/>
        <v>Weekday</v>
      </c>
      <c r="K739" s="28" t="b">
        <v>0</v>
      </c>
      <c r="L739" s="28">
        <v>1</v>
      </c>
      <c r="M739" s="40" t="str" cm="1">
        <f t="array" ref="M739">_xlfn.IFS(L739=1,"Clear / Partly Cloudy",L739=2,"Mist / Cloudy",L739=3,"Light Snow / Rain",L739=4,"Heavy Precipitation")</f>
        <v>Clear / Partly Cloudy</v>
      </c>
      <c r="N739" s="28">
        <v>0.2</v>
      </c>
      <c r="O739" s="28" t="str">
        <f t="shared" si="71"/>
        <v>Mild</v>
      </c>
      <c r="P739" s="28">
        <v>0.1515</v>
      </c>
      <c r="Q739" s="38">
        <f t="shared" si="67"/>
        <v>0.1515</v>
      </c>
      <c r="R739" s="28">
        <v>0.44</v>
      </c>
      <c r="S739" s="28">
        <v>0.52239999999999998</v>
      </c>
      <c r="T739" s="40" t="str" cm="1">
        <f t="array" ref="T739">_xlfn.IFS(S739*18.6&lt;2,"Calm",S739*18.6&lt;6,"Light Breeze",S739*18.6&lt;14,"Gale",TRUE,"Extreme Storm")</f>
        <v>Gale</v>
      </c>
      <c r="U739" s="28">
        <v>0</v>
      </c>
      <c r="V739" s="28">
        <v>5</v>
      </c>
      <c r="W739" s="28">
        <v>5</v>
      </c>
      <c r="X739" s="44">
        <f>AVERAGE(INDEX($W:$W,MAX(ROW($W$3),ROW()-23)):INDEX($W:$W,ROW()))</f>
        <v>64.083333333333329</v>
      </c>
      <c r="Y739" s="44">
        <f>_xlfn.STDEV.S(INDEX($W:$W,MAX(ROW($W$3),ROW()-23)):INDEX($W:$W,ROW()))</f>
        <v>55.064323387697478</v>
      </c>
      <c r="Z739" s="44">
        <f t="shared" si="68"/>
        <v>-1.0729875479870834</v>
      </c>
      <c r="AA739" s="40" t="b">
        <f t="shared" si="66"/>
        <v>0</v>
      </c>
    </row>
    <row r="740" spans="1:27" x14ac:dyDescent="0.3">
      <c r="A740" s="32">
        <v>738</v>
      </c>
      <c r="B740" s="33">
        <v>40577</v>
      </c>
      <c r="C740" s="40" t="str">
        <f t="shared" si="69"/>
        <v>Thursday</v>
      </c>
      <c r="D740" s="28">
        <v>2</v>
      </c>
      <c r="E740" s="40" t="str" cm="1">
        <f t="array" ref="E740">_xlfn.IFS(D740&gt;=21,"Night",D740&gt;=17,"Evening",D740&gt;=12,"Midday",D740&gt;=6,"Morning", TRUE, "Night")</f>
        <v>Night</v>
      </c>
      <c r="F740" s="28">
        <v>1</v>
      </c>
      <c r="G740" s="28">
        <v>0</v>
      </c>
      <c r="H740" s="28">
        <v>2</v>
      </c>
      <c r="I740" s="28">
        <v>4</v>
      </c>
      <c r="J740" s="40" t="str">
        <f t="shared" si="70"/>
        <v>Weekday</v>
      </c>
      <c r="K740" s="28" t="b">
        <v>0</v>
      </c>
      <c r="L740" s="28">
        <v>1</v>
      </c>
      <c r="M740" s="40" t="str" cm="1">
        <f t="array" ref="M740">_xlfn.IFS(L740=1,"Clear / Partly Cloudy",L740=2,"Mist / Cloudy",L740=3,"Light Snow / Rain",L740=4,"Heavy Precipitation")</f>
        <v>Clear / Partly Cloudy</v>
      </c>
      <c r="N740" s="28">
        <v>0.18</v>
      </c>
      <c r="O740" s="28" t="str">
        <f t="shared" si="71"/>
        <v>Cold</v>
      </c>
      <c r="P740" s="28">
        <v>0.16669999999999999</v>
      </c>
      <c r="Q740" s="38">
        <f t="shared" si="67"/>
        <v>0.16669999999999999</v>
      </c>
      <c r="R740" s="28">
        <v>0.43</v>
      </c>
      <c r="S740" s="28">
        <v>0.25369999999999998</v>
      </c>
      <c r="T740" s="40" t="str" cm="1">
        <f t="array" ref="T740">_xlfn.IFS(S740*18.6&lt;2,"Calm",S740*18.6&lt;6,"Light Breeze",S740*18.6&lt;14,"Gale",TRUE,"Extreme Storm")</f>
        <v>Light Breeze</v>
      </c>
      <c r="U740" s="28">
        <v>0</v>
      </c>
      <c r="V740" s="28">
        <v>2</v>
      </c>
      <c r="W740" s="28">
        <v>2</v>
      </c>
      <c r="X740" s="44">
        <f>AVERAGE(INDEX($W:$W,MAX(ROW($W$3),ROW()-23)):INDEX($W:$W,ROW()))</f>
        <v>64</v>
      </c>
      <c r="Y740" s="44">
        <f>_xlfn.STDEV.S(INDEX($W:$W,MAX(ROW($W$3),ROW()-23)):INDEX($W:$W,ROW()))</f>
        <v>55.160634987044091</v>
      </c>
      <c r="Z740" s="44">
        <f t="shared" si="68"/>
        <v>-1.123989961583334</v>
      </c>
      <c r="AA740" s="40" t="b">
        <f t="shared" si="66"/>
        <v>0</v>
      </c>
    </row>
    <row r="741" spans="1:27" x14ac:dyDescent="0.3">
      <c r="A741" s="32">
        <v>739</v>
      </c>
      <c r="B741" s="33">
        <v>40577</v>
      </c>
      <c r="C741" s="40" t="str">
        <f t="shared" si="69"/>
        <v>Thursday</v>
      </c>
      <c r="D741" s="28">
        <v>3</v>
      </c>
      <c r="E741" s="40" t="str" cm="1">
        <f t="array" ref="E741">_xlfn.IFS(D741&gt;=21,"Night",D741&gt;=17,"Evening",D741&gt;=12,"Midday",D741&gt;=6,"Morning", TRUE, "Night")</f>
        <v>Night</v>
      </c>
      <c r="F741" s="28">
        <v>1</v>
      </c>
      <c r="G741" s="28">
        <v>0</v>
      </c>
      <c r="H741" s="28">
        <v>2</v>
      </c>
      <c r="I741" s="28">
        <v>4</v>
      </c>
      <c r="J741" s="40" t="str">
        <f t="shared" si="70"/>
        <v>Weekday</v>
      </c>
      <c r="K741" s="28" t="b">
        <v>0</v>
      </c>
      <c r="L741" s="28">
        <v>1</v>
      </c>
      <c r="M741" s="40" t="str" cm="1">
        <f t="array" ref="M741">_xlfn.IFS(L741=1,"Clear / Partly Cloudy",L741=2,"Mist / Cloudy",L741=3,"Light Snow / Rain",L741=4,"Heavy Precipitation")</f>
        <v>Clear / Partly Cloudy</v>
      </c>
      <c r="N741" s="28">
        <v>0.18</v>
      </c>
      <c r="O741" s="28" t="str">
        <f t="shared" si="71"/>
        <v>Cold</v>
      </c>
      <c r="P741" s="28">
        <v>0.16669999999999999</v>
      </c>
      <c r="Q741" s="38">
        <f t="shared" si="67"/>
        <v>0.16669999999999999</v>
      </c>
      <c r="R741" s="28">
        <v>0.43</v>
      </c>
      <c r="S741" s="28">
        <v>0.25369999999999998</v>
      </c>
      <c r="T741" s="40" t="str" cm="1">
        <f t="array" ref="T741">_xlfn.IFS(S741*18.6&lt;2,"Calm",S741*18.6&lt;6,"Light Breeze",S741*18.6&lt;14,"Gale",TRUE,"Extreme Storm")</f>
        <v>Light Breeze</v>
      </c>
      <c r="U741" s="28">
        <v>0</v>
      </c>
      <c r="V741" s="28">
        <v>1</v>
      </c>
      <c r="W741" s="28">
        <v>1</v>
      </c>
      <c r="X741" s="44">
        <f>AVERAGE(INDEX($W:$W,MAX(ROW($W$3),ROW()-23)):INDEX($W:$W,ROW()))</f>
        <v>64</v>
      </c>
      <c r="Y741" s="44">
        <f>_xlfn.STDEV.S(INDEX($W:$W,MAX(ROW($W$3),ROW()-23)):INDEX($W:$W,ROW()))</f>
        <v>55.160634987044091</v>
      </c>
      <c r="Z741" s="44">
        <f t="shared" si="68"/>
        <v>-1.1421188319314524</v>
      </c>
      <c r="AA741" s="40" t="b">
        <f t="shared" si="66"/>
        <v>0</v>
      </c>
    </row>
    <row r="742" spans="1:27" x14ac:dyDescent="0.3">
      <c r="A742" s="32">
        <v>740</v>
      </c>
      <c r="B742" s="33">
        <v>40577</v>
      </c>
      <c r="C742" s="40" t="str">
        <f t="shared" si="69"/>
        <v>Thursday</v>
      </c>
      <c r="D742" s="28">
        <v>5</v>
      </c>
      <c r="E742" s="40" t="str" cm="1">
        <f t="array" ref="E742">_xlfn.IFS(D742&gt;=21,"Night",D742&gt;=17,"Evening",D742&gt;=12,"Midday",D742&gt;=6,"Morning", TRUE, "Night")</f>
        <v>Night</v>
      </c>
      <c r="F742" s="28">
        <v>1</v>
      </c>
      <c r="G742" s="28">
        <v>0</v>
      </c>
      <c r="H742" s="28">
        <v>2</v>
      </c>
      <c r="I742" s="28">
        <v>4</v>
      </c>
      <c r="J742" s="40" t="str">
        <f t="shared" si="70"/>
        <v>Weekday</v>
      </c>
      <c r="K742" s="28" t="b">
        <v>0</v>
      </c>
      <c r="L742" s="28">
        <v>1</v>
      </c>
      <c r="M742" s="40" t="str" cm="1">
        <f t="array" ref="M742">_xlfn.IFS(L742=1,"Clear / Partly Cloudy",L742=2,"Mist / Cloudy",L742=3,"Light Snow / Rain",L742=4,"Heavy Precipitation")</f>
        <v>Clear / Partly Cloudy</v>
      </c>
      <c r="N742" s="28">
        <v>0.16</v>
      </c>
      <c r="O742" s="28" t="str">
        <f t="shared" si="71"/>
        <v>Cold</v>
      </c>
      <c r="P742" s="28">
        <v>0.13639999999999999</v>
      </c>
      <c r="Q742" s="38">
        <f t="shared" si="67"/>
        <v>0.13639999999999999</v>
      </c>
      <c r="R742" s="28">
        <v>0.5</v>
      </c>
      <c r="S742" s="28">
        <v>0.29849999999999999</v>
      </c>
      <c r="T742" s="40" t="str" cm="1">
        <f t="array" ref="T742">_xlfn.IFS(S742*18.6&lt;2,"Calm",S742*18.6&lt;6,"Light Breeze",S742*18.6&lt;14,"Gale",TRUE,"Extreme Storm")</f>
        <v>Light Breeze</v>
      </c>
      <c r="U742" s="28">
        <v>0</v>
      </c>
      <c r="V742" s="28">
        <v>2</v>
      </c>
      <c r="W742" s="28">
        <v>2</v>
      </c>
      <c r="X742" s="44">
        <f>AVERAGE(INDEX($W:$W,MAX(ROW($W$3),ROW()-23)):INDEX($W:$W,ROW()))</f>
        <v>64.041666666666671</v>
      </c>
      <c r="Y742" s="44">
        <f>_xlfn.STDEV.S(INDEX($W:$W,MAX(ROW($W$3),ROW()-23)):INDEX($W:$W,ROW()))</f>
        <v>55.111333298796303</v>
      </c>
      <c r="Z742" s="44">
        <f t="shared" si="68"/>
        <v>-1.1257515097719788</v>
      </c>
      <c r="AA742" s="40" t="b">
        <f t="shared" si="66"/>
        <v>0</v>
      </c>
    </row>
    <row r="743" spans="1:27" x14ac:dyDescent="0.3">
      <c r="A743" s="32">
        <v>741</v>
      </c>
      <c r="B743" s="33">
        <v>40577</v>
      </c>
      <c r="C743" s="40" t="str">
        <f t="shared" si="69"/>
        <v>Thursday</v>
      </c>
      <c r="D743" s="28">
        <v>6</v>
      </c>
      <c r="E743" s="40" t="str" cm="1">
        <f t="array" ref="E743">_xlfn.IFS(D743&gt;=21,"Night",D743&gt;=17,"Evening",D743&gt;=12,"Midday",D743&gt;=6,"Morning", TRUE, "Night")</f>
        <v>Morning</v>
      </c>
      <c r="F743" s="28">
        <v>1</v>
      </c>
      <c r="G743" s="28">
        <v>0</v>
      </c>
      <c r="H743" s="28">
        <v>2</v>
      </c>
      <c r="I743" s="28">
        <v>4</v>
      </c>
      <c r="J743" s="40" t="str">
        <f t="shared" si="70"/>
        <v>Weekday</v>
      </c>
      <c r="K743" s="28" t="b">
        <v>0</v>
      </c>
      <c r="L743" s="28">
        <v>1</v>
      </c>
      <c r="M743" s="40" t="str" cm="1">
        <f t="array" ref="M743">_xlfn.IFS(L743=1,"Clear / Partly Cloudy",L743=2,"Mist / Cloudy",L743=3,"Light Snow / Rain",L743=4,"Heavy Precipitation")</f>
        <v>Clear / Partly Cloudy</v>
      </c>
      <c r="N743" s="28">
        <v>0.16</v>
      </c>
      <c r="O743" s="28" t="str">
        <f t="shared" si="71"/>
        <v>Cold</v>
      </c>
      <c r="P743" s="28">
        <v>0.13639999999999999</v>
      </c>
      <c r="Q743" s="38">
        <f t="shared" si="67"/>
        <v>0.13639999999999999</v>
      </c>
      <c r="R743" s="28">
        <v>0.43</v>
      </c>
      <c r="S743" s="28">
        <v>0.35820000000000002</v>
      </c>
      <c r="T743" s="40" t="str" cm="1">
        <f t="array" ref="T743">_xlfn.IFS(S743*18.6&lt;2,"Calm",S743*18.6&lt;6,"Light Breeze",S743*18.6&lt;14,"Gale",TRUE,"Extreme Storm")</f>
        <v>Gale</v>
      </c>
      <c r="U743" s="28">
        <v>0</v>
      </c>
      <c r="V743" s="28">
        <v>39</v>
      </c>
      <c r="W743" s="28">
        <v>39</v>
      </c>
      <c r="X743" s="44">
        <f>AVERAGE(INDEX($W:$W,MAX(ROW($W$3),ROW()-23)):INDEX($W:$W,ROW()))</f>
        <v>65.541666666666671</v>
      </c>
      <c r="Y743" s="44">
        <f>_xlfn.STDEV.S(INDEX($W:$W,MAX(ROW($W$3),ROW()-23)):INDEX($W:$W,ROW()))</f>
        <v>53.853245969479637</v>
      </c>
      <c r="Z743" s="44">
        <f t="shared" si="68"/>
        <v>-0.49285175273759146</v>
      </c>
      <c r="AA743" s="40" t="b">
        <f t="shared" si="66"/>
        <v>0</v>
      </c>
    </row>
    <row r="744" spans="1:27" x14ac:dyDescent="0.3">
      <c r="A744" s="32">
        <v>742</v>
      </c>
      <c r="B744" s="33">
        <v>40577</v>
      </c>
      <c r="C744" s="40" t="str">
        <f t="shared" si="69"/>
        <v>Thursday</v>
      </c>
      <c r="D744" s="28">
        <v>7</v>
      </c>
      <c r="E744" s="40" t="str" cm="1">
        <f t="array" ref="E744">_xlfn.IFS(D744&gt;=21,"Night",D744&gt;=17,"Evening",D744&gt;=12,"Midday",D744&gt;=6,"Morning", TRUE, "Night")</f>
        <v>Morning</v>
      </c>
      <c r="F744" s="28">
        <v>1</v>
      </c>
      <c r="G744" s="28">
        <v>0</v>
      </c>
      <c r="H744" s="28">
        <v>2</v>
      </c>
      <c r="I744" s="28">
        <v>4</v>
      </c>
      <c r="J744" s="40" t="str">
        <f t="shared" si="70"/>
        <v>Weekday</v>
      </c>
      <c r="K744" s="28" t="b">
        <v>0</v>
      </c>
      <c r="L744" s="28">
        <v>1</v>
      </c>
      <c r="M744" s="40" t="str" cm="1">
        <f t="array" ref="M744">_xlfn.IFS(L744=1,"Clear / Partly Cloudy",L744=2,"Mist / Cloudy",L744=3,"Light Snow / Rain",L744=4,"Heavy Precipitation")</f>
        <v>Clear / Partly Cloudy</v>
      </c>
      <c r="N744" s="28">
        <v>0.14000000000000001</v>
      </c>
      <c r="O744" s="28" t="str">
        <f t="shared" si="71"/>
        <v>Cold</v>
      </c>
      <c r="P744" s="28">
        <v>0.1212</v>
      </c>
      <c r="Q744" s="38">
        <f t="shared" si="67"/>
        <v>0.1212</v>
      </c>
      <c r="R744" s="28">
        <v>0.5</v>
      </c>
      <c r="S744" s="28">
        <v>0.32840000000000003</v>
      </c>
      <c r="T744" s="40" t="str" cm="1">
        <f t="array" ref="T744">_xlfn.IFS(S744*18.6&lt;2,"Calm",S744*18.6&lt;6,"Light Breeze",S744*18.6&lt;14,"Gale",TRUE,"Extreme Storm")</f>
        <v>Gale</v>
      </c>
      <c r="U744" s="28">
        <v>1</v>
      </c>
      <c r="V744" s="28">
        <v>86</v>
      </c>
      <c r="W744" s="28">
        <v>87</v>
      </c>
      <c r="X744" s="44">
        <f>AVERAGE(INDEX($W:$W,MAX(ROW($W$3),ROW()-23)):INDEX($W:$W,ROW()))</f>
        <v>68.416666666666671</v>
      </c>
      <c r="Y744" s="44">
        <f>_xlfn.STDEV.S(INDEX($W:$W,MAX(ROW($W$3),ROW()-23)):INDEX($W:$W,ROW()))</f>
        <v>53.040523201126845</v>
      </c>
      <c r="Z744" s="44">
        <f t="shared" si="68"/>
        <v>0.35036104871866208</v>
      </c>
      <c r="AA744" s="40" t="b">
        <f t="shared" si="66"/>
        <v>0</v>
      </c>
    </row>
    <row r="745" spans="1:27" x14ac:dyDescent="0.3">
      <c r="A745" s="32">
        <v>743</v>
      </c>
      <c r="B745" s="33">
        <v>40577</v>
      </c>
      <c r="C745" s="40" t="str">
        <f t="shared" si="69"/>
        <v>Thursday</v>
      </c>
      <c r="D745" s="28">
        <v>8</v>
      </c>
      <c r="E745" s="40" t="str" cm="1">
        <f t="array" ref="E745">_xlfn.IFS(D745&gt;=21,"Night",D745&gt;=17,"Evening",D745&gt;=12,"Midday",D745&gt;=6,"Morning", TRUE, "Night")</f>
        <v>Morning</v>
      </c>
      <c r="F745" s="28">
        <v>1</v>
      </c>
      <c r="G745" s="28">
        <v>0</v>
      </c>
      <c r="H745" s="28">
        <v>2</v>
      </c>
      <c r="I745" s="28">
        <v>4</v>
      </c>
      <c r="J745" s="40" t="str">
        <f t="shared" si="70"/>
        <v>Weekday</v>
      </c>
      <c r="K745" s="28" t="b">
        <v>0</v>
      </c>
      <c r="L745" s="28">
        <v>1</v>
      </c>
      <c r="M745" s="40" t="str" cm="1">
        <f t="array" ref="M745">_xlfn.IFS(L745=1,"Clear / Partly Cloudy",L745=2,"Mist / Cloudy",L745=3,"Light Snow / Rain",L745=4,"Heavy Precipitation")</f>
        <v>Clear / Partly Cloudy</v>
      </c>
      <c r="N745" s="28">
        <v>0.14000000000000001</v>
      </c>
      <c r="O745" s="28" t="str">
        <f t="shared" si="71"/>
        <v>Cold</v>
      </c>
      <c r="P745" s="28">
        <v>0.1212</v>
      </c>
      <c r="Q745" s="38">
        <f t="shared" si="67"/>
        <v>0.1212</v>
      </c>
      <c r="R745" s="28">
        <v>0.5</v>
      </c>
      <c r="S745" s="28">
        <v>0.35820000000000002</v>
      </c>
      <c r="T745" s="40" t="str" cm="1">
        <f t="array" ref="T745">_xlfn.IFS(S745*18.6&lt;2,"Calm",S745*18.6&lt;6,"Light Breeze",S745*18.6&lt;14,"Gale",TRUE,"Extreme Storm")</f>
        <v>Gale</v>
      </c>
      <c r="U745" s="28">
        <v>4</v>
      </c>
      <c r="V745" s="28">
        <v>184</v>
      </c>
      <c r="W745" s="28">
        <v>188</v>
      </c>
      <c r="X745" s="44">
        <f>AVERAGE(INDEX($W:$W,MAX(ROW($W$3),ROW()-23)):INDEX($W:$W,ROW()))</f>
        <v>74.208333333333329</v>
      </c>
      <c r="Y745" s="44">
        <f>_xlfn.STDEV.S(INDEX($W:$W,MAX(ROW($W$3),ROW()-23)):INDEX($W:$W,ROW()))</f>
        <v>58.169153013593387</v>
      </c>
      <c r="Z745" s="44">
        <f t="shared" si="68"/>
        <v>1.9562201058708042</v>
      </c>
      <c r="AA745" s="40" t="b">
        <f t="shared" si="66"/>
        <v>0</v>
      </c>
    </row>
    <row r="746" spans="1:27" x14ac:dyDescent="0.3">
      <c r="A746" s="32">
        <v>744</v>
      </c>
      <c r="B746" s="33">
        <v>40577</v>
      </c>
      <c r="C746" s="40" t="str">
        <f t="shared" si="69"/>
        <v>Thursday</v>
      </c>
      <c r="D746" s="28">
        <v>9</v>
      </c>
      <c r="E746" s="40" t="str" cm="1">
        <f t="array" ref="E746">_xlfn.IFS(D746&gt;=21,"Night",D746&gt;=17,"Evening",D746&gt;=12,"Midday",D746&gt;=6,"Morning", TRUE, "Night")</f>
        <v>Morning</v>
      </c>
      <c r="F746" s="28">
        <v>1</v>
      </c>
      <c r="G746" s="28">
        <v>0</v>
      </c>
      <c r="H746" s="28">
        <v>2</v>
      </c>
      <c r="I746" s="28">
        <v>4</v>
      </c>
      <c r="J746" s="40" t="str">
        <f t="shared" si="70"/>
        <v>Weekday</v>
      </c>
      <c r="K746" s="28" t="b">
        <v>0</v>
      </c>
      <c r="L746" s="28">
        <v>1</v>
      </c>
      <c r="M746" s="40" t="str" cm="1">
        <f t="array" ref="M746">_xlfn.IFS(L746=1,"Clear / Partly Cloudy",L746=2,"Mist / Cloudy",L746=3,"Light Snow / Rain",L746=4,"Heavy Precipitation")</f>
        <v>Clear / Partly Cloudy</v>
      </c>
      <c r="N746" s="28">
        <v>0.16</v>
      </c>
      <c r="O746" s="28" t="str">
        <f t="shared" si="71"/>
        <v>Cold</v>
      </c>
      <c r="P746" s="28">
        <v>0.13639999999999999</v>
      </c>
      <c r="Q746" s="38">
        <f t="shared" si="67"/>
        <v>0.13639999999999999</v>
      </c>
      <c r="R746" s="28">
        <v>0.47</v>
      </c>
      <c r="S746" s="28">
        <v>0.29849999999999999</v>
      </c>
      <c r="T746" s="40" t="str" cm="1">
        <f t="array" ref="T746">_xlfn.IFS(S746*18.6&lt;2,"Calm",S746*18.6&lt;6,"Light Breeze",S746*18.6&lt;14,"Gale",TRUE,"Extreme Storm")</f>
        <v>Light Breeze</v>
      </c>
      <c r="U746" s="28">
        <v>6</v>
      </c>
      <c r="V746" s="28">
        <v>127</v>
      </c>
      <c r="W746" s="28">
        <v>133</v>
      </c>
      <c r="X746" s="44">
        <f>AVERAGE(INDEX($W:$W,MAX(ROW($W$3),ROW()-23)):INDEX($W:$W,ROW()))</f>
        <v>73.291666666666671</v>
      </c>
      <c r="Y746" s="44">
        <f>_xlfn.STDEV.S(INDEX($W:$W,MAX(ROW($W$3),ROW()-23)):INDEX($W:$W,ROW()))</f>
        <v>57.002272393046006</v>
      </c>
      <c r="Z746" s="44">
        <f t="shared" si="68"/>
        <v>1.0474728607594501</v>
      </c>
      <c r="AA746" s="40" t="b">
        <f t="shared" si="66"/>
        <v>0</v>
      </c>
    </row>
    <row r="747" spans="1:27" x14ac:dyDescent="0.3">
      <c r="A747" s="32">
        <v>745</v>
      </c>
      <c r="B747" s="33">
        <v>40577</v>
      </c>
      <c r="C747" s="40" t="str">
        <f t="shared" si="69"/>
        <v>Thursday</v>
      </c>
      <c r="D747" s="28">
        <v>10</v>
      </c>
      <c r="E747" s="40" t="str" cm="1">
        <f t="array" ref="E747">_xlfn.IFS(D747&gt;=21,"Night",D747&gt;=17,"Evening",D747&gt;=12,"Midday",D747&gt;=6,"Morning", TRUE, "Night")</f>
        <v>Morning</v>
      </c>
      <c r="F747" s="28">
        <v>1</v>
      </c>
      <c r="G747" s="28">
        <v>0</v>
      </c>
      <c r="H747" s="28">
        <v>2</v>
      </c>
      <c r="I747" s="28">
        <v>4</v>
      </c>
      <c r="J747" s="40" t="str">
        <f t="shared" si="70"/>
        <v>Weekday</v>
      </c>
      <c r="K747" s="28" t="b">
        <v>0</v>
      </c>
      <c r="L747" s="28">
        <v>1</v>
      </c>
      <c r="M747" s="40" t="str" cm="1">
        <f t="array" ref="M747">_xlfn.IFS(L747=1,"Clear / Partly Cloudy",L747=2,"Mist / Cloudy",L747=3,"Light Snow / Rain",L747=4,"Heavy Precipitation")</f>
        <v>Clear / Partly Cloudy</v>
      </c>
      <c r="N747" s="28">
        <v>0.18</v>
      </c>
      <c r="O747" s="28" t="str">
        <f t="shared" si="71"/>
        <v>Cold</v>
      </c>
      <c r="P747" s="28">
        <v>0.1515</v>
      </c>
      <c r="Q747" s="38">
        <f t="shared" si="67"/>
        <v>0.1515</v>
      </c>
      <c r="R747" s="28">
        <v>0.43</v>
      </c>
      <c r="S747" s="28">
        <v>0.32840000000000003</v>
      </c>
      <c r="T747" s="40" t="str" cm="1">
        <f t="array" ref="T747">_xlfn.IFS(S747*18.6&lt;2,"Calm",S747*18.6&lt;6,"Light Breeze",S747*18.6&lt;14,"Gale",TRUE,"Extreme Storm")</f>
        <v>Gale</v>
      </c>
      <c r="U747" s="28">
        <v>2</v>
      </c>
      <c r="V747" s="28">
        <v>50</v>
      </c>
      <c r="W747" s="28">
        <v>52</v>
      </c>
      <c r="X747" s="44">
        <f>AVERAGE(INDEX($W:$W,MAX(ROW($W$3),ROW()-23)):INDEX($W:$W,ROW()))</f>
        <v>70.333333333333329</v>
      </c>
      <c r="Y747" s="44">
        <f>_xlfn.STDEV.S(INDEX($W:$W,MAX(ROW($W$3),ROW()-23)):INDEX($W:$W,ROW()))</f>
        <v>56.146289254958326</v>
      </c>
      <c r="Z747" s="44">
        <f t="shared" si="68"/>
        <v>-0.32652796073632412</v>
      </c>
      <c r="AA747" s="40" t="b">
        <f t="shared" si="66"/>
        <v>0</v>
      </c>
    </row>
    <row r="748" spans="1:27" x14ac:dyDescent="0.3">
      <c r="A748" s="32">
        <v>746</v>
      </c>
      <c r="B748" s="33">
        <v>40577</v>
      </c>
      <c r="C748" s="40" t="str">
        <f t="shared" si="69"/>
        <v>Thursday</v>
      </c>
      <c r="D748" s="28">
        <v>11</v>
      </c>
      <c r="E748" s="40" t="str" cm="1">
        <f t="array" ref="E748">_xlfn.IFS(D748&gt;=21,"Night",D748&gt;=17,"Evening",D748&gt;=12,"Midday",D748&gt;=6,"Morning", TRUE, "Night")</f>
        <v>Morning</v>
      </c>
      <c r="F748" s="28">
        <v>1</v>
      </c>
      <c r="G748" s="28">
        <v>0</v>
      </c>
      <c r="H748" s="28">
        <v>2</v>
      </c>
      <c r="I748" s="28">
        <v>4</v>
      </c>
      <c r="J748" s="40" t="str">
        <f t="shared" si="70"/>
        <v>Weekday</v>
      </c>
      <c r="K748" s="28" t="b">
        <v>0</v>
      </c>
      <c r="L748" s="28">
        <v>1</v>
      </c>
      <c r="M748" s="40" t="str" cm="1">
        <f t="array" ref="M748">_xlfn.IFS(L748=1,"Clear / Partly Cloudy",L748=2,"Mist / Cloudy",L748=3,"Light Snow / Rain",L748=4,"Heavy Precipitation")</f>
        <v>Clear / Partly Cloudy</v>
      </c>
      <c r="N748" s="28">
        <v>0.18</v>
      </c>
      <c r="O748" s="28" t="str">
        <f t="shared" si="71"/>
        <v>Cold</v>
      </c>
      <c r="P748" s="28">
        <v>0.13639999999999999</v>
      </c>
      <c r="Q748" s="38">
        <f t="shared" si="67"/>
        <v>0.13639999999999999</v>
      </c>
      <c r="R748" s="28">
        <v>0.43</v>
      </c>
      <c r="S748" s="28">
        <v>0.44779999999999998</v>
      </c>
      <c r="T748" s="40" t="str" cm="1">
        <f t="array" ref="T748">_xlfn.IFS(S748*18.6&lt;2,"Calm",S748*18.6&lt;6,"Light Breeze",S748*18.6&lt;14,"Gale",TRUE,"Extreme Storm")</f>
        <v>Gale</v>
      </c>
      <c r="U748" s="28">
        <v>9</v>
      </c>
      <c r="V748" s="28">
        <v>55</v>
      </c>
      <c r="W748" s="28">
        <v>64</v>
      </c>
      <c r="X748" s="44">
        <f>AVERAGE(INDEX($W:$W,MAX(ROW($W$3),ROW()-23)):INDEX($W:$W,ROW()))</f>
        <v>70.458333333333329</v>
      </c>
      <c r="Y748" s="44">
        <f>_xlfn.STDEV.S(INDEX($W:$W,MAX(ROW($W$3),ROW()-23)):INDEX($W:$W,ROW()))</f>
        <v>56.127943259064409</v>
      </c>
      <c r="Z748" s="44">
        <f t="shared" si="68"/>
        <v>-0.11506449298389955</v>
      </c>
      <c r="AA748" s="40" t="b">
        <f t="shared" si="66"/>
        <v>0</v>
      </c>
    </row>
    <row r="749" spans="1:27" x14ac:dyDescent="0.3">
      <c r="A749" s="32">
        <v>747</v>
      </c>
      <c r="B749" s="33">
        <v>40577</v>
      </c>
      <c r="C749" s="40" t="str">
        <f t="shared" si="69"/>
        <v>Thursday</v>
      </c>
      <c r="D749" s="28">
        <v>12</v>
      </c>
      <c r="E749" s="40" t="str" cm="1">
        <f t="array" ref="E749">_xlfn.IFS(D749&gt;=21,"Night",D749&gt;=17,"Evening",D749&gt;=12,"Midday",D749&gt;=6,"Morning", TRUE, "Night")</f>
        <v>Midday</v>
      </c>
      <c r="F749" s="28">
        <v>1</v>
      </c>
      <c r="G749" s="28">
        <v>0</v>
      </c>
      <c r="H749" s="28">
        <v>2</v>
      </c>
      <c r="I749" s="28">
        <v>4</v>
      </c>
      <c r="J749" s="40" t="str">
        <f t="shared" si="70"/>
        <v>Weekday</v>
      </c>
      <c r="K749" s="28" t="b">
        <v>0</v>
      </c>
      <c r="L749" s="28">
        <v>1</v>
      </c>
      <c r="M749" s="40" t="str" cm="1">
        <f t="array" ref="M749">_xlfn.IFS(L749=1,"Clear / Partly Cloudy",L749=2,"Mist / Cloudy",L749=3,"Light Snow / Rain",L749=4,"Heavy Precipitation")</f>
        <v>Clear / Partly Cloudy</v>
      </c>
      <c r="N749" s="28">
        <v>0.2</v>
      </c>
      <c r="O749" s="28" t="str">
        <f t="shared" si="71"/>
        <v>Mild</v>
      </c>
      <c r="P749" s="28">
        <v>0.18179999999999999</v>
      </c>
      <c r="Q749" s="38">
        <f t="shared" si="67"/>
        <v>0.18179999999999999</v>
      </c>
      <c r="R749" s="28">
        <v>0.4</v>
      </c>
      <c r="S749" s="28">
        <v>0.35820000000000002</v>
      </c>
      <c r="T749" s="40" t="str" cm="1">
        <f t="array" ref="T749">_xlfn.IFS(S749*18.6&lt;2,"Calm",S749*18.6&lt;6,"Light Breeze",S749*18.6&lt;14,"Gale",TRUE,"Extreme Storm")</f>
        <v>Gale</v>
      </c>
      <c r="U749" s="28">
        <v>2</v>
      </c>
      <c r="V749" s="28">
        <v>67</v>
      </c>
      <c r="W749" s="28">
        <v>69</v>
      </c>
      <c r="X749" s="44">
        <f>AVERAGE(INDEX($W:$W,MAX(ROW($W$3),ROW()-23)):INDEX($W:$W,ROW()))</f>
        <v>71.166666666666671</v>
      </c>
      <c r="Y749" s="44">
        <f>_xlfn.STDEV.S(INDEX($W:$W,MAX(ROW($W$3),ROW()-23)):INDEX($W:$W,ROW()))</f>
        <v>55.991976650903851</v>
      </c>
      <c r="Z749" s="44">
        <f t="shared" si="68"/>
        <v>-3.8696020327614135E-2</v>
      </c>
      <c r="AA749" s="40" t="b">
        <f t="shared" si="66"/>
        <v>0</v>
      </c>
    </row>
    <row r="750" spans="1:27" x14ac:dyDescent="0.3">
      <c r="A750" s="32">
        <v>748</v>
      </c>
      <c r="B750" s="33">
        <v>40577</v>
      </c>
      <c r="C750" s="40" t="str">
        <f t="shared" si="69"/>
        <v>Thursday</v>
      </c>
      <c r="D750" s="28">
        <v>13</v>
      </c>
      <c r="E750" s="40" t="str" cm="1">
        <f t="array" ref="E750">_xlfn.IFS(D750&gt;=21,"Night",D750&gt;=17,"Evening",D750&gt;=12,"Midday",D750&gt;=6,"Morning", TRUE, "Night")</f>
        <v>Midday</v>
      </c>
      <c r="F750" s="28">
        <v>1</v>
      </c>
      <c r="G750" s="28">
        <v>0</v>
      </c>
      <c r="H750" s="28">
        <v>2</v>
      </c>
      <c r="I750" s="28">
        <v>4</v>
      </c>
      <c r="J750" s="40" t="str">
        <f t="shared" si="70"/>
        <v>Weekday</v>
      </c>
      <c r="K750" s="28" t="b">
        <v>0</v>
      </c>
      <c r="L750" s="28">
        <v>1</v>
      </c>
      <c r="M750" s="40" t="str" cm="1">
        <f t="array" ref="M750">_xlfn.IFS(L750=1,"Clear / Partly Cloudy",L750=2,"Mist / Cloudy",L750=3,"Light Snow / Rain",L750=4,"Heavy Precipitation")</f>
        <v>Clear / Partly Cloudy</v>
      </c>
      <c r="N750" s="28">
        <v>0.2</v>
      </c>
      <c r="O750" s="28" t="str">
        <f t="shared" si="71"/>
        <v>Mild</v>
      </c>
      <c r="P750" s="28">
        <v>0.16669999999999999</v>
      </c>
      <c r="Q750" s="38">
        <f t="shared" si="67"/>
        <v>0.16669999999999999</v>
      </c>
      <c r="R750" s="28">
        <v>0.4</v>
      </c>
      <c r="S750" s="28">
        <v>0.41789999999999999</v>
      </c>
      <c r="T750" s="40" t="str" cm="1">
        <f t="array" ref="T750">_xlfn.IFS(S750*18.6&lt;2,"Calm",S750*18.6&lt;6,"Light Breeze",S750*18.6&lt;14,"Gale",TRUE,"Extreme Storm")</f>
        <v>Gale</v>
      </c>
      <c r="U750" s="28">
        <v>4</v>
      </c>
      <c r="V750" s="28">
        <v>47</v>
      </c>
      <c r="W750" s="28">
        <v>51</v>
      </c>
      <c r="X750" s="44">
        <f>AVERAGE(INDEX($W:$W,MAX(ROW($W$3),ROW()-23)):INDEX($W:$W,ROW()))</f>
        <v>70.625</v>
      </c>
      <c r="Y750" s="44">
        <f>_xlfn.STDEV.S(INDEX($W:$W,MAX(ROW($W$3),ROW()-23)):INDEX($W:$W,ROW()))</f>
        <v>56.127039519445454</v>
      </c>
      <c r="Z750" s="44">
        <f t="shared" si="68"/>
        <v>-0.3496532182710409</v>
      </c>
      <c r="AA750" s="40" t="b">
        <f t="shared" si="66"/>
        <v>0</v>
      </c>
    </row>
    <row r="751" spans="1:27" x14ac:dyDescent="0.3">
      <c r="A751" s="32">
        <v>749</v>
      </c>
      <c r="B751" s="33">
        <v>40577</v>
      </c>
      <c r="C751" s="40" t="str">
        <f t="shared" si="69"/>
        <v>Thursday</v>
      </c>
      <c r="D751" s="28">
        <v>14</v>
      </c>
      <c r="E751" s="40" t="str" cm="1">
        <f t="array" ref="E751">_xlfn.IFS(D751&gt;=21,"Night",D751&gt;=17,"Evening",D751&gt;=12,"Midday",D751&gt;=6,"Morning", TRUE, "Night")</f>
        <v>Midday</v>
      </c>
      <c r="F751" s="28">
        <v>1</v>
      </c>
      <c r="G751" s="28">
        <v>0</v>
      </c>
      <c r="H751" s="28">
        <v>2</v>
      </c>
      <c r="I751" s="28">
        <v>4</v>
      </c>
      <c r="J751" s="40" t="str">
        <f t="shared" si="70"/>
        <v>Weekday</v>
      </c>
      <c r="K751" s="28" t="b">
        <v>0</v>
      </c>
      <c r="L751" s="28">
        <v>1</v>
      </c>
      <c r="M751" s="40" t="str" cm="1">
        <f t="array" ref="M751">_xlfn.IFS(L751=1,"Clear / Partly Cloudy",L751=2,"Mist / Cloudy",L751=3,"Light Snow / Rain",L751=4,"Heavy Precipitation")</f>
        <v>Clear / Partly Cloudy</v>
      </c>
      <c r="N751" s="28">
        <v>0.22</v>
      </c>
      <c r="O751" s="28" t="str">
        <f t="shared" si="71"/>
        <v>Mild</v>
      </c>
      <c r="P751" s="28">
        <v>0.19700000000000001</v>
      </c>
      <c r="Q751" s="38">
        <f t="shared" si="67"/>
        <v>0.19700000000000001</v>
      </c>
      <c r="R751" s="28">
        <v>0.37</v>
      </c>
      <c r="S751" s="28">
        <v>0.3881</v>
      </c>
      <c r="T751" s="40" t="str" cm="1">
        <f t="array" ref="T751">_xlfn.IFS(S751*18.6&lt;2,"Calm",S751*18.6&lt;6,"Light Breeze",S751*18.6&lt;14,"Gale",TRUE,"Extreme Storm")</f>
        <v>Gale</v>
      </c>
      <c r="U751" s="28">
        <v>4</v>
      </c>
      <c r="V751" s="28">
        <v>43</v>
      </c>
      <c r="W751" s="28">
        <v>47</v>
      </c>
      <c r="X751" s="44">
        <f>AVERAGE(INDEX($W:$W,MAX(ROW($W$3),ROW()-23)):INDEX($W:$W,ROW()))</f>
        <v>69.458333333333329</v>
      </c>
      <c r="Y751" s="44">
        <f>_xlfn.STDEV.S(INDEX($W:$W,MAX(ROW($W$3),ROW()-23)):INDEX($W:$W,ROW()))</f>
        <v>56.322811168930606</v>
      </c>
      <c r="Z751" s="44">
        <f t="shared" si="68"/>
        <v>-0.3987431178811976</v>
      </c>
      <c r="AA751" s="40" t="b">
        <f t="shared" si="66"/>
        <v>0</v>
      </c>
    </row>
    <row r="752" spans="1:27" x14ac:dyDescent="0.3">
      <c r="A752" s="32">
        <v>750</v>
      </c>
      <c r="B752" s="33">
        <v>40577</v>
      </c>
      <c r="C752" s="40" t="str">
        <f t="shared" si="69"/>
        <v>Thursday</v>
      </c>
      <c r="D752" s="28">
        <v>15</v>
      </c>
      <c r="E752" s="40" t="str" cm="1">
        <f t="array" ref="E752">_xlfn.IFS(D752&gt;=21,"Night",D752&gt;=17,"Evening",D752&gt;=12,"Midday",D752&gt;=6,"Morning", TRUE, "Night")</f>
        <v>Midday</v>
      </c>
      <c r="F752" s="28">
        <v>1</v>
      </c>
      <c r="G752" s="28">
        <v>0</v>
      </c>
      <c r="H752" s="28">
        <v>2</v>
      </c>
      <c r="I752" s="28">
        <v>4</v>
      </c>
      <c r="J752" s="40" t="str">
        <f t="shared" si="70"/>
        <v>Weekday</v>
      </c>
      <c r="K752" s="28" t="b">
        <v>0</v>
      </c>
      <c r="L752" s="28">
        <v>1</v>
      </c>
      <c r="M752" s="40" t="str" cm="1">
        <f t="array" ref="M752">_xlfn.IFS(L752=1,"Clear / Partly Cloudy",L752=2,"Mist / Cloudy",L752=3,"Light Snow / Rain",L752=4,"Heavy Precipitation")</f>
        <v>Clear / Partly Cloudy</v>
      </c>
      <c r="N752" s="28">
        <v>0.22</v>
      </c>
      <c r="O752" s="28" t="str">
        <f t="shared" si="71"/>
        <v>Mild</v>
      </c>
      <c r="P752" s="28">
        <v>0.19700000000000001</v>
      </c>
      <c r="Q752" s="38">
        <f t="shared" si="67"/>
        <v>0.19700000000000001</v>
      </c>
      <c r="R752" s="28">
        <v>0.37</v>
      </c>
      <c r="S752" s="28">
        <v>0.32840000000000003</v>
      </c>
      <c r="T752" s="40" t="str" cm="1">
        <f t="array" ref="T752">_xlfn.IFS(S752*18.6&lt;2,"Calm",S752*18.6&lt;6,"Light Breeze",S752*18.6&lt;14,"Gale",TRUE,"Extreme Storm")</f>
        <v>Gale</v>
      </c>
      <c r="U752" s="28">
        <v>4</v>
      </c>
      <c r="V752" s="28">
        <v>56</v>
      </c>
      <c r="W752" s="28">
        <v>60</v>
      </c>
      <c r="X752" s="44">
        <f>AVERAGE(INDEX($W:$W,MAX(ROW($W$3),ROW()-23)):INDEX($W:$W,ROW()))</f>
        <v>69.333333333333329</v>
      </c>
      <c r="Y752" s="44">
        <f>_xlfn.STDEV.S(INDEX($W:$W,MAX(ROW($W$3),ROW()-23)):INDEX($W:$W,ROW()))</f>
        <v>56.341093711248718</v>
      </c>
      <c r="Z752" s="44">
        <f t="shared" si="68"/>
        <v>-0.1656576526747455</v>
      </c>
      <c r="AA752" s="40" t="b">
        <f t="shared" si="66"/>
        <v>0</v>
      </c>
    </row>
    <row r="753" spans="1:27" x14ac:dyDescent="0.3">
      <c r="A753" s="32">
        <v>751</v>
      </c>
      <c r="B753" s="33">
        <v>40577</v>
      </c>
      <c r="C753" s="40" t="str">
        <f t="shared" si="69"/>
        <v>Thursday</v>
      </c>
      <c r="D753" s="28">
        <v>16</v>
      </c>
      <c r="E753" s="40" t="str" cm="1">
        <f t="array" ref="E753">_xlfn.IFS(D753&gt;=21,"Night",D753&gt;=17,"Evening",D753&gt;=12,"Midday",D753&gt;=6,"Morning", TRUE, "Night")</f>
        <v>Midday</v>
      </c>
      <c r="F753" s="28">
        <v>1</v>
      </c>
      <c r="G753" s="28">
        <v>0</v>
      </c>
      <c r="H753" s="28">
        <v>2</v>
      </c>
      <c r="I753" s="28">
        <v>4</v>
      </c>
      <c r="J753" s="40" t="str">
        <f t="shared" si="70"/>
        <v>Weekday</v>
      </c>
      <c r="K753" s="28" t="b">
        <v>0</v>
      </c>
      <c r="L753" s="28">
        <v>1</v>
      </c>
      <c r="M753" s="40" t="str" cm="1">
        <f t="array" ref="M753">_xlfn.IFS(L753=1,"Clear / Partly Cloudy",L753=2,"Mist / Cloudy",L753=3,"Light Snow / Rain",L753=4,"Heavy Precipitation")</f>
        <v>Clear / Partly Cloudy</v>
      </c>
      <c r="N753" s="28">
        <v>0.22</v>
      </c>
      <c r="O753" s="28" t="str">
        <f t="shared" si="71"/>
        <v>Mild</v>
      </c>
      <c r="P753" s="28">
        <v>0.21210000000000001</v>
      </c>
      <c r="Q753" s="38">
        <f t="shared" si="67"/>
        <v>0.21210000000000001</v>
      </c>
      <c r="R753" s="28">
        <v>0.37</v>
      </c>
      <c r="S753" s="28">
        <v>0.25369999999999998</v>
      </c>
      <c r="T753" s="40" t="str" cm="1">
        <f t="array" ref="T753">_xlfn.IFS(S753*18.6&lt;2,"Calm",S753*18.6&lt;6,"Light Breeze",S753*18.6&lt;14,"Gale",TRUE,"Extreme Storm")</f>
        <v>Light Breeze</v>
      </c>
      <c r="U753" s="28">
        <v>5</v>
      </c>
      <c r="V753" s="28">
        <v>73</v>
      </c>
      <c r="W753" s="28">
        <v>78</v>
      </c>
      <c r="X753" s="44">
        <f>AVERAGE(INDEX($W:$W,MAX(ROW($W$3),ROW()-23)):INDEX($W:$W,ROW()))</f>
        <v>69.416666666666671</v>
      </c>
      <c r="Y753" s="44">
        <f>_xlfn.STDEV.S(INDEX($W:$W,MAX(ROW($W$3),ROW()-23)):INDEX($W:$W,ROW()))</f>
        <v>56.352860863812687</v>
      </c>
      <c r="Z753" s="44">
        <f t="shared" si="68"/>
        <v>0.15231406536886516</v>
      </c>
      <c r="AA753" s="40" t="b">
        <f t="shared" si="66"/>
        <v>0</v>
      </c>
    </row>
    <row r="754" spans="1:27" x14ac:dyDescent="0.3">
      <c r="A754" s="32">
        <v>752</v>
      </c>
      <c r="B754" s="33">
        <v>40577</v>
      </c>
      <c r="C754" s="40" t="str">
        <f t="shared" si="69"/>
        <v>Thursday</v>
      </c>
      <c r="D754" s="28">
        <v>17</v>
      </c>
      <c r="E754" s="40" t="str" cm="1">
        <f t="array" ref="E754">_xlfn.IFS(D754&gt;=21,"Night",D754&gt;=17,"Evening",D754&gt;=12,"Midday",D754&gt;=6,"Morning", TRUE, "Night")</f>
        <v>Evening</v>
      </c>
      <c r="F754" s="28">
        <v>1</v>
      </c>
      <c r="G754" s="28">
        <v>0</v>
      </c>
      <c r="H754" s="28">
        <v>2</v>
      </c>
      <c r="I754" s="28">
        <v>4</v>
      </c>
      <c r="J754" s="40" t="str">
        <f t="shared" si="70"/>
        <v>Weekday</v>
      </c>
      <c r="K754" s="28" t="b">
        <v>0</v>
      </c>
      <c r="L754" s="28">
        <v>1</v>
      </c>
      <c r="M754" s="40" t="str" cm="1">
        <f t="array" ref="M754">_xlfn.IFS(L754=1,"Clear / Partly Cloudy",L754=2,"Mist / Cloudy",L754=3,"Light Snow / Rain",L754=4,"Heavy Precipitation")</f>
        <v>Clear / Partly Cloudy</v>
      </c>
      <c r="N754" s="28">
        <v>0.2</v>
      </c>
      <c r="O754" s="28" t="str">
        <f t="shared" si="71"/>
        <v>Mild</v>
      </c>
      <c r="P754" s="28">
        <v>0.19700000000000001</v>
      </c>
      <c r="Q754" s="38">
        <f t="shared" si="67"/>
        <v>0.19700000000000001</v>
      </c>
      <c r="R754" s="28">
        <v>0.4</v>
      </c>
      <c r="S754" s="28">
        <v>0.19400000000000001</v>
      </c>
      <c r="T754" s="40" t="str" cm="1">
        <f t="array" ref="T754">_xlfn.IFS(S754*18.6&lt;2,"Calm",S754*18.6&lt;6,"Light Breeze",S754*18.6&lt;14,"Gale",TRUE,"Extreme Storm")</f>
        <v>Light Breeze</v>
      </c>
      <c r="U754" s="28">
        <v>5</v>
      </c>
      <c r="V754" s="28">
        <v>170</v>
      </c>
      <c r="W754" s="28">
        <v>175</v>
      </c>
      <c r="X754" s="44">
        <f>AVERAGE(INDEX($W:$W,MAX(ROW($W$3),ROW()-23)):INDEX($W:$W,ROW()))</f>
        <v>72.416666666666671</v>
      </c>
      <c r="Y754" s="44">
        <f>_xlfn.STDEV.S(INDEX($W:$W,MAX(ROW($W$3),ROW()-23)):INDEX($W:$W,ROW()))</f>
        <v>60.015879541180176</v>
      </c>
      <c r="Z754" s="44">
        <f t="shared" si="68"/>
        <v>1.7092698485397568</v>
      </c>
      <c r="AA754" s="40" t="b">
        <f t="shared" si="66"/>
        <v>0</v>
      </c>
    </row>
    <row r="755" spans="1:27" x14ac:dyDescent="0.3">
      <c r="A755" s="32">
        <v>753</v>
      </c>
      <c r="B755" s="33">
        <v>40577</v>
      </c>
      <c r="C755" s="40" t="str">
        <f t="shared" si="69"/>
        <v>Thursday</v>
      </c>
      <c r="D755" s="28">
        <v>18</v>
      </c>
      <c r="E755" s="40" t="str" cm="1">
        <f t="array" ref="E755">_xlfn.IFS(D755&gt;=21,"Night",D755&gt;=17,"Evening",D755&gt;=12,"Midday",D755&gt;=6,"Morning", TRUE, "Night")</f>
        <v>Evening</v>
      </c>
      <c r="F755" s="28">
        <v>1</v>
      </c>
      <c r="G755" s="28">
        <v>0</v>
      </c>
      <c r="H755" s="28">
        <v>2</v>
      </c>
      <c r="I755" s="28">
        <v>4</v>
      </c>
      <c r="J755" s="40" t="str">
        <f t="shared" si="70"/>
        <v>Weekday</v>
      </c>
      <c r="K755" s="28" t="b">
        <v>0</v>
      </c>
      <c r="L755" s="28">
        <v>1</v>
      </c>
      <c r="M755" s="40" t="str" cm="1">
        <f t="array" ref="M755">_xlfn.IFS(L755=1,"Clear / Partly Cloudy",L755=2,"Mist / Cloudy",L755=3,"Light Snow / Rain",L755=4,"Heavy Precipitation")</f>
        <v>Clear / Partly Cloudy</v>
      </c>
      <c r="N755" s="28">
        <v>0.2</v>
      </c>
      <c r="O755" s="28" t="str">
        <f t="shared" si="71"/>
        <v>Mild</v>
      </c>
      <c r="P755" s="28">
        <v>0.21210000000000001</v>
      </c>
      <c r="Q755" s="38">
        <f t="shared" si="67"/>
        <v>0.21210000000000001</v>
      </c>
      <c r="R755" s="28">
        <v>0.4</v>
      </c>
      <c r="S755" s="28">
        <v>0.16420000000000001</v>
      </c>
      <c r="T755" s="40" t="str" cm="1">
        <f t="array" ref="T755">_xlfn.IFS(S755*18.6&lt;2,"Calm",S755*18.6&lt;6,"Light Breeze",S755*18.6&lt;14,"Gale",TRUE,"Extreme Storm")</f>
        <v>Light Breeze</v>
      </c>
      <c r="U755" s="28">
        <v>2</v>
      </c>
      <c r="V755" s="28">
        <v>145</v>
      </c>
      <c r="W755" s="28">
        <v>147</v>
      </c>
      <c r="X755" s="44">
        <f>AVERAGE(INDEX($W:$W,MAX(ROW($W$3),ROW()-23)):INDEX($W:$W,ROW()))</f>
        <v>70.625</v>
      </c>
      <c r="Y755" s="44">
        <f>_xlfn.STDEV.S(INDEX($W:$W,MAX(ROW($W$3),ROW()-23)):INDEX($W:$W,ROW()))</f>
        <v>56.914743638869716</v>
      </c>
      <c r="Z755" s="44">
        <f t="shared" si="68"/>
        <v>1.3419194239827863</v>
      </c>
      <c r="AA755" s="40" t="b">
        <f t="shared" si="66"/>
        <v>0</v>
      </c>
    </row>
    <row r="756" spans="1:27" x14ac:dyDescent="0.3">
      <c r="A756" s="32">
        <v>754</v>
      </c>
      <c r="B756" s="33">
        <v>40577</v>
      </c>
      <c r="C756" s="40" t="str">
        <f t="shared" si="69"/>
        <v>Thursday</v>
      </c>
      <c r="D756" s="28">
        <v>19</v>
      </c>
      <c r="E756" s="40" t="str" cm="1">
        <f t="array" ref="E756">_xlfn.IFS(D756&gt;=21,"Night",D756&gt;=17,"Evening",D756&gt;=12,"Midday",D756&gt;=6,"Morning", TRUE, "Night")</f>
        <v>Evening</v>
      </c>
      <c r="F756" s="28">
        <v>1</v>
      </c>
      <c r="G756" s="28">
        <v>0</v>
      </c>
      <c r="H756" s="28">
        <v>2</v>
      </c>
      <c r="I756" s="28">
        <v>4</v>
      </c>
      <c r="J756" s="40" t="str">
        <f t="shared" si="70"/>
        <v>Weekday</v>
      </c>
      <c r="K756" s="28" t="b">
        <v>0</v>
      </c>
      <c r="L756" s="28">
        <v>1</v>
      </c>
      <c r="M756" s="40" t="str" cm="1">
        <f t="array" ref="M756">_xlfn.IFS(L756=1,"Clear / Partly Cloudy",L756=2,"Mist / Cloudy",L756=3,"Light Snow / Rain",L756=4,"Heavy Precipitation")</f>
        <v>Clear / Partly Cloudy</v>
      </c>
      <c r="N756" s="28">
        <v>0.2</v>
      </c>
      <c r="O756" s="28" t="str">
        <f t="shared" si="71"/>
        <v>Mild</v>
      </c>
      <c r="P756" s="28">
        <v>0.2576</v>
      </c>
      <c r="Q756" s="38">
        <f t="shared" si="67"/>
        <v>0.2576</v>
      </c>
      <c r="R756" s="28">
        <v>0.4</v>
      </c>
      <c r="S756" s="28">
        <v>0</v>
      </c>
      <c r="T756" s="40" t="str" cm="1">
        <f t="array" ref="T756">_xlfn.IFS(S756*18.6&lt;2,"Calm",S756*18.6&lt;6,"Light Breeze",S756*18.6&lt;14,"Gale",TRUE,"Extreme Storm")</f>
        <v>Calm</v>
      </c>
      <c r="U756" s="28">
        <v>4</v>
      </c>
      <c r="V756" s="28">
        <v>92</v>
      </c>
      <c r="W756" s="28">
        <v>96</v>
      </c>
      <c r="X756" s="44">
        <f>AVERAGE(INDEX($W:$W,MAX(ROW($W$3),ROW()-23)):INDEX($W:$W,ROW()))</f>
        <v>67.041666666666671</v>
      </c>
      <c r="Y756" s="44">
        <f>_xlfn.STDEV.S(INDEX($W:$W,MAX(ROW($W$3),ROW()-23)):INDEX($W:$W,ROW()))</f>
        <v>52.101472203740087</v>
      </c>
      <c r="Z756" s="44">
        <f t="shared" si="68"/>
        <v>0.55580643134407559</v>
      </c>
      <c r="AA756" s="40" t="b">
        <f t="shared" si="66"/>
        <v>0</v>
      </c>
    </row>
    <row r="757" spans="1:27" x14ac:dyDescent="0.3">
      <c r="A757" s="32">
        <v>755</v>
      </c>
      <c r="B757" s="33">
        <v>40577</v>
      </c>
      <c r="C757" s="40" t="str">
        <f t="shared" si="69"/>
        <v>Thursday</v>
      </c>
      <c r="D757" s="28">
        <v>20</v>
      </c>
      <c r="E757" s="40" t="str" cm="1">
        <f t="array" ref="E757">_xlfn.IFS(D757&gt;=21,"Night",D757&gt;=17,"Evening",D757&gt;=12,"Midday",D757&gt;=6,"Morning", TRUE, "Night")</f>
        <v>Evening</v>
      </c>
      <c r="F757" s="28">
        <v>1</v>
      </c>
      <c r="G757" s="28">
        <v>0</v>
      </c>
      <c r="H757" s="28">
        <v>2</v>
      </c>
      <c r="I757" s="28">
        <v>4</v>
      </c>
      <c r="J757" s="40" t="str">
        <f t="shared" si="70"/>
        <v>Weekday</v>
      </c>
      <c r="K757" s="28" t="b">
        <v>0</v>
      </c>
      <c r="L757" s="28">
        <v>1</v>
      </c>
      <c r="M757" s="40" t="str" cm="1">
        <f t="array" ref="M757">_xlfn.IFS(L757=1,"Clear / Partly Cloudy",L757=2,"Mist / Cloudy",L757=3,"Light Snow / Rain",L757=4,"Heavy Precipitation")</f>
        <v>Clear / Partly Cloudy</v>
      </c>
      <c r="N757" s="28">
        <v>0.2</v>
      </c>
      <c r="O757" s="28" t="str">
        <f t="shared" si="71"/>
        <v>Mild</v>
      </c>
      <c r="P757" s="28">
        <v>0.2273</v>
      </c>
      <c r="Q757" s="38">
        <f t="shared" si="67"/>
        <v>0.2273</v>
      </c>
      <c r="R757" s="28">
        <v>0.47</v>
      </c>
      <c r="S757" s="28">
        <v>8.9599999999999999E-2</v>
      </c>
      <c r="T757" s="40" t="str" cm="1">
        <f t="array" ref="T757">_xlfn.IFS(S757*18.6&lt;2,"Calm",S757*18.6&lt;6,"Light Breeze",S757*18.6&lt;14,"Gale",TRUE,"Extreme Storm")</f>
        <v>Calm</v>
      </c>
      <c r="U757" s="28">
        <v>1</v>
      </c>
      <c r="V757" s="28">
        <v>108</v>
      </c>
      <c r="W757" s="28">
        <v>109</v>
      </c>
      <c r="X757" s="44">
        <f>AVERAGE(INDEX($W:$W,MAX(ROW($W$3),ROW()-23)):INDEX($W:$W,ROW()))</f>
        <v>67.791666666666671</v>
      </c>
      <c r="Y757" s="44">
        <f>_xlfn.STDEV.S(INDEX($W:$W,MAX(ROW($W$3),ROW()-23)):INDEX($W:$W,ROW()))</f>
        <v>52.588624300290469</v>
      </c>
      <c r="Z757" s="44">
        <f t="shared" si="68"/>
        <v>0.783597857552355</v>
      </c>
      <c r="AA757" s="40" t="b">
        <f t="shared" si="66"/>
        <v>0</v>
      </c>
    </row>
    <row r="758" spans="1:27" x14ac:dyDescent="0.3">
      <c r="A758" s="32">
        <v>756</v>
      </c>
      <c r="B758" s="33">
        <v>40577</v>
      </c>
      <c r="C758" s="40" t="str">
        <f t="shared" si="69"/>
        <v>Thursday</v>
      </c>
      <c r="D758" s="28">
        <v>21</v>
      </c>
      <c r="E758" s="40" t="str" cm="1">
        <f t="array" ref="E758">_xlfn.IFS(D758&gt;=21,"Night",D758&gt;=17,"Evening",D758&gt;=12,"Midday",D758&gt;=6,"Morning", TRUE, "Night")</f>
        <v>Night</v>
      </c>
      <c r="F758" s="28">
        <v>1</v>
      </c>
      <c r="G758" s="28">
        <v>0</v>
      </c>
      <c r="H758" s="28">
        <v>2</v>
      </c>
      <c r="I758" s="28">
        <v>4</v>
      </c>
      <c r="J758" s="40" t="str">
        <f t="shared" si="70"/>
        <v>Weekday</v>
      </c>
      <c r="K758" s="28" t="b">
        <v>0</v>
      </c>
      <c r="L758" s="28">
        <v>1</v>
      </c>
      <c r="M758" s="40" t="str" cm="1">
        <f t="array" ref="M758">_xlfn.IFS(L758=1,"Clear / Partly Cloudy",L758=2,"Mist / Cloudy",L758=3,"Light Snow / Rain",L758=4,"Heavy Precipitation")</f>
        <v>Clear / Partly Cloudy</v>
      </c>
      <c r="N758" s="28">
        <v>0.18</v>
      </c>
      <c r="O758" s="28" t="str">
        <f t="shared" si="71"/>
        <v>Cold</v>
      </c>
      <c r="P758" s="28">
        <v>0.21210000000000001</v>
      </c>
      <c r="Q758" s="38">
        <f t="shared" si="67"/>
        <v>0.21210000000000001</v>
      </c>
      <c r="R758" s="28">
        <v>0.55000000000000004</v>
      </c>
      <c r="S758" s="28">
        <v>0.1045</v>
      </c>
      <c r="T758" s="40" t="str" cm="1">
        <f t="array" ref="T758">_xlfn.IFS(S758*18.6&lt;2,"Calm",S758*18.6&lt;6,"Light Breeze",S758*18.6&lt;14,"Gale",TRUE,"Extreme Storm")</f>
        <v>Calm</v>
      </c>
      <c r="U758" s="28">
        <v>1</v>
      </c>
      <c r="V758" s="28">
        <v>53</v>
      </c>
      <c r="W758" s="28">
        <v>54</v>
      </c>
      <c r="X758" s="44">
        <f>AVERAGE(INDEX($W:$W,MAX(ROW($W$3),ROW()-23)):INDEX($W:$W,ROW()))</f>
        <v>66.916666666666671</v>
      </c>
      <c r="Y758" s="44">
        <f>_xlfn.STDEV.S(INDEX($W:$W,MAX(ROW($W$3),ROW()-23)):INDEX($W:$W,ROW()))</f>
        <v>52.638155004890137</v>
      </c>
      <c r="Z758" s="44">
        <f t="shared" si="68"/>
        <v>-0.24538600688923654</v>
      </c>
      <c r="AA758" s="40" t="b">
        <f t="shared" si="66"/>
        <v>0</v>
      </c>
    </row>
    <row r="759" spans="1:27" x14ac:dyDescent="0.3">
      <c r="A759" s="32">
        <v>757</v>
      </c>
      <c r="B759" s="33">
        <v>40577</v>
      </c>
      <c r="C759" s="40" t="str">
        <f t="shared" si="69"/>
        <v>Thursday</v>
      </c>
      <c r="D759" s="28">
        <v>22</v>
      </c>
      <c r="E759" s="40" t="str" cm="1">
        <f t="array" ref="E759">_xlfn.IFS(D759&gt;=21,"Night",D759&gt;=17,"Evening",D759&gt;=12,"Midday",D759&gt;=6,"Morning", TRUE, "Night")</f>
        <v>Night</v>
      </c>
      <c r="F759" s="28">
        <v>1</v>
      </c>
      <c r="G759" s="28">
        <v>0</v>
      </c>
      <c r="H759" s="28">
        <v>2</v>
      </c>
      <c r="I759" s="28">
        <v>4</v>
      </c>
      <c r="J759" s="40" t="str">
        <f t="shared" si="70"/>
        <v>Weekday</v>
      </c>
      <c r="K759" s="28" t="b">
        <v>0</v>
      </c>
      <c r="L759" s="28">
        <v>1</v>
      </c>
      <c r="M759" s="40" t="str" cm="1">
        <f t="array" ref="M759">_xlfn.IFS(L759=1,"Clear / Partly Cloudy",L759=2,"Mist / Cloudy",L759=3,"Light Snow / Rain",L759=4,"Heavy Precipitation")</f>
        <v>Clear / Partly Cloudy</v>
      </c>
      <c r="N759" s="28">
        <v>0.18</v>
      </c>
      <c r="O759" s="28" t="str">
        <f t="shared" si="71"/>
        <v>Cold</v>
      </c>
      <c r="P759" s="28">
        <v>0.21210000000000001</v>
      </c>
      <c r="Q759" s="38">
        <f t="shared" si="67"/>
        <v>0.21210000000000001</v>
      </c>
      <c r="R759" s="28">
        <v>0.51</v>
      </c>
      <c r="S759" s="28">
        <v>8.9599999999999999E-2</v>
      </c>
      <c r="T759" s="40" t="str" cm="1">
        <f t="array" ref="T759">_xlfn.IFS(S759*18.6&lt;2,"Calm",S759*18.6&lt;6,"Light Breeze",S759*18.6&lt;14,"Gale",TRUE,"Extreme Storm")</f>
        <v>Calm</v>
      </c>
      <c r="U759" s="28">
        <v>2</v>
      </c>
      <c r="V759" s="28">
        <v>39</v>
      </c>
      <c r="W759" s="28">
        <v>41</v>
      </c>
      <c r="X759" s="44">
        <f>AVERAGE(INDEX($W:$W,MAX(ROW($W$3),ROW()-23)):INDEX($W:$W,ROW()))</f>
        <v>66</v>
      </c>
      <c r="Y759" s="44">
        <f>_xlfn.STDEV.S(INDEX($W:$W,MAX(ROW($W$3),ROW()-23)):INDEX($W:$W,ROW()))</f>
        <v>52.900234239639197</v>
      </c>
      <c r="Z759" s="44">
        <f t="shared" si="68"/>
        <v>-0.47258769945610191</v>
      </c>
      <c r="AA759" s="40" t="b">
        <f t="shared" si="66"/>
        <v>0</v>
      </c>
    </row>
    <row r="760" spans="1:27" x14ac:dyDescent="0.3">
      <c r="A760" s="32">
        <v>758</v>
      </c>
      <c r="B760" s="33">
        <v>40577</v>
      </c>
      <c r="C760" s="40" t="str">
        <f t="shared" si="69"/>
        <v>Thursday</v>
      </c>
      <c r="D760" s="28">
        <v>23</v>
      </c>
      <c r="E760" s="40" t="str" cm="1">
        <f t="array" ref="E760">_xlfn.IFS(D760&gt;=21,"Night",D760&gt;=17,"Evening",D760&gt;=12,"Midday",D760&gt;=6,"Morning", TRUE, "Night")</f>
        <v>Night</v>
      </c>
      <c r="F760" s="28">
        <v>1</v>
      </c>
      <c r="G760" s="28">
        <v>0</v>
      </c>
      <c r="H760" s="28">
        <v>2</v>
      </c>
      <c r="I760" s="28">
        <v>4</v>
      </c>
      <c r="J760" s="40" t="str">
        <f t="shared" si="70"/>
        <v>Weekday</v>
      </c>
      <c r="K760" s="28" t="b">
        <v>0</v>
      </c>
      <c r="L760" s="28">
        <v>1</v>
      </c>
      <c r="M760" s="40" t="str" cm="1">
        <f t="array" ref="M760">_xlfn.IFS(L760=1,"Clear / Partly Cloudy",L760=2,"Mist / Cloudy",L760=3,"Light Snow / Rain",L760=4,"Heavy Precipitation")</f>
        <v>Clear / Partly Cloudy</v>
      </c>
      <c r="N760" s="28">
        <v>0.2</v>
      </c>
      <c r="O760" s="28" t="str">
        <f t="shared" si="71"/>
        <v>Mild</v>
      </c>
      <c r="P760" s="28">
        <v>0.2273</v>
      </c>
      <c r="Q760" s="38">
        <f t="shared" si="67"/>
        <v>0.2273</v>
      </c>
      <c r="R760" s="28">
        <v>0.47</v>
      </c>
      <c r="S760" s="28">
        <v>0.1045</v>
      </c>
      <c r="T760" s="40" t="str" cm="1">
        <f t="array" ref="T760">_xlfn.IFS(S760*18.6&lt;2,"Calm",S760*18.6&lt;6,"Light Breeze",S760*18.6&lt;14,"Gale",TRUE,"Extreme Storm")</f>
        <v>Calm</v>
      </c>
      <c r="U760" s="28">
        <v>4</v>
      </c>
      <c r="V760" s="28">
        <v>34</v>
      </c>
      <c r="W760" s="28">
        <v>38</v>
      </c>
      <c r="X760" s="44">
        <f>AVERAGE(INDEX($W:$W,MAX(ROW($W$3),ROW()-23)):INDEX($W:$W,ROW()))</f>
        <v>65.916666666666671</v>
      </c>
      <c r="Y760" s="44">
        <f>_xlfn.STDEV.S(INDEX($W:$W,MAX(ROW($W$3),ROW()-23)):INDEX($W:$W,ROW()))</f>
        <v>52.9445293529539</v>
      </c>
      <c r="Z760" s="44">
        <f t="shared" si="68"/>
        <v>-0.5272814209105654</v>
      </c>
      <c r="AA760" s="40" t="b">
        <f t="shared" si="66"/>
        <v>0</v>
      </c>
    </row>
    <row r="761" spans="1:27" x14ac:dyDescent="0.3">
      <c r="A761" s="32">
        <v>759</v>
      </c>
      <c r="B761" s="33">
        <v>40578</v>
      </c>
      <c r="C761" s="40" t="str">
        <f t="shared" si="69"/>
        <v>Friday</v>
      </c>
      <c r="D761" s="28">
        <v>0</v>
      </c>
      <c r="E761" s="40" t="str" cm="1">
        <f t="array" ref="E761">_xlfn.IFS(D761&gt;=21,"Night",D761&gt;=17,"Evening",D761&gt;=12,"Midday",D761&gt;=6,"Morning", TRUE, "Night")</f>
        <v>Night</v>
      </c>
      <c r="F761" s="28">
        <v>1</v>
      </c>
      <c r="G761" s="28">
        <v>0</v>
      </c>
      <c r="H761" s="28">
        <v>2</v>
      </c>
      <c r="I761" s="28">
        <v>5</v>
      </c>
      <c r="J761" s="40" t="str">
        <f t="shared" si="70"/>
        <v>Weekday</v>
      </c>
      <c r="K761" s="28" t="b">
        <v>0</v>
      </c>
      <c r="L761" s="28">
        <v>2</v>
      </c>
      <c r="M761" s="40" t="str" cm="1">
        <f t="array" ref="M761">_xlfn.IFS(L761=1,"Clear / Partly Cloudy",L761=2,"Mist / Cloudy",L761=3,"Light Snow / Rain",L761=4,"Heavy Precipitation")</f>
        <v>Mist / Cloudy</v>
      </c>
      <c r="N761" s="28">
        <v>0.2</v>
      </c>
      <c r="O761" s="28" t="str">
        <f t="shared" si="71"/>
        <v>Mild</v>
      </c>
      <c r="P761" s="28">
        <v>0.2576</v>
      </c>
      <c r="Q761" s="38">
        <f t="shared" si="67"/>
        <v>0.2576</v>
      </c>
      <c r="R761" s="28">
        <v>0.44</v>
      </c>
      <c r="S761" s="28">
        <v>0</v>
      </c>
      <c r="T761" s="40" t="str" cm="1">
        <f t="array" ref="T761">_xlfn.IFS(S761*18.6&lt;2,"Calm",S761*18.6&lt;6,"Light Breeze",S761*18.6&lt;14,"Gale",TRUE,"Extreme Storm")</f>
        <v>Calm</v>
      </c>
      <c r="U761" s="28">
        <v>3</v>
      </c>
      <c r="V761" s="28">
        <v>10</v>
      </c>
      <c r="W761" s="28">
        <v>13</v>
      </c>
      <c r="X761" s="44">
        <f>AVERAGE(INDEX($W:$W,MAX(ROW($W$3),ROW()-23)):INDEX($W:$W,ROW()))</f>
        <v>65.125</v>
      </c>
      <c r="Y761" s="44">
        <f>_xlfn.STDEV.S(INDEX($W:$W,MAX(ROW($W$3),ROW()-23)):INDEX($W:$W,ROW()))</f>
        <v>53.611576053652087</v>
      </c>
      <c r="Z761" s="44">
        <f t="shared" si="68"/>
        <v>-0.97227136071947617</v>
      </c>
      <c r="AA761" s="40" t="b">
        <f t="shared" si="66"/>
        <v>0</v>
      </c>
    </row>
    <row r="762" spans="1:27" x14ac:dyDescent="0.3">
      <c r="A762" s="32">
        <v>760</v>
      </c>
      <c r="B762" s="33">
        <v>40578</v>
      </c>
      <c r="C762" s="40" t="str">
        <f t="shared" si="69"/>
        <v>Friday</v>
      </c>
      <c r="D762" s="28">
        <v>1</v>
      </c>
      <c r="E762" s="40" t="str" cm="1">
        <f t="array" ref="E762">_xlfn.IFS(D762&gt;=21,"Night",D762&gt;=17,"Evening",D762&gt;=12,"Midday",D762&gt;=6,"Morning", TRUE, "Night")</f>
        <v>Night</v>
      </c>
      <c r="F762" s="28">
        <v>1</v>
      </c>
      <c r="G762" s="28">
        <v>0</v>
      </c>
      <c r="H762" s="28">
        <v>2</v>
      </c>
      <c r="I762" s="28">
        <v>5</v>
      </c>
      <c r="J762" s="40" t="str">
        <f t="shared" si="70"/>
        <v>Weekday</v>
      </c>
      <c r="K762" s="28" t="b">
        <v>0</v>
      </c>
      <c r="L762" s="28">
        <v>2</v>
      </c>
      <c r="M762" s="40" t="str" cm="1">
        <f t="array" ref="M762">_xlfn.IFS(L762=1,"Clear / Partly Cloudy",L762=2,"Mist / Cloudy",L762=3,"Light Snow / Rain",L762=4,"Heavy Precipitation")</f>
        <v>Mist / Cloudy</v>
      </c>
      <c r="N762" s="28">
        <v>0.16</v>
      </c>
      <c r="O762" s="28" t="str">
        <f t="shared" si="71"/>
        <v>Cold</v>
      </c>
      <c r="P762" s="28">
        <v>0.2273</v>
      </c>
      <c r="Q762" s="38">
        <f t="shared" si="67"/>
        <v>0.2273</v>
      </c>
      <c r="R762" s="28">
        <v>0.59</v>
      </c>
      <c r="S762" s="28">
        <v>0</v>
      </c>
      <c r="T762" s="40" t="str" cm="1">
        <f t="array" ref="T762">_xlfn.IFS(S762*18.6&lt;2,"Calm",S762*18.6&lt;6,"Light Breeze",S762*18.6&lt;14,"Gale",TRUE,"Extreme Storm")</f>
        <v>Calm</v>
      </c>
      <c r="U762" s="28">
        <v>0</v>
      </c>
      <c r="V762" s="28">
        <v>7</v>
      </c>
      <c r="W762" s="28">
        <v>7</v>
      </c>
      <c r="X762" s="44">
        <f>AVERAGE(INDEX($W:$W,MAX(ROW($W$3),ROW()-23)):INDEX($W:$W,ROW()))</f>
        <v>64.916666666666671</v>
      </c>
      <c r="Y762" s="44">
        <f>_xlfn.STDEV.S(INDEX($W:$W,MAX(ROW($W$3),ROW()-23)):INDEX($W:$W,ROW()))</f>
        <v>53.836238536046928</v>
      </c>
      <c r="Z762" s="44">
        <f t="shared" si="68"/>
        <v>-1.0757933362652672</v>
      </c>
      <c r="AA762" s="40" t="b">
        <f t="shared" si="66"/>
        <v>0</v>
      </c>
    </row>
    <row r="763" spans="1:27" x14ac:dyDescent="0.3">
      <c r="A763" s="32">
        <v>761</v>
      </c>
      <c r="B763" s="33">
        <v>40578</v>
      </c>
      <c r="C763" s="40" t="str">
        <f t="shared" si="69"/>
        <v>Friday</v>
      </c>
      <c r="D763" s="28">
        <v>2</v>
      </c>
      <c r="E763" s="40" t="str" cm="1">
        <f t="array" ref="E763">_xlfn.IFS(D763&gt;=21,"Night",D763&gt;=17,"Evening",D763&gt;=12,"Midday",D763&gt;=6,"Morning", TRUE, "Night")</f>
        <v>Night</v>
      </c>
      <c r="F763" s="28">
        <v>1</v>
      </c>
      <c r="G763" s="28">
        <v>0</v>
      </c>
      <c r="H763" s="28">
        <v>2</v>
      </c>
      <c r="I763" s="28">
        <v>5</v>
      </c>
      <c r="J763" s="40" t="str">
        <f t="shared" si="70"/>
        <v>Weekday</v>
      </c>
      <c r="K763" s="28" t="b">
        <v>0</v>
      </c>
      <c r="L763" s="28">
        <v>2</v>
      </c>
      <c r="M763" s="40" t="str" cm="1">
        <f t="array" ref="M763">_xlfn.IFS(L763=1,"Clear / Partly Cloudy",L763=2,"Mist / Cloudy",L763=3,"Light Snow / Rain",L763=4,"Heavy Precipitation")</f>
        <v>Mist / Cloudy</v>
      </c>
      <c r="N763" s="28">
        <v>0.14000000000000001</v>
      </c>
      <c r="O763" s="28" t="str">
        <f t="shared" si="71"/>
        <v>Cold</v>
      </c>
      <c r="P763" s="28">
        <v>0.16669999999999999</v>
      </c>
      <c r="Q763" s="38">
        <f t="shared" si="67"/>
        <v>0.16669999999999999</v>
      </c>
      <c r="R763" s="28">
        <v>0.63</v>
      </c>
      <c r="S763" s="28">
        <v>0.1045</v>
      </c>
      <c r="T763" s="40" t="str" cm="1">
        <f t="array" ref="T763">_xlfn.IFS(S763*18.6&lt;2,"Calm",S763*18.6&lt;6,"Light Breeze",S763*18.6&lt;14,"Gale",TRUE,"Extreme Storm")</f>
        <v>Calm</v>
      </c>
      <c r="U763" s="28">
        <v>0</v>
      </c>
      <c r="V763" s="28">
        <v>1</v>
      </c>
      <c r="W763" s="28">
        <v>1</v>
      </c>
      <c r="X763" s="44">
        <f>AVERAGE(INDEX($W:$W,MAX(ROW($W$3),ROW()-23)):INDEX($W:$W,ROW()))</f>
        <v>64.75</v>
      </c>
      <c r="Y763" s="44">
        <f>_xlfn.STDEV.S(INDEX($W:$W,MAX(ROW($W$3),ROW()-23)):INDEX($W:$W,ROW()))</f>
        <v>54.035616273777762</v>
      </c>
      <c r="Z763" s="44">
        <f t="shared" si="68"/>
        <v>-1.1797774208219107</v>
      </c>
      <c r="AA763" s="40" t="b">
        <f t="shared" si="66"/>
        <v>0</v>
      </c>
    </row>
    <row r="764" spans="1:27" x14ac:dyDescent="0.3">
      <c r="A764" s="32">
        <v>762</v>
      </c>
      <c r="B764" s="33">
        <v>40578</v>
      </c>
      <c r="C764" s="40" t="str">
        <f t="shared" si="69"/>
        <v>Friday</v>
      </c>
      <c r="D764" s="28">
        <v>3</v>
      </c>
      <c r="E764" s="40" t="str" cm="1">
        <f t="array" ref="E764">_xlfn.IFS(D764&gt;=21,"Night",D764&gt;=17,"Evening",D764&gt;=12,"Midday",D764&gt;=6,"Morning", TRUE, "Night")</f>
        <v>Night</v>
      </c>
      <c r="F764" s="28">
        <v>1</v>
      </c>
      <c r="G764" s="28">
        <v>0</v>
      </c>
      <c r="H764" s="28">
        <v>2</v>
      </c>
      <c r="I764" s="28">
        <v>5</v>
      </c>
      <c r="J764" s="40" t="str">
        <f t="shared" si="70"/>
        <v>Weekday</v>
      </c>
      <c r="K764" s="28" t="b">
        <v>0</v>
      </c>
      <c r="L764" s="28">
        <v>2</v>
      </c>
      <c r="M764" s="40" t="str" cm="1">
        <f t="array" ref="M764">_xlfn.IFS(L764=1,"Clear / Partly Cloudy",L764=2,"Mist / Cloudy",L764=3,"Light Snow / Rain",L764=4,"Heavy Precipitation")</f>
        <v>Mist / Cloudy</v>
      </c>
      <c r="N764" s="28">
        <v>0.14000000000000001</v>
      </c>
      <c r="O764" s="28" t="str">
        <f t="shared" si="71"/>
        <v>Cold</v>
      </c>
      <c r="P764" s="28">
        <v>0.16669999999999999</v>
      </c>
      <c r="Q764" s="38">
        <f t="shared" si="67"/>
        <v>0.16669999999999999</v>
      </c>
      <c r="R764" s="28">
        <v>0.63</v>
      </c>
      <c r="S764" s="28">
        <v>0.1045</v>
      </c>
      <c r="T764" s="40" t="str" cm="1">
        <f t="array" ref="T764">_xlfn.IFS(S764*18.6&lt;2,"Calm",S764*18.6&lt;6,"Light Breeze",S764*18.6&lt;14,"Gale",TRUE,"Extreme Storm")</f>
        <v>Calm</v>
      </c>
      <c r="U764" s="28">
        <v>0</v>
      </c>
      <c r="V764" s="28">
        <v>1</v>
      </c>
      <c r="W764" s="28">
        <v>1</v>
      </c>
      <c r="X764" s="44">
        <f>AVERAGE(INDEX($W:$W,MAX(ROW($W$3),ROW()-23)):INDEX($W:$W,ROW()))</f>
        <v>64.708333333333329</v>
      </c>
      <c r="Y764" s="44">
        <f>_xlfn.STDEV.S(INDEX($W:$W,MAX(ROW($W$3),ROW()-23)):INDEX($W:$W,ROW()))</f>
        <v>54.086467942478492</v>
      </c>
      <c r="Z764" s="44">
        <f t="shared" si="68"/>
        <v>-1.1778978320619455</v>
      </c>
      <c r="AA764" s="40" t="b">
        <f t="shared" si="66"/>
        <v>0</v>
      </c>
    </row>
    <row r="765" spans="1:27" x14ac:dyDescent="0.3">
      <c r="A765" s="32">
        <v>763</v>
      </c>
      <c r="B765" s="33">
        <v>40578</v>
      </c>
      <c r="C765" s="40" t="str">
        <f t="shared" si="69"/>
        <v>Friday</v>
      </c>
      <c r="D765" s="28">
        <v>5</v>
      </c>
      <c r="E765" s="40" t="str" cm="1">
        <f t="array" ref="E765">_xlfn.IFS(D765&gt;=21,"Night",D765&gt;=17,"Evening",D765&gt;=12,"Midday",D765&gt;=6,"Morning", TRUE, "Night")</f>
        <v>Night</v>
      </c>
      <c r="F765" s="28">
        <v>1</v>
      </c>
      <c r="G765" s="28">
        <v>0</v>
      </c>
      <c r="H765" s="28">
        <v>2</v>
      </c>
      <c r="I765" s="28">
        <v>5</v>
      </c>
      <c r="J765" s="40" t="str">
        <f t="shared" si="70"/>
        <v>Weekday</v>
      </c>
      <c r="K765" s="28" t="b">
        <v>0</v>
      </c>
      <c r="L765" s="28">
        <v>2</v>
      </c>
      <c r="M765" s="40" t="str" cm="1">
        <f t="array" ref="M765">_xlfn.IFS(L765=1,"Clear / Partly Cloudy",L765=2,"Mist / Cloudy",L765=3,"Light Snow / Rain",L765=4,"Heavy Precipitation")</f>
        <v>Mist / Cloudy</v>
      </c>
      <c r="N765" s="28">
        <v>0.14000000000000001</v>
      </c>
      <c r="O765" s="28" t="str">
        <f t="shared" si="71"/>
        <v>Cold</v>
      </c>
      <c r="P765" s="28">
        <v>0.1515</v>
      </c>
      <c r="Q765" s="38">
        <f t="shared" si="67"/>
        <v>0.1515</v>
      </c>
      <c r="R765" s="28">
        <v>0.63</v>
      </c>
      <c r="S765" s="28">
        <v>0.1343</v>
      </c>
      <c r="T765" s="40" t="str" cm="1">
        <f t="array" ref="T765">_xlfn.IFS(S765*18.6&lt;2,"Calm",S765*18.6&lt;6,"Light Breeze",S765*18.6&lt;14,"Gale",TRUE,"Extreme Storm")</f>
        <v>Light Breeze</v>
      </c>
      <c r="U765" s="28">
        <v>0</v>
      </c>
      <c r="V765" s="28">
        <v>7</v>
      </c>
      <c r="W765" s="28">
        <v>7</v>
      </c>
      <c r="X765" s="44">
        <f>AVERAGE(INDEX($W:$W,MAX(ROW($W$3),ROW()-23)):INDEX($W:$W,ROW()))</f>
        <v>64.958333333333329</v>
      </c>
      <c r="Y765" s="44">
        <f>_xlfn.STDEV.S(INDEX($W:$W,MAX(ROW($W$3),ROW()-23)):INDEX($W:$W,ROW()))</f>
        <v>53.792256729551426</v>
      </c>
      <c r="Z765" s="44">
        <f t="shared" si="68"/>
        <v>-1.0774475148854132</v>
      </c>
      <c r="AA765" s="40" t="b">
        <f t="shared" si="66"/>
        <v>0</v>
      </c>
    </row>
    <row r="766" spans="1:27" x14ac:dyDescent="0.3">
      <c r="A766" s="32">
        <v>764</v>
      </c>
      <c r="B766" s="33">
        <v>40578</v>
      </c>
      <c r="C766" s="40" t="str">
        <f t="shared" si="69"/>
        <v>Friday</v>
      </c>
      <c r="D766" s="28">
        <v>6</v>
      </c>
      <c r="E766" s="40" t="str" cm="1">
        <f t="array" ref="E766">_xlfn.IFS(D766&gt;=21,"Night",D766&gt;=17,"Evening",D766&gt;=12,"Midday",D766&gt;=6,"Morning", TRUE, "Night")</f>
        <v>Morning</v>
      </c>
      <c r="F766" s="28">
        <v>1</v>
      </c>
      <c r="G766" s="28">
        <v>0</v>
      </c>
      <c r="H766" s="28">
        <v>2</v>
      </c>
      <c r="I766" s="28">
        <v>5</v>
      </c>
      <c r="J766" s="40" t="str">
        <f t="shared" si="70"/>
        <v>Weekday</v>
      </c>
      <c r="K766" s="28" t="b">
        <v>0</v>
      </c>
      <c r="L766" s="28">
        <v>2</v>
      </c>
      <c r="M766" s="40" t="str" cm="1">
        <f t="array" ref="M766">_xlfn.IFS(L766=1,"Clear / Partly Cloudy",L766=2,"Mist / Cloudy",L766=3,"Light Snow / Rain",L766=4,"Heavy Precipitation")</f>
        <v>Mist / Cloudy</v>
      </c>
      <c r="N766" s="28">
        <v>0.16</v>
      </c>
      <c r="O766" s="28" t="str">
        <f t="shared" si="71"/>
        <v>Cold</v>
      </c>
      <c r="P766" s="28">
        <v>0.2273</v>
      </c>
      <c r="Q766" s="38">
        <f t="shared" si="67"/>
        <v>0.2273</v>
      </c>
      <c r="R766" s="28">
        <v>0.55000000000000004</v>
      </c>
      <c r="S766" s="28">
        <v>0</v>
      </c>
      <c r="T766" s="40" t="str" cm="1">
        <f t="array" ref="T766">_xlfn.IFS(S766*18.6&lt;2,"Calm",S766*18.6&lt;6,"Light Breeze",S766*18.6&lt;14,"Gale",TRUE,"Extreme Storm")</f>
        <v>Calm</v>
      </c>
      <c r="U766" s="28">
        <v>2</v>
      </c>
      <c r="V766" s="28">
        <v>26</v>
      </c>
      <c r="W766" s="28">
        <v>28</v>
      </c>
      <c r="X766" s="44">
        <f>AVERAGE(INDEX($W:$W,MAX(ROW($W$3),ROW()-23)):INDEX($W:$W,ROW()))</f>
        <v>66.041666666666671</v>
      </c>
      <c r="Y766" s="44">
        <f>_xlfn.STDEV.S(INDEX($W:$W,MAX(ROW($W$3),ROW()-23)):INDEX($W:$W,ROW()))</f>
        <v>52.720327872790136</v>
      </c>
      <c r="Z766" s="44">
        <f t="shared" si="68"/>
        <v>-0.72157492568062398</v>
      </c>
      <c r="AA766" s="40" t="b">
        <f t="shared" si="66"/>
        <v>0</v>
      </c>
    </row>
    <row r="767" spans="1:27" x14ac:dyDescent="0.3">
      <c r="A767" s="32">
        <v>765</v>
      </c>
      <c r="B767" s="33">
        <v>40578</v>
      </c>
      <c r="C767" s="40" t="str">
        <f t="shared" si="69"/>
        <v>Friday</v>
      </c>
      <c r="D767" s="28">
        <v>7</v>
      </c>
      <c r="E767" s="40" t="str" cm="1">
        <f t="array" ref="E767">_xlfn.IFS(D767&gt;=21,"Night",D767&gt;=17,"Evening",D767&gt;=12,"Midday",D767&gt;=6,"Morning", TRUE, "Night")</f>
        <v>Morning</v>
      </c>
      <c r="F767" s="28">
        <v>1</v>
      </c>
      <c r="G767" s="28">
        <v>0</v>
      </c>
      <c r="H767" s="28">
        <v>2</v>
      </c>
      <c r="I767" s="28">
        <v>5</v>
      </c>
      <c r="J767" s="40" t="str">
        <f t="shared" si="70"/>
        <v>Weekday</v>
      </c>
      <c r="K767" s="28" t="b">
        <v>0</v>
      </c>
      <c r="L767" s="28">
        <v>1</v>
      </c>
      <c r="M767" s="40" t="str" cm="1">
        <f t="array" ref="M767">_xlfn.IFS(L767=1,"Clear / Partly Cloudy",L767=2,"Mist / Cloudy",L767=3,"Light Snow / Rain",L767=4,"Heavy Precipitation")</f>
        <v>Clear / Partly Cloudy</v>
      </c>
      <c r="N767" s="28">
        <v>0.14000000000000001</v>
      </c>
      <c r="O767" s="28" t="str">
        <f t="shared" si="71"/>
        <v>Cold</v>
      </c>
      <c r="P767" s="28">
        <v>0.21210000000000001</v>
      </c>
      <c r="Q767" s="38">
        <f t="shared" si="67"/>
        <v>0.21210000000000001</v>
      </c>
      <c r="R767" s="28">
        <v>0.59</v>
      </c>
      <c r="S767" s="28">
        <v>0</v>
      </c>
      <c r="T767" s="40" t="str" cm="1">
        <f t="array" ref="T767">_xlfn.IFS(S767*18.6&lt;2,"Calm",S767*18.6&lt;6,"Light Breeze",S767*18.6&lt;14,"Gale",TRUE,"Extreme Storm")</f>
        <v>Calm</v>
      </c>
      <c r="U767" s="28">
        <v>0</v>
      </c>
      <c r="V767" s="28">
        <v>87</v>
      </c>
      <c r="W767" s="28">
        <v>87</v>
      </c>
      <c r="X767" s="44">
        <f>AVERAGE(INDEX($W:$W,MAX(ROW($W$3),ROW()-23)):INDEX($W:$W,ROW()))</f>
        <v>68.041666666666671</v>
      </c>
      <c r="Y767" s="44">
        <f>_xlfn.STDEV.S(INDEX($W:$W,MAX(ROW($W$3),ROW()-23)):INDEX($W:$W,ROW()))</f>
        <v>52.560093281853113</v>
      </c>
      <c r="Z767" s="44">
        <f t="shared" si="68"/>
        <v>0.36069824365929881</v>
      </c>
      <c r="AA767" s="40" t="b">
        <f t="shared" si="66"/>
        <v>0</v>
      </c>
    </row>
    <row r="768" spans="1:27" x14ac:dyDescent="0.3">
      <c r="A768" s="32">
        <v>766</v>
      </c>
      <c r="B768" s="33">
        <v>40578</v>
      </c>
      <c r="C768" s="40" t="str">
        <f t="shared" si="69"/>
        <v>Friday</v>
      </c>
      <c r="D768" s="28">
        <v>8</v>
      </c>
      <c r="E768" s="40" t="str" cm="1">
        <f t="array" ref="E768">_xlfn.IFS(D768&gt;=21,"Night",D768&gt;=17,"Evening",D768&gt;=12,"Midday",D768&gt;=6,"Morning", TRUE, "Night")</f>
        <v>Morning</v>
      </c>
      <c r="F768" s="28">
        <v>1</v>
      </c>
      <c r="G768" s="28">
        <v>0</v>
      </c>
      <c r="H768" s="28">
        <v>2</v>
      </c>
      <c r="I768" s="28">
        <v>5</v>
      </c>
      <c r="J768" s="40" t="str">
        <f t="shared" si="70"/>
        <v>Weekday</v>
      </c>
      <c r="K768" s="28" t="b">
        <v>0</v>
      </c>
      <c r="L768" s="28">
        <v>1</v>
      </c>
      <c r="M768" s="40" t="str" cm="1">
        <f t="array" ref="M768">_xlfn.IFS(L768=1,"Clear / Partly Cloudy",L768=2,"Mist / Cloudy",L768=3,"Light Snow / Rain",L768=4,"Heavy Precipitation")</f>
        <v>Clear / Partly Cloudy</v>
      </c>
      <c r="N768" s="28">
        <v>0.14000000000000001</v>
      </c>
      <c r="O768" s="28" t="str">
        <f t="shared" si="71"/>
        <v>Cold</v>
      </c>
      <c r="P768" s="28">
        <v>0.1515</v>
      </c>
      <c r="Q768" s="38">
        <f t="shared" si="67"/>
        <v>0.1515</v>
      </c>
      <c r="R768" s="28">
        <v>0.74</v>
      </c>
      <c r="S768" s="28">
        <v>0.1343</v>
      </c>
      <c r="T768" s="40" t="str" cm="1">
        <f t="array" ref="T768">_xlfn.IFS(S768*18.6&lt;2,"Calm",S768*18.6&lt;6,"Light Breeze",S768*18.6&lt;14,"Gale",TRUE,"Extreme Storm")</f>
        <v>Light Breeze</v>
      </c>
      <c r="U768" s="28">
        <v>3</v>
      </c>
      <c r="V768" s="28">
        <v>217</v>
      </c>
      <c r="W768" s="28">
        <v>220</v>
      </c>
      <c r="X768" s="44">
        <f>AVERAGE(INDEX($W:$W,MAX(ROW($W$3),ROW()-23)):INDEX($W:$W,ROW()))</f>
        <v>73.583333333333329</v>
      </c>
      <c r="Y768" s="44">
        <f>_xlfn.STDEV.S(INDEX($W:$W,MAX(ROW($W$3),ROW()-23)):INDEX($W:$W,ROW()))</f>
        <v>60.982475506005656</v>
      </c>
      <c r="Z768" s="44">
        <f t="shared" si="68"/>
        <v>2.4009629889860298</v>
      </c>
      <c r="AA768" s="40" t="b">
        <f t="shared" si="66"/>
        <v>0</v>
      </c>
    </row>
    <row r="769" spans="1:27" x14ac:dyDescent="0.3">
      <c r="A769" s="32">
        <v>767</v>
      </c>
      <c r="B769" s="33">
        <v>40578</v>
      </c>
      <c r="C769" s="40" t="str">
        <f t="shared" si="69"/>
        <v>Friday</v>
      </c>
      <c r="D769" s="28">
        <v>9</v>
      </c>
      <c r="E769" s="40" t="str" cm="1">
        <f t="array" ref="E769">_xlfn.IFS(D769&gt;=21,"Night",D769&gt;=17,"Evening",D769&gt;=12,"Midday",D769&gt;=6,"Morning", TRUE, "Night")</f>
        <v>Morning</v>
      </c>
      <c r="F769" s="28">
        <v>1</v>
      </c>
      <c r="G769" s="28">
        <v>0</v>
      </c>
      <c r="H769" s="28">
        <v>2</v>
      </c>
      <c r="I769" s="28">
        <v>5</v>
      </c>
      <c r="J769" s="40" t="str">
        <f t="shared" si="70"/>
        <v>Weekday</v>
      </c>
      <c r="K769" s="28" t="b">
        <v>0</v>
      </c>
      <c r="L769" s="28">
        <v>2</v>
      </c>
      <c r="M769" s="40" t="str" cm="1">
        <f t="array" ref="M769">_xlfn.IFS(L769=1,"Clear / Partly Cloudy",L769=2,"Mist / Cloudy",L769=3,"Light Snow / Rain",L769=4,"Heavy Precipitation")</f>
        <v>Mist / Cloudy</v>
      </c>
      <c r="N769" s="28">
        <v>0.16</v>
      </c>
      <c r="O769" s="28" t="str">
        <f t="shared" si="71"/>
        <v>Cold</v>
      </c>
      <c r="P769" s="28">
        <v>0.18179999999999999</v>
      </c>
      <c r="Q769" s="38">
        <f t="shared" si="67"/>
        <v>0.18179999999999999</v>
      </c>
      <c r="R769" s="28">
        <v>0.8</v>
      </c>
      <c r="S769" s="28">
        <v>0.1343</v>
      </c>
      <c r="T769" s="40" t="str" cm="1">
        <f t="array" ref="T769">_xlfn.IFS(S769*18.6&lt;2,"Calm",S769*18.6&lt;6,"Light Breeze",S769*18.6&lt;14,"Gale",TRUE,"Extreme Storm")</f>
        <v>Light Breeze</v>
      </c>
      <c r="U769" s="28">
        <v>3</v>
      </c>
      <c r="V769" s="28">
        <v>124</v>
      </c>
      <c r="W769" s="28">
        <v>127</v>
      </c>
      <c r="X769" s="44">
        <f>AVERAGE(INDEX($W:$W,MAX(ROW($W$3),ROW()-23)):INDEX($W:$W,ROW()))</f>
        <v>71.041666666666671</v>
      </c>
      <c r="Y769" s="44">
        <f>_xlfn.STDEV.S(INDEX($W:$W,MAX(ROW($W$3),ROW()-23)):INDEX($W:$W,ROW()))</f>
        <v>57.157660802431351</v>
      </c>
      <c r="Z769" s="44">
        <f t="shared" si="68"/>
        <v>0.97901720517843505</v>
      </c>
      <c r="AA769" s="40" t="b">
        <f t="shared" si="66"/>
        <v>0</v>
      </c>
    </row>
    <row r="770" spans="1:27" x14ac:dyDescent="0.3">
      <c r="A770" s="32">
        <v>768</v>
      </c>
      <c r="B770" s="33">
        <v>40578</v>
      </c>
      <c r="C770" s="40" t="str">
        <f t="shared" si="69"/>
        <v>Friday</v>
      </c>
      <c r="D770" s="28">
        <v>10</v>
      </c>
      <c r="E770" s="40" t="str" cm="1">
        <f t="array" ref="E770">_xlfn.IFS(D770&gt;=21,"Night",D770&gt;=17,"Evening",D770&gt;=12,"Midday",D770&gt;=6,"Morning", TRUE, "Night")</f>
        <v>Morning</v>
      </c>
      <c r="F770" s="28">
        <v>1</v>
      </c>
      <c r="G770" s="28">
        <v>0</v>
      </c>
      <c r="H770" s="28">
        <v>2</v>
      </c>
      <c r="I770" s="28">
        <v>5</v>
      </c>
      <c r="J770" s="40" t="str">
        <f t="shared" si="70"/>
        <v>Weekday</v>
      </c>
      <c r="K770" s="28" t="b">
        <v>0</v>
      </c>
      <c r="L770" s="28">
        <v>2</v>
      </c>
      <c r="M770" s="40" t="str" cm="1">
        <f t="array" ref="M770">_xlfn.IFS(L770=1,"Clear / Partly Cloudy",L770=2,"Mist / Cloudy",L770=3,"Light Snow / Rain",L770=4,"Heavy Precipitation")</f>
        <v>Mist / Cloudy</v>
      </c>
      <c r="N770" s="28">
        <v>0.2</v>
      </c>
      <c r="O770" s="28" t="str">
        <f t="shared" si="71"/>
        <v>Mild</v>
      </c>
      <c r="P770" s="28">
        <v>0.21210000000000001</v>
      </c>
      <c r="Q770" s="38">
        <f t="shared" si="67"/>
        <v>0.21210000000000001</v>
      </c>
      <c r="R770" s="28">
        <v>0.51</v>
      </c>
      <c r="S770" s="28">
        <v>0.1343</v>
      </c>
      <c r="T770" s="40" t="str" cm="1">
        <f t="array" ref="T770">_xlfn.IFS(S770*18.6&lt;2,"Calm",S770*18.6&lt;6,"Light Breeze",S770*18.6&lt;14,"Gale",TRUE,"Extreme Storm")</f>
        <v>Light Breeze</v>
      </c>
      <c r="U770" s="28">
        <v>5</v>
      </c>
      <c r="V770" s="28">
        <v>46</v>
      </c>
      <c r="W770" s="28">
        <v>51</v>
      </c>
      <c r="X770" s="44">
        <f>AVERAGE(INDEX($W:$W,MAX(ROW($W$3),ROW()-23)):INDEX($W:$W,ROW()))</f>
        <v>67.625</v>
      </c>
      <c r="Y770" s="44">
        <f>_xlfn.STDEV.S(INDEX($W:$W,MAX(ROW($W$3),ROW()-23)):INDEX($W:$W,ROW()))</f>
        <v>55.725891648317301</v>
      </c>
      <c r="Z770" s="44">
        <f t="shared" si="68"/>
        <v>-0.29833528918513069</v>
      </c>
      <c r="AA770" s="40" t="b">
        <f t="shared" si="66"/>
        <v>0</v>
      </c>
    </row>
    <row r="771" spans="1:27" x14ac:dyDescent="0.3">
      <c r="A771" s="32">
        <v>769</v>
      </c>
      <c r="B771" s="33">
        <v>40578</v>
      </c>
      <c r="C771" s="40" t="str">
        <f t="shared" si="69"/>
        <v>Friday</v>
      </c>
      <c r="D771" s="28">
        <v>11</v>
      </c>
      <c r="E771" s="40" t="str" cm="1">
        <f t="array" ref="E771">_xlfn.IFS(D771&gt;=21,"Night",D771&gt;=17,"Evening",D771&gt;=12,"Midday",D771&gt;=6,"Morning", TRUE, "Night")</f>
        <v>Morning</v>
      </c>
      <c r="F771" s="28">
        <v>1</v>
      </c>
      <c r="G771" s="28">
        <v>0</v>
      </c>
      <c r="H771" s="28">
        <v>2</v>
      </c>
      <c r="I771" s="28">
        <v>5</v>
      </c>
      <c r="J771" s="40" t="str">
        <f t="shared" si="70"/>
        <v>Weekday</v>
      </c>
      <c r="K771" s="28" t="b">
        <v>0</v>
      </c>
      <c r="L771" s="28">
        <v>1</v>
      </c>
      <c r="M771" s="40" t="str" cm="1">
        <f t="array" ref="M771">_xlfn.IFS(L771=1,"Clear / Partly Cloudy",L771=2,"Mist / Cloudy",L771=3,"Light Snow / Rain",L771=4,"Heavy Precipitation")</f>
        <v>Clear / Partly Cloudy</v>
      </c>
      <c r="N771" s="28">
        <v>0.22</v>
      </c>
      <c r="O771" s="28" t="str">
        <f t="shared" si="71"/>
        <v>Mild</v>
      </c>
      <c r="P771" s="28">
        <v>0.2273</v>
      </c>
      <c r="Q771" s="38">
        <f t="shared" si="67"/>
        <v>0.2273</v>
      </c>
      <c r="R771" s="28">
        <v>0.51</v>
      </c>
      <c r="S771" s="28">
        <v>0.16420000000000001</v>
      </c>
      <c r="T771" s="40" t="str" cm="1">
        <f t="array" ref="T771">_xlfn.IFS(S771*18.6&lt;2,"Calm",S771*18.6&lt;6,"Light Breeze",S771*18.6&lt;14,"Gale",TRUE,"Extreme Storm")</f>
        <v>Light Breeze</v>
      </c>
      <c r="U771" s="28">
        <v>3</v>
      </c>
      <c r="V771" s="28">
        <v>61</v>
      </c>
      <c r="W771" s="28">
        <v>64</v>
      </c>
      <c r="X771" s="44">
        <f>AVERAGE(INDEX($W:$W,MAX(ROW($W$3),ROW()-23)):INDEX($W:$W,ROW()))</f>
        <v>68.125</v>
      </c>
      <c r="Y771" s="44">
        <f>_xlfn.STDEV.S(INDEX($W:$W,MAX(ROW($W$3),ROW()-23)):INDEX($W:$W,ROW()))</f>
        <v>55.633359166725796</v>
      </c>
      <c r="Z771" s="44">
        <f t="shared" si="68"/>
        <v>-7.4146160896700883E-2</v>
      </c>
      <c r="AA771" s="40" t="b">
        <f t="shared" ref="AA771:AA834" si="72">IF(ABS(Z771)&gt;=3,TRUE,FALSE)</f>
        <v>0</v>
      </c>
    </row>
    <row r="772" spans="1:27" x14ac:dyDescent="0.3">
      <c r="A772" s="32">
        <v>770</v>
      </c>
      <c r="B772" s="33">
        <v>40578</v>
      </c>
      <c r="C772" s="40" t="str">
        <f t="shared" si="69"/>
        <v>Friday</v>
      </c>
      <c r="D772" s="28">
        <v>12</v>
      </c>
      <c r="E772" s="40" t="str" cm="1">
        <f t="array" ref="E772">_xlfn.IFS(D772&gt;=21,"Night",D772&gt;=17,"Evening",D772&gt;=12,"Midday",D772&gt;=6,"Morning", TRUE, "Night")</f>
        <v>Midday</v>
      </c>
      <c r="F772" s="28">
        <v>1</v>
      </c>
      <c r="G772" s="28">
        <v>0</v>
      </c>
      <c r="H772" s="28">
        <v>2</v>
      </c>
      <c r="I772" s="28">
        <v>5</v>
      </c>
      <c r="J772" s="40" t="str">
        <f t="shared" si="70"/>
        <v>Weekday</v>
      </c>
      <c r="K772" s="28" t="b">
        <v>0</v>
      </c>
      <c r="L772" s="28">
        <v>2</v>
      </c>
      <c r="M772" s="40" t="str" cm="1">
        <f t="array" ref="M772">_xlfn.IFS(L772=1,"Clear / Partly Cloudy",L772=2,"Mist / Cloudy",L772=3,"Light Snow / Rain",L772=4,"Heavy Precipitation")</f>
        <v>Mist / Cloudy</v>
      </c>
      <c r="N772" s="28">
        <v>0.24</v>
      </c>
      <c r="O772" s="28" t="str">
        <f t="shared" si="71"/>
        <v>Mild</v>
      </c>
      <c r="P772" s="28">
        <v>0.2424</v>
      </c>
      <c r="Q772" s="38">
        <f t="shared" ref="Q772:Q835" si="73">IF(P772="", AVERAGE($P$3:$P$1002), P772)</f>
        <v>0.2424</v>
      </c>
      <c r="R772" s="28">
        <v>0.48</v>
      </c>
      <c r="S772" s="28">
        <v>0.16420000000000001</v>
      </c>
      <c r="T772" s="40" t="str" cm="1">
        <f t="array" ref="T772">_xlfn.IFS(S772*18.6&lt;2,"Calm",S772*18.6&lt;6,"Light Breeze",S772*18.6&lt;14,"Gale",TRUE,"Extreme Storm")</f>
        <v>Light Breeze</v>
      </c>
      <c r="U772" s="28">
        <v>8</v>
      </c>
      <c r="V772" s="28">
        <v>78</v>
      </c>
      <c r="W772" s="28">
        <v>86</v>
      </c>
      <c r="X772" s="44">
        <f>AVERAGE(INDEX($W:$W,MAX(ROW($W$3),ROW()-23)):INDEX($W:$W,ROW()))</f>
        <v>69.041666666666671</v>
      </c>
      <c r="Y772" s="44">
        <f>_xlfn.STDEV.S(INDEX($W:$W,MAX(ROW($W$3),ROW()-23)):INDEX($W:$W,ROW()))</f>
        <v>55.743573750637424</v>
      </c>
      <c r="Z772" s="44">
        <f t="shared" ref="Z772:Z835" si="74">IFERROR((W772-X772)/Y772,0)</f>
        <v>0.30422041846822589</v>
      </c>
      <c r="AA772" s="40" t="b">
        <f t="shared" si="72"/>
        <v>0</v>
      </c>
    </row>
    <row r="773" spans="1:27" x14ac:dyDescent="0.3">
      <c r="A773" s="32">
        <v>771</v>
      </c>
      <c r="B773" s="33">
        <v>40578</v>
      </c>
      <c r="C773" s="40" t="str">
        <f t="shared" ref="C773:C836" si="75">TEXT(B773,"dddd")</f>
        <v>Friday</v>
      </c>
      <c r="D773" s="28">
        <v>13</v>
      </c>
      <c r="E773" s="40" t="str" cm="1">
        <f t="array" ref="E773">_xlfn.IFS(D773&gt;=21,"Night",D773&gt;=17,"Evening",D773&gt;=12,"Midday",D773&gt;=6,"Morning", TRUE, "Night")</f>
        <v>Midday</v>
      </c>
      <c r="F773" s="28">
        <v>1</v>
      </c>
      <c r="G773" s="28">
        <v>0</v>
      </c>
      <c r="H773" s="28">
        <v>2</v>
      </c>
      <c r="I773" s="28">
        <v>5</v>
      </c>
      <c r="J773" s="40" t="str">
        <f t="shared" ref="J773:J836" si="76">IF(OR(I773="Saturday", I773="Sunday"), "Weekend", "Weekday")</f>
        <v>Weekday</v>
      </c>
      <c r="K773" s="28" t="b">
        <v>0</v>
      </c>
      <c r="L773" s="28">
        <v>2</v>
      </c>
      <c r="M773" s="40" t="str" cm="1">
        <f t="array" ref="M773">_xlfn.IFS(L773=1,"Clear / Partly Cloudy",L773=2,"Mist / Cloudy",L773=3,"Light Snow / Rain",L773=4,"Heavy Precipitation")</f>
        <v>Mist / Cloudy</v>
      </c>
      <c r="N773" s="28">
        <v>0.26</v>
      </c>
      <c r="O773" s="28" t="str">
        <f t="shared" ref="O773:O836" si="77">IF(N773&lt;0.2,"Cold",IF(N773&lt;0.6,"Mild","Hot"))</f>
        <v>Mild</v>
      </c>
      <c r="P773" s="28">
        <v>0.2576</v>
      </c>
      <c r="Q773" s="38">
        <f t="shared" si="73"/>
        <v>0.2576</v>
      </c>
      <c r="R773" s="28">
        <v>0.5</v>
      </c>
      <c r="S773" s="28">
        <v>0.22389999999999999</v>
      </c>
      <c r="T773" s="40" t="str" cm="1">
        <f t="array" ref="T773">_xlfn.IFS(S773*18.6&lt;2,"Calm",S773*18.6&lt;6,"Light Breeze",S773*18.6&lt;14,"Gale",TRUE,"Extreme Storm")</f>
        <v>Light Breeze</v>
      </c>
      <c r="U773" s="28">
        <v>9</v>
      </c>
      <c r="V773" s="28">
        <v>73</v>
      </c>
      <c r="W773" s="28">
        <v>82</v>
      </c>
      <c r="X773" s="44">
        <f>AVERAGE(INDEX($W:$W,MAX(ROW($W$3),ROW()-23)):INDEX($W:$W,ROW()))</f>
        <v>69.583333333333329</v>
      </c>
      <c r="Y773" s="44">
        <f>_xlfn.STDEV.S(INDEX($W:$W,MAX(ROW($W$3),ROW()-23)):INDEX($W:$W,ROW()))</f>
        <v>55.806277242888584</v>
      </c>
      <c r="Z773" s="44">
        <f t="shared" si="74"/>
        <v>0.22249587824367789</v>
      </c>
      <c r="AA773" s="40" t="b">
        <f t="shared" si="72"/>
        <v>0</v>
      </c>
    </row>
    <row r="774" spans="1:27" x14ac:dyDescent="0.3">
      <c r="A774" s="32">
        <v>772</v>
      </c>
      <c r="B774" s="33">
        <v>40578</v>
      </c>
      <c r="C774" s="40" t="str">
        <f t="shared" si="75"/>
        <v>Friday</v>
      </c>
      <c r="D774" s="28">
        <v>14</v>
      </c>
      <c r="E774" s="40" t="str" cm="1">
        <f t="array" ref="E774">_xlfn.IFS(D774&gt;=21,"Night",D774&gt;=17,"Evening",D774&gt;=12,"Midday",D774&gt;=6,"Morning", TRUE, "Night")</f>
        <v>Midday</v>
      </c>
      <c r="F774" s="28">
        <v>1</v>
      </c>
      <c r="G774" s="28">
        <v>0</v>
      </c>
      <c r="H774" s="28">
        <v>2</v>
      </c>
      <c r="I774" s="28">
        <v>5</v>
      </c>
      <c r="J774" s="40" t="str">
        <f t="shared" si="76"/>
        <v>Weekday</v>
      </c>
      <c r="K774" s="28" t="b">
        <v>0</v>
      </c>
      <c r="L774" s="28">
        <v>2</v>
      </c>
      <c r="M774" s="40" t="str" cm="1">
        <f t="array" ref="M774">_xlfn.IFS(L774=1,"Clear / Partly Cloudy",L774=2,"Mist / Cloudy",L774=3,"Light Snow / Rain",L774=4,"Heavy Precipitation")</f>
        <v>Mist / Cloudy</v>
      </c>
      <c r="N774" s="28">
        <v>0.28000000000000003</v>
      </c>
      <c r="O774" s="28" t="str">
        <f t="shared" si="77"/>
        <v>Mild</v>
      </c>
      <c r="P774" s="28">
        <v>0.2727</v>
      </c>
      <c r="Q774" s="38">
        <f t="shared" si="73"/>
        <v>0.2727</v>
      </c>
      <c r="R774" s="28">
        <v>0.45</v>
      </c>
      <c r="S774" s="28">
        <v>0.16420000000000001</v>
      </c>
      <c r="T774" s="40" t="str" cm="1">
        <f t="array" ref="T774">_xlfn.IFS(S774*18.6&lt;2,"Calm",S774*18.6&lt;6,"Light Breeze",S774*18.6&lt;14,"Gale",TRUE,"Extreme Storm")</f>
        <v>Light Breeze</v>
      </c>
      <c r="U774" s="28">
        <v>15</v>
      </c>
      <c r="V774" s="28">
        <v>76</v>
      </c>
      <c r="W774" s="28">
        <v>91</v>
      </c>
      <c r="X774" s="44">
        <f>AVERAGE(INDEX($W:$W,MAX(ROW($W$3),ROW()-23)):INDEX($W:$W,ROW()))</f>
        <v>71.25</v>
      </c>
      <c r="Y774" s="44">
        <f>_xlfn.STDEV.S(INDEX($W:$W,MAX(ROW($W$3),ROW()-23)):INDEX($W:$W,ROW()))</f>
        <v>55.82445311167313</v>
      </c>
      <c r="Z774" s="44">
        <f t="shared" si="74"/>
        <v>0.35378761275979598</v>
      </c>
      <c r="AA774" s="40" t="b">
        <f t="shared" si="72"/>
        <v>0</v>
      </c>
    </row>
    <row r="775" spans="1:27" x14ac:dyDescent="0.3">
      <c r="A775" s="32">
        <v>773</v>
      </c>
      <c r="B775" s="33">
        <v>40578</v>
      </c>
      <c r="C775" s="40" t="str">
        <f t="shared" si="75"/>
        <v>Friday</v>
      </c>
      <c r="D775" s="28">
        <v>15</v>
      </c>
      <c r="E775" s="40" t="str" cm="1">
        <f t="array" ref="E775">_xlfn.IFS(D775&gt;=21,"Night",D775&gt;=17,"Evening",D775&gt;=12,"Midday",D775&gt;=6,"Morning", TRUE, "Night")</f>
        <v>Midday</v>
      </c>
      <c r="F775" s="28">
        <v>1</v>
      </c>
      <c r="G775" s="28">
        <v>0</v>
      </c>
      <c r="H775" s="28">
        <v>2</v>
      </c>
      <c r="I775" s="28">
        <v>5</v>
      </c>
      <c r="J775" s="40" t="str">
        <f t="shared" si="76"/>
        <v>Weekday</v>
      </c>
      <c r="K775" s="28" t="b">
        <v>0</v>
      </c>
      <c r="L775" s="28">
        <v>2</v>
      </c>
      <c r="M775" s="40" t="str" cm="1">
        <f t="array" ref="M775">_xlfn.IFS(L775=1,"Clear / Partly Cloudy",L775=2,"Mist / Cloudy",L775=3,"Light Snow / Rain",L775=4,"Heavy Precipitation")</f>
        <v>Mist / Cloudy</v>
      </c>
      <c r="N775" s="28">
        <v>0.28000000000000003</v>
      </c>
      <c r="O775" s="28" t="str">
        <f t="shared" si="77"/>
        <v>Mild</v>
      </c>
      <c r="P775" s="28">
        <v>0.2727</v>
      </c>
      <c r="Q775" s="38">
        <f t="shared" si="73"/>
        <v>0.2727</v>
      </c>
      <c r="R775" s="28">
        <v>0.48</v>
      </c>
      <c r="S775" s="28">
        <v>0.25369999999999998</v>
      </c>
      <c r="T775" s="40" t="str" cm="1">
        <f t="array" ref="T775">_xlfn.IFS(S775*18.6&lt;2,"Calm",S775*18.6&lt;6,"Light Breeze",S775*18.6&lt;14,"Gale",TRUE,"Extreme Storm")</f>
        <v>Light Breeze</v>
      </c>
      <c r="U775" s="28">
        <v>9</v>
      </c>
      <c r="V775" s="28">
        <v>81</v>
      </c>
      <c r="W775" s="28">
        <v>90</v>
      </c>
      <c r="X775" s="44">
        <f>AVERAGE(INDEX($W:$W,MAX(ROW($W$3),ROW()-23)):INDEX($W:$W,ROW()))</f>
        <v>73.041666666666671</v>
      </c>
      <c r="Y775" s="44">
        <f>_xlfn.STDEV.S(INDEX($W:$W,MAX(ROW($W$3),ROW()-23)):INDEX($W:$W,ROW()))</f>
        <v>55.702220053069517</v>
      </c>
      <c r="Z775" s="44">
        <f t="shared" si="74"/>
        <v>0.30444627372439576</v>
      </c>
      <c r="AA775" s="40" t="b">
        <f t="shared" si="72"/>
        <v>0</v>
      </c>
    </row>
    <row r="776" spans="1:27" x14ac:dyDescent="0.3">
      <c r="A776" s="32">
        <v>774</v>
      </c>
      <c r="B776" s="33">
        <v>40578</v>
      </c>
      <c r="C776" s="40" t="str">
        <f t="shared" si="75"/>
        <v>Friday</v>
      </c>
      <c r="D776" s="28">
        <v>16</v>
      </c>
      <c r="E776" s="40" t="str" cm="1">
        <f t="array" ref="E776">_xlfn.IFS(D776&gt;=21,"Night",D776&gt;=17,"Evening",D776&gt;=12,"Midday",D776&gt;=6,"Morning", TRUE, "Night")</f>
        <v>Midday</v>
      </c>
      <c r="F776" s="28">
        <v>1</v>
      </c>
      <c r="G776" s="28">
        <v>0</v>
      </c>
      <c r="H776" s="28">
        <v>2</v>
      </c>
      <c r="I776" s="28">
        <v>5</v>
      </c>
      <c r="J776" s="40" t="str">
        <f t="shared" si="76"/>
        <v>Weekday</v>
      </c>
      <c r="K776" s="28" t="b">
        <v>0</v>
      </c>
      <c r="L776" s="28">
        <v>2</v>
      </c>
      <c r="M776" s="40" t="str" cm="1">
        <f t="array" ref="M776">_xlfn.IFS(L776=1,"Clear / Partly Cloudy",L776=2,"Mist / Cloudy",L776=3,"Light Snow / Rain",L776=4,"Heavy Precipitation")</f>
        <v>Mist / Cloudy</v>
      </c>
      <c r="N776" s="28">
        <v>0.3</v>
      </c>
      <c r="O776" s="28" t="str">
        <f t="shared" si="77"/>
        <v>Mild</v>
      </c>
      <c r="P776" s="28">
        <v>0.28789999999999999</v>
      </c>
      <c r="Q776" s="38">
        <f t="shared" si="73"/>
        <v>0.28789999999999999</v>
      </c>
      <c r="R776" s="28">
        <v>0.42</v>
      </c>
      <c r="S776" s="28">
        <v>0.22389999999999999</v>
      </c>
      <c r="T776" s="40" t="str" cm="1">
        <f t="array" ref="T776">_xlfn.IFS(S776*18.6&lt;2,"Calm",S776*18.6&lt;6,"Light Breeze",S776*18.6&lt;14,"Gale",TRUE,"Extreme Storm")</f>
        <v>Light Breeze</v>
      </c>
      <c r="U776" s="28">
        <v>8</v>
      </c>
      <c r="V776" s="28">
        <v>91</v>
      </c>
      <c r="W776" s="28">
        <v>99</v>
      </c>
      <c r="X776" s="44">
        <f>AVERAGE(INDEX($W:$W,MAX(ROW($W$3),ROW()-23)):INDEX($W:$W,ROW()))</f>
        <v>74.666666666666671</v>
      </c>
      <c r="Y776" s="44">
        <f>_xlfn.STDEV.S(INDEX($W:$W,MAX(ROW($W$3),ROW()-23)):INDEX($W:$W,ROW()))</f>
        <v>55.87382265400332</v>
      </c>
      <c r="Z776" s="44">
        <f t="shared" si="74"/>
        <v>0.43550507514076203</v>
      </c>
      <c r="AA776" s="40" t="b">
        <f t="shared" si="72"/>
        <v>0</v>
      </c>
    </row>
    <row r="777" spans="1:27" x14ac:dyDescent="0.3">
      <c r="A777" s="32">
        <v>775</v>
      </c>
      <c r="B777" s="33">
        <v>40578</v>
      </c>
      <c r="C777" s="40" t="str">
        <f t="shared" si="75"/>
        <v>Friday</v>
      </c>
      <c r="D777" s="28">
        <v>17</v>
      </c>
      <c r="E777" s="40" t="str" cm="1">
        <f t="array" ref="E777">_xlfn.IFS(D777&gt;=21,"Night",D777&gt;=17,"Evening",D777&gt;=12,"Midday",D777&gt;=6,"Morning", TRUE, "Night")</f>
        <v>Evening</v>
      </c>
      <c r="F777" s="28">
        <v>1</v>
      </c>
      <c r="G777" s="28">
        <v>0</v>
      </c>
      <c r="H777" s="28">
        <v>2</v>
      </c>
      <c r="I777" s="28">
        <v>5</v>
      </c>
      <c r="J777" s="40" t="str">
        <f t="shared" si="76"/>
        <v>Weekday</v>
      </c>
      <c r="K777" s="28" t="b">
        <v>0</v>
      </c>
      <c r="L777" s="28">
        <v>2</v>
      </c>
      <c r="M777" s="40" t="str" cm="1">
        <f t="array" ref="M777">_xlfn.IFS(L777=1,"Clear / Partly Cloudy",L777=2,"Mist / Cloudy",L777=3,"Light Snow / Rain",L777=4,"Heavy Precipitation")</f>
        <v>Mist / Cloudy</v>
      </c>
      <c r="N777" s="28">
        <v>0.26</v>
      </c>
      <c r="O777" s="28" t="str">
        <f t="shared" si="77"/>
        <v>Mild</v>
      </c>
      <c r="P777" s="28">
        <v>0.2727</v>
      </c>
      <c r="Q777" s="38">
        <f t="shared" si="73"/>
        <v>0.2727</v>
      </c>
      <c r="R777" s="28">
        <v>0.56000000000000005</v>
      </c>
      <c r="S777" s="28">
        <v>0.1343</v>
      </c>
      <c r="T777" s="40" t="str" cm="1">
        <f t="array" ref="T777">_xlfn.IFS(S777*18.6&lt;2,"Calm",S777*18.6&lt;6,"Light Breeze",S777*18.6&lt;14,"Gale",TRUE,"Extreme Storm")</f>
        <v>Light Breeze</v>
      </c>
      <c r="U777" s="28">
        <v>10</v>
      </c>
      <c r="V777" s="28">
        <v>195</v>
      </c>
      <c r="W777" s="28">
        <v>205</v>
      </c>
      <c r="X777" s="44">
        <f>AVERAGE(INDEX($W:$W,MAX(ROW($W$3),ROW()-23)):INDEX($W:$W,ROW()))</f>
        <v>79.958333333333329</v>
      </c>
      <c r="Y777" s="44">
        <f>_xlfn.STDEV.S(INDEX($W:$W,MAX(ROW($W$3),ROW()-23)):INDEX($W:$W,ROW()))</f>
        <v>61.892950477744876</v>
      </c>
      <c r="Z777" s="44">
        <f t="shared" si="74"/>
        <v>2.0202893173048593</v>
      </c>
      <c r="AA777" s="40" t="b">
        <f t="shared" si="72"/>
        <v>0</v>
      </c>
    </row>
    <row r="778" spans="1:27" x14ac:dyDescent="0.3">
      <c r="A778" s="32">
        <v>776</v>
      </c>
      <c r="B778" s="33">
        <v>40578</v>
      </c>
      <c r="C778" s="40" t="str">
        <f t="shared" si="75"/>
        <v>Friday</v>
      </c>
      <c r="D778" s="28">
        <v>18</v>
      </c>
      <c r="E778" s="40" t="str" cm="1">
        <f t="array" ref="E778">_xlfn.IFS(D778&gt;=21,"Night",D778&gt;=17,"Evening",D778&gt;=12,"Midday",D778&gt;=6,"Morning", TRUE, "Night")</f>
        <v>Evening</v>
      </c>
      <c r="F778" s="28">
        <v>1</v>
      </c>
      <c r="G778" s="28">
        <v>0</v>
      </c>
      <c r="H778" s="28">
        <v>2</v>
      </c>
      <c r="I778" s="28">
        <v>5</v>
      </c>
      <c r="J778" s="40" t="str">
        <f t="shared" si="76"/>
        <v>Weekday</v>
      </c>
      <c r="K778" s="28" t="b">
        <v>0</v>
      </c>
      <c r="L778" s="28">
        <v>2</v>
      </c>
      <c r="M778" s="40" t="str" cm="1">
        <f t="array" ref="M778">_xlfn.IFS(L778=1,"Clear / Partly Cloudy",L778=2,"Mist / Cloudy",L778=3,"Light Snow / Rain",L778=4,"Heavy Precipitation")</f>
        <v>Mist / Cloudy</v>
      </c>
      <c r="N778" s="28">
        <v>0.24</v>
      </c>
      <c r="O778" s="28" t="str">
        <f t="shared" si="77"/>
        <v>Mild</v>
      </c>
      <c r="P778" s="28">
        <v>0.2576</v>
      </c>
      <c r="Q778" s="38">
        <f t="shared" si="73"/>
        <v>0.2576</v>
      </c>
      <c r="R778" s="28">
        <v>0.6</v>
      </c>
      <c r="S778" s="28">
        <v>0.1045</v>
      </c>
      <c r="T778" s="40" t="str" cm="1">
        <f t="array" ref="T778">_xlfn.IFS(S778*18.6&lt;2,"Calm",S778*18.6&lt;6,"Light Breeze",S778*18.6&lt;14,"Gale",TRUE,"Extreme Storm")</f>
        <v>Calm</v>
      </c>
      <c r="U778" s="28">
        <v>3</v>
      </c>
      <c r="V778" s="28">
        <v>152</v>
      </c>
      <c r="W778" s="28">
        <v>155</v>
      </c>
      <c r="X778" s="44">
        <f>AVERAGE(INDEX($W:$W,MAX(ROW($W$3),ROW()-23)):INDEX($W:$W,ROW()))</f>
        <v>79.125</v>
      </c>
      <c r="Y778" s="44">
        <f>_xlfn.STDEV.S(INDEX($W:$W,MAX(ROW($W$3),ROW()-23)):INDEX($W:$W,ROW()))</f>
        <v>60.680426254557432</v>
      </c>
      <c r="Z778" s="44">
        <f t="shared" si="74"/>
        <v>1.2504032137431034</v>
      </c>
      <c r="AA778" s="40" t="b">
        <f t="shared" si="72"/>
        <v>0</v>
      </c>
    </row>
    <row r="779" spans="1:27" x14ac:dyDescent="0.3">
      <c r="A779" s="32">
        <v>777</v>
      </c>
      <c r="B779" s="33">
        <v>40578</v>
      </c>
      <c r="C779" s="40" t="str">
        <f t="shared" si="75"/>
        <v>Friday</v>
      </c>
      <c r="D779" s="28">
        <v>19</v>
      </c>
      <c r="E779" s="40" t="str" cm="1">
        <f t="array" ref="E779">_xlfn.IFS(D779&gt;=21,"Night",D779&gt;=17,"Evening",D779&gt;=12,"Midday",D779&gt;=6,"Morning", TRUE, "Night")</f>
        <v>Evening</v>
      </c>
      <c r="F779" s="28">
        <v>1</v>
      </c>
      <c r="G779" s="28">
        <v>0</v>
      </c>
      <c r="H779" s="28">
        <v>2</v>
      </c>
      <c r="I779" s="28">
        <v>5</v>
      </c>
      <c r="J779" s="40" t="str">
        <f t="shared" si="76"/>
        <v>Weekday</v>
      </c>
      <c r="K779" s="28" t="b">
        <v>0</v>
      </c>
      <c r="L779" s="28">
        <v>2</v>
      </c>
      <c r="M779" s="40" t="str" cm="1">
        <f t="array" ref="M779">_xlfn.IFS(L779=1,"Clear / Partly Cloudy",L779=2,"Mist / Cloudy",L779=3,"Light Snow / Rain",L779=4,"Heavy Precipitation")</f>
        <v>Mist / Cloudy</v>
      </c>
      <c r="N779" s="28">
        <v>0.24</v>
      </c>
      <c r="O779" s="28" t="str">
        <f t="shared" si="77"/>
        <v>Mild</v>
      </c>
      <c r="P779" s="28">
        <v>0.2424</v>
      </c>
      <c r="Q779" s="38">
        <f t="shared" si="73"/>
        <v>0.2424</v>
      </c>
      <c r="R779" s="28">
        <v>0.65</v>
      </c>
      <c r="S779" s="28">
        <v>0.1343</v>
      </c>
      <c r="T779" s="40" t="str" cm="1">
        <f t="array" ref="T779">_xlfn.IFS(S779*18.6&lt;2,"Calm",S779*18.6&lt;6,"Light Breeze",S779*18.6&lt;14,"Gale",TRUE,"Extreme Storm")</f>
        <v>Light Breeze</v>
      </c>
      <c r="U779" s="28">
        <v>1</v>
      </c>
      <c r="V779" s="28">
        <v>102</v>
      </c>
      <c r="W779" s="28">
        <v>103</v>
      </c>
      <c r="X779" s="44">
        <f>AVERAGE(INDEX($W:$W,MAX(ROW($W$3),ROW()-23)):INDEX($W:$W,ROW()))</f>
        <v>77.291666666666671</v>
      </c>
      <c r="Y779" s="44">
        <f>_xlfn.STDEV.S(INDEX($W:$W,MAX(ROW($W$3),ROW()-23)):INDEX($W:$W,ROW()))</f>
        <v>59.186866321233268</v>
      </c>
      <c r="Z779" s="44">
        <f t="shared" si="74"/>
        <v>0.4343587510411997</v>
      </c>
      <c r="AA779" s="40" t="b">
        <f t="shared" si="72"/>
        <v>0</v>
      </c>
    </row>
    <row r="780" spans="1:27" x14ac:dyDescent="0.3">
      <c r="A780" s="32">
        <v>778</v>
      </c>
      <c r="B780" s="33">
        <v>40578</v>
      </c>
      <c r="C780" s="40" t="str">
        <f t="shared" si="75"/>
        <v>Friday</v>
      </c>
      <c r="D780" s="28">
        <v>20</v>
      </c>
      <c r="E780" s="40" t="str" cm="1">
        <f t="array" ref="E780">_xlfn.IFS(D780&gt;=21,"Night",D780&gt;=17,"Evening",D780&gt;=12,"Midday",D780&gt;=6,"Morning", TRUE, "Night")</f>
        <v>Evening</v>
      </c>
      <c r="F780" s="28">
        <v>1</v>
      </c>
      <c r="G780" s="28">
        <v>0</v>
      </c>
      <c r="H780" s="28">
        <v>2</v>
      </c>
      <c r="I780" s="28">
        <v>5</v>
      </c>
      <c r="J780" s="40" t="str">
        <f t="shared" si="76"/>
        <v>Weekday</v>
      </c>
      <c r="K780" s="28" t="b">
        <v>0</v>
      </c>
      <c r="L780" s="28">
        <v>2</v>
      </c>
      <c r="M780" s="40" t="str" cm="1">
        <f t="array" ref="M780">_xlfn.IFS(L780=1,"Clear / Partly Cloudy",L780=2,"Mist / Cloudy",L780=3,"Light Snow / Rain",L780=4,"Heavy Precipitation")</f>
        <v>Mist / Cloudy</v>
      </c>
      <c r="N780" s="28">
        <v>0.24</v>
      </c>
      <c r="O780" s="28" t="str">
        <f t="shared" si="77"/>
        <v>Mild</v>
      </c>
      <c r="P780" s="28">
        <v>0.2424</v>
      </c>
      <c r="Q780" s="38">
        <f t="shared" si="73"/>
        <v>0.2424</v>
      </c>
      <c r="R780" s="28">
        <v>0.65</v>
      </c>
      <c r="S780" s="28">
        <v>0.16420000000000001</v>
      </c>
      <c r="T780" s="40" t="str" cm="1">
        <f t="array" ref="T780">_xlfn.IFS(S780*18.6&lt;2,"Calm",S780*18.6&lt;6,"Light Breeze",S780*18.6&lt;14,"Gale",TRUE,"Extreme Storm")</f>
        <v>Light Breeze</v>
      </c>
      <c r="U780" s="28">
        <v>2</v>
      </c>
      <c r="V780" s="28">
        <v>69</v>
      </c>
      <c r="W780" s="28">
        <v>71</v>
      </c>
      <c r="X780" s="44">
        <f>AVERAGE(INDEX($W:$W,MAX(ROW($W$3),ROW()-23)):INDEX($W:$W,ROW()))</f>
        <v>76.25</v>
      </c>
      <c r="Y780" s="44">
        <f>_xlfn.STDEV.S(INDEX($W:$W,MAX(ROW($W$3),ROW()-23)):INDEX($W:$W,ROW()))</f>
        <v>59.063157058687018</v>
      </c>
      <c r="Z780" s="44">
        <f t="shared" si="74"/>
        <v>-8.8887900028497197E-2</v>
      </c>
      <c r="AA780" s="40" t="b">
        <f t="shared" si="72"/>
        <v>0</v>
      </c>
    </row>
    <row r="781" spans="1:27" x14ac:dyDescent="0.3">
      <c r="A781" s="32">
        <v>779</v>
      </c>
      <c r="B781" s="33">
        <v>40578</v>
      </c>
      <c r="C781" s="40" t="str">
        <f t="shared" si="75"/>
        <v>Friday</v>
      </c>
      <c r="D781" s="28">
        <v>21</v>
      </c>
      <c r="E781" s="40" t="str" cm="1">
        <f t="array" ref="E781">_xlfn.IFS(D781&gt;=21,"Night",D781&gt;=17,"Evening",D781&gt;=12,"Midday",D781&gt;=6,"Morning", TRUE, "Night")</f>
        <v>Night</v>
      </c>
      <c r="F781" s="28">
        <v>1</v>
      </c>
      <c r="G781" s="28">
        <v>0</v>
      </c>
      <c r="H781" s="28">
        <v>2</v>
      </c>
      <c r="I781" s="28">
        <v>5</v>
      </c>
      <c r="J781" s="40" t="str">
        <f t="shared" si="76"/>
        <v>Weekday</v>
      </c>
      <c r="K781" s="28" t="b">
        <v>0</v>
      </c>
      <c r="L781" s="28">
        <v>2</v>
      </c>
      <c r="M781" s="40" t="str" cm="1">
        <f t="array" ref="M781">_xlfn.IFS(L781=1,"Clear / Partly Cloudy",L781=2,"Mist / Cloudy",L781=3,"Light Snow / Rain",L781=4,"Heavy Precipitation")</f>
        <v>Mist / Cloudy</v>
      </c>
      <c r="N781" s="28">
        <v>0.24</v>
      </c>
      <c r="O781" s="28" t="str">
        <f t="shared" si="77"/>
        <v>Mild</v>
      </c>
      <c r="P781" s="28">
        <v>0.2424</v>
      </c>
      <c r="Q781" s="38">
        <f t="shared" si="73"/>
        <v>0.2424</v>
      </c>
      <c r="R781" s="28">
        <v>0.7</v>
      </c>
      <c r="S781" s="28">
        <v>0.16420000000000001</v>
      </c>
      <c r="T781" s="40" t="str" cm="1">
        <f t="array" ref="T781">_xlfn.IFS(S781*18.6&lt;2,"Calm",S781*18.6&lt;6,"Light Breeze",S781*18.6&lt;14,"Gale",TRUE,"Extreme Storm")</f>
        <v>Light Breeze</v>
      </c>
      <c r="U781" s="28">
        <v>2</v>
      </c>
      <c r="V781" s="28">
        <v>41</v>
      </c>
      <c r="W781" s="28">
        <v>43</v>
      </c>
      <c r="X781" s="44">
        <f>AVERAGE(INDEX($W:$W,MAX(ROW($W$3),ROW()-23)):INDEX($W:$W,ROW()))</f>
        <v>73.5</v>
      </c>
      <c r="Y781" s="44">
        <f>_xlfn.STDEV.S(INDEX($W:$W,MAX(ROW($W$3),ROW()-23)):INDEX($W:$W,ROW()))</f>
        <v>59.008473967727717</v>
      </c>
      <c r="Z781" s="44">
        <f t="shared" si="74"/>
        <v>-0.51687491557027443</v>
      </c>
      <c r="AA781" s="40" t="b">
        <f t="shared" si="72"/>
        <v>0</v>
      </c>
    </row>
    <row r="782" spans="1:27" x14ac:dyDescent="0.3">
      <c r="A782" s="32">
        <v>780</v>
      </c>
      <c r="B782" s="33">
        <v>40578</v>
      </c>
      <c r="C782" s="40" t="str">
        <f t="shared" si="75"/>
        <v>Friday</v>
      </c>
      <c r="D782" s="28">
        <v>22</v>
      </c>
      <c r="E782" s="40" t="str" cm="1">
        <f t="array" ref="E782">_xlfn.IFS(D782&gt;=21,"Night",D782&gt;=17,"Evening",D782&gt;=12,"Midday",D782&gt;=6,"Morning", TRUE, "Night")</f>
        <v>Night</v>
      </c>
      <c r="F782" s="28">
        <v>1</v>
      </c>
      <c r="G782" s="28">
        <v>0</v>
      </c>
      <c r="H782" s="28">
        <v>2</v>
      </c>
      <c r="I782" s="28">
        <v>5</v>
      </c>
      <c r="J782" s="40" t="str">
        <f t="shared" si="76"/>
        <v>Weekday</v>
      </c>
      <c r="K782" s="28" t="b">
        <v>0</v>
      </c>
      <c r="L782" s="28">
        <v>2</v>
      </c>
      <c r="M782" s="40" t="str" cm="1">
        <f t="array" ref="M782">_xlfn.IFS(L782=1,"Clear / Partly Cloudy",L782=2,"Mist / Cloudy",L782=3,"Light Snow / Rain",L782=4,"Heavy Precipitation")</f>
        <v>Mist / Cloudy</v>
      </c>
      <c r="N782" s="28">
        <v>0.24</v>
      </c>
      <c r="O782" s="28" t="str">
        <f t="shared" si="77"/>
        <v>Mild</v>
      </c>
      <c r="P782" s="28">
        <v>0.2424</v>
      </c>
      <c r="Q782" s="38">
        <f t="shared" si="73"/>
        <v>0.2424</v>
      </c>
      <c r="R782" s="28">
        <v>0.65</v>
      </c>
      <c r="S782" s="28">
        <v>0.16420000000000001</v>
      </c>
      <c r="T782" s="40" t="str" cm="1">
        <f t="array" ref="T782">_xlfn.IFS(S782*18.6&lt;2,"Calm",S782*18.6&lt;6,"Light Breeze",S782*18.6&lt;14,"Gale",TRUE,"Extreme Storm")</f>
        <v>Light Breeze</v>
      </c>
      <c r="U782" s="28">
        <v>1</v>
      </c>
      <c r="V782" s="28">
        <v>45</v>
      </c>
      <c r="W782" s="28">
        <v>46</v>
      </c>
      <c r="X782" s="44">
        <f>AVERAGE(INDEX($W:$W,MAX(ROW($W$3),ROW()-23)):INDEX($W:$W,ROW()))</f>
        <v>73.166666666666671</v>
      </c>
      <c r="Y782" s="44">
        <f>_xlfn.STDEV.S(INDEX($W:$W,MAX(ROW($W$3),ROW()-23)):INDEX($W:$W,ROW()))</f>
        <v>59.145852636156754</v>
      </c>
      <c r="Z782" s="44">
        <f t="shared" si="74"/>
        <v>-0.45931651089360198</v>
      </c>
      <c r="AA782" s="40" t="b">
        <f t="shared" si="72"/>
        <v>0</v>
      </c>
    </row>
    <row r="783" spans="1:27" x14ac:dyDescent="0.3">
      <c r="A783" s="32">
        <v>781</v>
      </c>
      <c r="B783" s="33">
        <v>40578</v>
      </c>
      <c r="C783" s="40" t="str">
        <f t="shared" si="75"/>
        <v>Friday</v>
      </c>
      <c r="D783" s="28">
        <v>23</v>
      </c>
      <c r="E783" s="40" t="str" cm="1">
        <f t="array" ref="E783">_xlfn.IFS(D783&gt;=21,"Night",D783&gt;=17,"Evening",D783&gt;=12,"Midday",D783&gt;=6,"Morning", TRUE, "Night")</f>
        <v>Night</v>
      </c>
      <c r="F783" s="28">
        <v>1</v>
      </c>
      <c r="G783" s="28">
        <v>0</v>
      </c>
      <c r="H783" s="28">
        <v>2</v>
      </c>
      <c r="I783" s="28">
        <v>5</v>
      </c>
      <c r="J783" s="40" t="str">
        <f t="shared" si="76"/>
        <v>Weekday</v>
      </c>
      <c r="K783" s="28" t="b">
        <v>0</v>
      </c>
      <c r="L783" s="28">
        <v>2</v>
      </c>
      <c r="M783" s="40" t="str" cm="1">
        <f t="array" ref="M783">_xlfn.IFS(L783=1,"Clear / Partly Cloudy",L783=2,"Mist / Cloudy",L783=3,"Light Snow / Rain",L783=4,"Heavy Precipitation")</f>
        <v>Mist / Cloudy</v>
      </c>
      <c r="N783" s="28">
        <v>0.24</v>
      </c>
      <c r="O783" s="28" t="str">
        <f t="shared" si="77"/>
        <v>Mild</v>
      </c>
      <c r="P783" s="28">
        <v>0.2424</v>
      </c>
      <c r="Q783" s="38">
        <f t="shared" si="73"/>
        <v>0.2424</v>
      </c>
      <c r="R783" s="28">
        <v>0.7</v>
      </c>
      <c r="S783" s="28">
        <v>0.1343</v>
      </c>
      <c r="T783" s="40" t="str" cm="1">
        <f t="array" ref="T783">_xlfn.IFS(S783*18.6&lt;2,"Calm",S783*18.6&lt;6,"Light Breeze",S783*18.6&lt;14,"Gale",TRUE,"Extreme Storm")</f>
        <v>Light Breeze</v>
      </c>
      <c r="U783" s="28">
        <v>1</v>
      </c>
      <c r="V783" s="28">
        <v>30</v>
      </c>
      <c r="W783" s="28">
        <v>31</v>
      </c>
      <c r="X783" s="44">
        <f>AVERAGE(INDEX($W:$W,MAX(ROW($W$3),ROW()-23)):INDEX($W:$W,ROW()))</f>
        <v>72.75</v>
      </c>
      <c r="Y783" s="44">
        <f>_xlfn.STDEV.S(INDEX($W:$W,MAX(ROW($W$3),ROW()-23)):INDEX($W:$W,ROW()))</f>
        <v>59.416913124272888</v>
      </c>
      <c r="Z783" s="44">
        <f t="shared" si="74"/>
        <v>-0.70266188202470525</v>
      </c>
      <c r="AA783" s="40" t="b">
        <f t="shared" si="72"/>
        <v>0</v>
      </c>
    </row>
    <row r="784" spans="1:27" x14ac:dyDescent="0.3">
      <c r="A784" s="32">
        <v>782</v>
      </c>
      <c r="B784" s="33">
        <v>40579</v>
      </c>
      <c r="C784" s="40" t="str">
        <f t="shared" si="75"/>
        <v>Saturday</v>
      </c>
      <c r="D784" s="28">
        <v>0</v>
      </c>
      <c r="E784" s="40" t="str" cm="1">
        <f t="array" ref="E784">_xlfn.IFS(D784&gt;=21,"Night",D784&gt;=17,"Evening",D784&gt;=12,"Midday",D784&gt;=6,"Morning", TRUE, "Night")</f>
        <v>Night</v>
      </c>
      <c r="F784" s="28">
        <v>1</v>
      </c>
      <c r="G784" s="28">
        <v>0</v>
      </c>
      <c r="H784" s="28">
        <v>2</v>
      </c>
      <c r="I784" s="28">
        <v>6</v>
      </c>
      <c r="J784" s="40" t="str">
        <f t="shared" si="76"/>
        <v>Weekday</v>
      </c>
      <c r="K784" s="28" t="b">
        <v>0</v>
      </c>
      <c r="L784" s="28">
        <v>2</v>
      </c>
      <c r="M784" s="40" t="str" cm="1">
        <f t="array" ref="M784">_xlfn.IFS(L784=1,"Clear / Partly Cloudy",L784=2,"Mist / Cloudy",L784=3,"Light Snow / Rain",L784=4,"Heavy Precipitation")</f>
        <v>Mist / Cloudy</v>
      </c>
      <c r="N784" s="28">
        <v>0.24</v>
      </c>
      <c r="O784" s="28" t="str">
        <f t="shared" si="77"/>
        <v>Mild</v>
      </c>
      <c r="P784" s="28">
        <v>0.2424</v>
      </c>
      <c r="Q784" s="38">
        <f t="shared" si="73"/>
        <v>0.2424</v>
      </c>
      <c r="R784" s="28">
        <v>0.7</v>
      </c>
      <c r="S784" s="28">
        <v>0.16420000000000001</v>
      </c>
      <c r="T784" s="40" t="str" cm="1">
        <f t="array" ref="T784">_xlfn.IFS(S784*18.6&lt;2,"Calm",S784*18.6&lt;6,"Light Breeze",S784*18.6&lt;14,"Gale",TRUE,"Extreme Storm")</f>
        <v>Light Breeze</v>
      </c>
      <c r="U784" s="28">
        <v>3</v>
      </c>
      <c r="V784" s="28">
        <v>36</v>
      </c>
      <c r="W784" s="28">
        <v>39</v>
      </c>
      <c r="X784" s="44">
        <f>AVERAGE(INDEX($W:$W,MAX(ROW($W$3),ROW()-23)):INDEX($W:$W,ROW()))</f>
        <v>72.791666666666671</v>
      </c>
      <c r="Y784" s="44">
        <f>_xlfn.STDEV.S(INDEX($W:$W,MAX(ROW($W$3),ROW()-23)):INDEX($W:$W,ROW()))</f>
        <v>59.39183018525042</v>
      </c>
      <c r="Z784" s="44">
        <f t="shared" si="74"/>
        <v>-0.568961531598981</v>
      </c>
      <c r="AA784" s="40" t="b">
        <f t="shared" si="72"/>
        <v>0</v>
      </c>
    </row>
    <row r="785" spans="1:27" x14ac:dyDescent="0.3">
      <c r="A785" s="32">
        <v>783</v>
      </c>
      <c r="B785" s="33">
        <v>40579</v>
      </c>
      <c r="C785" s="40" t="str">
        <f t="shared" si="75"/>
        <v>Saturday</v>
      </c>
      <c r="D785" s="28">
        <v>1</v>
      </c>
      <c r="E785" s="40" t="str" cm="1">
        <f t="array" ref="E785">_xlfn.IFS(D785&gt;=21,"Night",D785&gt;=17,"Evening",D785&gt;=12,"Midday",D785&gt;=6,"Morning", TRUE, "Night")</f>
        <v>Night</v>
      </c>
      <c r="F785" s="28">
        <v>1</v>
      </c>
      <c r="G785" s="28">
        <v>0</v>
      </c>
      <c r="H785" s="28">
        <v>2</v>
      </c>
      <c r="I785" s="28">
        <v>6</v>
      </c>
      <c r="J785" s="40" t="str">
        <f t="shared" si="76"/>
        <v>Weekday</v>
      </c>
      <c r="K785" s="28" t="b">
        <v>0</v>
      </c>
      <c r="L785" s="28">
        <v>2</v>
      </c>
      <c r="M785" s="40" t="str" cm="1">
        <f t="array" ref="M785">_xlfn.IFS(L785=1,"Clear / Partly Cloudy",L785=2,"Mist / Cloudy",L785=3,"Light Snow / Rain",L785=4,"Heavy Precipitation")</f>
        <v>Mist / Cloudy</v>
      </c>
      <c r="N785" s="28">
        <v>0.24</v>
      </c>
      <c r="O785" s="28" t="str">
        <f t="shared" si="77"/>
        <v>Mild</v>
      </c>
      <c r="P785" s="28">
        <v>0.2424</v>
      </c>
      <c r="Q785" s="38">
        <f t="shared" si="73"/>
        <v>0.2424</v>
      </c>
      <c r="R785" s="28">
        <v>0.65</v>
      </c>
      <c r="S785" s="28">
        <v>0.16420000000000001</v>
      </c>
      <c r="T785" s="40" t="str" cm="1">
        <f t="array" ref="T785">_xlfn.IFS(S785*18.6&lt;2,"Calm",S785*18.6&lt;6,"Light Breeze",S785*18.6&lt;14,"Gale",TRUE,"Extreme Storm")</f>
        <v>Light Breeze</v>
      </c>
      <c r="U785" s="28">
        <v>1</v>
      </c>
      <c r="V785" s="28">
        <v>17</v>
      </c>
      <c r="W785" s="28">
        <v>18</v>
      </c>
      <c r="X785" s="44">
        <f>AVERAGE(INDEX($W:$W,MAX(ROW($W$3),ROW()-23)):INDEX($W:$W,ROW()))</f>
        <v>73</v>
      </c>
      <c r="Y785" s="44">
        <f>_xlfn.STDEV.S(INDEX($W:$W,MAX(ROW($W$3),ROW()-23)):INDEX($W:$W,ROW()))</f>
        <v>59.181371922326164</v>
      </c>
      <c r="Z785" s="44">
        <f t="shared" si="74"/>
        <v>-0.92934648544791942</v>
      </c>
      <c r="AA785" s="40" t="b">
        <f t="shared" si="72"/>
        <v>0</v>
      </c>
    </row>
    <row r="786" spans="1:27" x14ac:dyDescent="0.3">
      <c r="A786" s="32">
        <v>784</v>
      </c>
      <c r="B786" s="33">
        <v>40579</v>
      </c>
      <c r="C786" s="40" t="str">
        <f t="shared" si="75"/>
        <v>Saturday</v>
      </c>
      <c r="D786" s="28">
        <v>2</v>
      </c>
      <c r="E786" s="40" t="str" cm="1">
        <f t="array" ref="E786">_xlfn.IFS(D786&gt;=21,"Night",D786&gt;=17,"Evening",D786&gt;=12,"Midday",D786&gt;=6,"Morning", TRUE, "Night")</f>
        <v>Night</v>
      </c>
      <c r="F786" s="28">
        <v>1</v>
      </c>
      <c r="G786" s="28">
        <v>0</v>
      </c>
      <c r="H786" s="28">
        <v>2</v>
      </c>
      <c r="I786" s="28">
        <v>6</v>
      </c>
      <c r="J786" s="40" t="str">
        <f t="shared" si="76"/>
        <v>Weekday</v>
      </c>
      <c r="K786" s="28" t="b">
        <v>0</v>
      </c>
      <c r="L786" s="28">
        <v>2</v>
      </c>
      <c r="M786" s="40" t="str" cm="1">
        <f t="array" ref="M786">_xlfn.IFS(L786=1,"Clear / Partly Cloudy",L786=2,"Mist / Cloudy",L786=3,"Light Snow / Rain",L786=4,"Heavy Precipitation")</f>
        <v>Mist / Cloudy</v>
      </c>
      <c r="N786" s="28">
        <v>0.24</v>
      </c>
      <c r="O786" s="28" t="str">
        <f t="shared" si="77"/>
        <v>Mild</v>
      </c>
      <c r="P786" s="28">
        <v>0.2424</v>
      </c>
      <c r="Q786" s="38">
        <f t="shared" si="73"/>
        <v>0.2424</v>
      </c>
      <c r="R786" s="28">
        <v>0.75</v>
      </c>
      <c r="S786" s="28">
        <v>0.16420000000000001</v>
      </c>
      <c r="T786" s="40" t="str" cm="1">
        <f t="array" ref="T786">_xlfn.IFS(S786*18.6&lt;2,"Calm",S786*18.6&lt;6,"Light Breeze",S786*18.6&lt;14,"Gale",TRUE,"Extreme Storm")</f>
        <v>Light Breeze</v>
      </c>
      <c r="U786" s="28">
        <v>5</v>
      </c>
      <c r="V786" s="28">
        <v>12</v>
      </c>
      <c r="W786" s="28">
        <v>17</v>
      </c>
      <c r="X786" s="44">
        <f>AVERAGE(INDEX($W:$W,MAX(ROW($W$3),ROW()-23)):INDEX($W:$W,ROW()))</f>
        <v>73.416666666666671</v>
      </c>
      <c r="Y786" s="44">
        <f>_xlfn.STDEV.S(INDEX($W:$W,MAX(ROW($W$3),ROW()-23)):INDEX($W:$W,ROW()))</f>
        <v>58.72997654458527</v>
      </c>
      <c r="Z786" s="44">
        <f t="shared" si="74"/>
        <v>-0.96061108799928718</v>
      </c>
      <c r="AA786" s="40" t="b">
        <f t="shared" si="72"/>
        <v>0</v>
      </c>
    </row>
    <row r="787" spans="1:27" x14ac:dyDescent="0.3">
      <c r="A787" s="32">
        <v>785</v>
      </c>
      <c r="B787" s="33">
        <v>40579</v>
      </c>
      <c r="C787" s="40" t="str">
        <f t="shared" si="75"/>
        <v>Saturday</v>
      </c>
      <c r="D787" s="28">
        <v>3</v>
      </c>
      <c r="E787" s="40" t="str" cm="1">
        <f t="array" ref="E787">_xlfn.IFS(D787&gt;=21,"Night",D787&gt;=17,"Evening",D787&gt;=12,"Midday",D787&gt;=6,"Morning", TRUE, "Night")</f>
        <v>Night</v>
      </c>
      <c r="F787" s="28">
        <v>1</v>
      </c>
      <c r="G787" s="28">
        <v>0</v>
      </c>
      <c r="H787" s="28">
        <v>2</v>
      </c>
      <c r="I787" s="28">
        <v>6</v>
      </c>
      <c r="J787" s="40" t="str">
        <f t="shared" si="76"/>
        <v>Weekday</v>
      </c>
      <c r="K787" s="28" t="b">
        <v>0</v>
      </c>
      <c r="L787" s="28">
        <v>2</v>
      </c>
      <c r="M787" s="40" t="str" cm="1">
        <f t="array" ref="M787">_xlfn.IFS(L787=1,"Clear / Partly Cloudy",L787=2,"Mist / Cloudy",L787=3,"Light Snow / Rain",L787=4,"Heavy Precipitation")</f>
        <v>Mist / Cloudy</v>
      </c>
      <c r="N787" s="28">
        <v>0.24</v>
      </c>
      <c r="O787" s="28" t="str">
        <f t="shared" si="77"/>
        <v>Mild</v>
      </c>
      <c r="P787" s="28">
        <v>0.2424</v>
      </c>
      <c r="Q787" s="38">
        <f t="shared" si="73"/>
        <v>0.2424</v>
      </c>
      <c r="R787" s="28">
        <v>0.75</v>
      </c>
      <c r="S787" s="28">
        <v>0.16420000000000001</v>
      </c>
      <c r="T787" s="40" t="str" cm="1">
        <f t="array" ref="T787">_xlfn.IFS(S787*18.6&lt;2,"Calm",S787*18.6&lt;6,"Light Breeze",S787*18.6&lt;14,"Gale",TRUE,"Extreme Storm")</f>
        <v>Light Breeze</v>
      </c>
      <c r="U787" s="28">
        <v>1</v>
      </c>
      <c r="V787" s="28">
        <v>10</v>
      </c>
      <c r="W787" s="28">
        <v>11</v>
      </c>
      <c r="X787" s="44">
        <f>AVERAGE(INDEX($W:$W,MAX(ROW($W$3),ROW()-23)):INDEX($W:$W,ROW()))</f>
        <v>73.833333333333329</v>
      </c>
      <c r="Y787" s="44">
        <f>_xlfn.STDEV.S(INDEX($W:$W,MAX(ROW($W$3),ROW()-23)):INDEX($W:$W,ROW()))</f>
        <v>58.22719121769012</v>
      </c>
      <c r="Z787" s="44">
        <f t="shared" si="74"/>
        <v>-1.0791063765796727</v>
      </c>
      <c r="AA787" s="40" t="b">
        <f t="shared" si="72"/>
        <v>0</v>
      </c>
    </row>
    <row r="788" spans="1:27" x14ac:dyDescent="0.3">
      <c r="A788" s="32">
        <v>786</v>
      </c>
      <c r="B788" s="33">
        <v>40579</v>
      </c>
      <c r="C788" s="40" t="str">
        <f t="shared" si="75"/>
        <v>Saturday</v>
      </c>
      <c r="D788" s="28">
        <v>4</v>
      </c>
      <c r="E788" s="40" t="str" cm="1">
        <f t="array" ref="E788">_xlfn.IFS(D788&gt;=21,"Night",D788&gt;=17,"Evening",D788&gt;=12,"Midday",D788&gt;=6,"Morning", TRUE, "Night")</f>
        <v>Night</v>
      </c>
      <c r="F788" s="28">
        <v>1</v>
      </c>
      <c r="G788" s="28">
        <v>0</v>
      </c>
      <c r="H788" s="28">
        <v>2</v>
      </c>
      <c r="I788" s="28">
        <v>6</v>
      </c>
      <c r="J788" s="40" t="str">
        <f t="shared" si="76"/>
        <v>Weekday</v>
      </c>
      <c r="K788" s="28" t="b">
        <v>0</v>
      </c>
      <c r="L788" s="28">
        <v>3</v>
      </c>
      <c r="M788" s="40" t="str" cm="1">
        <f t="array" ref="M788">_xlfn.IFS(L788=1,"Clear / Partly Cloudy",L788=2,"Mist / Cloudy",L788=3,"Light Snow / Rain",L788=4,"Heavy Precipitation")</f>
        <v>Light Snow / Rain</v>
      </c>
      <c r="N788" s="28">
        <v>0.22</v>
      </c>
      <c r="O788" s="28" t="str">
        <f t="shared" si="77"/>
        <v>Mild</v>
      </c>
      <c r="P788" s="28">
        <v>0.2273</v>
      </c>
      <c r="Q788" s="38">
        <f t="shared" si="73"/>
        <v>0.2273</v>
      </c>
      <c r="R788" s="28">
        <v>0.93</v>
      </c>
      <c r="S788" s="28">
        <v>0.1343</v>
      </c>
      <c r="T788" s="40" t="str" cm="1">
        <f t="array" ref="T788">_xlfn.IFS(S788*18.6&lt;2,"Calm",S788*18.6&lt;6,"Light Breeze",S788*18.6&lt;14,"Gale",TRUE,"Extreme Storm")</f>
        <v>Light Breeze</v>
      </c>
      <c r="U788" s="28">
        <v>0</v>
      </c>
      <c r="V788" s="28">
        <v>8</v>
      </c>
      <c r="W788" s="28">
        <v>8</v>
      </c>
      <c r="X788" s="44">
        <f>AVERAGE(INDEX($W:$W,MAX(ROW($W$3),ROW()-23)):INDEX($W:$W,ROW()))</f>
        <v>74.125</v>
      </c>
      <c r="Y788" s="44">
        <f>_xlfn.STDEV.S(INDEX($W:$W,MAX(ROW($W$3),ROW()-23)):INDEX($W:$W,ROW()))</f>
        <v>57.862890788784327</v>
      </c>
      <c r="Z788" s="44">
        <f t="shared" si="74"/>
        <v>-1.1427877020761834</v>
      </c>
      <c r="AA788" s="40" t="b">
        <f t="shared" si="72"/>
        <v>0</v>
      </c>
    </row>
    <row r="789" spans="1:27" x14ac:dyDescent="0.3">
      <c r="A789" s="32">
        <v>787</v>
      </c>
      <c r="B789" s="33">
        <v>40579</v>
      </c>
      <c r="C789" s="40" t="str">
        <f t="shared" si="75"/>
        <v>Saturday</v>
      </c>
      <c r="D789" s="28">
        <v>5</v>
      </c>
      <c r="E789" s="40" t="str" cm="1">
        <f t="array" ref="E789">_xlfn.IFS(D789&gt;=21,"Night",D789&gt;=17,"Evening",D789&gt;=12,"Midday",D789&gt;=6,"Morning", TRUE, "Night")</f>
        <v>Night</v>
      </c>
      <c r="F789" s="28">
        <v>1</v>
      </c>
      <c r="G789" s="28">
        <v>0</v>
      </c>
      <c r="H789" s="28">
        <v>2</v>
      </c>
      <c r="I789" s="28">
        <v>6</v>
      </c>
      <c r="J789" s="40" t="str">
        <f t="shared" si="76"/>
        <v>Weekday</v>
      </c>
      <c r="K789" s="28" t="b">
        <v>0</v>
      </c>
      <c r="L789" s="28">
        <v>3</v>
      </c>
      <c r="M789" s="40" t="str" cm="1">
        <f t="array" ref="M789">_xlfn.IFS(L789=1,"Clear / Partly Cloudy",L789=2,"Mist / Cloudy",L789=3,"Light Snow / Rain",L789=4,"Heavy Precipitation")</f>
        <v>Light Snow / Rain</v>
      </c>
      <c r="N789" s="28">
        <v>0.2</v>
      </c>
      <c r="O789" s="28" t="str">
        <f t="shared" si="77"/>
        <v>Mild</v>
      </c>
      <c r="P789" s="28">
        <v>0.2273</v>
      </c>
      <c r="Q789" s="38">
        <f t="shared" si="73"/>
        <v>0.2273</v>
      </c>
      <c r="R789" s="28">
        <v>1</v>
      </c>
      <c r="S789" s="28">
        <v>8.9599999999999999E-2</v>
      </c>
      <c r="T789" s="40" t="str" cm="1">
        <f t="array" ref="T789">_xlfn.IFS(S789*18.6&lt;2,"Calm",S789*18.6&lt;6,"Light Breeze",S789*18.6&lt;14,"Gale",TRUE,"Extreme Storm")</f>
        <v>Calm</v>
      </c>
      <c r="U789" s="28">
        <v>0</v>
      </c>
      <c r="V789" s="28">
        <v>9</v>
      </c>
      <c r="W789" s="28">
        <v>9</v>
      </c>
      <c r="X789" s="44">
        <f>AVERAGE(INDEX($W:$W,MAX(ROW($W$3),ROW()-23)):INDEX($W:$W,ROW()))</f>
        <v>74.208333333333329</v>
      </c>
      <c r="Y789" s="44">
        <f>_xlfn.STDEV.S(INDEX($W:$W,MAX(ROW($W$3),ROW()-23)):INDEX($W:$W,ROW()))</f>
        <v>57.763369742925939</v>
      </c>
      <c r="Z789" s="44">
        <f t="shared" si="74"/>
        <v>-1.1288872796642746</v>
      </c>
      <c r="AA789" s="40" t="b">
        <f t="shared" si="72"/>
        <v>0</v>
      </c>
    </row>
    <row r="790" spans="1:27" x14ac:dyDescent="0.3">
      <c r="A790" s="32">
        <v>788</v>
      </c>
      <c r="B790" s="33">
        <v>40579</v>
      </c>
      <c r="C790" s="40" t="str">
        <f t="shared" si="75"/>
        <v>Saturday</v>
      </c>
      <c r="D790" s="28">
        <v>6</v>
      </c>
      <c r="E790" s="40" t="str" cm="1">
        <f t="array" ref="E790">_xlfn.IFS(D790&gt;=21,"Night",D790&gt;=17,"Evening",D790&gt;=12,"Midday",D790&gt;=6,"Morning", TRUE, "Night")</f>
        <v>Morning</v>
      </c>
      <c r="F790" s="28">
        <v>1</v>
      </c>
      <c r="G790" s="28">
        <v>0</v>
      </c>
      <c r="H790" s="28">
        <v>2</v>
      </c>
      <c r="I790" s="28">
        <v>6</v>
      </c>
      <c r="J790" s="40" t="str">
        <f t="shared" si="76"/>
        <v>Weekday</v>
      </c>
      <c r="K790" s="28" t="b">
        <v>0</v>
      </c>
      <c r="L790" s="28">
        <v>3</v>
      </c>
      <c r="M790" s="40" t="str" cm="1">
        <f t="array" ref="M790">_xlfn.IFS(L790=1,"Clear / Partly Cloudy",L790=2,"Mist / Cloudy",L790=3,"Light Snow / Rain",L790=4,"Heavy Precipitation")</f>
        <v>Light Snow / Rain</v>
      </c>
      <c r="N790" s="28">
        <v>0.2</v>
      </c>
      <c r="O790" s="28" t="str">
        <f t="shared" si="77"/>
        <v>Mild</v>
      </c>
      <c r="P790" s="28">
        <v>0.2576</v>
      </c>
      <c r="Q790" s="38">
        <f t="shared" si="73"/>
        <v>0.2576</v>
      </c>
      <c r="R790" s="28">
        <v>1</v>
      </c>
      <c r="S790" s="28">
        <v>0</v>
      </c>
      <c r="T790" s="40" t="str" cm="1">
        <f t="array" ref="T790">_xlfn.IFS(S790*18.6&lt;2,"Calm",S790*18.6&lt;6,"Light Breeze",S790*18.6&lt;14,"Gale",TRUE,"Extreme Storm")</f>
        <v>Calm</v>
      </c>
      <c r="U790" s="28">
        <v>0</v>
      </c>
      <c r="V790" s="28">
        <v>4</v>
      </c>
      <c r="W790" s="28">
        <v>4</v>
      </c>
      <c r="X790" s="44">
        <f>AVERAGE(INDEX($W:$W,MAX(ROW($W$3),ROW()-23)):INDEX($W:$W,ROW()))</f>
        <v>73.208333333333329</v>
      </c>
      <c r="Y790" s="44">
        <f>_xlfn.STDEV.S(INDEX($W:$W,MAX(ROW($W$3),ROW()-23)):INDEX($W:$W,ROW()))</f>
        <v>58.796612714225866</v>
      </c>
      <c r="Z790" s="44">
        <f t="shared" si="74"/>
        <v>-1.1770802796023714</v>
      </c>
      <c r="AA790" s="40" t="b">
        <f t="shared" si="72"/>
        <v>0</v>
      </c>
    </row>
    <row r="791" spans="1:27" x14ac:dyDescent="0.3">
      <c r="A791" s="32">
        <v>789</v>
      </c>
      <c r="B791" s="33">
        <v>40579</v>
      </c>
      <c r="C791" s="40" t="str">
        <f t="shared" si="75"/>
        <v>Saturday</v>
      </c>
      <c r="D791" s="28">
        <v>7</v>
      </c>
      <c r="E791" s="40" t="str" cm="1">
        <f t="array" ref="E791">_xlfn.IFS(D791&gt;=21,"Night",D791&gt;=17,"Evening",D791&gt;=12,"Midday",D791&gt;=6,"Morning", TRUE, "Night")</f>
        <v>Morning</v>
      </c>
      <c r="F791" s="28">
        <v>1</v>
      </c>
      <c r="G791" s="28">
        <v>0</v>
      </c>
      <c r="H791" s="28">
        <v>2</v>
      </c>
      <c r="I791" s="28">
        <v>6</v>
      </c>
      <c r="J791" s="40" t="str">
        <f t="shared" si="76"/>
        <v>Weekday</v>
      </c>
      <c r="K791" s="28" t="b">
        <v>0</v>
      </c>
      <c r="L791" s="28">
        <v>3</v>
      </c>
      <c r="M791" s="40" t="str" cm="1">
        <f t="array" ref="M791">_xlfn.IFS(L791=1,"Clear / Partly Cloudy",L791=2,"Mist / Cloudy",L791=3,"Light Snow / Rain",L791=4,"Heavy Precipitation")</f>
        <v>Light Snow / Rain</v>
      </c>
      <c r="N791" s="28">
        <v>0.22</v>
      </c>
      <c r="O791" s="28" t="str">
        <f t="shared" si="77"/>
        <v>Mild</v>
      </c>
      <c r="P791" s="28">
        <v>0.2576</v>
      </c>
      <c r="Q791" s="38">
        <f t="shared" si="73"/>
        <v>0.2576</v>
      </c>
      <c r="R791" s="28">
        <v>0.93</v>
      </c>
      <c r="S791" s="28">
        <v>8.9599999999999999E-2</v>
      </c>
      <c r="T791" s="40" t="str" cm="1">
        <f t="array" ref="T791">_xlfn.IFS(S791*18.6&lt;2,"Calm",S791*18.6&lt;6,"Light Breeze",S791*18.6&lt;14,"Gale",TRUE,"Extreme Storm")</f>
        <v>Calm</v>
      </c>
      <c r="U791" s="28">
        <v>0</v>
      </c>
      <c r="V791" s="28">
        <v>4</v>
      </c>
      <c r="W791" s="28">
        <v>4</v>
      </c>
      <c r="X791" s="44">
        <f>AVERAGE(INDEX($W:$W,MAX(ROW($W$3),ROW()-23)):INDEX($W:$W,ROW()))</f>
        <v>69.75</v>
      </c>
      <c r="Y791" s="44">
        <f>_xlfn.STDEV.S(INDEX($W:$W,MAX(ROW($W$3),ROW()-23)):INDEX($W:$W,ROW()))</f>
        <v>60.370054482838341</v>
      </c>
      <c r="Z791" s="44">
        <f t="shared" si="74"/>
        <v>-1.0891161282402195</v>
      </c>
      <c r="AA791" s="40" t="b">
        <f t="shared" si="72"/>
        <v>0</v>
      </c>
    </row>
    <row r="792" spans="1:27" x14ac:dyDescent="0.3">
      <c r="A792" s="32">
        <v>790</v>
      </c>
      <c r="B792" s="33">
        <v>40579</v>
      </c>
      <c r="C792" s="40" t="str">
        <f t="shared" si="75"/>
        <v>Saturday</v>
      </c>
      <c r="D792" s="28">
        <v>8</v>
      </c>
      <c r="E792" s="40" t="str" cm="1">
        <f t="array" ref="E792">_xlfn.IFS(D792&gt;=21,"Night",D792&gt;=17,"Evening",D792&gt;=12,"Midday",D792&gt;=6,"Morning", TRUE, "Night")</f>
        <v>Morning</v>
      </c>
      <c r="F792" s="28">
        <v>1</v>
      </c>
      <c r="G792" s="28">
        <v>0</v>
      </c>
      <c r="H792" s="28">
        <v>2</v>
      </c>
      <c r="I792" s="28">
        <v>6</v>
      </c>
      <c r="J792" s="40" t="str">
        <f t="shared" si="76"/>
        <v>Weekday</v>
      </c>
      <c r="K792" s="28" t="b">
        <v>0</v>
      </c>
      <c r="L792" s="28">
        <v>3</v>
      </c>
      <c r="M792" s="40" t="str" cm="1">
        <f t="array" ref="M792">_xlfn.IFS(L792=1,"Clear / Partly Cloudy",L792=2,"Mist / Cloudy",L792=3,"Light Snow / Rain",L792=4,"Heavy Precipitation")</f>
        <v>Light Snow / Rain</v>
      </c>
      <c r="N792" s="28">
        <v>0.2</v>
      </c>
      <c r="O792" s="28" t="str">
        <f t="shared" si="77"/>
        <v>Mild</v>
      </c>
      <c r="P792" s="28">
        <v>0.2273</v>
      </c>
      <c r="Q792" s="38">
        <f t="shared" si="73"/>
        <v>0.2273</v>
      </c>
      <c r="R792" s="28">
        <v>1</v>
      </c>
      <c r="S792" s="28">
        <v>8.9599999999999999E-2</v>
      </c>
      <c r="T792" s="40" t="str" cm="1">
        <f t="array" ref="T792">_xlfn.IFS(S792*18.6&lt;2,"Calm",S792*18.6&lt;6,"Light Breeze",S792*18.6&lt;14,"Gale",TRUE,"Extreme Storm")</f>
        <v>Calm</v>
      </c>
      <c r="U792" s="28">
        <v>0</v>
      </c>
      <c r="V792" s="28">
        <v>10</v>
      </c>
      <c r="W792" s="28">
        <v>10</v>
      </c>
      <c r="X792" s="44">
        <f>AVERAGE(INDEX($W:$W,MAX(ROW($W$3),ROW()-23)):INDEX($W:$W,ROW()))</f>
        <v>61</v>
      </c>
      <c r="Y792" s="44">
        <f>_xlfn.STDEV.S(INDEX($W:$W,MAX(ROW($W$3),ROW()-23)):INDEX($W:$W,ROW()))</f>
        <v>52.329225353400339</v>
      </c>
      <c r="Z792" s="44">
        <f t="shared" si="74"/>
        <v>-0.97459879552155526</v>
      </c>
      <c r="AA792" s="40" t="b">
        <f t="shared" si="72"/>
        <v>0</v>
      </c>
    </row>
    <row r="793" spans="1:27" x14ac:dyDescent="0.3">
      <c r="A793" s="32">
        <v>791</v>
      </c>
      <c r="B793" s="33">
        <v>40579</v>
      </c>
      <c r="C793" s="40" t="str">
        <f t="shared" si="75"/>
        <v>Saturday</v>
      </c>
      <c r="D793" s="28">
        <v>9</v>
      </c>
      <c r="E793" s="40" t="str" cm="1">
        <f t="array" ref="E793">_xlfn.IFS(D793&gt;=21,"Night",D793&gt;=17,"Evening",D793&gt;=12,"Midday",D793&gt;=6,"Morning", TRUE, "Night")</f>
        <v>Morning</v>
      </c>
      <c r="F793" s="28">
        <v>1</v>
      </c>
      <c r="G793" s="28">
        <v>0</v>
      </c>
      <c r="H793" s="28">
        <v>2</v>
      </c>
      <c r="I793" s="28">
        <v>6</v>
      </c>
      <c r="J793" s="40" t="str">
        <f t="shared" si="76"/>
        <v>Weekday</v>
      </c>
      <c r="K793" s="28" t="b">
        <v>0</v>
      </c>
      <c r="L793" s="28">
        <v>3</v>
      </c>
      <c r="M793" s="40" t="str" cm="1">
        <f t="array" ref="M793">_xlfn.IFS(L793=1,"Clear / Partly Cloudy",L793=2,"Mist / Cloudy",L793=3,"Light Snow / Rain",L793=4,"Heavy Precipitation")</f>
        <v>Light Snow / Rain</v>
      </c>
      <c r="N793" s="28">
        <v>0.2</v>
      </c>
      <c r="O793" s="28" t="str">
        <f t="shared" si="77"/>
        <v>Mild</v>
      </c>
      <c r="P793" s="28">
        <v>0.2273</v>
      </c>
      <c r="Q793" s="38">
        <f t="shared" si="73"/>
        <v>0.2273</v>
      </c>
      <c r="R793" s="28">
        <v>1</v>
      </c>
      <c r="S793" s="28">
        <v>8.9599999999999999E-2</v>
      </c>
      <c r="T793" s="40" t="str" cm="1">
        <f t="array" ref="T793">_xlfn.IFS(S793*18.6&lt;2,"Calm",S793*18.6&lt;6,"Light Breeze",S793*18.6&lt;14,"Gale",TRUE,"Extreme Storm")</f>
        <v>Calm</v>
      </c>
      <c r="U793" s="28">
        <v>3</v>
      </c>
      <c r="V793" s="28">
        <v>17</v>
      </c>
      <c r="W793" s="28">
        <v>20</v>
      </c>
      <c r="X793" s="44">
        <f>AVERAGE(INDEX($W:$W,MAX(ROW($W$3),ROW()-23)):INDEX($W:$W,ROW()))</f>
        <v>56.541666666666664</v>
      </c>
      <c r="Y793" s="44">
        <f>_xlfn.STDEV.S(INDEX($W:$W,MAX(ROW($W$3),ROW()-23)):INDEX($W:$W,ROW()))</f>
        <v>51.002965955245031</v>
      </c>
      <c r="Z793" s="44">
        <f t="shared" si="74"/>
        <v>-0.71646160144356863</v>
      </c>
      <c r="AA793" s="40" t="b">
        <f t="shared" si="72"/>
        <v>0</v>
      </c>
    </row>
    <row r="794" spans="1:27" x14ac:dyDescent="0.3">
      <c r="A794" s="32">
        <v>792</v>
      </c>
      <c r="B794" s="33">
        <v>40579</v>
      </c>
      <c r="C794" s="40" t="str">
        <f t="shared" si="75"/>
        <v>Saturday</v>
      </c>
      <c r="D794" s="28">
        <v>10</v>
      </c>
      <c r="E794" s="40" t="str" cm="1">
        <f t="array" ref="E794">_xlfn.IFS(D794&gt;=21,"Night",D794&gt;=17,"Evening",D794&gt;=12,"Midday",D794&gt;=6,"Morning", TRUE, "Night")</f>
        <v>Morning</v>
      </c>
      <c r="F794" s="28">
        <v>1</v>
      </c>
      <c r="G794" s="28">
        <v>0</v>
      </c>
      <c r="H794" s="28">
        <v>2</v>
      </c>
      <c r="I794" s="28">
        <v>6</v>
      </c>
      <c r="J794" s="40" t="str">
        <f t="shared" si="76"/>
        <v>Weekday</v>
      </c>
      <c r="K794" s="28" t="b">
        <v>0</v>
      </c>
      <c r="L794" s="28">
        <v>3</v>
      </c>
      <c r="M794" s="40" t="str" cm="1">
        <f t="array" ref="M794">_xlfn.IFS(L794=1,"Clear / Partly Cloudy",L794=2,"Mist / Cloudy",L794=3,"Light Snow / Rain",L794=4,"Heavy Precipitation")</f>
        <v>Light Snow / Rain</v>
      </c>
      <c r="N794" s="28">
        <v>0.2</v>
      </c>
      <c r="O794" s="28" t="str">
        <f t="shared" si="77"/>
        <v>Mild</v>
      </c>
      <c r="P794" s="28">
        <v>0.21210000000000001</v>
      </c>
      <c r="Q794" s="38">
        <f t="shared" si="73"/>
        <v>0.21210000000000001</v>
      </c>
      <c r="R794" s="28">
        <v>1</v>
      </c>
      <c r="S794" s="28">
        <v>0.1343</v>
      </c>
      <c r="T794" s="40" t="str" cm="1">
        <f t="array" ref="T794">_xlfn.IFS(S794*18.6&lt;2,"Calm",S794*18.6&lt;6,"Light Breeze",S794*18.6&lt;14,"Gale",TRUE,"Extreme Storm")</f>
        <v>Light Breeze</v>
      </c>
      <c r="U794" s="28">
        <v>3</v>
      </c>
      <c r="V794" s="28">
        <v>31</v>
      </c>
      <c r="W794" s="28">
        <v>34</v>
      </c>
      <c r="X794" s="44">
        <f>AVERAGE(INDEX($W:$W,MAX(ROW($W$3),ROW()-23)):INDEX($W:$W,ROW()))</f>
        <v>55.833333333333336</v>
      </c>
      <c r="Y794" s="44">
        <f>_xlfn.STDEV.S(INDEX($W:$W,MAX(ROW($W$3),ROW()-23)):INDEX($W:$W,ROW()))</f>
        <v>51.200939755868326</v>
      </c>
      <c r="Z794" s="44">
        <f t="shared" si="74"/>
        <v>-0.42642446481328378</v>
      </c>
      <c r="AA794" s="40" t="b">
        <f t="shared" si="72"/>
        <v>0</v>
      </c>
    </row>
    <row r="795" spans="1:27" x14ac:dyDescent="0.3">
      <c r="A795" s="32">
        <v>793</v>
      </c>
      <c r="B795" s="33">
        <v>40579</v>
      </c>
      <c r="C795" s="40" t="str">
        <f t="shared" si="75"/>
        <v>Saturday</v>
      </c>
      <c r="D795" s="28">
        <v>11</v>
      </c>
      <c r="E795" s="40" t="str" cm="1">
        <f t="array" ref="E795">_xlfn.IFS(D795&gt;=21,"Night",D795&gt;=17,"Evening",D795&gt;=12,"Midday",D795&gt;=6,"Morning", TRUE, "Night")</f>
        <v>Morning</v>
      </c>
      <c r="F795" s="28">
        <v>1</v>
      </c>
      <c r="G795" s="28">
        <v>0</v>
      </c>
      <c r="H795" s="28">
        <v>2</v>
      </c>
      <c r="I795" s="28">
        <v>6</v>
      </c>
      <c r="J795" s="40" t="str">
        <f t="shared" si="76"/>
        <v>Weekday</v>
      </c>
      <c r="K795" s="28" t="b">
        <v>0</v>
      </c>
      <c r="L795" s="28">
        <v>3</v>
      </c>
      <c r="M795" s="40" t="str" cm="1">
        <f t="array" ref="M795">_xlfn.IFS(L795=1,"Clear / Partly Cloudy",L795=2,"Mist / Cloudy",L795=3,"Light Snow / Rain",L795=4,"Heavy Precipitation")</f>
        <v>Light Snow / Rain</v>
      </c>
      <c r="N795" s="28">
        <v>0.22</v>
      </c>
      <c r="O795" s="28" t="str">
        <f t="shared" si="77"/>
        <v>Mild</v>
      </c>
      <c r="P795" s="28">
        <v>0.2273</v>
      </c>
      <c r="Q795" s="38">
        <f t="shared" si="73"/>
        <v>0.2273</v>
      </c>
      <c r="R795" s="28">
        <v>1</v>
      </c>
      <c r="S795" s="28">
        <v>0.1343</v>
      </c>
      <c r="T795" s="40" t="str" cm="1">
        <f t="array" ref="T795">_xlfn.IFS(S795*18.6&lt;2,"Calm",S795*18.6&lt;6,"Light Breeze",S795*18.6&lt;14,"Gale",TRUE,"Extreme Storm")</f>
        <v>Light Breeze</v>
      </c>
      <c r="U795" s="28">
        <v>1</v>
      </c>
      <c r="V795" s="28">
        <v>46</v>
      </c>
      <c r="W795" s="28">
        <v>47</v>
      </c>
      <c r="X795" s="44">
        <f>AVERAGE(INDEX($W:$W,MAX(ROW($W$3),ROW()-23)):INDEX($W:$W,ROW()))</f>
        <v>55.125</v>
      </c>
      <c r="Y795" s="44">
        <f>_xlfn.STDEV.S(INDEX($W:$W,MAX(ROW($W$3),ROW()-23)):INDEX($W:$W,ROW()))</f>
        <v>51.200639007561307</v>
      </c>
      <c r="Z795" s="44">
        <f t="shared" si="74"/>
        <v>-0.15868942570814595</v>
      </c>
      <c r="AA795" s="40" t="b">
        <f t="shared" si="72"/>
        <v>0</v>
      </c>
    </row>
    <row r="796" spans="1:27" x14ac:dyDescent="0.3">
      <c r="A796" s="32">
        <v>794</v>
      </c>
      <c r="B796" s="33">
        <v>40579</v>
      </c>
      <c r="C796" s="40" t="str">
        <f t="shared" si="75"/>
        <v>Saturday</v>
      </c>
      <c r="D796" s="28">
        <v>12</v>
      </c>
      <c r="E796" s="40" t="str" cm="1">
        <f t="array" ref="E796">_xlfn.IFS(D796&gt;=21,"Night",D796&gt;=17,"Evening",D796&gt;=12,"Midday",D796&gt;=6,"Morning", TRUE, "Night")</f>
        <v>Midday</v>
      </c>
      <c r="F796" s="28">
        <v>1</v>
      </c>
      <c r="G796" s="28">
        <v>0</v>
      </c>
      <c r="H796" s="28">
        <v>2</v>
      </c>
      <c r="I796" s="28">
        <v>6</v>
      </c>
      <c r="J796" s="40" t="str">
        <f t="shared" si="76"/>
        <v>Weekday</v>
      </c>
      <c r="K796" s="28" t="b">
        <v>0</v>
      </c>
      <c r="L796" s="28">
        <v>3</v>
      </c>
      <c r="M796" s="40" t="str" cm="1">
        <f t="array" ref="M796">_xlfn.IFS(L796=1,"Clear / Partly Cloudy",L796=2,"Mist / Cloudy",L796=3,"Light Snow / Rain",L796=4,"Heavy Precipitation")</f>
        <v>Light Snow / Rain</v>
      </c>
      <c r="N796" s="28">
        <v>0.22</v>
      </c>
      <c r="O796" s="28" t="str">
        <f t="shared" si="77"/>
        <v>Mild</v>
      </c>
      <c r="P796" s="28">
        <v>0.2273</v>
      </c>
      <c r="Q796" s="38">
        <f t="shared" si="73"/>
        <v>0.2273</v>
      </c>
      <c r="R796" s="28">
        <v>1</v>
      </c>
      <c r="S796" s="28">
        <v>0.16420000000000001</v>
      </c>
      <c r="T796" s="40" t="str" cm="1">
        <f t="array" ref="T796">_xlfn.IFS(S796*18.6&lt;2,"Calm",S796*18.6&lt;6,"Light Breeze",S796*18.6&lt;14,"Gale",TRUE,"Extreme Storm")</f>
        <v>Light Breeze</v>
      </c>
      <c r="U796" s="28">
        <v>10</v>
      </c>
      <c r="V796" s="28">
        <v>42</v>
      </c>
      <c r="W796" s="28">
        <v>52</v>
      </c>
      <c r="X796" s="44">
        <f>AVERAGE(INDEX($W:$W,MAX(ROW($W$3),ROW()-23)):INDEX($W:$W,ROW()))</f>
        <v>53.708333333333336</v>
      </c>
      <c r="Y796" s="44">
        <f>_xlfn.STDEV.S(INDEX($W:$W,MAX(ROW($W$3),ROW()-23)):INDEX($W:$W,ROW()))</f>
        <v>50.777844506769121</v>
      </c>
      <c r="Z796" s="44">
        <f t="shared" si="74"/>
        <v>-3.3643281827482857E-2</v>
      </c>
      <c r="AA796" s="40" t="b">
        <f t="shared" si="72"/>
        <v>0</v>
      </c>
    </row>
    <row r="797" spans="1:27" x14ac:dyDescent="0.3">
      <c r="A797" s="32">
        <v>795</v>
      </c>
      <c r="B797" s="33">
        <v>40579</v>
      </c>
      <c r="C797" s="40" t="str">
        <f t="shared" si="75"/>
        <v>Saturday</v>
      </c>
      <c r="D797" s="28">
        <v>13</v>
      </c>
      <c r="E797" s="40" t="str" cm="1">
        <f t="array" ref="E797">_xlfn.IFS(D797&gt;=21,"Night",D797&gt;=17,"Evening",D797&gt;=12,"Midday",D797&gt;=6,"Morning", TRUE, "Night")</f>
        <v>Midday</v>
      </c>
      <c r="F797" s="28">
        <v>1</v>
      </c>
      <c r="G797" s="28">
        <v>0</v>
      </c>
      <c r="H797" s="28">
        <v>2</v>
      </c>
      <c r="I797" s="28">
        <v>6</v>
      </c>
      <c r="J797" s="40" t="str">
        <f t="shared" si="76"/>
        <v>Weekday</v>
      </c>
      <c r="K797" s="28" t="b">
        <v>0</v>
      </c>
      <c r="L797" s="28">
        <v>3</v>
      </c>
      <c r="M797" s="40" t="str" cm="1">
        <f t="array" ref="M797">_xlfn.IFS(L797=1,"Clear / Partly Cloudy",L797=2,"Mist / Cloudy",L797=3,"Light Snow / Rain",L797=4,"Heavy Precipitation")</f>
        <v>Light Snow / Rain</v>
      </c>
      <c r="N797" s="28">
        <v>0.22</v>
      </c>
      <c r="O797" s="28" t="str">
        <f t="shared" si="77"/>
        <v>Mild</v>
      </c>
      <c r="P797" s="28">
        <v>0.2273</v>
      </c>
      <c r="Q797" s="38">
        <f t="shared" si="73"/>
        <v>0.2273</v>
      </c>
      <c r="R797" s="28">
        <v>1</v>
      </c>
      <c r="S797" s="28">
        <v>0.16420000000000001</v>
      </c>
      <c r="T797" s="40" t="str" cm="1">
        <f t="array" ref="T797">_xlfn.IFS(S797*18.6&lt;2,"Calm",S797*18.6&lt;6,"Light Breeze",S797*18.6&lt;14,"Gale",TRUE,"Extreme Storm")</f>
        <v>Light Breeze</v>
      </c>
      <c r="U797" s="28">
        <v>10</v>
      </c>
      <c r="V797" s="28">
        <v>62</v>
      </c>
      <c r="W797" s="28">
        <v>72</v>
      </c>
      <c r="X797" s="44">
        <f>AVERAGE(INDEX($W:$W,MAX(ROW($W$3),ROW()-23)):INDEX($W:$W,ROW()))</f>
        <v>53.291666666666664</v>
      </c>
      <c r="Y797" s="44">
        <f>_xlfn.STDEV.S(INDEX($W:$W,MAX(ROW($W$3),ROW()-23)):INDEX($W:$W,ROW()))</f>
        <v>50.576226729016938</v>
      </c>
      <c r="Z797" s="44">
        <f t="shared" si="74"/>
        <v>0.36990369869960787</v>
      </c>
      <c r="AA797" s="40" t="b">
        <f t="shared" si="72"/>
        <v>0</v>
      </c>
    </row>
    <row r="798" spans="1:27" x14ac:dyDescent="0.3">
      <c r="A798" s="32">
        <v>796</v>
      </c>
      <c r="B798" s="33">
        <v>40579</v>
      </c>
      <c r="C798" s="40" t="str">
        <f t="shared" si="75"/>
        <v>Saturday</v>
      </c>
      <c r="D798" s="28">
        <v>14</v>
      </c>
      <c r="E798" s="40" t="str" cm="1">
        <f t="array" ref="E798">_xlfn.IFS(D798&gt;=21,"Night",D798&gt;=17,"Evening",D798&gt;=12,"Midday",D798&gt;=6,"Morning", TRUE, "Night")</f>
        <v>Midday</v>
      </c>
      <c r="F798" s="28">
        <v>1</v>
      </c>
      <c r="G798" s="28">
        <v>0</v>
      </c>
      <c r="H798" s="28">
        <v>2</v>
      </c>
      <c r="I798" s="28">
        <v>6</v>
      </c>
      <c r="J798" s="40" t="str">
        <f t="shared" si="76"/>
        <v>Weekday</v>
      </c>
      <c r="K798" s="28" t="b">
        <v>0</v>
      </c>
      <c r="L798" s="28">
        <v>3</v>
      </c>
      <c r="M798" s="40" t="str" cm="1">
        <f t="array" ref="M798">_xlfn.IFS(L798=1,"Clear / Partly Cloudy",L798=2,"Mist / Cloudy",L798=3,"Light Snow / Rain",L798=4,"Heavy Precipitation")</f>
        <v>Light Snow / Rain</v>
      </c>
      <c r="N798" s="28">
        <v>0.22</v>
      </c>
      <c r="O798" s="28" t="str">
        <f t="shared" si="77"/>
        <v>Mild</v>
      </c>
      <c r="P798" s="28">
        <v>0.2727</v>
      </c>
      <c r="Q798" s="38">
        <f t="shared" si="73"/>
        <v>0.2727</v>
      </c>
      <c r="R798" s="28">
        <v>1</v>
      </c>
      <c r="S798" s="28">
        <v>0</v>
      </c>
      <c r="T798" s="40" t="str" cm="1">
        <f t="array" ref="T798">_xlfn.IFS(S798*18.6&lt;2,"Calm",S798*18.6&lt;6,"Light Breeze",S798*18.6&lt;14,"Gale",TRUE,"Extreme Storm")</f>
        <v>Calm</v>
      </c>
      <c r="U798" s="28">
        <v>5</v>
      </c>
      <c r="V798" s="28">
        <v>50</v>
      </c>
      <c r="W798" s="28">
        <v>55</v>
      </c>
      <c r="X798" s="44">
        <f>AVERAGE(INDEX($W:$W,MAX(ROW($W$3),ROW()-23)):INDEX($W:$W,ROW()))</f>
        <v>51.791666666666664</v>
      </c>
      <c r="Y798" s="44">
        <f>_xlfn.STDEV.S(INDEX($W:$W,MAX(ROW($W$3),ROW()-23)):INDEX($W:$W,ROW()))</f>
        <v>49.939075200528677</v>
      </c>
      <c r="Z798" s="44">
        <f t="shared" si="74"/>
        <v>6.4244948879216945E-2</v>
      </c>
      <c r="AA798" s="40" t="b">
        <f t="shared" si="72"/>
        <v>0</v>
      </c>
    </row>
    <row r="799" spans="1:27" x14ac:dyDescent="0.3">
      <c r="A799" s="32">
        <v>797</v>
      </c>
      <c r="B799" s="33">
        <v>40579</v>
      </c>
      <c r="C799" s="40" t="str">
        <f t="shared" si="75"/>
        <v>Saturday</v>
      </c>
      <c r="D799" s="28">
        <v>15</v>
      </c>
      <c r="E799" s="40" t="str" cm="1">
        <f t="array" ref="E799">_xlfn.IFS(D799&gt;=21,"Night",D799&gt;=17,"Evening",D799&gt;=12,"Midday",D799&gt;=6,"Morning", TRUE, "Night")</f>
        <v>Midday</v>
      </c>
      <c r="F799" s="28">
        <v>1</v>
      </c>
      <c r="G799" s="28">
        <v>0</v>
      </c>
      <c r="H799" s="28">
        <v>2</v>
      </c>
      <c r="I799" s="28">
        <v>6</v>
      </c>
      <c r="J799" s="40" t="str">
        <f t="shared" si="76"/>
        <v>Weekday</v>
      </c>
      <c r="K799" s="28" t="b">
        <v>0</v>
      </c>
      <c r="L799" s="28">
        <v>3</v>
      </c>
      <c r="M799" s="40" t="str" cm="1">
        <f t="array" ref="M799">_xlfn.IFS(L799=1,"Clear / Partly Cloudy",L799=2,"Mist / Cloudy",L799=3,"Light Snow / Rain",L799=4,"Heavy Precipitation")</f>
        <v>Light Snow / Rain</v>
      </c>
      <c r="N799" s="28">
        <v>0.22</v>
      </c>
      <c r="O799" s="28" t="str">
        <f t="shared" si="77"/>
        <v>Mild</v>
      </c>
      <c r="P799" s="28">
        <v>0.2727</v>
      </c>
      <c r="Q799" s="38">
        <f t="shared" si="73"/>
        <v>0.2727</v>
      </c>
      <c r="R799" s="28">
        <v>1</v>
      </c>
      <c r="S799" s="28">
        <v>0</v>
      </c>
      <c r="T799" s="40" t="str" cm="1">
        <f t="array" ref="T799">_xlfn.IFS(S799*18.6&lt;2,"Calm",S799*18.6&lt;6,"Light Breeze",S799*18.6&lt;14,"Gale",TRUE,"Extreme Storm")</f>
        <v>Calm</v>
      </c>
      <c r="U799" s="28">
        <v>11</v>
      </c>
      <c r="V799" s="28">
        <v>49</v>
      </c>
      <c r="W799" s="28">
        <v>60</v>
      </c>
      <c r="X799" s="44">
        <f>AVERAGE(INDEX($W:$W,MAX(ROW($W$3),ROW()-23)):INDEX($W:$W,ROW()))</f>
        <v>50.541666666666664</v>
      </c>
      <c r="Y799" s="44">
        <f>_xlfn.STDEV.S(INDEX($W:$W,MAX(ROW($W$3),ROW()-23)):INDEX($W:$W,ROW()))</f>
        <v>49.312648669895843</v>
      </c>
      <c r="Z799" s="44">
        <f t="shared" si="74"/>
        <v>0.19180339301278326</v>
      </c>
      <c r="AA799" s="40" t="b">
        <f t="shared" si="72"/>
        <v>0</v>
      </c>
    </row>
    <row r="800" spans="1:27" x14ac:dyDescent="0.3">
      <c r="A800" s="32">
        <v>798</v>
      </c>
      <c r="B800" s="33">
        <v>40579</v>
      </c>
      <c r="C800" s="40" t="str">
        <f t="shared" si="75"/>
        <v>Saturday</v>
      </c>
      <c r="D800" s="28">
        <v>16</v>
      </c>
      <c r="E800" s="40" t="str" cm="1">
        <f t="array" ref="E800">_xlfn.IFS(D800&gt;=21,"Night",D800&gt;=17,"Evening",D800&gt;=12,"Midday",D800&gt;=6,"Morning", TRUE, "Night")</f>
        <v>Midday</v>
      </c>
      <c r="F800" s="28">
        <v>1</v>
      </c>
      <c r="G800" s="28">
        <v>0</v>
      </c>
      <c r="H800" s="28">
        <v>2</v>
      </c>
      <c r="I800" s="28">
        <v>6</v>
      </c>
      <c r="J800" s="40" t="str">
        <f t="shared" si="76"/>
        <v>Weekday</v>
      </c>
      <c r="K800" s="28" t="b">
        <v>0</v>
      </c>
      <c r="L800" s="28">
        <v>3</v>
      </c>
      <c r="M800" s="40" t="str" cm="1">
        <f t="array" ref="M800">_xlfn.IFS(L800=1,"Clear / Partly Cloudy",L800=2,"Mist / Cloudy",L800=3,"Light Snow / Rain",L800=4,"Heavy Precipitation")</f>
        <v>Light Snow / Rain</v>
      </c>
      <c r="N800" s="28">
        <v>0.22</v>
      </c>
      <c r="O800" s="28" t="str">
        <f t="shared" si="77"/>
        <v>Mild</v>
      </c>
      <c r="P800" s="28">
        <v>0.2273</v>
      </c>
      <c r="Q800" s="38">
        <f t="shared" si="73"/>
        <v>0.2273</v>
      </c>
      <c r="R800" s="28">
        <v>1</v>
      </c>
      <c r="S800" s="28">
        <v>0.1343</v>
      </c>
      <c r="T800" s="40" t="str" cm="1">
        <f t="array" ref="T800">_xlfn.IFS(S800*18.6&lt;2,"Calm",S800*18.6&lt;6,"Light Breeze",S800*18.6&lt;14,"Gale",TRUE,"Extreme Storm")</f>
        <v>Light Breeze</v>
      </c>
      <c r="U800" s="28">
        <v>8</v>
      </c>
      <c r="V800" s="28">
        <v>63</v>
      </c>
      <c r="W800" s="28">
        <v>71</v>
      </c>
      <c r="X800" s="44">
        <f>AVERAGE(INDEX($W:$W,MAX(ROW($W$3),ROW()-23)):INDEX($W:$W,ROW()))</f>
        <v>49.375</v>
      </c>
      <c r="Y800" s="44">
        <f>_xlfn.STDEV.S(INDEX($W:$W,MAX(ROW($W$3),ROW()-23)):INDEX($W:$W,ROW()))</f>
        <v>48.43984391243297</v>
      </c>
      <c r="Z800" s="44">
        <f t="shared" si="74"/>
        <v>0.44643000995404836</v>
      </c>
      <c r="AA800" s="40" t="b">
        <f t="shared" si="72"/>
        <v>0</v>
      </c>
    </row>
    <row r="801" spans="1:27" x14ac:dyDescent="0.3">
      <c r="A801" s="32">
        <v>799</v>
      </c>
      <c r="B801" s="33">
        <v>40579</v>
      </c>
      <c r="C801" s="40" t="str">
        <f t="shared" si="75"/>
        <v>Saturday</v>
      </c>
      <c r="D801" s="28">
        <v>17</v>
      </c>
      <c r="E801" s="40" t="str" cm="1">
        <f t="array" ref="E801">_xlfn.IFS(D801&gt;=21,"Night",D801&gt;=17,"Evening",D801&gt;=12,"Midday",D801&gt;=6,"Morning", TRUE, "Night")</f>
        <v>Evening</v>
      </c>
      <c r="F801" s="28">
        <v>1</v>
      </c>
      <c r="G801" s="28">
        <v>0</v>
      </c>
      <c r="H801" s="28">
        <v>2</v>
      </c>
      <c r="I801" s="28">
        <v>6</v>
      </c>
      <c r="J801" s="40" t="str">
        <f t="shared" si="76"/>
        <v>Weekday</v>
      </c>
      <c r="K801" s="28" t="b">
        <v>0</v>
      </c>
      <c r="L801" s="28">
        <v>2</v>
      </c>
      <c r="M801" s="40" t="str" cm="1">
        <f t="array" ref="M801">_xlfn.IFS(L801=1,"Clear / Partly Cloudy",L801=2,"Mist / Cloudy",L801=3,"Light Snow / Rain",L801=4,"Heavy Precipitation")</f>
        <v>Mist / Cloudy</v>
      </c>
      <c r="N801" s="28">
        <v>0.24</v>
      </c>
      <c r="O801" s="28" t="str">
        <f t="shared" si="77"/>
        <v>Mild</v>
      </c>
      <c r="P801" s="28">
        <v>0.21210000000000001</v>
      </c>
      <c r="Q801" s="38">
        <f t="shared" si="73"/>
        <v>0.21210000000000001</v>
      </c>
      <c r="R801" s="28">
        <v>1</v>
      </c>
      <c r="S801" s="28">
        <v>0.28360000000000002</v>
      </c>
      <c r="T801" s="40" t="str" cm="1">
        <f t="array" ref="T801">_xlfn.IFS(S801*18.6&lt;2,"Calm",S801*18.6&lt;6,"Light Breeze",S801*18.6&lt;14,"Gale",TRUE,"Extreme Storm")</f>
        <v>Light Breeze</v>
      </c>
      <c r="U801" s="28">
        <v>14</v>
      </c>
      <c r="V801" s="28">
        <v>64</v>
      </c>
      <c r="W801" s="28">
        <v>78</v>
      </c>
      <c r="X801" s="44">
        <f>AVERAGE(INDEX($W:$W,MAX(ROW($W$3),ROW()-23)):INDEX($W:$W,ROW()))</f>
        <v>44.083333333333336</v>
      </c>
      <c r="Y801" s="44">
        <f>_xlfn.STDEV.S(INDEX($W:$W,MAX(ROW($W$3),ROW()-23)):INDEX($W:$W,ROW()))</f>
        <v>36.053000437962304</v>
      </c>
      <c r="Z801" s="44">
        <f t="shared" si="74"/>
        <v>0.94074463303070421</v>
      </c>
      <c r="AA801" s="40" t="b">
        <f t="shared" si="72"/>
        <v>0</v>
      </c>
    </row>
    <row r="802" spans="1:27" x14ac:dyDescent="0.3">
      <c r="A802" s="32">
        <v>800</v>
      </c>
      <c r="B802" s="33">
        <v>40579</v>
      </c>
      <c r="C802" s="40" t="str">
        <f t="shared" si="75"/>
        <v>Saturday</v>
      </c>
      <c r="D802" s="28">
        <v>18</v>
      </c>
      <c r="E802" s="40" t="str" cm="1">
        <f t="array" ref="E802">_xlfn.IFS(D802&gt;=21,"Night",D802&gt;=17,"Evening",D802&gt;=12,"Midday",D802&gt;=6,"Morning", TRUE, "Night")</f>
        <v>Evening</v>
      </c>
      <c r="F802" s="28">
        <v>1</v>
      </c>
      <c r="G802" s="28">
        <v>0</v>
      </c>
      <c r="H802" s="28">
        <v>2</v>
      </c>
      <c r="I802" s="28">
        <v>6</v>
      </c>
      <c r="J802" s="40" t="str">
        <f t="shared" si="76"/>
        <v>Weekday</v>
      </c>
      <c r="K802" s="28" t="b">
        <v>0</v>
      </c>
      <c r="L802" s="28">
        <v>2</v>
      </c>
      <c r="M802" s="40" t="str" cm="1">
        <f t="array" ref="M802">_xlfn.IFS(L802=1,"Clear / Partly Cloudy",L802=2,"Mist / Cloudy",L802=3,"Light Snow / Rain",L802=4,"Heavy Precipitation")</f>
        <v>Mist / Cloudy</v>
      </c>
      <c r="N802" s="28">
        <v>0.28000000000000003</v>
      </c>
      <c r="O802" s="28" t="str">
        <f t="shared" si="77"/>
        <v>Mild</v>
      </c>
      <c r="P802" s="28">
        <v>0.2424</v>
      </c>
      <c r="Q802" s="38">
        <f t="shared" si="73"/>
        <v>0.2424</v>
      </c>
      <c r="R802" s="28">
        <v>0.93</v>
      </c>
      <c r="S802" s="28">
        <v>0.44779999999999998</v>
      </c>
      <c r="T802" s="40" t="str" cm="1">
        <f t="array" ref="T802">_xlfn.IFS(S802*18.6&lt;2,"Calm",S802*18.6&lt;6,"Light Breeze",S802*18.6&lt;14,"Gale",TRUE,"Extreme Storm")</f>
        <v>Gale</v>
      </c>
      <c r="U802" s="28">
        <v>2</v>
      </c>
      <c r="V802" s="28">
        <v>81</v>
      </c>
      <c r="W802" s="28">
        <v>83</v>
      </c>
      <c r="X802" s="44">
        <f>AVERAGE(INDEX($W:$W,MAX(ROW($W$3),ROW()-23)):INDEX($W:$W,ROW()))</f>
        <v>41.083333333333336</v>
      </c>
      <c r="Y802" s="44">
        <f>_xlfn.STDEV.S(INDEX($W:$W,MAX(ROW($W$3),ROW()-23)):INDEX($W:$W,ROW()))</f>
        <v>28.659798638005373</v>
      </c>
      <c r="Z802" s="44">
        <f t="shared" si="74"/>
        <v>1.4625597058829833</v>
      </c>
      <c r="AA802" s="40" t="b">
        <f t="shared" si="72"/>
        <v>0</v>
      </c>
    </row>
    <row r="803" spans="1:27" x14ac:dyDescent="0.3">
      <c r="A803" s="32">
        <v>801</v>
      </c>
      <c r="B803" s="33">
        <v>40579</v>
      </c>
      <c r="C803" s="40" t="str">
        <f t="shared" si="75"/>
        <v>Saturday</v>
      </c>
      <c r="D803" s="28">
        <v>19</v>
      </c>
      <c r="E803" s="40" t="str" cm="1">
        <f t="array" ref="E803">_xlfn.IFS(D803&gt;=21,"Night",D803&gt;=17,"Evening",D803&gt;=12,"Midday",D803&gt;=6,"Morning", TRUE, "Night")</f>
        <v>Evening</v>
      </c>
      <c r="F803" s="28">
        <v>1</v>
      </c>
      <c r="G803" s="28">
        <v>0</v>
      </c>
      <c r="H803" s="28">
        <v>2</v>
      </c>
      <c r="I803" s="28">
        <v>6</v>
      </c>
      <c r="J803" s="40" t="str">
        <f t="shared" si="76"/>
        <v>Weekday</v>
      </c>
      <c r="K803" s="28" t="b">
        <v>0</v>
      </c>
      <c r="L803" s="28">
        <v>2</v>
      </c>
      <c r="M803" s="40" t="str" cm="1">
        <f t="array" ref="M803">_xlfn.IFS(L803=1,"Clear / Partly Cloudy",L803=2,"Mist / Cloudy",L803=3,"Light Snow / Rain",L803=4,"Heavy Precipitation")</f>
        <v>Mist / Cloudy</v>
      </c>
      <c r="N803" s="28">
        <v>0.28000000000000003</v>
      </c>
      <c r="O803" s="28" t="str">
        <f t="shared" si="77"/>
        <v>Mild</v>
      </c>
      <c r="P803" s="28">
        <v>0.2424</v>
      </c>
      <c r="Q803" s="38">
        <f t="shared" si="73"/>
        <v>0.2424</v>
      </c>
      <c r="R803" s="28">
        <v>0.93</v>
      </c>
      <c r="S803" s="28">
        <v>0.44779999999999998</v>
      </c>
      <c r="T803" s="40" t="str" cm="1">
        <f t="array" ref="T803">_xlfn.IFS(S803*18.6&lt;2,"Calm",S803*18.6&lt;6,"Light Breeze",S803*18.6&lt;14,"Gale",TRUE,"Extreme Storm")</f>
        <v>Gale</v>
      </c>
      <c r="U803" s="28">
        <v>6</v>
      </c>
      <c r="V803" s="28">
        <v>78</v>
      </c>
      <c r="W803" s="28">
        <v>84</v>
      </c>
      <c r="X803" s="44">
        <f>AVERAGE(INDEX($W:$W,MAX(ROW($W$3),ROW()-23)):INDEX($W:$W,ROW()))</f>
        <v>40.291666666666664</v>
      </c>
      <c r="Y803" s="44">
        <f>_xlfn.STDEV.S(INDEX($W:$W,MAX(ROW($W$3),ROW()-23)):INDEX($W:$W,ROW()))</f>
        <v>27.094808048561738</v>
      </c>
      <c r="Z803" s="44">
        <f t="shared" si="74"/>
        <v>1.6131626861867909</v>
      </c>
      <c r="AA803" s="40" t="b">
        <f t="shared" si="72"/>
        <v>0</v>
      </c>
    </row>
    <row r="804" spans="1:27" x14ac:dyDescent="0.3">
      <c r="A804" s="32">
        <v>802</v>
      </c>
      <c r="B804" s="33">
        <v>40579</v>
      </c>
      <c r="C804" s="40" t="str">
        <f t="shared" si="75"/>
        <v>Saturday</v>
      </c>
      <c r="D804" s="28">
        <v>20</v>
      </c>
      <c r="E804" s="40" t="str" cm="1">
        <f t="array" ref="E804">_xlfn.IFS(D804&gt;=21,"Night",D804&gt;=17,"Evening",D804&gt;=12,"Midday",D804&gt;=6,"Morning", TRUE, "Night")</f>
        <v>Evening</v>
      </c>
      <c r="F804" s="28">
        <v>1</v>
      </c>
      <c r="G804" s="28">
        <v>0</v>
      </c>
      <c r="H804" s="28">
        <v>2</v>
      </c>
      <c r="I804" s="28">
        <v>6</v>
      </c>
      <c r="J804" s="40" t="str">
        <f t="shared" si="76"/>
        <v>Weekday</v>
      </c>
      <c r="K804" s="28" t="b">
        <v>0</v>
      </c>
      <c r="L804" s="28">
        <v>1</v>
      </c>
      <c r="M804" s="40" t="str" cm="1">
        <f t="array" ref="M804">_xlfn.IFS(L804=1,"Clear / Partly Cloudy",L804=2,"Mist / Cloudy",L804=3,"Light Snow / Rain",L804=4,"Heavy Precipitation")</f>
        <v>Clear / Partly Cloudy</v>
      </c>
      <c r="N804" s="28">
        <v>0.3</v>
      </c>
      <c r="O804" s="28" t="str">
        <f t="shared" si="77"/>
        <v>Mild</v>
      </c>
      <c r="P804" s="28">
        <v>0.28789999999999999</v>
      </c>
      <c r="Q804" s="38">
        <f t="shared" si="73"/>
        <v>0.28789999999999999</v>
      </c>
      <c r="R804" s="28">
        <v>0.87</v>
      </c>
      <c r="S804" s="28">
        <v>0.25369999999999998</v>
      </c>
      <c r="T804" s="40" t="str" cm="1">
        <f t="array" ref="T804">_xlfn.IFS(S804*18.6&lt;2,"Calm",S804*18.6&lt;6,"Light Breeze",S804*18.6&lt;14,"Gale",TRUE,"Extreme Storm")</f>
        <v>Light Breeze</v>
      </c>
      <c r="U804" s="28">
        <v>5</v>
      </c>
      <c r="V804" s="28">
        <v>64</v>
      </c>
      <c r="W804" s="28">
        <v>69</v>
      </c>
      <c r="X804" s="44">
        <f>AVERAGE(INDEX($W:$W,MAX(ROW($W$3),ROW()-23)):INDEX($W:$W,ROW()))</f>
        <v>40.208333333333336</v>
      </c>
      <c r="Y804" s="44">
        <f>_xlfn.STDEV.S(INDEX($W:$W,MAX(ROW($W$3),ROW()-23)):INDEX($W:$W,ROW()))</f>
        <v>26.999161285953452</v>
      </c>
      <c r="Z804" s="44">
        <f t="shared" si="74"/>
        <v>1.0663911505149524</v>
      </c>
      <c r="AA804" s="40" t="b">
        <f t="shared" si="72"/>
        <v>0</v>
      </c>
    </row>
    <row r="805" spans="1:27" x14ac:dyDescent="0.3">
      <c r="A805" s="32">
        <v>803</v>
      </c>
      <c r="B805" s="33">
        <v>40579</v>
      </c>
      <c r="C805" s="40" t="str">
        <f t="shared" si="75"/>
        <v>Saturday</v>
      </c>
      <c r="D805" s="28">
        <v>21</v>
      </c>
      <c r="E805" s="40" t="str" cm="1">
        <f t="array" ref="E805">_xlfn.IFS(D805&gt;=21,"Night",D805&gt;=17,"Evening",D805&gt;=12,"Midday",D805&gt;=6,"Morning", TRUE, "Night")</f>
        <v>Night</v>
      </c>
      <c r="F805" s="28">
        <v>1</v>
      </c>
      <c r="G805" s="28">
        <v>0</v>
      </c>
      <c r="H805" s="28">
        <v>2</v>
      </c>
      <c r="I805" s="28">
        <v>6</v>
      </c>
      <c r="J805" s="40" t="str">
        <f t="shared" si="76"/>
        <v>Weekday</v>
      </c>
      <c r="K805" s="28" t="b">
        <v>0</v>
      </c>
      <c r="L805" s="28">
        <v>1</v>
      </c>
      <c r="M805" s="40" t="str" cm="1">
        <f t="array" ref="M805">_xlfn.IFS(L805=1,"Clear / Partly Cloudy",L805=2,"Mist / Cloudy",L805=3,"Light Snow / Rain",L805=4,"Heavy Precipitation")</f>
        <v>Clear / Partly Cloudy</v>
      </c>
      <c r="N805" s="28">
        <v>0.26</v>
      </c>
      <c r="O805" s="28" t="str">
        <f t="shared" si="77"/>
        <v>Mild</v>
      </c>
      <c r="P805" s="28">
        <v>0.2576</v>
      </c>
      <c r="Q805" s="38">
        <f t="shared" si="73"/>
        <v>0.2576</v>
      </c>
      <c r="R805" s="28">
        <v>1</v>
      </c>
      <c r="S805" s="28">
        <v>0.19400000000000001</v>
      </c>
      <c r="T805" s="40" t="str" cm="1">
        <f t="array" ref="T805">_xlfn.IFS(S805*18.6&lt;2,"Calm",S805*18.6&lt;6,"Light Breeze",S805*18.6&lt;14,"Gale",TRUE,"Extreme Storm")</f>
        <v>Light Breeze</v>
      </c>
      <c r="U805" s="28">
        <v>3</v>
      </c>
      <c r="V805" s="28">
        <v>53</v>
      </c>
      <c r="W805" s="28">
        <v>56</v>
      </c>
      <c r="X805" s="44">
        <f>AVERAGE(INDEX($W:$W,MAX(ROW($W$3),ROW()-23)):INDEX($W:$W,ROW()))</f>
        <v>40.75</v>
      </c>
      <c r="Y805" s="44">
        <f>_xlfn.STDEV.S(INDEX($W:$W,MAX(ROW($W$3),ROW()-23)):INDEX($W:$W,ROW()))</f>
        <v>27.187353198004462</v>
      </c>
      <c r="Z805" s="44">
        <f t="shared" si="74"/>
        <v>0.56092256899503334</v>
      </c>
      <c r="AA805" s="40" t="b">
        <f t="shared" si="72"/>
        <v>0</v>
      </c>
    </row>
    <row r="806" spans="1:27" x14ac:dyDescent="0.3">
      <c r="A806" s="32">
        <v>804</v>
      </c>
      <c r="B806" s="33">
        <v>40579</v>
      </c>
      <c r="C806" s="40" t="str">
        <f t="shared" si="75"/>
        <v>Saturday</v>
      </c>
      <c r="D806" s="28">
        <v>22</v>
      </c>
      <c r="E806" s="40" t="str" cm="1">
        <f t="array" ref="E806">_xlfn.IFS(D806&gt;=21,"Night",D806&gt;=17,"Evening",D806&gt;=12,"Midday",D806&gt;=6,"Morning", TRUE, "Night")</f>
        <v>Night</v>
      </c>
      <c r="F806" s="28">
        <v>1</v>
      </c>
      <c r="G806" s="28">
        <v>0</v>
      </c>
      <c r="H806" s="28">
        <v>2</v>
      </c>
      <c r="I806" s="28">
        <v>6</v>
      </c>
      <c r="J806" s="40" t="str">
        <f t="shared" si="76"/>
        <v>Weekday</v>
      </c>
      <c r="K806" s="28" t="b">
        <v>0</v>
      </c>
      <c r="L806" s="28">
        <v>1</v>
      </c>
      <c r="M806" s="40" t="str" cm="1">
        <f t="array" ref="M806">_xlfn.IFS(L806=1,"Clear / Partly Cloudy",L806=2,"Mist / Cloudy",L806=3,"Light Snow / Rain",L806=4,"Heavy Precipitation")</f>
        <v>Clear / Partly Cloudy</v>
      </c>
      <c r="N806" s="28">
        <v>0.26</v>
      </c>
      <c r="O806" s="28" t="str">
        <f t="shared" si="77"/>
        <v>Mild</v>
      </c>
      <c r="P806" s="28">
        <v>0.2727</v>
      </c>
      <c r="Q806" s="38">
        <f t="shared" si="73"/>
        <v>0.2727</v>
      </c>
      <c r="R806" s="28">
        <v>0.93</v>
      </c>
      <c r="S806" s="28">
        <v>0.1343</v>
      </c>
      <c r="T806" s="40" t="str" cm="1">
        <f t="array" ref="T806">_xlfn.IFS(S806*18.6&lt;2,"Calm",S806*18.6&lt;6,"Light Breeze",S806*18.6&lt;14,"Gale",TRUE,"Extreme Storm")</f>
        <v>Light Breeze</v>
      </c>
      <c r="U806" s="28">
        <v>2</v>
      </c>
      <c r="V806" s="28">
        <v>43</v>
      </c>
      <c r="W806" s="28">
        <v>45</v>
      </c>
      <c r="X806" s="44">
        <f>AVERAGE(INDEX($W:$W,MAX(ROW($W$3),ROW()-23)):INDEX($W:$W,ROW()))</f>
        <v>40.708333333333336</v>
      </c>
      <c r="Y806" s="44">
        <f>_xlfn.STDEV.S(INDEX($W:$W,MAX(ROW($W$3),ROW()-23)):INDEX($W:$W,ROW()))</f>
        <v>27.179722567395345</v>
      </c>
      <c r="Z806" s="44">
        <f t="shared" si="74"/>
        <v>0.15789957590718479</v>
      </c>
      <c r="AA806" s="40" t="b">
        <f t="shared" si="72"/>
        <v>0</v>
      </c>
    </row>
    <row r="807" spans="1:27" x14ac:dyDescent="0.3">
      <c r="A807" s="32">
        <v>805</v>
      </c>
      <c r="B807" s="33">
        <v>40579</v>
      </c>
      <c r="C807" s="40" t="str">
        <f t="shared" si="75"/>
        <v>Saturday</v>
      </c>
      <c r="D807" s="28">
        <v>23</v>
      </c>
      <c r="E807" s="40" t="str" cm="1">
        <f t="array" ref="E807">_xlfn.IFS(D807&gt;=21,"Night",D807&gt;=17,"Evening",D807&gt;=12,"Midday",D807&gt;=6,"Morning", TRUE, "Night")</f>
        <v>Night</v>
      </c>
      <c r="F807" s="28">
        <v>1</v>
      </c>
      <c r="G807" s="28">
        <v>0</v>
      </c>
      <c r="H807" s="28">
        <v>2</v>
      </c>
      <c r="I807" s="28">
        <v>6</v>
      </c>
      <c r="J807" s="40" t="str">
        <f t="shared" si="76"/>
        <v>Weekday</v>
      </c>
      <c r="K807" s="28" t="b">
        <v>0</v>
      </c>
      <c r="L807" s="28">
        <v>1</v>
      </c>
      <c r="M807" s="40" t="str" cm="1">
        <f t="array" ref="M807">_xlfn.IFS(L807=1,"Clear / Partly Cloudy",L807=2,"Mist / Cloudy",L807=3,"Light Snow / Rain",L807=4,"Heavy Precipitation")</f>
        <v>Clear / Partly Cloudy</v>
      </c>
      <c r="N807" s="28">
        <v>0.26</v>
      </c>
      <c r="O807" s="28" t="str">
        <f t="shared" si="77"/>
        <v>Mild</v>
      </c>
      <c r="P807" s="28">
        <v>0.2576</v>
      </c>
      <c r="Q807" s="38">
        <f t="shared" si="73"/>
        <v>0.2576</v>
      </c>
      <c r="R807" s="28">
        <v>0.93</v>
      </c>
      <c r="S807" s="28">
        <v>0.22389999999999999</v>
      </c>
      <c r="T807" s="40" t="str" cm="1">
        <f t="array" ref="T807">_xlfn.IFS(S807*18.6&lt;2,"Calm",S807*18.6&lt;6,"Light Breeze",S807*18.6&lt;14,"Gale",TRUE,"Extreme Storm")</f>
        <v>Light Breeze</v>
      </c>
      <c r="U807" s="28">
        <v>7</v>
      </c>
      <c r="V807" s="28">
        <v>52</v>
      </c>
      <c r="W807" s="28">
        <v>59</v>
      </c>
      <c r="X807" s="44">
        <f>AVERAGE(INDEX($W:$W,MAX(ROW($W$3),ROW()-23)):INDEX($W:$W,ROW()))</f>
        <v>41.875</v>
      </c>
      <c r="Y807" s="44">
        <f>_xlfn.STDEV.S(INDEX($W:$W,MAX(ROW($W$3),ROW()-23)):INDEX($W:$W,ROW()))</f>
        <v>27.345315948948663</v>
      </c>
      <c r="Z807" s="44">
        <f t="shared" si="74"/>
        <v>0.62624984958926389</v>
      </c>
      <c r="AA807" s="40" t="b">
        <f t="shared" si="72"/>
        <v>0</v>
      </c>
    </row>
    <row r="808" spans="1:27" x14ac:dyDescent="0.3">
      <c r="A808" s="32">
        <v>806</v>
      </c>
      <c r="B808" s="33">
        <v>40580</v>
      </c>
      <c r="C808" s="40" t="str">
        <f t="shared" si="75"/>
        <v>Sunday</v>
      </c>
      <c r="D808" s="28">
        <v>0</v>
      </c>
      <c r="E808" s="40" t="str" cm="1">
        <f t="array" ref="E808">_xlfn.IFS(D808&gt;=21,"Night",D808&gt;=17,"Evening",D808&gt;=12,"Midday",D808&gt;=6,"Morning", TRUE, "Night")</f>
        <v>Night</v>
      </c>
      <c r="F808" s="28">
        <v>1</v>
      </c>
      <c r="G808" s="28">
        <v>0</v>
      </c>
      <c r="H808" s="28">
        <v>2</v>
      </c>
      <c r="I808" s="28">
        <v>0</v>
      </c>
      <c r="J808" s="40" t="str">
        <f t="shared" si="76"/>
        <v>Weekday</v>
      </c>
      <c r="K808" s="28" t="b">
        <v>0</v>
      </c>
      <c r="L808" s="28">
        <v>1</v>
      </c>
      <c r="M808" s="40" t="str" cm="1">
        <f t="array" ref="M808">_xlfn.IFS(L808=1,"Clear / Partly Cloudy",L808=2,"Mist / Cloudy",L808=3,"Light Snow / Rain",L808=4,"Heavy Precipitation")</f>
        <v>Clear / Partly Cloudy</v>
      </c>
      <c r="N808" s="28">
        <v>0.26</v>
      </c>
      <c r="O808" s="28" t="str">
        <f t="shared" si="77"/>
        <v>Mild</v>
      </c>
      <c r="P808" s="28">
        <v>0.2576</v>
      </c>
      <c r="Q808" s="38">
        <f t="shared" si="73"/>
        <v>0.2576</v>
      </c>
      <c r="R808" s="28">
        <v>0.7</v>
      </c>
      <c r="S808" s="28">
        <v>0.19400000000000001</v>
      </c>
      <c r="T808" s="40" t="str" cm="1">
        <f t="array" ref="T808">_xlfn.IFS(S808*18.6&lt;2,"Calm",S808*18.6&lt;6,"Light Breeze",S808*18.6&lt;14,"Gale",TRUE,"Extreme Storm")</f>
        <v>Light Breeze</v>
      </c>
      <c r="U808" s="28">
        <v>2</v>
      </c>
      <c r="V808" s="28">
        <v>37</v>
      </c>
      <c r="W808" s="28">
        <v>39</v>
      </c>
      <c r="X808" s="44">
        <f>AVERAGE(INDEX($W:$W,MAX(ROW($W$3),ROW()-23)):INDEX($W:$W,ROW()))</f>
        <v>41.875</v>
      </c>
      <c r="Y808" s="44">
        <f>_xlfn.STDEV.S(INDEX($W:$W,MAX(ROW($W$3),ROW()-23)):INDEX($W:$W,ROW()))</f>
        <v>27.345315948948663</v>
      </c>
      <c r="Z808" s="44">
        <f t="shared" si="74"/>
        <v>-0.10513683606243117</v>
      </c>
      <c r="AA808" s="40" t="b">
        <f t="shared" si="72"/>
        <v>0</v>
      </c>
    </row>
    <row r="809" spans="1:27" x14ac:dyDescent="0.3">
      <c r="A809" s="32">
        <v>807</v>
      </c>
      <c r="B809" s="33">
        <v>40580</v>
      </c>
      <c r="C809" s="40" t="str">
        <f t="shared" si="75"/>
        <v>Sunday</v>
      </c>
      <c r="D809" s="28">
        <v>1</v>
      </c>
      <c r="E809" s="40" t="str" cm="1">
        <f t="array" ref="E809">_xlfn.IFS(D809&gt;=21,"Night",D809&gt;=17,"Evening",D809&gt;=12,"Midday",D809&gt;=6,"Morning", TRUE, "Night")</f>
        <v>Night</v>
      </c>
      <c r="F809" s="28">
        <v>1</v>
      </c>
      <c r="G809" s="28">
        <v>0</v>
      </c>
      <c r="H809" s="28">
        <v>2</v>
      </c>
      <c r="I809" s="28">
        <v>0</v>
      </c>
      <c r="J809" s="40" t="str">
        <f t="shared" si="76"/>
        <v>Weekday</v>
      </c>
      <c r="K809" s="28" t="b">
        <v>0</v>
      </c>
      <c r="L809" s="28">
        <v>1</v>
      </c>
      <c r="M809" s="40" t="str" cm="1">
        <f t="array" ref="M809">_xlfn.IFS(L809=1,"Clear / Partly Cloudy",L809=2,"Mist / Cloudy",L809=3,"Light Snow / Rain",L809=4,"Heavy Precipitation")</f>
        <v>Clear / Partly Cloudy</v>
      </c>
      <c r="N809" s="28">
        <v>0.26</v>
      </c>
      <c r="O809" s="28" t="str">
        <f t="shared" si="77"/>
        <v>Mild</v>
      </c>
      <c r="P809" s="28">
        <v>0.2273</v>
      </c>
      <c r="Q809" s="38">
        <f t="shared" si="73"/>
        <v>0.2273</v>
      </c>
      <c r="R809" s="28">
        <v>0.65</v>
      </c>
      <c r="S809" s="28">
        <v>0.41789999999999999</v>
      </c>
      <c r="T809" s="40" t="str" cm="1">
        <f t="array" ref="T809">_xlfn.IFS(S809*18.6&lt;2,"Calm",S809*18.6&lt;6,"Light Breeze",S809*18.6&lt;14,"Gale",TRUE,"Extreme Storm")</f>
        <v>Gale</v>
      </c>
      <c r="U809" s="28">
        <v>4</v>
      </c>
      <c r="V809" s="28">
        <v>40</v>
      </c>
      <c r="W809" s="28">
        <v>44</v>
      </c>
      <c r="X809" s="44">
        <f>AVERAGE(INDEX($W:$W,MAX(ROW($W$3),ROW()-23)):INDEX($W:$W,ROW()))</f>
        <v>42.958333333333336</v>
      </c>
      <c r="Y809" s="44">
        <f>_xlfn.STDEV.S(INDEX($W:$W,MAX(ROW($W$3),ROW()-23)):INDEX($W:$W,ROW()))</f>
        <v>26.869214914934297</v>
      </c>
      <c r="Z809" s="44">
        <f t="shared" si="74"/>
        <v>3.8768035090139194E-2</v>
      </c>
      <c r="AA809" s="40" t="b">
        <f t="shared" si="72"/>
        <v>0</v>
      </c>
    </row>
    <row r="810" spans="1:27" x14ac:dyDescent="0.3">
      <c r="A810" s="32">
        <v>808</v>
      </c>
      <c r="B810" s="33">
        <v>40580</v>
      </c>
      <c r="C810" s="40" t="str">
        <f t="shared" si="75"/>
        <v>Sunday</v>
      </c>
      <c r="D810" s="28">
        <v>2</v>
      </c>
      <c r="E810" s="40" t="str" cm="1">
        <f t="array" ref="E810">_xlfn.IFS(D810&gt;=21,"Night",D810&gt;=17,"Evening",D810&gt;=12,"Midday",D810&gt;=6,"Morning", TRUE, "Night")</f>
        <v>Night</v>
      </c>
      <c r="F810" s="28">
        <v>1</v>
      </c>
      <c r="G810" s="28">
        <v>0</v>
      </c>
      <c r="H810" s="28">
        <v>2</v>
      </c>
      <c r="I810" s="28">
        <v>0</v>
      </c>
      <c r="J810" s="40" t="str">
        <f t="shared" si="76"/>
        <v>Weekday</v>
      </c>
      <c r="K810" s="28" t="b">
        <v>0</v>
      </c>
      <c r="L810" s="28">
        <v>1</v>
      </c>
      <c r="M810" s="40" t="str" cm="1">
        <f t="array" ref="M810">_xlfn.IFS(L810=1,"Clear / Partly Cloudy",L810=2,"Mist / Cloudy",L810=3,"Light Snow / Rain",L810=4,"Heavy Precipitation")</f>
        <v>Clear / Partly Cloudy</v>
      </c>
      <c r="N810" s="28">
        <v>0.26</v>
      </c>
      <c r="O810" s="28" t="str">
        <f t="shared" si="77"/>
        <v>Mild</v>
      </c>
      <c r="P810" s="28">
        <v>0.2273</v>
      </c>
      <c r="Q810" s="38">
        <f t="shared" si="73"/>
        <v>0.2273</v>
      </c>
      <c r="R810" s="28">
        <v>0.6</v>
      </c>
      <c r="S810" s="28">
        <v>0.32840000000000003</v>
      </c>
      <c r="T810" s="40" t="str" cm="1">
        <f t="array" ref="T810">_xlfn.IFS(S810*18.6&lt;2,"Calm",S810*18.6&lt;6,"Light Breeze",S810*18.6&lt;14,"Gale",TRUE,"Extreme Storm")</f>
        <v>Gale</v>
      </c>
      <c r="U810" s="28">
        <v>0</v>
      </c>
      <c r="V810" s="28">
        <v>20</v>
      </c>
      <c r="W810" s="28">
        <v>20</v>
      </c>
      <c r="X810" s="44">
        <f>AVERAGE(INDEX($W:$W,MAX(ROW($W$3),ROW()-23)):INDEX($W:$W,ROW()))</f>
        <v>43.083333333333336</v>
      </c>
      <c r="Y810" s="44">
        <f>_xlfn.STDEV.S(INDEX($W:$W,MAX(ROW($W$3),ROW()-23)):INDEX($W:$W,ROW()))</f>
        <v>26.749915345931338</v>
      </c>
      <c r="Z810" s="44">
        <f t="shared" si="74"/>
        <v>-0.86293107977421357</v>
      </c>
      <c r="AA810" s="40" t="b">
        <f t="shared" si="72"/>
        <v>0</v>
      </c>
    </row>
    <row r="811" spans="1:27" x14ac:dyDescent="0.3">
      <c r="A811" s="32">
        <v>809</v>
      </c>
      <c r="B811" s="33">
        <v>40580</v>
      </c>
      <c r="C811" s="40" t="str">
        <f t="shared" si="75"/>
        <v>Sunday</v>
      </c>
      <c r="D811" s="28">
        <v>3</v>
      </c>
      <c r="E811" s="40" t="str" cm="1">
        <f t="array" ref="E811">_xlfn.IFS(D811&gt;=21,"Night",D811&gt;=17,"Evening",D811&gt;=12,"Midday",D811&gt;=6,"Morning", TRUE, "Night")</f>
        <v>Night</v>
      </c>
      <c r="F811" s="28">
        <v>1</v>
      </c>
      <c r="G811" s="28">
        <v>0</v>
      </c>
      <c r="H811" s="28">
        <v>2</v>
      </c>
      <c r="I811" s="28">
        <v>0</v>
      </c>
      <c r="J811" s="40" t="str">
        <f t="shared" si="76"/>
        <v>Weekday</v>
      </c>
      <c r="K811" s="28" t="b">
        <v>0</v>
      </c>
      <c r="L811" s="28">
        <v>1</v>
      </c>
      <c r="M811" s="40" t="str" cm="1">
        <f t="array" ref="M811">_xlfn.IFS(L811=1,"Clear / Partly Cloudy",L811=2,"Mist / Cloudy",L811=3,"Light Snow / Rain",L811=4,"Heavy Precipitation")</f>
        <v>Clear / Partly Cloudy</v>
      </c>
      <c r="N811" s="28">
        <v>0.26</v>
      </c>
      <c r="O811" s="28" t="str">
        <f t="shared" si="77"/>
        <v>Mild</v>
      </c>
      <c r="P811" s="28">
        <v>0.28789999999999999</v>
      </c>
      <c r="Q811" s="38">
        <f t="shared" si="73"/>
        <v>0.28789999999999999</v>
      </c>
      <c r="R811" s="28">
        <v>0.6</v>
      </c>
      <c r="S811" s="28">
        <v>8.9599999999999999E-2</v>
      </c>
      <c r="T811" s="40" t="str" cm="1">
        <f t="array" ref="T811">_xlfn.IFS(S811*18.6&lt;2,"Calm",S811*18.6&lt;6,"Light Breeze",S811*18.6&lt;14,"Gale",TRUE,"Extreme Storm")</f>
        <v>Calm</v>
      </c>
      <c r="U811" s="28">
        <v>3</v>
      </c>
      <c r="V811" s="28">
        <v>10</v>
      </c>
      <c r="W811" s="28">
        <v>13</v>
      </c>
      <c r="X811" s="44">
        <f>AVERAGE(INDEX($W:$W,MAX(ROW($W$3),ROW()-23)):INDEX($W:$W,ROW()))</f>
        <v>43.166666666666664</v>
      </c>
      <c r="Y811" s="44">
        <f>_xlfn.STDEV.S(INDEX($W:$W,MAX(ROW($W$3),ROW()-23)):INDEX($W:$W,ROW()))</f>
        <v>26.648544566940839</v>
      </c>
      <c r="Z811" s="44">
        <f t="shared" si="74"/>
        <v>-1.1320192962466804</v>
      </c>
      <c r="AA811" s="40" t="b">
        <f t="shared" si="72"/>
        <v>0</v>
      </c>
    </row>
    <row r="812" spans="1:27" x14ac:dyDescent="0.3">
      <c r="A812" s="32">
        <v>810</v>
      </c>
      <c r="B812" s="33">
        <v>40580</v>
      </c>
      <c r="C812" s="40" t="str">
        <f t="shared" si="75"/>
        <v>Sunday</v>
      </c>
      <c r="D812" s="28">
        <v>4</v>
      </c>
      <c r="E812" s="40" t="str" cm="1">
        <f t="array" ref="E812">_xlfn.IFS(D812&gt;=21,"Night",D812&gt;=17,"Evening",D812&gt;=12,"Midday",D812&gt;=6,"Morning", TRUE, "Night")</f>
        <v>Night</v>
      </c>
      <c r="F812" s="28">
        <v>1</v>
      </c>
      <c r="G812" s="28">
        <v>0</v>
      </c>
      <c r="H812" s="28">
        <v>2</v>
      </c>
      <c r="I812" s="28">
        <v>0</v>
      </c>
      <c r="J812" s="40" t="str">
        <f t="shared" si="76"/>
        <v>Weekday</v>
      </c>
      <c r="K812" s="28" t="b">
        <v>0</v>
      </c>
      <c r="L812" s="28">
        <v>1</v>
      </c>
      <c r="M812" s="40" t="str" cm="1">
        <f t="array" ref="M812">_xlfn.IFS(L812=1,"Clear / Partly Cloudy",L812=2,"Mist / Cloudy",L812=3,"Light Snow / Rain",L812=4,"Heavy Precipitation")</f>
        <v>Clear / Partly Cloudy</v>
      </c>
      <c r="N812" s="28">
        <v>0.26</v>
      </c>
      <c r="O812" s="28" t="str">
        <f t="shared" si="77"/>
        <v>Mild</v>
      </c>
      <c r="P812" s="28">
        <v>0.2273</v>
      </c>
      <c r="Q812" s="38">
        <f t="shared" si="73"/>
        <v>0.2273</v>
      </c>
      <c r="R812" s="28">
        <v>0.6</v>
      </c>
      <c r="S812" s="28">
        <v>0.35820000000000002</v>
      </c>
      <c r="T812" s="40" t="str" cm="1">
        <f t="array" ref="T812">_xlfn.IFS(S812*18.6&lt;2,"Calm",S812*18.6&lt;6,"Light Breeze",S812*18.6&lt;14,"Gale",TRUE,"Extreme Storm")</f>
        <v>Gale</v>
      </c>
      <c r="U812" s="28">
        <v>0</v>
      </c>
      <c r="V812" s="28">
        <v>2</v>
      </c>
      <c r="W812" s="28">
        <v>2</v>
      </c>
      <c r="X812" s="44">
        <f>AVERAGE(INDEX($W:$W,MAX(ROW($W$3),ROW()-23)):INDEX($W:$W,ROW()))</f>
        <v>42.916666666666664</v>
      </c>
      <c r="Y812" s="44">
        <f>_xlfn.STDEV.S(INDEX($W:$W,MAX(ROW($W$3),ROW()-23)):INDEX($W:$W,ROW()))</f>
        <v>27.018378071660564</v>
      </c>
      <c r="Z812" s="44">
        <f t="shared" si="74"/>
        <v>-1.5144012922664645</v>
      </c>
      <c r="AA812" s="40" t="b">
        <f t="shared" si="72"/>
        <v>0</v>
      </c>
    </row>
    <row r="813" spans="1:27" x14ac:dyDescent="0.3">
      <c r="A813" s="32">
        <v>811</v>
      </c>
      <c r="B813" s="33">
        <v>40580</v>
      </c>
      <c r="C813" s="40" t="str">
        <f t="shared" si="75"/>
        <v>Sunday</v>
      </c>
      <c r="D813" s="28">
        <v>5</v>
      </c>
      <c r="E813" s="40" t="str" cm="1">
        <f t="array" ref="E813">_xlfn.IFS(D813&gt;=21,"Night",D813&gt;=17,"Evening",D813&gt;=12,"Midday",D813&gt;=6,"Morning", TRUE, "Night")</f>
        <v>Night</v>
      </c>
      <c r="F813" s="28">
        <v>1</v>
      </c>
      <c r="G813" s="28">
        <v>0</v>
      </c>
      <c r="H813" s="28">
        <v>2</v>
      </c>
      <c r="I813" s="28">
        <v>0</v>
      </c>
      <c r="J813" s="40" t="str">
        <f t="shared" si="76"/>
        <v>Weekday</v>
      </c>
      <c r="K813" s="28" t="b">
        <v>0</v>
      </c>
      <c r="L813" s="28">
        <v>1</v>
      </c>
      <c r="M813" s="40" t="str" cm="1">
        <f t="array" ref="M813">_xlfn.IFS(L813=1,"Clear / Partly Cloudy",L813=2,"Mist / Cloudy",L813=3,"Light Snow / Rain",L813=4,"Heavy Precipitation")</f>
        <v>Clear / Partly Cloudy</v>
      </c>
      <c r="N813" s="28">
        <v>0.26</v>
      </c>
      <c r="O813" s="28" t="str">
        <f t="shared" si="77"/>
        <v>Mild</v>
      </c>
      <c r="P813" s="28">
        <v>0.2576</v>
      </c>
      <c r="Q813" s="38">
        <f t="shared" si="73"/>
        <v>0.2576</v>
      </c>
      <c r="R813" s="28">
        <v>0.6</v>
      </c>
      <c r="S813" s="28">
        <v>0.22389999999999999</v>
      </c>
      <c r="T813" s="40" t="str" cm="1">
        <f t="array" ref="T813">_xlfn.IFS(S813*18.6&lt;2,"Calm",S813*18.6&lt;6,"Light Breeze",S813*18.6&lt;14,"Gale",TRUE,"Extreme Storm")</f>
        <v>Light Breeze</v>
      </c>
      <c r="U813" s="28">
        <v>0</v>
      </c>
      <c r="V813" s="28">
        <v>1</v>
      </c>
      <c r="W813" s="28">
        <v>1</v>
      </c>
      <c r="X813" s="44">
        <f>AVERAGE(INDEX($W:$W,MAX(ROW($W$3),ROW()-23)):INDEX($W:$W,ROW()))</f>
        <v>42.583333333333336</v>
      </c>
      <c r="Y813" s="44">
        <f>_xlfn.STDEV.S(INDEX($W:$W,MAX(ROW($W$3),ROW()-23)):INDEX($W:$W,ROW()))</f>
        <v>27.500065876073933</v>
      </c>
      <c r="Z813" s="44">
        <f t="shared" si="74"/>
        <v>-1.5121175898532069</v>
      </c>
      <c r="AA813" s="40" t="b">
        <f t="shared" si="72"/>
        <v>0</v>
      </c>
    </row>
    <row r="814" spans="1:27" x14ac:dyDescent="0.3">
      <c r="A814" s="32">
        <v>812</v>
      </c>
      <c r="B814" s="33">
        <v>40580</v>
      </c>
      <c r="C814" s="40" t="str">
        <f t="shared" si="75"/>
        <v>Sunday</v>
      </c>
      <c r="D814" s="28">
        <v>6</v>
      </c>
      <c r="E814" s="40" t="str" cm="1">
        <f t="array" ref="E814">_xlfn.IFS(D814&gt;=21,"Night",D814&gt;=17,"Evening",D814&gt;=12,"Midday",D814&gt;=6,"Morning", TRUE, "Night")</f>
        <v>Morning</v>
      </c>
      <c r="F814" s="28">
        <v>1</v>
      </c>
      <c r="G814" s="28">
        <v>0</v>
      </c>
      <c r="H814" s="28">
        <v>2</v>
      </c>
      <c r="I814" s="28">
        <v>0</v>
      </c>
      <c r="J814" s="40" t="str">
        <f t="shared" si="76"/>
        <v>Weekday</v>
      </c>
      <c r="K814" s="28" t="b">
        <v>0</v>
      </c>
      <c r="L814" s="28">
        <v>1</v>
      </c>
      <c r="M814" s="40" t="str" cm="1">
        <f t="array" ref="M814">_xlfn.IFS(L814=1,"Clear / Partly Cloudy",L814=2,"Mist / Cloudy",L814=3,"Light Snow / Rain",L814=4,"Heavy Precipitation")</f>
        <v>Clear / Partly Cloudy</v>
      </c>
      <c r="N814" s="28">
        <v>0.26</v>
      </c>
      <c r="O814" s="28" t="str">
        <f t="shared" si="77"/>
        <v>Mild</v>
      </c>
      <c r="P814" s="28">
        <v>0.2576</v>
      </c>
      <c r="Q814" s="38">
        <f t="shared" si="73"/>
        <v>0.2576</v>
      </c>
      <c r="R814" s="28">
        <v>0.6</v>
      </c>
      <c r="S814" s="28">
        <v>0.22389999999999999</v>
      </c>
      <c r="T814" s="40" t="str" cm="1">
        <f t="array" ref="T814">_xlfn.IFS(S814*18.6&lt;2,"Calm",S814*18.6&lt;6,"Light Breeze",S814*18.6&lt;14,"Gale",TRUE,"Extreme Storm")</f>
        <v>Light Breeze</v>
      </c>
      <c r="U814" s="28">
        <v>0</v>
      </c>
      <c r="V814" s="28">
        <v>1</v>
      </c>
      <c r="W814" s="28">
        <v>1</v>
      </c>
      <c r="X814" s="44">
        <f>AVERAGE(INDEX($W:$W,MAX(ROW($W$3),ROW()-23)):INDEX($W:$W,ROW()))</f>
        <v>42.458333333333336</v>
      </c>
      <c r="Y814" s="44">
        <f>_xlfn.STDEV.S(INDEX($W:$W,MAX(ROW($W$3),ROW()-23)):INDEX($W:$W,ROW()))</f>
        <v>27.689236908584359</v>
      </c>
      <c r="Z814" s="44">
        <f t="shared" si="74"/>
        <v>-1.4972725131504152</v>
      </c>
      <c r="AA814" s="40" t="b">
        <f t="shared" si="72"/>
        <v>0</v>
      </c>
    </row>
    <row r="815" spans="1:27" x14ac:dyDescent="0.3">
      <c r="A815" s="32">
        <v>813</v>
      </c>
      <c r="B815" s="33">
        <v>40580</v>
      </c>
      <c r="C815" s="40" t="str">
        <f t="shared" si="75"/>
        <v>Sunday</v>
      </c>
      <c r="D815" s="28">
        <v>7</v>
      </c>
      <c r="E815" s="40" t="str" cm="1">
        <f t="array" ref="E815">_xlfn.IFS(D815&gt;=21,"Night",D815&gt;=17,"Evening",D815&gt;=12,"Midday",D815&gt;=6,"Morning", TRUE, "Night")</f>
        <v>Morning</v>
      </c>
      <c r="F815" s="28">
        <v>1</v>
      </c>
      <c r="G815" s="28">
        <v>0</v>
      </c>
      <c r="H815" s="28">
        <v>2</v>
      </c>
      <c r="I815" s="28">
        <v>0</v>
      </c>
      <c r="J815" s="40" t="str">
        <f t="shared" si="76"/>
        <v>Weekday</v>
      </c>
      <c r="K815" s="28" t="b">
        <v>0</v>
      </c>
      <c r="L815" s="28">
        <v>1</v>
      </c>
      <c r="M815" s="40" t="str" cm="1">
        <f t="array" ref="M815">_xlfn.IFS(L815=1,"Clear / Partly Cloudy",L815=2,"Mist / Cloudy",L815=3,"Light Snow / Rain",L815=4,"Heavy Precipitation")</f>
        <v>Clear / Partly Cloudy</v>
      </c>
      <c r="N815" s="28">
        <v>0.24</v>
      </c>
      <c r="O815" s="28" t="str">
        <f t="shared" si="77"/>
        <v>Mild</v>
      </c>
      <c r="P815" s="28">
        <v>0.2424</v>
      </c>
      <c r="Q815" s="38">
        <f t="shared" si="73"/>
        <v>0.2424</v>
      </c>
      <c r="R815" s="28">
        <v>0.65</v>
      </c>
      <c r="S815" s="28">
        <v>0.16420000000000001</v>
      </c>
      <c r="T815" s="40" t="str" cm="1">
        <f t="array" ref="T815">_xlfn.IFS(S815*18.6&lt;2,"Calm",S815*18.6&lt;6,"Light Breeze",S815*18.6&lt;14,"Gale",TRUE,"Extreme Storm")</f>
        <v>Light Breeze</v>
      </c>
      <c r="U815" s="28">
        <v>0</v>
      </c>
      <c r="V815" s="28">
        <v>8</v>
      </c>
      <c r="W815" s="28">
        <v>8</v>
      </c>
      <c r="X815" s="44">
        <f>AVERAGE(INDEX($W:$W,MAX(ROW($W$3),ROW()-23)):INDEX($W:$W,ROW()))</f>
        <v>42.625</v>
      </c>
      <c r="Y815" s="44">
        <f>_xlfn.STDEV.S(INDEX($W:$W,MAX(ROW($W$3),ROW()-23)):INDEX($W:$W,ROW()))</f>
        <v>27.458763549223658</v>
      </c>
      <c r="Z815" s="44">
        <f t="shared" si="74"/>
        <v>-1.2609817604470741</v>
      </c>
      <c r="AA815" s="40" t="b">
        <f t="shared" si="72"/>
        <v>0</v>
      </c>
    </row>
    <row r="816" spans="1:27" x14ac:dyDescent="0.3">
      <c r="A816" s="32">
        <v>814</v>
      </c>
      <c r="B816" s="33">
        <v>40580</v>
      </c>
      <c r="C816" s="40" t="str">
        <f t="shared" si="75"/>
        <v>Sunday</v>
      </c>
      <c r="D816" s="28">
        <v>8</v>
      </c>
      <c r="E816" s="40" t="str" cm="1">
        <f t="array" ref="E816">_xlfn.IFS(D816&gt;=21,"Night",D816&gt;=17,"Evening",D816&gt;=12,"Midday",D816&gt;=6,"Morning", TRUE, "Night")</f>
        <v>Morning</v>
      </c>
      <c r="F816" s="28">
        <v>1</v>
      </c>
      <c r="G816" s="28">
        <v>0</v>
      </c>
      <c r="H816" s="28">
        <v>2</v>
      </c>
      <c r="I816" s="28">
        <v>0</v>
      </c>
      <c r="J816" s="40" t="str">
        <f t="shared" si="76"/>
        <v>Weekday</v>
      </c>
      <c r="K816" s="28" t="b">
        <v>0</v>
      </c>
      <c r="L816" s="28">
        <v>1</v>
      </c>
      <c r="M816" s="40" t="str" cm="1">
        <f t="array" ref="M816">_xlfn.IFS(L816=1,"Clear / Partly Cloudy",L816=2,"Mist / Cloudy",L816=3,"Light Snow / Rain",L816=4,"Heavy Precipitation")</f>
        <v>Clear / Partly Cloudy</v>
      </c>
      <c r="N816" s="28">
        <v>0.24</v>
      </c>
      <c r="O816" s="28" t="str">
        <f t="shared" si="77"/>
        <v>Mild</v>
      </c>
      <c r="P816" s="28">
        <v>0.2576</v>
      </c>
      <c r="Q816" s="38">
        <f t="shared" si="73"/>
        <v>0.2576</v>
      </c>
      <c r="R816" s="28">
        <v>0.65</v>
      </c>
      <c r="S816" s="28">
        <v>0.1045</v>
      </c>
      <c r="T816" s="40" t="str" cm="1">
        <f t="array" ref="T816">_xlfn.IFS(S816*18.6&lt;2,"Calm",S816*18.6&lt;6,"Light Breeze",S816*18.6&lt;14,"Gale",TRUE,"Extreme Storm")</f>
        <v>Calm</v>
      </c>
      <c r="U816" s="28">
        <v>2</v>
      </c>
      <c r="V816" s="28">
        <v>21</v>
      </c>
      <c r="W816" s="28">
        <v>23</v>
      </c>
      <c r="X816" s="44">
        <f>AVERAGE(INDEX($W:$W,MAX(ROW($W$3),ROW()-23)):INDEX($W:$W,ROW()))</f>
        <v>43.166666666666664</v>
      </c>
      <c r="Y816" s="44">
        <f>_xlfn.STDEV.S(INDEX($W:$W,MAX(ROW($W$3),ROW()-23)):INDEX($W:$W,ROW()))</f>
        <v>26.909941054120353</v>
      </c>
      <c r="Z816" s="44">
        <f t="shared" si="74"/>
        <v>-0.74941326055334545</v>
      </c>
      <c r="AA816" s="40" t="b">
        <f t="shared" si="72"/>
        <v>0</v>
      </c>
    </row>
    <row r="817" spans="1:27" x14ac:dyDescent="0.3">
      <c r="A817" s="32">
        <v>815</v>
      </c>
      <c r="B817" s="33">
        <v>40580</v>
      </c>
      <c r="C817" s="40" t="str">
        <f t="shared" si="75"/>
        <v>Sunday</v>
      </c>
      <c r="D817" s="28">
        <v>9</v>
      </c>
      <c r="E817" s="40" t="str" cm="1">
        <f t="array" ref="E817">_xlfn.IFS(D817&gt;=21,"Night",D817&gt;=17,"Evening",D817&gt;=12,"Midday",D817&gt;=6,"Morning", TRUE, "Night")</f>
        <v>Morning</v>
      </c>
      <c r="F817" s="28">
        <v>1</v>
      </c>
      <c r="G817" s="28">
        <v>0</v>
      </c>
      <c r="H817" s="28">
        <v>2</v>
      </c>
      <c r="I817" s="28">
        <v>0</v>
      </c>
      <c r="J817" s="40" t="str">
        <f t="shared" si="76"/>
        <v>Weekday</v>
      </c>
      <c r="K817" s="28" t="b">
        <v>0</v>
      </c>
      <c r="L817" s="28">
        <v>1</v>
      </c>
      <c r="M817" s="40" t="str" cm="1">
        <f t="array" ref="M817">_xlfn.IFS(L817=1,"Clear / Partly Cloudy",L817=2,"Mist / Cloudy",L817=3,"Light Snow / Rain",L817=4,"Heavy Precipitation")</f>
        <v>Clear / Partly Cloudy</v>
      </c>
      <c r="N817" s="28">
        <v>0.28000000000000003</v>
      </c>
      <c r="O817" s="28" t="str">
        <f t="shared" si="77"/>
        <v>Mild</v>
      </c>
      <c r="P817" s="28">
        <v>0.28789999999999999</v>
      </c>
      <c r="Q817" s="38">
        <f t="shared" si="73"/>
        <v>0.28789999999999999</v>
      </c>
      <c r="R817" s="28">
        <v>0.56000000000000005</v>
      </c>
      <c r="S817" s="28">
        <v>0.1045</v>
      </c>
      <c r="T817" s="40" t="str" cm="1">
        <f t="array" ref="T817">_xlfn.IFS(S817*18.6&lt;2,"Calm",S817*18.6&lt;6,"Light Breeze",S817*18.6&lt;14,"Gale",TRUE,"Extreme Storm")</f>
        <v>Calm</v>
      </c>
      <c r="U817" s="28">
        <v>7</v>
      </c>
      <c r="V817" s="28">
        <v>38</v>
      </c>
      <c r="W817" s="28">
        <v>45</v>
      </c>
      <c r="X817" s="44">
        <f>AVERAGE(INDEX($W:$W,MAX(ROW($W$3),ROW()-23)):INDEX($W:$W,ROW()))</f>
        <v>44.208333333333336</v>
      </c>
      <c r="Y817" s="44">
        <f>_xlfn.STDEV.S(INDEX($W:$W,MAX(ROW($W$3),ROW()-23)):INDEX($W:$W,ROW()))</f>
        <v>26.454192018701288</v>
      </c>
      <c r="Z817" s="44">
        <f t="shared" si="74"/>
        <v>2.9925943914938344E-2</v>
      </c>
      <c r="AA817" s="40" t="b">
        <f t="shared" si="72"/>
        <v>0</v>
      </c>
    </row>
    <row r="818" spans="1:27" x14ac:dyDescent="0.3">
      <c r="A818" s="32">
        <v>816</v>
      </c>
      <c r="B818" s="33">
        <v>40580</v>
      </c>
      <c r="C818" s="40" t="str">
        <f t="shared" si="75"/>
        <v>Sunday</v>
      </c>
      <c r="D818" s="28">
        <v>10</v>
      </c>
      <c r="E818" s="40" t="str" cm="1">
        <f t="array" ref="E818">_xlfn.IFS(D818&gt;=21,"Night",D818&gt;=17,"Evening",D818&gt;=12,"Midday",D818&gt;=6,"Morning", TRUE, "Night")</f>
        <v>Morning</v>
      </c>
      <c r="F818" s="28">
        <v>1</v>
      </c>
      <c r="G818" s="28">
        <v>0</v>
      </c>
      <c r="H818" s="28">
        <v>2</v>
      </c>
      <c r="I818" s="28">
        <v>0</v>
      </c>
      <c r="J818" s="40" t="str">
        <f t="shared" si="76"/>
        <v>Weekday</v>
      </c>
      <c r="K818" s="28" t="b">
        <v>0</v>
      </c>
      <c r="L818" s="28">
        <v>1</v>
      </c>
      <c r="M818" s="40" t="str" cm="1">
        <f t="array" ref="M818">_xlfn.IFS(L818=1,"Clear / Partly Cloudy",L818=2,"Mist / Cloudy",L818=3,"Light Snow / Rain",L818=4,"Heavy Precipitation")</f>
        <v>Clear / Partly Cloudy</v>
      </c>
      <c r="N818" s="28">
        <v>0.3</v>
      </c>
      <c r="O818" s="28" t="str">
        <f t="shared" si="77"/>
        <v>Mild</v>
      </c>
      <c r="P818" s="28">
        <v>0.28789999999999999</v>
      </c>
      <c r="Q818" s="38">
        <f t="shared" si="73"/>
        <v>0.28789999999999999</v>
      </c>
      <c r="R818" s="28">
        <v>0.52</v>
      </c>
      <c r="S818" s="28">
        <v>0.25369999999999998</v>
      </c>
      <c r="T818" s="40" t="str" cm="1">
        <f t="array" ref="T818">_xlfn.IFS(S818*18.6&lt;2,"Calm",S818*18.6&lt;6,"Light Breeze",S818*18.6&lt;14,"Gale",TRUE,"Extreme Storm")</f>
        <v>Light Breeze</v>
      </c>
      <c r="U818" s="28">
        <v>15</v>
      </c>
      <c r="V818" s="28">
        <v>74</v>
      </c>
      <c r="W818" s="28">
        <v>89</v>
      </c>
      <c r="X818" s="44">
        <f>AVERAGE(INDEX($W:$W,MAX(ROW($W$3),ROW()-23)):INDEX($W:$W,ROW()))</f>
        <v>46.5</v>
      </c>
      <c r="Y818" s="44">
        <f>_xlfn.STDEV.S(INDEX($W:$W,MAX(ROW($W$3),ROW()-23)):INDEX($W:$W,ROW()))</f>
        <v>27.875499605583208</v>
      </c>
      <c r="Z818" s="44">
        <f t="shared" si="74"/>
        <v>1.5246363509656213</v>
      </c>
      <c r="AA818" s="40" t="b">
        <f t="shared" si="72"/>
        <v>0</v>
      </c>
    </row>
    <row r="819" spans="1:27" x14ac:dyDescent="0.3">
      <c r="A819" s="32">
        <v>817</v>
      </c>
      <c r="B819" s="33">
        <v>40580</v>
      </c>
      <c r="C819" s="40" t="str">
        <f t="shared" si="75"/>
        <v>Sunday</v>
      </c>
      <c r="D819" s="28">
        <v>11</v>
      </c>
      <c r="E819" s="40" t="str" cm="1">
        <f t="array" ref="E819">_xlfn.IFS(D819&gt;=21,"Night",D819&gt;=17,"Evening",D819&gt;=12,"Midday",D819&gt;=6,"Morning", TRUE, "Night")</f>
        <v>Morning</v>
      </c>
      <c r="F819" s="28">
        <v>1</v>
      </c>
      <c r="G819" s="28">
        <v>0</v>
      </c>
      <c r="H819" s="28">
        <v>2</v>
      </c>
      <c r="I819" s="28">
        <v>0</v>
      </c>
      <c r="J819" s="40" t="str">
        <f t="shared" si="76"/>
        <v>Weekday</v>
      </c>
      <c r="K819" s="28" t="b">
        <v>0</v>
      </c>
      <c r="L819" s="28">
        <v>1</v>
      </c>
      <c r="M819" s="40" t="str" cm="1">
        <f t="array" ref="M819">_xlfn.IFS(L819=1,"Clear / Partly Cloudy",L819=2,"Mist / Cloudy",L819=3,"Light Snow / Rain",L819=4,"Heavy Precipitation")</f>
        <v>Clear / Partly Cloudy</v>
      </c>
      <c r="N819" s="28">
        <v>0.32</v>
      </c>
      <c r="O819" s="28" t="str">
        <f t="shared" si="77"/>
        <v>Mild</v>
      </c>
      <c r="P819" s="28">
        <v>0.30299999999999999</v>
      </c>
      <c r="Q819" s="38">
        <f t="shared" si="73"/>
        <v>0.30299999999999999</v>
      </c>
      <c r="R819" s="28">
        <v>0.49</v>
      </c>
      <c r="S819" s="28">
        <v>0.25369999999999998</v>
      </c>
      <c r="T819" s="40" t="str" cm="1">
        <f t="array" ref="T819">_xlfn.IFS(S819*18.6&lt;2,"Calm",S819*18.6&lt;6,"Light Breeze",S819*18.6&lt;14,"Gale",TRUE,"Extreme Storm")</f>
        <v>Light Breeze</v>
      </c>
      <c r="U819" s="28">
        <v>28</v>
      </c>
      <c r="V819" s="28">
        <v>89</v>
      </c>
      <c r="W819" s="28">
        <v>117</v>
      </c>
      <c r="X819" s="44">
        <f>AVERAGE(INDEX($W:$W,MAX(ROW($W$3),ROW()-23)):INDEX($W:$W,ROW()))</f>
        <v>49.416666666666664</v>
      </c>
      <c r="Y819" s="44">
        <f>_xlfn.STDEV.S(INDEX($W:$W,MAX(ROW($W$3),ROW()-23)):INDEX($W:$W,ROW()))</f>
        <v>31.372816628227785</v>
      </c>
      <c r="Z819" s="44">
        <f t="shared" si="74"/>
        <v>2.1542003746174654</v>
      </c>
      <c r="AA819" s="40" t="b">
        <f t="shared" si="72"/>
        <v>0</v>
      </c>
    </row>
    <row r="820" spans="1:27" x14ac:dyDescent="0.3">
      <c r="A820" s="32">
        <v>818</v>
      </c>
      <c r="B820" s="33">
        <v>40580</v>
      </c>
      <c r="C820" s="40" t="str">
        <f t="shared" si="75"/>
        <v>Sunday</v>
      </c>
      <c r="D820" s="28">
        <v>12</v>
      </c>
      <c r="E820" s="40" t="str" cm="1">
        <f t="array" ref="E820">_xlfn.IFS(D820&gt;=21,"Night",D820&gt;=17,"Evening",D820&gt;=12,"Midday",D820&gt;=6,"Morning", TRUE, "Night")</f>
        <v>Midday</v>
      </c>
      <c r="F820" s="28">
        <v>1</v>
      </c>
      <c r="G820" s="28">
        <v>0</v>
      </c>
      <c r="H820" s="28">
        <v>2</v>
      </c>
      <c r="I820" s="28">
        <v>0</v>
      </c>
      <c r="J820" s="40" t="str">
        <f t="shared" si="76"/>
        <v>Weekday</v>
      </c>
      <c r="K820" s="28" t="b">
        <v>0</v>
      </c>
      <c r="L820" s="28">
        <v>1</v>
      </c>
      <c r="M820" s="40" t="str" cm="1">
        <f t="array" ref="M820">_xlfn.IFS(L820=1,"Clear / Partly Cloudy",L820=2,"Mist / Cloudy",L820=3,"Light Snow / Rain",L820=4,"Heavy Precipitation")</f>
        <v>Clear / Partly Cloudy</v>
      </c>
      <c r="N820" s="28">
        <v>0.34</v>
      </c>
      <c r="O820" s="28" t="str">
        <f t="shared" si="77"/>
        <v>Mild</v>
      </c>
      <c r="P820" s="28">
        <v>0.33329999999999999</v>
      </c>
      <c r="Q820" s="38">
        <f t="shared" si="73"/>
        <v>0.33329999999999999</v>
      </c>
      <c r="R820" s="28">
        <v>0.46</v>
      </c>
      <c r="S820" s="28">
        <v>0</v>
      </c>
      <c r="T820" s="40" t="str" cm="1">
        <f t="array" ref="T820">_xlfn.IFS(S820*18.6&lt;2,"Calm",S820*18.6&lt;6,"Light Breeze",S820*18.6&lt;14,"Gale",TRUE,"Extreme Storm")</f>
        <v>Calm</v>
      </c>
      <c r="U820" s="28">
        <v>48</v>
      </c>
      <c r="V820" s="28">
        <v>126</v>
      </c>
      <c r="W820" s="28">
        <v>174</v>
      </c>
      <c r="X820" s="44">
        <f>AVERAGE(INDEX($W:$W,MAX(ROW($W$3),ROW()-23)):INDEX($W:$W,ROW()))</f>
        <v>54.5</v>
      </c>
      <c r="Y820" s="44">
        <f>_xlfn.STDEV.S(INDEX($W:$W,MAX(ROW($W$3),ROW()-23)):INDEX($W:$W,ROW()))</f>
        <v>40.395867201441803</v>
      </c>
      <c r="Z820" s="44">
        <f t="shared" si="74"/>
        <v>2.9582234094416178</v>
      </c>
      <c r="AA820" s="40" t="b">
        <f t="shared" si="72"/>
        <v>0</v>
      </c>
    </row>
    <row r="821" spans="1:27" x14ac:dyDescent="0.3">
      <c r="A821" s="32">
        <v>819</v>
      </c>
      <c r="B821" s="33">
        <v>40580</v>
      </c>
      <c r="C821" s="40" t="str">
        <f t="shared" si="75"/>
        <v>Sunday</v>
      </c>
      <c r="D821" s="28">
        <v>13</v>
      </c>
      <c r="E821" s="40" t="str" cm="1">
        <f t="array" ref="E821">_xlfn.IFS(D821&gt;=21,"Night",D821&gt;=17,"Evening",D821&gt;=12,"Midday",D821&gt;=6,"Morning", TRUE, "Night")</f>
        <v>Midday</v>
      </c>
      <c r="F821" s="28">
        <v>1</v>
      </c>
      <c r="G821" s="28">
        <v>0</v>
      </c>
      <c r="H821" s="28">
        <v>2</v>
      </c>
      <c r="I821" s="28">
        <v>0</v>
      </c>
      <c r="J821" s="40" t="str">
        <f t="shared" si="76"/>
        <v>Weekday</v>
      </c>
      <c r="K821" s="28" t="b">
        <v>0</v>
      </c>
      <c r="L821" s="28">
        <v>1</v>
      </c>
      <c r="M821" s="40" t="str" cm="1">
        <f t="array" ref="M821">_xlfn.IFS(L821=1,"Clear / Partly Cloudy",L821=2,"Mist / Cloudy",L821=3,"Light Snow / Rain",L821=4,"Heavy Precipitation")</f>
        <v>Clear / Partly Cloudy</v>
      </c>
      <c r="N821" s="28">
        <v>0.34</v>
      </c>
      <c r="O821" s="28" t="str">
        <f t="shared" si="77"/>
        <v>Mild</v>
      </c>
      <c r="P821" s="28">
        <v>0.36359999999999998</v>
      </c>
      <c r="Q821" s="38">
        <f t="shared" si="73"/>
        <v>0.36359999999999998</v>
      </c>
      <c r="R821" s="28">
        <v>0.46</v>
      </c>
      <c r="S821" s="28">
        <v>0</v>
      </c>
      <c r="T821" s="40" t="str" cm="1">
        <f t="array" ref="T821">_xlfn.IFS(S821*18.6&lt;2,"Calm",S821*18.6&lt;6,"Light Breeze",S821*18.6&lt;14,"Gale",TRUE,"Extreme Storm")</f>
        <v>Calm</v>
      </c>
      <c r="U821" s="28">
        <v>47</v>
      </c>
      <c r="V821" s="28">
        <v>135</v>
      </c>
      <c r="W821" s="28">
        <v>182</v>
      </c>
      <c r="X821" s="44">
        <f>AVERAGE(INDEX($W:$W,MAX(ROW($W$3),ROW()-23)):INDEX($W:$W,ROW()))</f>
        <v>59.083333333333336</v>
      </c>
      <c r="Y821" s="44">
        <f>_xlfn.STDEV.S(INDEX($W:$W,MAX(ROW($W$3),ROW()-23)):INDEX($W:$W,ROW()))</f>
        <v>47.993583508329678</v>
      </c>
      <c r="Z821" s="44">
        <f t="shared" si="74"/>
        <v>2.5611062496580081</v>
      </c>
      <c r="AA821" s="40" t="b">
        <f t="shared" si="72"/>
        <v>0</v>
      </c>
    </row>
    <row r="822" spans="1:27" x14ac:dyDescent="0.3">
      <c r="A822" s="32">
        <v>820</v>
      </c>
      <c r="B822" s="33">
        <v>40580</v>
      </c>
      <c r="C822" s="40" t="str">
        <f t="shared" si="75"/>
        <v>Sunday</v>
      </c>
      <c r="D822" s="28">
        <v>14</v>
      </c>
      <c r="E822" s="40" t="str" cm="1">
        <f t="array" ref="E822">_xlfn.IFS(D822&gt;=21,"Night",D822&gt;=17,"Evening",D822&gt;=12,"Midday",D822&gt;=6,"Morning", TRUE, "Night")</f>
        <v>Midday</v>
      </c>
      <c r="F822" s="28">
        <v>1</v>
      </c>
      <c r="G822" s="28">
        <v>0</v>
      </c>
      <c r="H822" s="28">
        <v>2</v>
      </c>
      <c r="I822" s="28">
        <v>0</v>
      </c>
      <c r="J822" s="40" t="str">
        <f t="shared" si="76"/>
        <v>Weekday</v>
      </c>
      <c r="K822" s="28" t="b">
        <v>0</v>
      </c>
      <c r="L822" s="28">
        <v>1</v>
      </c>
      <c r="M822" s="40" t="str" cm="1">
        <f t="array" ref="M822">_xlfn.IFS(L822=1,"Clear / Partly Cloudy",L822=2,"Mist / Cloudy",L822=3,"Light Snow / Rain",L822=4,"Heavy Precipitation")</f>
        <v>Clear / Partly Cloudy</v>
      </c>
      <c r="N822" s="28">
        <v>0.34</v>
      </c>
      <c r="O822" s="28" t="str">
        <f t="shared" si="77"/>
        <v>Mild</v>
      </c>
      <c r="P822" s="28">
        <v>0.34849999999999998</v>
      </c>
      <c r="Q822" s="38">
        <f t="shared" si="73"/>
        <v>0.34849999999999998</v>
      </c>
      <c r="R822" s="28">
        <v>0.46</v>
      </c>
      <c r="S822" s="28">
        <v>8.9599999999999999E-2</v>
      </c>
      <c r="T822" s="40" t="str" cm="1">
        <f t="array" ref="T822">_xlfn.IFS(S822*18.6&lt;2,"Calm",S822*18.6&lt;6,"Light Breeze",S822*18.6&lt;14,"Gale",TRUE,"Extreme Storm")</f>
        <v>Calm</v>
      </c>
      <c r="U822" s="28">
        <v>47</v>
      </c>
      <c r="V822" s="28">
        <v>114</v>
      </c>
      <c r="W822" s="28">
        <v>161</v>
      </c>
      <c r="X822" s="44">
        <f>AVERAGE(INDEX($W:$W,MAX(ROW($W$3),ROW()-23)):INDEX($W:$W,ROW()))</f>
        <v>63.5</v>
      </c>
      <c r="Y822" s="44">
        <f>_xlfn.STDEV.S(INDEX($W:$W,MAX(ROW($W$3),ROW()-23)):INDEX($W:$W,ROW()))</f>
        <v>52.286834322592732</v>
      </c>
      <c r="Z822" s="44">
        <f t="shared" si="74"/>
        <v>1.8647141534417013</v>
      </c>
      <c r="AA822" s="40" t="b">
        <f t="shared" si="72"/>
        <v>0</v>
      </c>
    </row>
    <row r="823" spans="1:27" x14ac:dyDescent="0.3">
      <c r="A823" s="32">
        <v>821</v>
      </c>
      <c r="B823" s="33">
        <v>40580</v>
      </c>
      <c r="C823" s="40" t="str">
        <f t="shared" si="75"/>
        <v>Sunday</v>
      </c>
      <c r="D823" s="28">
        <v>15</v>
      </c>
      <c r="E823" s="40" t="str" cm="1">
        <f t="array" ref="E823">_xlfn.IFS(D823&gt;=21,"Night",D823&gt;=17,"Evening",D823&gt;=12,"Midday",D823&gt;=6,"Morning", TRUE, "Night")</f>
        <v>Midday</v>
      </c>
      <c r="F823" s="28">
        <v>1</v>
      </c>
      <c r="G823" s="28">
        <v>0</v>
      </c>
      <c r="H823" s="28">
        <v>2</v>
      </c>
      <c r="I823" s="28">
        <v>0</v>
      </c>
      <c r="J823" s="40" t="str">
        <f t="shared" si="76"/>
        <v>Weekday</v>
      </c>
      <c r="K823" s="28" t="b">
        <v>0</v>
      </c>
      <c r="L823" s="28">
        <v>1</v>
      </c>
      <c r="M823" s="40" t="str" cm="1">
        <f t="array" ref="M823">_xlfn.IFS(L823=1,"Clear / Partly Cloudy",L823=2,"Mist / Cloudy",L823=3,"Light Snow / Rain",L823=4,"Heavy Precipitation")</f>
        <v>Clear / Partly Cloudy</v>
      </c>
      <c r="N823" s="28">
        <v>0.34</v>
      </c>
      <c r="O823" s="28" t="str">
        <f t="shared" si="77"/>
        <v>Mild</v>
      </c>
      <c r="P823" s="28">
        <v>0.34849999999999998</v>
      </c>
      <c r="Q823" s="38">
        <f t="shared" si="73"/>
        <v>0.34849999999999998</v>
      </c>
      <c r="R823" s="28">
        <v>0.46</v>
      </c>
      <c r="S823" s="28">
        <v>8.9599999999999999E-2</v>
      </c>
      <c r="T823" s="40" t="str" cm="1">
        <f t="array" ref="T823">_xlfn.IFS(S823*18.6&lt;2,"Calm",S823*18.6&lt;6,"Light Breeze",S823*18.6&lt;14,"Gale",TRUE,"Extreme Storm")</f>
        <v>Calm</v>
      </c>
      <c r="U823" s="28">
        <v>52</v>
      </c>
      <c r="V823" s="28">
        <v>130</v>
      </c>
      <c r="W823" s="28">
        <v>182</v>
      </c>
      <c r="X823" s="44">
        <f>AVERAGE(INDEX($W:$W,MAX(ROW($W$3),ROW()-23)):INDEX($W:$W,ROW()))</f>
        <v>68.583333333333329</v>
      </c>
      <c r="Y823" s="44">
        <f>_xlfn.STDEV.S(INDEX($W:$W,MAX(ROW($W$3),ROW()-23)):INDEX($W:$W,ROW()))</f>
        <v>57.592962029768174</v>
      </c>
      <c r="Z823" s="44">
        <f t="shared" si="74"/>
        <v>1.9692799722307182</v>
      </c>
      <c r="AA823" s="40" t="b">
        <f t="shared" si="72"/>
        <v>0</v>
      </c>
    </row>
    <row r="824" spans="1:27" x14ac:dyDescent="0.3">
      <c r="A824" s="32">
        <v>822</v>
      </c>
      <c r="B824" s="33">
        <v>40580</v>
      </c>
      <c r="C824" s="40" t="str">
        <f t="shared" si="75"/>
        <v>Sunday</v>
      </c>
      <c r="D824" s="28">
        <v>16</v>
      </c>
      <c r="E824" s="40" t="str" cm="1">
        <f t="array" ref="E824">_xlfn.IFS(D824&gt;=21,"Night",D824&gt;=17,"Evening",D824&gt;=12,"Midday",D824&gt;=6,"Morning", TRUE, "Night")</f>
        <v>Midday</v>
      </c>
      <c r="F824" s="28">
        <v>1</v>
      </c>
      <c r="G824" s="28">
        <v>0</v>
      </c>
      <c r="H824" s="28">
        <v>2</v>
      </c>
      <c r="I824" s="28">
        <v>0</v>
      </c>
      <c r="J824" s="40" t="str">
        <f t="shared" si="76"/>
        <v>Weekday</v>
      </c>
      <c r="K824" s="28" t="b">
        <v>0</v>
      </c>
      <c r="L824" s="28">
        <v>1</v>
      </c>
      <c r="M824" s="40" t="str" cm="1">
        <f t="array" ref="M824">_xlfn.IFS(L824=1,"Clear / Partly Cloudy",L824=2,"Mist / Cloudy",L824=3,"Light Snow / Rain",L824=4,"Heavy Precipitation")</f>
        <v>Clear / Partly Cloudy</v>
      </c>
      <c r="N824" s="28">
        <v>0.34</v>
      </c>
      <c r="O824" s="28" t="str">
        <f t="shared" si="77"/>
        <v>Mild</v>
      </c>
      <c r="P824" s="28">
        <v>0.34849999999999998</v>
      </c>
      <c r="Q824" s="38">
        <f t="shared" si="73"/>
        <v>0.34849999999999998</v>
      </c>
      <c r="R824" s="28">
        <v>0.49</v>
      </c>
      <c r="S824" s="28">
        <v>0.1045</v>
      </c>
      <c r="T824" s="40" t="str" cm="1">
        <f t="array" ref="T824">_xlfn.IFS(S824*18.6&lt;2,"Calm",S824*18.6&lt;6,"Light Breeze",S824*18.6&lt;14,"Gale",TRUE,"Extreme Storm")</f>
        <v>Calm</v>
      </c>
      <c r="U824" s="28">
        <v>42</v>
      </c>
      <c r="V824" s="28">
        <v>115</v>
      </c>
      <c r="W824" s="28">
        <v>157</v>
      </c>
      <c r="X824" s="44">
        <f>AVERAGE(INDEX($W:$W,MAX(ROW($W$3),ROW()-23)):INDEX($W:$W,ROW()))</f>
        <v>72.166666666666671</v>
      </c>
      <c r="Y824" s="44">
        <f>_xlfn.STDEV.S(INDEX($W:$W,MAX(ROW($W$3),ROW()-23)):INDEX($W:$W,ROW()))</f>
        <v>60.358830387915084</v>
      </c>
      <c r="Z824" s="44">
        <f t="shared" si="74"/>
        <v>1.4054833864096623</v>
      </c>
      <c r="AA824" s="40" t="b">
        <f t="shared" si="72"/>
        <v>0</v>
      </c>
    </row>
    <row r="825" spans="1:27" x14ac:dyDescent="0.3">
      <c r="A825" s="32">
        <v>823</v>
      </c>
      <c r="B825" s="33">
        <v>40580</v>
      </c>
      <c r="C825" s="40" t="str">
        <f t="shared" si="75"/>
        <v>Sunday</v>
      </c>
      <c r="D825" s="28">
        <v>17</v>
      </c>
      <c r="E825" s="40" t="str" cm="1">
        <f t="array" ref="E825">_xlfn.IFS(D825&gt;=21,"Night",D825&gt;=17,"Evening",D825&gt;=12,"Midday",D825&gt;=6,"Morning", TRUE, "Night")</f>
        <v>Evening</v>
      </c>
      <c r="F825" s="28">
        <v>1</v>
      </c>
      <c r="G825" s="28">
        <v>0</v>
      </c>
      <c r="H825" s="28">
        <v>2</v>
      </c>
      <c r="I825" s="28">
        <v>0</v>
      </c>
      <c r="J825" s="40" t="str">
        <f t="shared" si="76"/>
        <v>Weekday</v>
      </c>
      <c r="K825" s="28" t="b">
        <v>0</v>
      </c>
      <c r="L825" s="28">
        <v>1</v>
      </c>
      <c r="M825" s="40" t="str" cm="1">
        <f t="array" ref="M825">_xlfn.IFS(L825=1,"Clear / Partly Cloudy",L825=2,"Mist / Cloudy",L825=3,"Light Snow / Rain",L825=4,"Heavy Precipitation")</f>
        <v>Clear / Partly Cloudy</v>
      </c>
      <c r="N825" s="28">
        <v>0.34</v>
      </c>
      <c r="O825" s="28" t="str">
        <f t="shared" si="77"/>
        <v>Mild</v>
      </c>
      <c r="P825" s="28">
        <v>0.36359999999999998</v>
      </c>
      <c r="Q825" s="38">
        <f t="shared" si="73"/>
        <v>0.36359999999999998</v>
      </c>
      <c r="R825" s="28">
        <v>0.46</v>
      </c>
      <c r="S825" s="28">
        <v>0</v>
      </c>
      <c r="T825" s="40" t="str" cm="1">
        <f t="array" ref="T825">_xlfn.IFS(S825*18.6&lt;2,"Calm",S825*18.6&lt;6,"Light Breeze",S825*18.6&lt;14,"Gale",TRUE,"Extreme Storm")</f>
        <v>Calm</v>
      </c>
      <c r="U825" s="28">
        <v>24</v>
      </c>
      <c r="V825" s="28">
        <v>97</v>
      </c>
      <c r="W825" s="28">
        <v>121</v>
      </c>
      <c r="X825" s="44">
        <f>AVERAGE(INDEX($W:$W,MAX(ROW($W$3),ROW()-23)):INDEX($W:$W,ROW()))</f>
        <v>73.958333333333329</v>
      </c>
      <c r="Y825" s="44">
        <f>_xlfn.STDEV.S(INDEX($W:$W,MAX(ROW($W$3),ROW()-23)):INDEX($W:$W,ROW()))</f>
        <v>61.172229538138197</v>
      </c>
      <c r="Z825" s="44">
        <f t="shared" si="74"/>
        <v>0.76900363157988638</v>
      </c>
      <c r="AA825" s="40" t="b">
        <f t="shared" si="72"/>
        <v>0</v>
      </c>
    </row>
    <row r="826" spans="1:27" x14ac:dyDescent="0.3">
      <c r="A826" s="32">
        <v>824</v>
      </c>
      <c r="B826" s="33">
        <v>40580</v>
      </c>
      <c r="C826" s="40" t="str">
        <f t="shared" si="75"/>
        <v>Sunday</v>
      </c>
      <c r="D826" s="28">
        <v>18</v>
      </c>
      <c r="E826" s="40" t="str" cm="1">
        <f t="array" ref="E826">_xlfn.IFS(D826&gt;=21,"Night",D826&gt;=17,"Evening",D826&gt;=12,"Midday",D826&gt;=6,"Morning", TRUE, "Night")</f>
        <v>Evening</v>
      </c>
      <c r="F826" s="28">
        <v>1</v>
      </c>
      <c r="G826" s="28">
        <v>0</v>
      </c>
      <c r="H826" s="28">
        <v>2</v>
      </c>
      <c r="I826" s="28">
        <v>0</v>
      </c>
      <c r="J826" s="40" t="str">
        <f t="shared" si="76"/>
        <v>Weekday</v>
      </c>
      <c r="K826" s="28" t="b">
        <v>0</v>
      </c>
      <c r="L826" s="28">
        <v>1</v>
      </c>
      <c r="M826" s="40" t="str" cm="1">
        <f t="array" ref="M826">_xlfn.IFS(L826=1,"Clear / Partly Cloudy",L826=2,"Mist / Cloudy",L826=3,"Light Snow / Rain",L826=4,"Heavy Precipitation")</f>
        <v>Clear / Partly Cloudy</v>
      </c>
      <c r="N826" s="28">
        <v>0.3</v>
      </c>
      <c r="O826" s="28" t="str">
        <f t="shared" si="77"/>
        <v>Mild</v>
      </c>
      <c r="P826" s="28">
        <v>0.30299999999999999</v>
      </c>
      <c r="Q826" s="38">
        <f t="shared" si="73"/>
        <v>0.30299999999999999</v>
      </c>
      <c r="R826" s="28">
        <v>0.56000000000000005</v>
      </c>
      <c r="S826" s="28">
        <v>0.16420000000000001</v>
      </c>
      <c r="T826" s="40" t="str" cm="1">
        <f t="array" ref="T826">_xlfn.IFS(S826*18.6&lt;2,"Calm",S826*18.6&lt;6,"Light Breeze",S826*18.6&lt;14,"Gale",TRUE,"Extreme Storm")</f>
        <v>Light Breeze</v>
      </c>
      <c r="U826" s="28">
        <v>13</v>
      </c>
      <c r="V826" s="28">
        <v>65</v>
      </c>
      <c r="W826" s="28">
        <v>78</v>
      </c>
      <c r="X826" s="44">
        <f>AVERAGE(INDEX($W:$W,MAX(ROW($W$3),ROW()-23)):INDEX($W:$W,ROW()))</f>
        <v>73.75</v>
      </c>
      <c r="Y826" s="44">
        <f>_xlfn.STDEV.S(INDEX($W:$W,MAX(ROW($W$3),ROW()-23)):INDEX($W:$W,ROW()))</f>
        <v>61.148607293323074</v>
      </c>
      <c r="Z826" s="44">
        <f t="shared" si="74"/>
        <v>6.9502809436251298E-2</v>
      </c>
      <c r="AA826" s="40" t="b">
        <f t="shared" si="72"/>
        <v>0</v>
      </c>
    </row>
    <row r="827" spans="1:27" x14ac:dyDescent="0.3">
      <c r="A827" s="32">
        <v>825</v>
      </c>
      <c r="B827" s="33">
        <v>40580</v>
      </c>
      <c r="C827" s="40" t="str">
        <f t="shared" si="75"/>
        <v>Sunday</v>
      </c>
      <c r="D827" s="28">
        <v>19</v>
      </c>
      <c r="E827" s="40" t="str" cm="1">
        <f t="array" ref="E827">_xlfn.IFS(D827&gt;=21,"Night",D827&gt;=17,"Evening",D827&gt;=12,"Midday",D827&gt;=6,"Morning", TRUE, "Night")</f>
        <v>Evening</v>
      </c>
      <c r="F827" s="28">
        <v>1</v>
      </c>
      <c r="G827" s="28">
        <v>0</v>
      </c>
      <c r="H827" s="28">
        <v>2</v>
      </c>
      <c r="I827" s="28">
        <v>0</v>
      </c>
      <c r="J827" s="40" t="str">
        <f t="shared" si="76"/>
        <v>Weekday</v>
      </c>
      <c r="K827" s="28" t="b">
        <v>0</v>
      </c>
      <c r="L827" s="28">
        <v>1</v>
      </c>
      <c r="M827" s="40" t="str" cm="1">
        <f t="array" ref="M827">_xlfn.IFS(L827=1,"Clear / Partly Cloudy",L827=2,"Mist / Cloudy",L827=3,"Light Snow / Rain",L827=4,"Heavy Precipitation")</f>
        <v>Clear / Partly Cloudy</v>
      </c>
      <c r="N827" s="28">
        <v>0.28000000000000003</v>
      </c>
      <c r="O827" s="28" t="str">
        <f t="shared" si="77"/>
        <v>Mild</v>
      </c>
      <c r="P827" s="28">
        <v>0.28789999999999999</v>
      </c>
      <c r="Q827" s="38">
        <f t="shared" si="73"/>
        <v>0.28789999999999999</v>
      </c>
      <c r="R827" s="28">
        <v>0.61</v>
      </c>
      <c r="S827" s="28">
        <v>0.1343</v>
      </c>
      <c r="T827" s="40" t="str" cm="1">
        <f t="array" ref="T827">_xlfn.IFS(S827*18.6&lt;2,"Calm",S827*18.6&lt;6,"Light Breeze",S827*18.6&lt;14,"Gale",TRUE,"Extreme Storm")</f>
        <v>Light Breeze</v>
      </c>
      <c r="U827" s="28">
        <v>1</v>
      </c>
      <c r="V827" s="28">
        <v>20</v>
      </c>
      <c r="W827" s="28">
        <v>21</v>
      </c>
      <c r="X827" s="44">
        <f>AVERAGE(INDEX($W:$W,MAX(ROW($W$3),ROW()-23)):INDEX($W:$W,ROW()))</f>
        <v>71.125</v>
      </c>
      <c r="Y827" s="44">
        <f>_xlfn.STDEV.S(INDEX($W:$W,MAX(ROW($W$3),ROW()-23)):INDEX($W:$W,ROW()))</f>
        <v>62.03527222475936</v>
      </c>
      <c r="Z827" s="44">
        <f t="shared" si="74"/>
        <v>-0.80800806061417163</v>
      </c>
      <c r="AA827" s="40" t="b">
        <f t="shared" si="72"/>
        <v>0</v>
      </c>
    </row>
    <row r="828" spans="1:27" x14ac:dyDescent="0.3">
      <c r="A828" s="32">
        <v>826</v>
      </c>
      <c r="B828" s="33">
        <v>40580</v>
      </c>
      <c r="C828" s="40" t="str">
        <f t="shared" si="75"/>
        <v>Sunday</v>
      </c>
      <c r="D828" s="28">
        <v>20</v>
      </c>
      <c r="E828" s="40" t="str" cm="1">
        <f t="array" ref="E828">_xlfn.IFS(D828&gt;=21,"Night",D828&gt;=17,"Evening",D828&gt;=12,"Midday",D828&gt;=6,"Morning", TRUE, "Night")</f>
        <v>Evening</v>
      </c>
      <c r="F828" s="28">
        <v>1</v>
      </c>
      <c r="G828" s="28">
        <v>0</v>
      </c>
      <c r="H828" s="28">
        <v>2</v>
      </c>
      <c r="I828" s="28">
        <v>0</v>
      </c>
      <c r="J828" s="40" t="str">
        <f t="shared" si="76"/>
        <v>Weekday</v>
      </c>
      <c r="K828" s="28" t="b">
        <v>0</v>
      </c>
      <c r="L828" s="28">
        <v>1</v>
      </c>
      <c r="M828" s="40" t="str" cm="1">
        <f t="array" ref="M828">_xlfn.IFS(L828=1,"Clear / Partly Cloudy",L828=2,"Mist / Cloudy",L828=3,"Light Snow / Rain",L828=4,"Heavy Precipitation")</f>
        <v>Clear / Partly Cloudy</v>
      </c>
      <c r="N828" s="28">
        <v>0.28000000000000003</v>
      </c>
      <c r="O828" s="28" t="str">
        <f t="shared" si="77"/>
        <v>Mild</v>
      </c>
      <c r="P828" s="28">
        <v>0.28789999999999999</v>
      </c>
      <c r="Q828" s="38">
        <f t="shared" si="73"/>
        <v>0.28789999999999999</v>
      </c>
      <c r="R828" s="28">
        <v>0.61</v>
      </c>
      <c r="S828" s="28">
        <v>0.1045</v>
      </c>
      <c r="T828" s="40" t="str" cm="1">
        <f t="array" ref="T828">_xlfn.IFS(S828*18.6&lt;2,"Calm",S828*18.6&lt;6,"Light Breeze",S828*18.6&lt;14,"Gale",TRUE,"Extreme Storm")</f>
        <v>Calm</v>
      </c>
      <c r="U828" s="28">
        <v>5</v>
      </c>
      <c r="V828" s="28">
        <v>21</v>
      </c>
      <c r="W828" s="28">
        <v>26</v>
      </c>
      <c r="X828" s="44">
        <f>AVERAGE(INDEX($W:$W,MAX(ROW($W$3),ROW()-23)):INDEX($W:$W,ROW()))</f>
        <v>69.333333333333329</v>
      </c>
      <c r="Y828" s="44">
        <f>_xlfn.STDEV.S(INDEX($W:$W,MAX(ROW($W$3),ROW()-23)):INDEX($W:$W,ROW()))</f>
        <v>62.716523491346202</v>
      </c>
      <c r="Z828" s="44">
        <f t="shared" si="74"/>
        <v>-0.69093965865809803</v>
      </c>
      <c r="AA828" s="40" t="b">
        <f t="shared" si="72"/>
        <v>0</v>
      </c>
    </row>
    <row r="829" spans="1:27" x14ac:dyDescent="0.3">
      <c r="A829" s="32">
        <v>827</v>
      </c>
      <c r="B829" s="33">
        <v>40580</v>
      </c>
      <c r="C829" s="40" t="str">
        <f t="shared" si="75"/>
        <v>Sunday</v>
      </c>
      <c r="D829" s="28">
        <v>21</v>
      </c>
      <c r="E829" s="40" t="str" cm="1">
        <f t="array" ref="E829">_xlfn.IFS(D829&gt;=21,"Night",D829&gt;=17,"Evening",D829&gt;=12,"Midday",D829&gt;=6,"Morning", TRUE, "Night")</f>
        <v>Night</v>
      </c>
      <c r="F829" s="28">
        <v>1</v>
      </c>
      <c r="G829" s="28">
        <v>0</v>
      </c>
      <c r="H829" s="28">
        <v>2</v>
      </c>
      <c r="I829" s="28">
        <v>0</v>
      </c>
      <c r="J829" s="40" t="str">
        <f t="shared" si="76"/>
        <v>Weekday</v>
      </c>
      <c r="K829" s="28" t="b">
        <v>0</v>
      </c>
      <c r="L829" s="28">
        <v>1</v>
      </c>
      <c r="M829" s="40" t="str" cm="1">
        <f t="array" ref="M829">_xlfn.IFS(L829=1,"Clear / Partly Cloudy",L829=2,"Mist / Cloudy",L829=3,"Light Snow / Rain",L829=4,"Heavy Precipitation")</f>
        <v>Clear / Partly Cloudy</v>
      </c>
      <c r="N829" s="28">
        <v>0.26</v>
      </c>
      <c r="O829" s="28" t="str">
        <f t="shared" si="77"/>
        <v>Mild</v>
      </c>
      <c r="P829" s="28">
        <v>0.30299999999999999</v>
      </c>
      <c r="Q829" s="38">
        <f t="shared" si="73"/>
        <v>0.30299999999999999</v>
      </c>
      <c r="R829" s="28">
        <v>0.6</v>
      </c>
      <c r="S829" s="28">
        <v>0</v>
      </c>
      <c r="T829" s="40" t="str" cm="1">
        <f t="array" ref="T829">_xlfn.IFS(S829*18.6&lt;2,"Calm",S829*18.6&lt;6,"Light Breeze",S829*18.6&lt;14,"Gale",TRUE,"Extreme Storm")</f>
        <v>Calm</v>
      </c>
      <c r="U829" s="28">
        <v>5</v>
      </c>
      <c r="V829" s="28">
        <v>22</v>
      </c>
      <c r="W829" s="28">
        <v>27</v>
      </c>
      <c r="X829" s="44">
        <f>AVERAGE(INDEX($W:$W,MAX(ROW($W$3),ROW()-23)):INDEX($W:$W,ROW()))</f>
        <v>68.125</v>
      </c>
      <c r="Y829" s="44">
        <f>_xlfn.STDEV.S(INDEX($W:$W,MAX(ROW($W$3),ROW()-23)):INDEX($W:$W,ROW()))</f>
        <v>63.261577390332619</v>
      </c>
      <c r="Z829" s="44">
        <f t="shared" si="74"/>
        <v>-0.65007863693080403</v>
      </c>
      <c r="AA829" s="40" t="b">
        <f t="shared" si="72"/>
        <v>0</v>
      </c>
    </row>
    <row r="830" spans="1:27" x14ac:dyDescent="0.3">
      <c r="A830" s="32">
        <v>828</v>
      </c>
      <c r="B830" s="33">
        <v>40580</v>
      </c>
      <c r="C830" s="40" t="str">
        <f t="shared" si="75"/>
        <v>Sunday</v>
      </c>
      <c r="D830" s="28">
        <v>22</v>
      </c>
      <c r="E830" s="40" t="str" cm="1">
        <f t="array" ref="E830">_xlfn.IFS(D830&gt;=21,"Night",D830&gt;=17,"Evening",D830&gt;=12,"Midday",D830&gt;=6,"Morning", TRUE, "Night")</f>
        <v>Night</v>
      </c>
      <c r="F830" s="28">
        <v>1</v>
      </c>
      <c r="G830" s="28">
        <v>0</v>
      </c>
      <c r="H830" s="28">
        <v>2</v>
      </c>
      <c r="I830" s="28">
        <v>0</v>
      </c>
      <c r="J830" s="40" t="str">
        <f t="shared" si="76"/>
        <v>Weekday</v>
      </c>
      <c r="K830" s="28" t="b">
        <v>0</v>
      </c>
      <c r="L830" s="28">
        <v>1</v>
      </c>
      <c r="M830" s="40" t="str" cm="1">
        <f t="array" ref="M830">_xlfn.IFS(L830=1,"Clear / Partly Cloudy",L830=2,"Mist / Cloudy",L830=3,"Light Snow / Rain",L830=4,"Heavy Precipitation")</f>
        <v>Clear / Partly Cloudy</v>
      </c>
      <c r="N830" s="28">
        <v>0.26</v>
      </c>
      <c r="O830" s="28" t="str">
        <f t="shared" si="77"/>
        <v>Mild</v>
      </c>
      <c r="P830" s="28">
        <v>0.30299999999999999</v>
      </c>
      <c r="Q830" s="38">
        <f t="shared" si="73"/>
        <v>0.30299999999999999</v>
      </c>
      <c r="R830" s="28">
        <v>0.6</v>
      </c>
      <c r="S830" s="28">
        <v>0</v>
      </c>
      <c r="T830" s="40" t="str" cm="1">
        <f t="array" ref="T830">_xlfn.IFS(S830*18.6&lt;2,"Calm",S830*18.6&lt;6,"Light Breeze",S830*18.6&lt;14,"Gale",TRUE,"Extreme Storm")</f>
        <v>Calm</v>
      </c>
      <c r="U830" s="28">
        <v>5</v>
      </c>
      <c r="V830" s="28">
        <v>57</v>
      </c>
      <c r="W830" s="28">
        <v>62</v>
      </c>
      <c r="X830" s="44">
        <f>AVERAGE(INDEX($W:$W,MAX(ROW($W$3),ROW()-23)):INDEX($W:$W,ROW()))</f>
        <v>68.833333333333329</v>
      </c>
      <c r="Y830" s="44">
        <f>_xlfn.STDEV.S(INDEX($W:$W,MAX(ROW($W$3),ROW()-23)):INDEX($W:$W,ROW()))</f>
        <v>63.086322273302748</v>
      </c>
      <c r="Z830" s="44">
        <f t="shared" si="74"/>
        <v>-0.1083171928097178</v>
      </c>
      <c r="AA830" s="40" t="b">
        <f t="shared" si="72"/>
        <v>0</v>
      </c>
    </row>
    <row r="831" spans="1:27" x14ac:dyDescent="0.3">
      <c r="A831" s="32">
        <v>829</v>
      </c>
      <c r="B831" s="33">
        <v>40580</v>
      </c>
      <c r="C831" s="40" t="str">
        <f t="shared" si="75"/>
        <v>Sunday</v>
      </c>
      <c r="D831" s="28">
        <v>23</v>
      </c>
      <c r="E831" s="40" t="str" cm="1">
        <f t="array" ref="E831">_xlfn.IFS(D831&gt;=21,"Night",D831&gt;=17,"Evening",D831&gt;=12,"Midday",D831&gt;=6,"Morning", TRUE, "Night")</f>
        <v>Night</v>
      </c>
      <c r="F831" s="28">
        <v>1</v>
      </c>
      <c r="G831" s="28">
        <v>0</v>
      </c>
      <c r="H831" s="28">
        <v>2</v>
      </c>
      <c r="I831" s="28">
        <v>0</v>
      </c>
      <c r="J831" s="40" t="str">
        <f t="shared" si="76"/>
        <v>Weekday</v>
      </c>
      <c r="K831" s="28" t="b">
        <v>0</v>
      </c>
      <c r="L831" s="28">
        <v>1</v>
      </c>
      <c r="M831" s="40" t="str" cm="1">
        <f t="array" ref="M831">_xlfn.IFS(L831=1,"Clear / Partly Cloudy",L831=2,"Mist / Cloudy",L831=3,"Light Snow / Rain",L831=4,"Heavy Precipitation")</f>
        <v>Clear / Partly Cloudy</v>
      </c>
      <c r="N831" s="28">
        <v>0.24</v>
      </c>
      <c r="O831" s="28" t="str">
        <f t="shared" si="77"/>
        <v>Mild</v>
      </c>
      <c r="P831" s="28">
        <v>0.28789999999999999</v>
      </c>
      <c r="Q831" s="38">
        <f t="shared" si="73"/>
        <v>0.28789999999999999</v>
      </c>
      <c r="R831" s="28">
        <v>0.65</v>
      </c>
      <c r="S831" s="28">
        <v>0</v>
      </c>
      <c r="T831" s="40" t="str" cm="1">
        <f t="array" ref="T831">_xlfn.IFS(S831*18.6&lt;2,"Calm",S831*18.6&lt;6,"Light Breeze",S831*18.6&lt;14,"Gale",TRUE,"Extreme Storm")</f>
        <v>Calm</v>
      </c>
      <c r="U831" s="28">
        <v>4</v>
      </c>
      <c r="V831" s="28">
        <v>26</v>
      </c>
      <c r="W831" s="28">
        <v>30</v>
      </c>
      <c r="X831" s="44">
        <f>AVERAGE(INDEX($W:$W,MAX(ROW($W$3),ROW()-23)):INDEX($W:$W,ROW()))</f>
        <v>67.625</v>
      </c>
      <c r="Y831" s="44">
        <f>_xlfn.STDEV.S(INDEX($W:$W,MAX(ROW($W$3),ROW()-23)):INDEX($W:$W,ROW()))</f>
        <v>63.558813913468811</v>
      </c>
      <c r="Z831" s="44">
        <f t="shared" si="74"/>
        <v>-0.59197139913944885</v>
      </c>
      <c r="AA831" s="40" t="b">
        <f t="shared" si="72"/>
        <v>0</v>
      </c>
    </row>
    <row r="832" spans="1:27" x14ac:dyDescent="0.3">
      <c r="A832" s="32">
        <v>830</v>
      </c>
      <c r="B832" s="33">
        <v>40581</v>
      </c>
      <c r="C832" s="40" t="str">
        <f t="shared" si="75"/>
        <v>Monday</v>
      </c>
      <c r="D832" s="28">
        <v>0</v>
      </c>
      <c r="E832" s="40" t="str" cm="1">
        <f t="array" ref="E832">_xlfn.IFS(D832&gt;=21,"Night",D832&gt;=17,"Evening",D832&gt;=12,"Midday",D832&gt;=6,"Morning", TRUE, "Night")</f>
        <v>Night</v>
      </c>
      <c r="F832" s="28">
        <v>1</v>
      </c>
      <c r="G832" s="28">
        <v>0</v>
      </c>
      <c r="H832" s="28">
        <v>2</v>
      </c>
      <c r="I832" s="28">
        <v>1</v>
      </c>
      <c r="J832" s="40" t="str">
        <f t="shared" si="76"/>
        <v>Weekday</v>
      </c>
      <c r="K832" s="28" t="b">
        <v>0</v>
      </c>
      <c r="L832" s="28">
        <v>1</v>
      </c>
      <c r="M832" s="40" t="str" cm="1">
        <f t="array" ref="M832">_xlfn.IFS(L832=1,"Clear / Partly Cloudy",L832=2,"Mist / Cloudy",L832=3,"Light Snow / Rain",L832=4,"Heavy Precipitation")</f>
        <v>Clear / Partly Cloudy</v>
      </c>
      <c r="N832" s="28">
        <v>0.24</v>
      </c>
      <c r="O832" s="28" t="str">
        <f t="shared" si="77"/>
        <v>Mild</v>
      </c>
      <c r="P832" s="28">
        <v>0.28789999999999999</v>
      </c>
      <c r="Q832" s="38">
        <f t="shared" si="73"/>
        <v>0.28789999999999999</v>
      </c>
      <c r="R832" s="28">
        <v>0.65</v>
      </c>
      <c r="S832" s="28">
        <v>0</v>
      </c>
      <c r="T832" s="40" t="str" cm="1">
        <f t="array" ref="T832">_xlfn.IFS(S832*18.6&lt;2,"Calm",S832*18.6&lt;6,"Light Breeze",S832*18.6&lt;14,"Gale",TRUE,"Extreme Storm")</f>
        <v>Calm</v>
      </c>
      <c r="U832" s="28">
        <v>1</v>
      </c>
      <c r="V832" s="28">
        <v>14</v>
      </c>
      <c r="W832" s="28">
        <v>15</v>
      </c>
      <c r="X832" s="44">
        <f>AVERAGE(INDEX($W:$W,MAX(ROW($W$3),ROW()-23)):INDEX($W:$W,ROW()))</f>
        <v>66.625</v>
      </c>
      <c r="Y832" s="44">
        <f>_xlfn.STDEV.S(INDEX($W:$W,MAX(ROW($W$3),ROW()-23)):INDEX($W:$W,ROW()))</f>
        <v>64.214188124757442</v>
      </c>
      <c r="Z832" s="44">
        <f t="shared" si="74"/>
        <v>-0.80395005383703133</v>
      </c>
      <c r="AA832" s="40" t="b">
        <f t="shared" si="72"/>
        <v>0</v>
      </c>
    </row>
    <row r="833" spans="1:27" x14ac:dyDescent="0.3">
      <c r="A833" s="32">
        <v>831</v>
      </c>
      <c r="B833" s="33">
        <v>40581</v>
      </c>
      <c r="C833" s="40" t="str">
        <f t="shared" si="75"/>
        <v>Monday</v>
      </c>
      <c r="D833" s="28">
        <v>1</v>
      </c>
      <c r="E833" s="40" t="str" cm="1">
        <f t="array" ref="E833">_xlfn.IFS(D833&gt;=21,"Night",D833&gt;=17,"Evening",D833&gt;=12,"Midday",D833&gt;=6,"Morning", TRUE, "Night")</f>
        <v>Night</v>
      </c>
      <c r="F833" s="28">
        <v>1</v>
      </c>
      <c r="G833" s="28">
        <v>0</v>
      </c>
      <c r="H833" s="28">
        <v>2</v>
      </c>
      <c r="I833" s="28">
        <v>1</v>
      </c>
      <c r="J833" s="40" t="str">
        <f t="shared" si="76"/>
        <v>Weekday</v>
      </c>
      <c r="K833" s="28" t="b">
        <v>0</v>
      </c>
      <c r="L833" s="28">
        <v>1</v>
      </c>
      <c r="M833" s="40" t="str" cm="1">
        <f t="array" ref="M833">_xlfn.IFS(L833=1,"Clear / Partly Cloudy",L833=2,"Mist / Cloudy",L833=3,"Light Snow / Rain",L833=4,"Heavy Precipitation")</f>
        <v>Clear / Partly Cloudy</v>
      </c>
      <c r="N833" s="28">
        <v>0.22</v>
      </c>
      <c r="O833" s="28" t="str">
        <f t="shared" si="77"/>
        <v>Mild</v>
      </c>
      <c r="P833" s="28">
        <v>0.2727</v>
      </c>
      <c r="Q833" s="38">
        <f t="shared" si="73"/>
        <v>0.2727</v>
      </c>
      <c r="R833" s="28">
        <v>0.75</v>
      </c>
      <c r="S833" s="28">
        <v>0</v>
      </c>
      <c r="T833" s="40" t="str" cm="1">
        <f t="array" ref="T833">_xlfn.IFS(S833*18.6&lt;2,"Calm",S833*18.6&lt;6,"Light Breeze",S833*18.6&lt;14,"Gale",TRUE,"Extreme Storm")</f>
        <v>Calm</v>
      </c>
      <c r="U833" s="28">
        <v>1</v>
      </c>
      <c r="V833" s="28">
        <v>4</v>
      </c>
      <c r="W833" s="28">
        <v>5</v>
      </c>
      <c r="X833" s="44">
        <f>AVERAGE(INDEX($W:$W,MAX(ROW($W$3),ROW()-23)):INDEX($W:$W,ROW()))</f>
        <v>65</v>
      </c>
      <c r="Y833" s="44">
        <f>_xlfn.STDEV.S(INDEX($W:$W,MAX(ROW($W$3),ROW()-23)):INDEX($W:$W,ROW()))</f>
        <v>65.295981632802679</v>
      </c>
      <c r="Z833" s="44">
        <f t="shared" si="74"/>
        <v>-0.91889268680291736</v>
      </c>
      <c r="AA833" s="40" t="b">
        <f t="shared" si="72"/>
        <v>0</v>
      </c>
    </row>
    <row r="834" spans="1:27" x14ac:dyDescent="0.3">
      <c r="A834" s="32">
        <v>832</v>
      </c>
      <c r="B834" s="33">
        <v>40581</v>
      </c>
      <c r="C834" s="40" t="str">
        <f t="shared" si="75"/>
        <v>Monday</v>
      </c>
      <c r="D834" s="28">
        <v>2</v>
      </c>
      <c r="E834" s="40" t="str" cm="1">
        <f t="array" ref="E834">_xlfn.IFS(D834&gt;=21,"Night",D834&gt;=17,"Evening",D834&gt;=12,"Midday",D834&gt;=6,"Morning", TRUE, "Night")</f>
        <v>Night</v>
      </c>
      <c r="F834" s="28">
        <v>1</v>
      </c>
      <c r="G834" s="28">
        <v>0</v>
      </c>
      <c r="H834" s="28">
        <v>2</v>
      </c>
      <c r="I834" s="28">
        <v>1</v>
      </c>
      <c r="J834" s="40" t="str">
        <f t="shared" si="76"/>
        <v>Weekday</v>
      </c>
      <c r="K834" s="28" t="b">
        <v>0</v>
      </c>
      <c r="L834" s="28">
        <v>1</v>
      </c>
      <c r="M834" s="40" t="str" cm="1">
        <f t="array" ref="M834">_xlfn.IFS(L834=1,"Clear / Partly Cloudy",L834=2,"Mist / Cloudy",L834=3,"Light Snow / Rain",L834=4,"Heavy Precipitation")</f>
        <v>Clear / Partly Cloudy</v>
      </c>
      <c r="N834" s="28">
        <v>0.2</v>
      </c>
      <c r="O834" s="28" t="str">
        <f t="shared" si="77"/>
        <v>Mild</v>
      </c>
      <c r="P834" s="28">
        <v>0.2576</v>
      </c>
      <c r="Q834" s="38">
        <f t="shared" si="73"/>
        <v>0.2576</v>
      </c>
      <c r="R834" s="28">
        <v>0.8</v>
      </c>
      <c r="S834" s="28">
        <v>0</v>
      </c>
      <c r="T834" s="40" t="str" cm="1">
        <f t="array" ref="T834">_xlfn.IFS(S834*18.6&lt;2,"Calm",S834*18.6&lt;6,"Light Breeze",S834*18.6&lt;14,"Gale",TRUE,"Extreme Storm")</f>
        <v>Calm</v>
      </c>
      <c r="U834" s="28">
        <v>0</v>
      </c>
      <c r="V834" s="28">
        <v>3</v>
      </c>
      <c r="W834" s="28">
        <v>3</v>
      </c>
      <c r="X834" s="44">
        <f>AVERAGE(INDEX($W:$W,MAX(ROW($W$3),ROW()-23)):INDEX($W:$W,ROW()))</f>
        <v>64.291666666666671</v>
      </c>
      <c r="Y834" s="44">
        <f>_xlfn.STDEV.S(INDEX($W:$W,MAX(ROW($W$3),ROW()-23)):INDEX($W:$W,ROW()))</f>
        <v>65.894830018662361</v>
      </c>
      <c r="Z834" s="44">
        <f t="shared" si="74"/>
        <v>-0.93014378592839519</v>
      </c>
      <c r="AA834" s="40" t="b">
        <f t="shared" si="72"/>
        <v>0</v>
      </c>
    </row>
    <row r="835" spans="1:27" x14ac:dyDescent="0.3">
      <c r="A835" s="32">
        <v>833</v>
      </c>
      <c r="B835" s="33">
        <v>40581</v>
      </c>
      <c r="C835" s="40" t="str">
        <f t="shared" si="75"/>
        <v>Monday</v>
      </c>
      <c r="D835" s="28">
        <v>3</v>
      </c>
      <c r="E835" s="40" t="str" cm="1">
        <f t="array" ref="E835">_xlfn.IFS(D835&gt;=21,"Night",D835&gt;=17,"Evening",D835&gt;=12,"Midday",D835&gt;=6,"Morning", TRUE, "Night")</f>
        <v>Night</v>
      </c>
      <c r="F835" s="28">
        <v>1</v>
      </c>
      <c r="G835" s="28">
        <v>0</v>
      </c>
      <c r="H835" s="28">
        <v>2</v>
      </c>
      <c r="I835" s="28">
        <v>1</v>
      </c>
      <c r="J835" s="40" t="str">
        <f t="shared" si="76"/>
        <v>Weekday</v>
      </c>
      <c r="K835" s="28" t="b">
        <v>0</v>
      </c>
      <c r="L835" s="28">
        <v>1</v>
      </c>
      <c r="M835" s="40" t="str" cm="1">
        <f t="array" ref="M835">_xlfn.IFS(L835=1,"Clear / Partly Cloudy",L835=2,"Mist / Cloudy",L835=3,"Light Snow / Rain",L835=4,"Heavy Precipitation")</f>
        <v>Clear / Partly Cloudy</v>
      </c>
      <c r="N835" s="28">
        <v>0.2</v>
      </c>
      <c r="O835" s="28" t="str">
        <f t="shared" si="77"/>
        <v>Mild</v>
      </c>
      <c r="P835" s="28">
        <v>0.2576</v>
      </c>
      <c r="Q835" s="38">
        <f t="shared" si="73"/>
        <v>0.2576</v>
      </c>
      <c r="R835" s="28">
        <v>0.86</v>
      </c>
      <c r="S835" s="28">
        <v>0</v>
      </c>
      <c r="T835" s="40" t="str" cm="1">
        <f t="array" ref="T835">_xlfn.IFS(S835*18.6&lt;2,"Calm",S835*18.6&lt;6,"Light Breeze",S835*18.6&lt;14,"Gale",TRUE,"Extreme Storm")</f>
        <v>Calm</v>
      </c>
      <c r="U835" s="28">
        <v>0</v>
      </c>
      <c r="V835" s="28">
        <v>1</v>
      </c>
      <c r="W835" s="28">
        <v>1</v>
      </c>
      <c r="X835" s="44">
        <f>AVERAGE(INDEX($W:$W,MAX(ROW($W$3),ROW()-23)):INDEX($W:$W,ROW()))</f>
        <v>63.791666666666664</v>
      </c>
      <c r="Y835" s="44">
        <f>_xlfn.STDEV.S(INDEX($W:$W,MAX(ROW($W$3),ROW()-23)):INDEX($W:$W,ROW()))</f>
        <v>66.344934714858525</v>
      </c>
      <c r="Z835" s="44">
        <f t="shared" si="74"/>
        <v>-0.94644251194965645</v>
      </c>
      <c r="AA835" s="40" t="b">
        <f t="shared" ref="AA835:AA898" si="78">IF(ABS(Z835)&gt;=3,TRUE,FALSE)</f>
        <v>0</v>
      </c>
    </row>
    <row r="836" spans="1:27" x14ac:dyDescent="0.3">
      <c r="A836" s="32">
        <v>834</v>
      </c>
      <c r="B836" s="33">
        <v>40581</v>
      </c>
      <c r="C836" s="40" t="str">
        <f t="shared" si="75"/>
        <v>Monday</v>
      </c>
      <c r="D836" s="28">
        <v>4</v>
      </c>
      <c r="E836" s="40" t="str" cm="1">
        <f t="array" ref="E836">_xlfn.IFS(D836&gt;=21,"Night",D836&gt;=17,"Evening",D836&gt;=12,"Midday",D836&gt;=6,"Morning", TRUE, "Night")</f>
        <v>Night</v>
      </c>
      <c r="F836" s="28">
        <v>1</v>
      </c>
      <c r="G836" s="28">
        <v>0</v>
      </c>
      <c r="H836" s="28">
        <v>2</v>
      </c>
      <c r="I836" s="28">
        <v>1</v>
      </c>
      <c r="J836" s="40" t="str">
        <f t="shared" si="76"/>
        <v>Weekday</v>
      </c>
      <c r="K836" s="28" t="b">
        <v>0</v>
      </c>
      <c r="L836" s="28">
        <v>1</v>
      </c>
      <c r="M836" s="40" t="str" cm="1">
        <f t="array" ref="M836">_xlfn.IFS(L836=1,"Clear / Partly Cloudy",L836=2,"Mist / Cloudy",L836=3,"Light Snow / Rain",L836=4,"Heavy Precipitation")</f>
        <v>Clear / Partly Cloudy</v>
      </c>
      <c r="N836" s="28">
        <v>0.2</v>
      </c>
      <c r="O836" s="28" t="str">
        <f t="shared" si="77"/>
        <v>Mild</v>
      </c>
      <c r="P836" s="28">
        <v>0.2576</v>
      </c>
      <c r="Q836" s="38">
        <f t="shared" ref="Q836:Q899" si="79">IF(P836="", AVERAGE($P$3:$P$1002), P836)</f>
        <v>0.2576</v>
      </c>
      <c r="R836" s="28">
        <v>0.86</v>
      </c>
      <c r="S836" s="28">
        <v>0</v>
      </c>
      <c r="T836" s="40" t="str" cm="1">
        <f t="array" ref="T836">_xlfn.IFS(S836*18.6&lt;2,"Calm",S836*18.6&lt;6,"Light Breeze",S836*18.6&lt;14,"Gale",TRUE,"Extreme Storm")</f>
        <v>Calm</v>
      </c>
      <c r="U836" s="28">
        <v>1</v>
      </c>
      <c r="V836" s="28">
        <v>1</v>
      </c>
      <c r="W836" s="28">
        <v>2</v>
      </c>
      <c r="X836" s="44">
        <f>AVERAGE(INDEX($W:$W,MAX(ROW($W$3),ROW()-23)):INDEX($W:$W,ROW()))</f>
        <v>63.791666666666664</v>
      </c>
      <c r="Y836" s="44">
        <f>_xlfn.STDEV.S(INDEX($W:$W,MAX(ROW($W$3),ROW()-23)):INDEX($W:$W,ROW()))</f>
        <v>66.344934714858525</v>
      </c>
      <c r="Z836" s="44">
        <f t="shared" ref="Z836:Z899" si="80">IFERROR((W836-X836)/Y836,0)</f>
        <v>-0.93136977121522257</v>
      </c>
      <c r="AA836" s="40" t="b">
        <f t="shared" si="78"/>
        <v>0</v>
      </c>
    </row>
    <row r="837" spans="1:27" x14ac:dyDescent="0.3">
      <c r="A837" s="32">
        <v>835</v>
      </c>
      <c r="B837" s="33">
        <v>40581</v>
      </c>
      <c r="C837" s="40" t="str">
        <f t="shared" ref="C837:C900" si="81">TEXT(B837,"dddd")</f>
        <v>Monday</v>
      </c>
      <c r="D837" s="28">
        <v>5</v>
      </c>
      <c r="E837" s="40" t="str" cm="1">
        <f t="array" ref="E837">_xlfn.IFS(D837&gt;=21,"Night",D837&gt;=17,"Evening",D837&gt;=12,"Midday",D837&gt;=6,"Morning", TRUE, "Night")</f>
        <v>Night</v>
      </c>
      <c r="F837" s="28">
        <v>1</v>
      </c>
      <c r="G837" s="28">
        <v>0</v>
      </c>
      <c r="H837" s="28">
        <v>2</v>
      </c>
      <c r="I837" s="28">
        <v>1</v>
      </c>
      <c r="J837" s="40" t="str">
        <f t="shared" ref="J837:J900" si="82">IF(OR(I837="Saturday", I837="Sunday"), "Weekend", "Weekday")</f>
        <v>Weekday</v>
      </c>
      <c r="K837" s="28" t="b">
        <v>0</v>
      </c>
      <c r="L837" s="28">
        <v>1</v>
      </c>
      <c r="M837" s="40" t="str" cm="1">
        <f t="array" ref="M837">_xlfn.IFS(L837=1,"Clear / Partly Cloudy",L837=2,"Mist / Cloudy",L837=3,"Light Snow / Rain",L837=4,"Heavy Precipitation")</f>
        <v>Clear / Partly Cloudy</v>
      </c>
      <c r="N837" s="28">
        <v>0.2</v>
      </c>
      <c r="O837" s="28" t="str">
        <f t="shared" ref="O837:O900" si="83">IF(N837&lt;0.2,"Cold",IF(N837&lt;0.6,"Mild","Hot"))</f>
        <v>Mild</v>
      </c>
      <c r="P837" s="28">
        <v>0.2576</v>
      </c>
      <c r="Q837" s="38">
        <f t="shared" si="79"/>
        <v>0.2576</v>
      </c>
      <c r="R837" s="28">
        <v>0.86</v>
      </c>
      <c r="S837" s="28">
        <v>0</v>
      </c>
      <c r="T837" s="40" t="str" cm="1">
        <f t="array" ref="T837">_xlfn.IFS(S837*18.6&lt;2,"Calm",S837*18.6&lt;6,"Light Breeze",S837*18.6&lt;14,"Gale",TRUE,"Extreme Storm")</f>
        <v>Calm</v>
      </c>
      <c r="U837" s="28">
        <v>1</v>
      </c>
      <c r="V837" s="28">
        <v>9</v>
      </c>
      <c r="W837" s="28">
        <v>10</v>
      </c>
      <c r="X837" s="44">
        <f>AVERAGE(INDEX($W:$W,MAX(ROW($W$3),ROW()-23)):INDEX($W:$W,ROW()))</f>
        <v>64.166666666666671</v>
      </c>
      <c r="Y837" s="44">
        <f>_xlfn.STDEV.S(INDEX($W:$W,MAX(ROW($W$3),ROW()-23)):INDEX($W:$W,ROW()))</f>
        <v>65.999121645450813</v>
      </c>
      <c r="Z837" s="44">
        <f t="shared" si="80"/>
        <v>-0.82071799315226601</v>
      </c>
      <c r="AA837" s="40" t="b">
        <f t="shared" si="78"/>
        <v>0</v>
      </c>
    </row>
    <row r="838" spans="1:27" x14ac:dyDescent="0.3">
      <c r="A838" s="32">
        <v>836</v>
      </c>
      <c r="B838" s="33">
        <v>40581</v>
      </c>
      <c r="C838" s="40" t="str">
        <f t="shared" si="81"/>
        <v>Monday</v>
      </c>
      <c r="D838" s="28">
        <v>6</v>
      </c>
      <c r="E838" s="40" t="str" cm="1">
        <f t="array" ref="E838">_xlfn.IFS(D838&gt;=21,"Night",D838&gt;=17,"Evening",D838&gt;=12,"Midday",D838&gt;=6,"Morning", TRUE, "Night")</f>
        <v>Morning</v>
      </c>
      <c r="F838" s="28">
        <v>1</v>
      </c>
      <c r="G838" s="28">
        <v>0</v>
      </c>
      <c r="H838" s="28">
        <v>2</v>
      </c>
      <c r="I838" s="28">
        <v>1</v>
      </c>
      <c r="J838" s="40" t="str">
        <f t="shared" si="82"/>
        <v>Weekday</v>
      </c>
      <c r="K838" s="28" t="b">
        <v>0</v>
      </c>
      <c r="L838" s="28">
        <v>1</v>
      </c>
      <c r="M838" s="40" t="str" cm="1">
        <f t="array" ref="M838">_xlfn.IFS(L838=1,"Clear / Partly Cloudy",L838=2,"Mist / Cloudy",L838=3,"Light Snow / Rain",L838=4,"Heavy Precipitation")</f>
        <v>Clear / Partly Cloudy</v>
      </c>
      <c r="N838" s="28">
        <v>0.18</v>
      </c>
      <c r="O838" s="28" t="str">
        <f t="shared" si="83"/>
        <v>Cold</v>
      </c>
      <c r="P838" s="28">
        <v>0.2424</v>
      </c>
      <c r="Q838" s="38">
        <f t="shared" si="79"/>
        <v>0.2424</v>
      </c>
      <c r="R838" s="28">
        <v>0.93</v>
      </c>
      <c r="S838" s="28">
        <v>0</v>
      </c>
      <c r="T838" s="40" t="str" cm="1">
        <f t="array" ref="T838">_xlfn.IFS(S838*18.6&lt;2,"Calm",S838*18.6&lt;6,"Light Breeze",S838*18.6&lt;14,"Gale",TRUE,"Extreme Storm")</f>
        <v>Calm</v>
      </c>
      <c r="U838" s="28">
        <v>1</v>
      </c>
      <c r="V838" s="28">
        <v>29</v>
      </c>
      <c r="W838" s="28">
        <v>30</v>
      </c>
      <c r="X838" s="44">
        <f>AVERAGE(INDEX($W:$W,MAX(ROW($W$3),ROW()-23)):INDEX($W:$W,ROW()))</f>
        <v>65.375</v>
      </c>
      <c r="Y838" s="44">
        <f>_xlfn.STDEV.S(INDEX($W:$W,MAX(ROW($W$3),ROW()-23)):INDEX($W:$W,ROW()))</f>
        <v>65.051025123092543</v>
      </c>
      <c r="Z838" s="44">
        <f t="shared" si="80"/>
        <v>-0.54380388215346021</v>
      </c>
      <c r="AA838" s="40" t="b">
        <f t="shared" si="78"/>
        <v>0</v>
      </c>
    </row>
    <row r="839" spans="1:27" x14ac:dyDescent="0.3">
      <c r="A839" s="32">
        <v>837</v>
      </c>
      <c r="B839" s="33">
        <v>40581</v>
      </c>
      <c r="C839" s="40" t="str">
        <f t="shared" si="81"/>
        <v>Monday</v>
      </c>
      <c r="D839" s="28">
        <v>7</v>
      </c>
      <c r="E839" s="40" t="str" cm="1">
        <f t="array" ref="E839">_xlfn.IFS(D839&gt;=21,"Night",D839&gt;=17,"Evening",D839&gt;=12,"Midday",D839&gt;=6,"Morning", TRUE, "Night")</f>
        <v>Morning</v>
      </c>
      <c r="F839" s="28">
        <v>1</v>
      </c>
      <c r="G839" s="28">
        <v>0</v>
      </c>
      <c r="H839" s="28">
        <v>2</v>
      </c>
      <c r="I839" s="28">
        <v>1</v>
      </c>
      <c r="J839" s="40" t="str">
        <f t="shared" si="82"/>
        <v>Weekday</v>
      </c>
      <c r="K839" s="28" t="b">
        <v>0</v>
      </c>
      <c r="L839" s="28">
        <v>1</v>
      </c>
      <c r="M839" s="40" t="str" cm="1">
        <f t="array" ref="M839">_xlfn.IFS(L839=1,"Clear / Partly Cloudy",L839=2,"Mist / Cloudy",L839=3,"Light Snow / Rain",L839=4,"Heavy Precipitation")</f>
        <v>Clear / Partly Cloudy</v>
      </c>
      <c r="N839" s="28">
        <v>0.18</v>
      </c>
      <c r="O839" s="28" t="str">
        <f t="shared" si="83"/>
        <v>Cold</v>
      </c>
      <c r="P839" s="28">
        <v>0.2424</v>
      </c>
      <c r="Q839" s="38">
        <f t="shared" si="79"/>
        <v>0.2424</v>
      </c>
      <c r="R839" s="28">
        <v>0.86</v>
      </c>
      <c r="S839" s="28">
        <v>0</v>
      </c>
      <c r="T839" s="40" t="str" cm="1">
        <f t="array" ref="T839">_xlfn.IFS(S839*18.6&lt;2,"Calm",S839*18.6&lt;6,"Light Breeze",S839*18.6&lt;14,"Gale",TRUE,"Extreme Storm")</f>
        <v>Calm</v>
      </c>
      <c r="U839" s="28">
        <v>6</v>
      </c>
      <c r="V839" s="28">
        <v>89</v>
      </c>
      <c r="W839" s="28">
        <v>95</v>
      </c>
      <c r="X839" s="44">
        <f>AVERAGE(INDEX($W:$W,MAX(ROW($W$3),ROW()-23)):INDEX($W:$W,ROW()))</f>
        <v>69</v>
      </c>
      <c r="Y839" s="44">
        <f>_xlfn.STDEV.S(INDEX($W:$W,MAX(ROW($W$3),ROW()-23)):INDEX($W:$W,ROW()))</f>
        <v>64.132336007190091</v>
      </c>
      <c r="Z839" s="44">
        <f t="shared" si="80"/>
        <v>0.40541170989132619</v>
      </c>
      <c r="AA839" s="40" t="b">
        <f t="shared" si="78"/>
        <v>0</v>
      </c>
    </row>
    <row r="840" spans="1:27" x14ac:dyDescent="0.3">
      <c r="A840" s="32">
        <v>838</v>
      </c>
      <c r="B840" s="33">
        <v>40581</v>
      </c>
      <c r="C840" s="40" t="str">
        <f t="shared" si="81"/>
        <v>Monday</v>
      </c>
      <c r="D840" s="28">
        <v>8</v>
      </c>
      <c r="E840" s="40" t="str" cm="1">
        <f t="array" ref="E840">_xlfn.IFS(D840&gt;=21,"Night",D840&gt;=17,"Evening",D840&gt;=12,"Midday",D840&gt;=6,"Morning", TRUE, "Night")</f>
        <v>Morning</v>
      </c>
      <c r="F840" s="28">
        <v>1</v>
      </c>
      <c r="G840" s="28">
        <v>0</v>
      </c>
      <c r="H840" s="28">
        <v>2</v>
      </c>
      <c r="I840" s="28">
        <v>1</v>
      </c>
      <c r="J840" s="40" t="str">
        <f t="shared" si="82"/>
        <v>Weekday</v>
      </c>
      <c r="K840" s="28" t="b">
        <v>0</v>
      </c>
      <c r="L840" s="28">
        <v>2</v>
      </c>
      <c r="M840" s="40" t="str" cm="1">
        <f t="array" ref="M840">_xlfn.IFS(L840=1,"Clear / Partly Cloudy",L840=2,"Mist / Cloudy",L840=3,"Light Snow / Rain",L840=4,"Heavy Precipitation")</f>
        <v>Mist / Cloudy</v>
      </c>
      <c r="N840" s="28">
        <v>0.16</v>
      </c>
      <c r="O840" s="28" t="str">
        <f t="shared" si="83"/>
        <v>Cold</v>
      </c>
      <c r="P840" s="28">
        <v>0.2273</v>
      </c>
      <c r="Q840" s="38">
        <f t="shared" si="79"/>
        <v>0.2273</v>
      </c>
      <c r="R840" s="28">
        <v>1</v>
      </c>
      <c r="S840" s="28">
        <v>0</v>
      </c>
      <c r="T840" s="40" t="str" cm="1">
        <f t="array" ref="T840">_xlfn.IFS(S840*18.6&lt;2,"Calm",S840*18.6&lt;6,"Light Breeze",S840*18.6&lt;14,"Gale",TRUE,"Extreme Storm")</f>
        <v>Calm</v>
      </c>
      <c r="U840" s="28">
        <v>7</v>
      </c>
      <c r="V840" s="28">
        <v>223</v>
      </c>
      <c r="W840" s="28">
        <v>230</v>
      </c>
      <c r="X840" s="44">
        <f>AVERAGE(INDEX($W:$W,MAX(ROW($W$3),ROW()-23)):INDEX($W:$W,ROW()))</f>
        <v>77.625</v>
      </c>
      <c r="Y840" s="44">
        <f>_xlfn.STDEV.S(INDEX($W:$W,MAX(ROW($W$3),ROW()-23)):INDEX($W:$W,ROW()))</f>
        <v>71.20626041114032</v>
      </c>
      <c r="Z840" s="44">
        <f t="shared" si="80"/>
        <v>2.1399101584635489</v>
      </c>
      <c r="AA840" s="40" t="b">
        <f t="shared" si="78"/>
        <v>0</v>
      </c>
    </row>
    <row r="841" spans="1:27" x14ac:dyDescent="0.3">
      <c r="A841" s="32">
        <v>839</v>
      </c>
      <c r="B841" s="33">
        <v>40581</v>
      </c>
      <c r="C841" s="40" t="str">
        <f t="shared" si="81"/>
        <v>Monday</v>
      </c>
      <c r="D841" s="28">
        <v>9</v>
      </c>
      <c r="E841" s="40" t="str" cm="1">
        <f t="array" ref="E841">_xlfn.IFS(D841&gt;=21,"Night",D841&gt;=17,"Evening",D841&gt;=12,"Midday",D841&gt;=6,"Morning", TRUE, "Night")</f>
        <v>Morning</v>
      </c>
      <c r="F841" s="28">
        <v>1</v>
      </c>
      <c r="G841" s="28">
        <v>0</v>
      </c>
      <c r="H841" s="28">
        <v>2</v>
      </c>
      <c r="I841" s="28">
        <v>1</v>
      </c>
      <c r="J841" s="40" t="str">
        <f t="shared" si="82"/>
        <v>Weekday</v>
      </c>
      <c r="K841" s="28" t="b">
        <v>0</v>
      </c>
      <c r="L841" s="28">
        <v>1</v>
      </c>
      <c r="M841" s="40" t="str" cm="1">
        <f t="array" ref="M841">_xlfn.IFS(L841=1,"Clear / Partly Cloudy",L841=2,"Mist / Cloudy",L841=3,"Light Snow / Rain",L841=4,"Heavy Precipitation")</f>
        <v>Clear / Partly Cloudy</v>
      </c>
      <c r="N841" s="28">
        <v>0.22</v>
      </c>
      <c r="O841" s="28" t="str">
        <f t="shared" si="83"/>
        <v>Mild</v>
      </c>
      <c r="P841" s="28">
        <v>0.2727</v>
      </c>
      <c r="Q841" s="38">
        <f t="shared" si="79"/>
        <v>0.2727</v>
      </c>
      <c r="R841" s="28">
        <v>0.8</v>
      </c>
      <c r="S841" s="28">
        <v>0</v>
      </c>
      <c r="T841" s="40" t="str" cm="1">
        <f t="array" ref="T841">_xlfn.IFS(S841*18.6&lt;2,"Calm",S841*18.6&lt;6,"Light Breeze",S841*18.6&lt;14,"Gale",TRUE,"Extreme Storm")</f>
        <v>Calm</v>
      </c>
      <c r="U841" s="28">
        <v>3</v>
      </c>
      <c r="V841" s="28">
        <v>115</v>
      </c>
      <c r="W841" s="28">
        <v>118</v>
      </c>
      <c r="X841" s="44">
        <f>AVERAGE(INDEX($W:$W,MAX(ROW($W$3),ROW()-23)):INDEX($W:$W,ROW()))</f>
        <v>80.666666666666671</v>
      </c>
      <c r="Y841" s="44">
        <f>_xlfn.STDEV.S(INDEX($W:$W,MAX(ROW($W$3),ROW()-23)):INDEX($W:$W,ROW()))</f>
        <v>71.311116681193823</v>
      </c>
      <c r="Z841" s="44">
        <f t="shared" si="80"/>
        <v>0.52352753779241945</v>
      </c>
      <c r="AA841" s="40" t="b">
        <f t="shared" si="78"/>
        <v>0</v>
      </c>
    </row>
    <row r="842" spans="1:27" x14ac:dyDescent="0.3">
      <c r="A842" s="32">
        <v>840</v>
      </c>
      <c r="B842" s="33">
        <v>40581</v>
      </c>
      <c r="C842" s="40" t="str">
        <f t="shared" si="81"/>
        <v>Monday</v>
      </c>
      <c r="D842" s="28">
        <v>10</v>
      </c>
      <c r="E842" s="40" t="str" cm="1">
        <f t="array" ref="E842">_xlfn.IFS(D842&gt;=21,"Night",D842&gt;=17,"Evening",D842&gt;=12,"Midday",D842&gt;=6,"Morning", TRUE, "Night")</f>
        <v>Morning</v>
      </c>
      <c r="F842" s="28">
        <v>1</v>
      </c>
      <c r="G842" s="28">
        <v>0</v>
      </c>
      <c r="H842" s="28">
        <v>2</v>
      </c>
      <c r="I842" s="28">
        <v>1</v>
      </c>
      <c r="J842" s="40" t="str">
        <f t="shared" si="82"/>
        <v>Weekday</v>
      </c>
      <c r="K842" s="28" t="b">
        <v>0</v>
      </c>
      <c r="L842" s="28">
        <v>1</v>
      </c>
      <c r="M842" s="40" t="str" cm="1">
        <f t="array" ref="M842">_xlfn.IFS(L842=1,"Clear / Partly Cloudy",L842=2,"Mist / Cloudy",L842=3,"Light Snow / Rain",L842=4,"Heavy Precipitation")</f>
        <v>Clear / Partly Cloudy</v>
      </c>
      <c r="N842" s="28">
        <v>0.24</v>
      </c>
      <c r="O842" s="28" t="str">
        <f t="shared" si="83"/>
        <v>Mild</v>
      </c>
      <c r="P842" s="28">
        <v>0.2576</v>
      </c>
      <c r="Q842" s="38">
        <f t="shared" si="79"/>
        <v>0.2576</v>
      </c>
      <c r="R842" s="28">
        <v>0.75</v>
      </c>
      <c r="S842" s="28">
        <v>0.1045</v>
      </c>
      <c r="T842" s="40" t="str" cm="1">
        <f t="array" ref="T842">_xlfn.IFS(S842*18.6&lt;2,"Calm",S842*18.6&lt;6,"Light Breeze",S842*18.6&lt;14,"Gale",TRUE,"Extreme Storm")</f>
        <v>Calm</v>
      </c>
      <c r="U842" s="28">
        <v>6</v>
      </c>
      <c r="V842" s="28">
        <v>49</v>
      </c>
      <c r="W842" s="28">
        <v>55</v>
      </c>
      <c r="X842" s="44">
        <f>AVERAGE(INDEX($W:$W,MAX(ROW($W$3),ROW()-23)):INDEX($W:$W,ROW()))</f>
        <v>79.25</v>
      </c>
      <c r="Y842" s="44">
        <f>_xlfn.STDEV.S(INDEX($W:$W,MAX(ROW($W$3),ROW()-23)):INDEX($W:$W,ROW()))</f>
        <v>71.475900468801981</v>
      </c>
      <c r="Z842" s="44">
        <f t="shared" si="80"/>
        <v>-0.33927519402969558</v>
      </c>
      <c r="AA842" s="40" t="b">
        <f t="shared" si="78"/>
        <v>0</v>
      </c>
    </row>
    <row r="843" spans="1:27" x14ac:dyDescent="0.3">
      <c r="A843" s="32">
        <v>841</v>
      </c>
      <c r="B843" s="33">
        <v>40581</v>
      </c>
      <c r="C843" s="40" t="str">
        <f t="shared" si="81"/>
        <v>Monday</v>
      </c>
      <c r="D843" s="28">
        <v>11</v>
      </c>
      <c r="E843" s="40" t="str" cm="1">
        <f t="array" ref="E843">_xlfn.IFS(D843&gt;=21,"Night",D843&gt;=17,"Evening",D843&gt;=12,"Midday",D843&gt;=6,"Morning", TRUE, "Night")</f>
        <v>Morning</v>
      </c>
      <c r="F843" s="28">
        <v>1</v>
      </c>
      <c r="G843" s="28">
        <v>0</v>
      </c>
      <c r="H843" s="28">
        <v>2</v>
      </c>
      <c r="I843" s="28">
        <v>1</v>
      </c>
      <c r="J843" s="40" t="str">
        <f t="shared" si="82"/>
        <v>Weekday</v>
      </c>
      <c r="K843" s="28" t="b">
        <v>0</v>
      </c>
      <c r="L843" s="28">
        <v>1</v>
      </c>
      <c r="M843" s="40" t="str" cm="1">
        <f t="array" ref="M843">_xlfn.IFS(L843=1,"Clear / Partly Cloudy",L843=2,"Mist / Cloudy",L843=3,"Light Snow / Rain",L843=4,"Heavy Precipitation")</f>
        <v>Clear / Partly Cloudy</v>
      </c>
      <c r="N843" s="28">
        <v>0.3</v>
      </c>
      <c r="O843" s="28" t="str">
        <f t="shared" si="83"/>
        <v>Mild</v>
      </c>
      <c r="P843" s="28">
        <v>0.31819999999999998</v>
      </c>
      <c r="Q843" s="38">
        <f t="shared" si="79"/>
        <v>0.31819999999999998</v>
      </c>
      <c r="R843" s="28">
        <v>0.65</v>
      </c>
      <c r="S843" s="28">
        <v>8.9599999999999999E-2</v>
      </c>
      <c r="T843" s="40" t="str" cm="1">
        <f t="array" ref="T843">_xlfn.IFS(S843*18.6&lt;2,"Calm",S843*18.6&lt;6,"Light Breeze",S843*18.6&lt;14,"Gale",TRUE,"Extreme Storm")</f>
        <v>Calm</v>
      </c>
      <c r="U843" s="28">
        <v>11</v>
      </c>
      <c r="V843" s="28">
        <v>36</v>
      </c>
      <c r="W843" s="28">
        <v>47</v>
      </c>
      <c r="X843" s="44">
        <f>AVERAGE(INDEX($W:$W,MAX(ROW($W$3),ROW()-23)):INDEX($W:$W,ROW()))</f>
        <v>76.333333333333329</v>
      </c>
      <c r="Y843" s="44">
        <f>_xlfn.STDEV.S(INDEX($W:$W,MAX(ROW($W$3),ROW()-23)):INDEX($W:$W,ROW()))</f>
        <v>71.296482422326434</v>
      </c>
      <c r="Z843" s="44">
        <f t="shared" si="80"/>
        <v>-0.41142749735641404</v>
      </c>
      <c r="AA843" s="40" t="b">
        <f t="shared" si="78"/>
        <v>0</v>
      </c>
    </row>
    <row r="844" spans="1:27" x14ac:dyDescent="0.3">
      <c r="A844" s="32">
        <v>842</v>
      </c>
      <c r="B844" s="33">
        <v>40581</v>
      </c>
      <c r="C844" s="40" t="str">
        <f t="shared" si="81"/>
        <v>Monday</v>
      </c>
      <c r="D844" s="28">
        <v>12</v>
      </c>
      <c r="E844" s="40" t="str" cm="1">
        <f t="array" ref="E844">_xlfn.IFS(D844&gt;=21,"Night",D844&gt;=17,"Evening",D844&gt;=12,"Midday",D844&gt;=6,"Morning", TRUE, "Night")</f>
        <v>Midday</v>
      </c>
      <c r="F844" s="28">
        <v>1</v>
      </c>
      <c r="G844" s="28">
        <v>0</v>
      </c>
      <c r="H844" s="28">
        <v>2</v>
      </c>
      <c r="I844" s="28">
        <v>1</v>
      </c>
      <c r="J844" s="40" t="str">
        <f t="shared" si="82"/>
        <v>Weekday</v>
      </c>
      <c r="K844" s="28" t="b">
        <v>0</v>
      </c>
      <c r="L844" s="28">
        <v>2</v>
      </c>
      <c r="M844" s="40" t="str" cm="1">
        <f t="array" ref="M844">_xlfn.IFS(L844=1,"Clear / Partly Cloudy",L844=2,"Mist / Cloudy",L844=3,"Light Snow / Rain",L844=4,"Heavy Precipitation")</f>
        <v>Mist / Cloudy</v>
      </c>
      <c r="N844" s="28">
        <v>0.32</v>
      </c>
      <c r="O844" s="28" t="str">
        <f t="shared" si="83"/>
        <v>Mild</v>
      </c>
      <c r="P844" s="28">
        <v>0.34849999999999998</v>
      </c>
      <c r="Q844" s="38">
        <f t="shared" si="79"/>
        <v>0.34849999999999998</v>
      </c>
      <c r="R844" s="28">
        <v>0.62</v>
      </c>
      <c r="S844" s="28">
        <v>0</v>
      </c>
      <c r="T844" s="40" t="str" cm="1">
        <f t="array" ref="T844">_xlfn.IFS(S844*18.6&lt;2,"Calm",S844*18.6&lt;6,"Light Breeze",S844*18.6&lt;14,"Gale",TRUE,"Extreme Storm")</f>
        <v>Calm</v>
      </c>
      <c r="U844" s="28">
        <v>7</v>
      </c>
      <c r="V844" s="28">
        <v>59</v>
      </c>
      <c r="W844" s="28">
        <v>66</v>
      </c>
      <c r="X844" s="44">
        <f>AVERAGE(INDEX($W:$W,MAX(ROW($W$3),ROW()-23)):INDEX($W:$W,ROW()))</f>
        <v>71.833333333333329</v>
      </c>
      <c r="Y844" s="44">
        <f>_xlfn.STDEV.S(INDEX($W:$W,MAX(ROW($W$3),ROW()-23)):INDEX($W:$W,ROW()))</f>
        <v>68.205359133229067</v>
      </c>
      <c r="Z844" s="44">
        <f t="shared" si="80"/>
        <v>-8.5526026216485071E-2</v>
      </c>
      <c r="AA844" s="40" t="b">
        <f t="shared" si="78"/>
        <v>0</v>
      </c>
    </row>
    <row r="845" spans="1:27" x14ac:dyDescent="0.3">
      <c r="A845" s="32">
        <v>843</v>
      </c>
      <c r="B845" s="33">
        <v>40581</v>
      </c>
      <c r="C845" s="40" t="str">
        <f t="shared" si="81"/>
        <v>Monday</v>
      </c>
      <c r="D845" s="28">
        <v>13</v>
      </c>
      <c r="E845" s="40" t="str" cm="1">
        <f t="array" ref="E845">_xlfn.IFS(D845&gt;=21,"Night",D845&gt;=17,"Evening",D845&gt;=12,"Midday",D845&gt;=6,"Morning", TRUE, "Night")</f>
        <v>Midday</v>
      </c>
      <c r="F845" s="28">
        <v>1</v>
      </c>
      <c r="G845" s="28">
        <v>0</v>
      </c>
      <c r="H845" s="28">
        <v>2</v>
      </c>
      <c r="I845" s="28">
        <v>1</v>
      </c>
      <c r="J845" s="40" t="str">
        <f t="shared" si="82"/>
        <v>Weekday</v>
      </c>
      <c r="K845" s="28" t="b">
        <v>0</v>
      </c>
      <c r="L845" s="28">
        <v>2</v>
      </c>
      <c r="M845" s="40" t="str" cm="1">
        <f t="array" ref="M845">_xlfn.IFS(L845=1,"Clear / Partly Cloudy",L845=2,"Mist / Cloudy",L845=3,"Light Snow / Rain",L845=4,"Heavy Precipitation")</f>
        <v>Mist / Cloudy</v>
      </c>
      <c r="N845" s="28">
        <v>0.36</v>
      </c>
      <c r="O845" s="28" t="str">
        <f t="shared" si="83"/>
        <v>Mild</v>
      </c>
      <c r="P845" s="28">
        <v>0.36359999999999998</v>
      </c>
      <c r="Q845" s="38">
        <f t="shared" si="79"/>
        <v>0.36359999999999998</v>
      </c>
      <c r="R845" s="28">
        <v>0.56999999999999995</v>
      </c>
      <c r="S845" s="28">
        <v>8.9599999999999999E-2</v>
      </c>
      <c r="T845" s="40" t="str" cm="1">
        <f t="array" ref="T845">_xlfn.IFS(S845*18.6&lt;2,"Calm",S845*18.6&lt;6,"Light Breeze",S845*18.6&lt;14,"Gale",TRUE,"Extreme Storm")</f>
        <v>Calm</v>
      </c>
      <c r="U845" s="28">
        <v>10</v>
      </c>
      <c r="V845" s="28">
        <v>54</v>
      </c>
      <c r="W845" s="28">
        <v>64</v>
      </c>
      <c r="X845" s="44">
        <f>AVERAGE(INDEX($W:$W,MAX(ROW($W$3),ROW()-23)):INDEX($W:$W,ROW()))</f>
        <v>66.916666666666671</v>
      </c>
      <c r="Y845" s="44">
        <f>_xlfn.STDEV.S(INDEX($W:$W,MAX(ROW($W$3),ROW()-23)):INDEX($W:$W,ROW()))</f>
        <v>64.044764688910917</v>
      </c>
      <c r="Z845" s="44">
        <f t="shared" si="80"/>
        <v>-4.5541063049165671E-2</v>
      </c>
      <c r="AA845" s="40" t="b">
        <f t="shared" si="78"/>
        <v>0</v>
      </c>
    </row>
    <row r="846" spans="1:27" x14ac:dyDescent="0.3">
      <c r="A846" s="32">
        <v>844</v>
      </c>
      <c r="B846" s="33">
        <v>40581</v>
      </c>
      <c r="C846" s="40" t="str">
        <f t="shared" si="81"/>
        <v>Monday</v>
      </c>
      <c r="D846" s="28">
        <v>14</v>
      </c>
      <c r="E846" s="40" t="str" cm="1">
        <f t="array" ref="E846">_xlfn.IFS(D846&gt;=21,"Night",D846&gt;=17,"Evening",D846&gt;=12,"Midday",D846&gt;=6,"Morning", TRUE, "Night")</f>
        <v>Midday</v>
      </c>
      <c r="F846" s="28">
        <v>1</v>
      </c>
      <c r="G846" s="28">
        <v>0</v>
      </c>
      <c r="H846" s="28">
        <v>2</v>
      </c>
      <c r="I846" s="28">
        <v>1</v>
      </c>
      <c r="J846" s="40" t="str">
        <f t="shared" si="82"/>
        <v>Weekday</v>
      </c>
      <c r="K846" s="28" t="b">
        <v>0</v>
      </c>
      <c r="L846" s="28">
        <v>2</v>
      </c>
      <c r="M846" s="40" t="str" cm="1">
        <f t="array" ref="M846">_xlfn.IFS(L846=1,"Clear / Partly Cloudy",L846=2,"Mist / Cloudy",L846=3,"Light Snow / Rain",L846=4,"Heavy Precipitation")</f>
        <v>Mist / Cloudy</v>
      </c>
      <c r="N846" s="28">
        <v>0.36</v>
      </c>
      <c r="O846" s="28" t="str">
        <f t="shared" si="83"/>
        <v>Mild</v>
      </c>
      <c r="P846" s="28">
        <v>0.36359999999999998</v>
      </c>
      <c r="Q846" s="38">
        <f t="shared" si="79"/>
        <v>0.36359999999999998</v>
      </c>
      <c r="R846" s="28">
        <v>0.56999999999999995</v>
      </c>
      <c r="S846" s="28">
        <v>8.9599999999999999E-2</v>
      </c>
      <c r="T846" s="40" t="str" cm="1">
        <f t="array" ref="T846">_xlfn.IFS(S846*18.6&lt;2,"Calm",S846*18.6&lt;6,"Light Breeze",S846*18.6&lt;14,"Gale",TRUE,"Extreme Storm")</f>
        <v>Calm</v>
      </c>
      <c r="U846" s="28">
        <v>8</v>
      </c>
      <c r="V846" s="28">
        <v>52</v>
      </c>
      <c r="W846" s="28">
        <v>60</v>
      </c>
      <c r="X846" s="44">
        <f>AVERAGE(INDEX($W:$W,MAX(ROW($W$3),ROW()-23)):INDEX($W:$W,ROW()))</f>
        <v>62.708333333333336</v>
      </c>
      <c r="Y846" s="44">
        <f>_xlfn.STDEV.S(INDEX($W:$W,MAX(ROW($W$3),ROW()-23)):INDEX($W:$W,ROW()))</f>
        <v>60.831541565830484</v>
      </c>
      <c r="Z846" s="44">
        <f t="shared" si="80"/>
        <v>-4.4521859279243153E-2</v>
      </c>
      <c r="AA846" s="40" t="b">
        <f t="shared" si="78"/>
        <v>0</v>
      </c>
    </row>
    <row r="847" spans="1:27" x14ac:dyDescent="0.3">
      <c r="A847" s="32">
        <v>845</v>
      </c>
      <c r="B847" s="33">
        <v>40581</v>
      </c>
      <c r="C847" s="40" t="str">
        <f t="shared" si="81"/>
        <v>Monday</v>
      </c>
      <c r="D847" s="28">
        <v>15</v>
      </c>
      <c r="E847" s="40" t="str" cm="1">
        <f t="array" ref="E847">_xlfn.IFS(D847&gt;=21,"Night",D847&gt;=17,"Evening",D847&gt;=12,"Midday",D847&gt;=6,"Morning", TRUE, "Night")</f>
        <v>Midday</v>
      </c>
      <c r="F847" s="28">
        <v>1</v>
      </c>
      <c r="G847" s="28">
        <v>0</v>
      </c>
      <c r="H847" s="28">
        <v>2</v>
      </c>
      <c r="I847" s="28">
        <v>1</v>
      </c>
      <c r="J847" s="40" t="str">
        <f t="shared" si="82"/>
        <v>Weekday</v>
      </c>
      <c r="K847" s="28" t="b">
        <v>0</v>
      </c>
      <c r="L847" s="28">
        <v>2</v>
      </c>
      <c r="M847" s="40" t="str" cm="1">
        <f t="array" ref="M847">_xlfn.IFS(L847=1,"Clear / Partly Cloudy",L847=2,"Mist / Cloudy",L847=3,"Light Snow / Rain",L847=4,"Heavy Precipitation")</f>
        <v>Mist / Cloudy</v>
      </c>
      <c r="N847" s="28">
        <v>0.38</v>
      </c>
      <c r="O847" s="28" t="str">
        <f t="shared" si="83"/>
        <v>Mild</v>
      </c>
      <c r="P847" s="28">
        <v>0.39389999999999997</v>
      </c>
      <c r="Q847" s="38">
        <f t="shared" si="79"/>
        <v>0.39389999999999997</v>
      </c>
      <c r="R847" s="28">
        <v>0.54</v>
      </c>
      <c r="S847" s="28">
        <v>8.9599999999999999E-2</v>
      </c>
      <c r="T847" s="40" t="str" cm="1">
        <f t="array" ref="T847">_xlfn.IFS(S847*18.6&lt;2,"Calm",S847*18.6&lt;6,"Light Breeze",S847*18.6&lt;14,"Gale",TRUE,"Extreme Storm")</f>
        <v>Calm</v>
      </c>
      <c r="U847" s="28">
        <v>4</v>
      </c>
      <c r="V847" s="28">
        <v>46</v>
      </c>
      <c r="W847" s="28">
        <v>50</v>
      </c>
      <c r="X847" s="44">
        <f>AVERAGE(INDEX($W:$W,MAX(ROW($W$3),ROW()-23)):INDEX($W:$W,ROW()))</f>
        <v>57.208333333333336</v>
      </c>
      <c r="Y847" s="44">
        <f>_xlfn.STDEV.S(INDEX($W:$W,MAX(ROW($W$3),ROW()-23)):INDEX($W:$W,ROW()))</f>
        <v>55.292093283851578</v>
      </c>
      <c r="Z847" s="44">
        <f t="shared" si="80"/>
        <v>-0.13036824806628505</v>
      </c>
      <c r="AA847" s="40" t="b">
        <f t="shared" si="78"/>
        <v>0</v>
      </c>
    </row>
    <row r="848" spans="1:27" x14ac:dyDescent="0.3">
      <c r="A848" s="32">
        <v>846</v>
      </c>
      <c r="B848" s="33">
        <v>40581</v>
      </c>
      <c r="C848" s="40" t="str">
        <f t="shared" si="81"/>
        <v>Monday</v>
      </c>
      <c r="D848" s="28">
        <v>16</v>
      </c>
      <c r="E848" s="40" t="str" cm="1">
        <f t="array" ref="E848">_xlfn.IFS(D848&gt;=21,"Night",D848&gt;=17,"Evening",D848&gt;=12,"Midday",D848&gt;=6,"Morning", TRUE, "Night")</f>
        <v>Midday</v>
      </c>
      <c r="F848" s="28">
        <v>1</v>
      </c>
      <c r="G848" s="28">
        <v>0</v>
      </c>
      <c r="H848" s="28">
        <v>2</v>
      </c>
      <c r="I848" s="28">
        <v>1</v>
      </c>
      <c r="J848" s="40" t="str">
        <f t="shared" si="82"/>
        <v>Weekday</v>
      </c>
      <c r="K848" s="28" t="b">
        <v>0</v>
      </c>
      <c r="L848" s="28">
        <v>2</v>
      </c>
      <c r="M848" s="40" t="str" cm="1">
        <f t="array" ref="M848">_xlfn.IFS(L848=1,"Clear / Partly Cloudy",L848=2,"Mist / Cloudy",L848=3,"Light Snow / Rain",L848=4,"Heavy Precipitation")</f>
        <v>Mist / Cloudy</v>
      </c>
      <c r="N848" s="28">
        <v>0.36</v>
      </c>
      <c r="O848" s="28" t="str">
        <f t="shared" si="83"/>
        <v>Mild</v>
      </c>
      <c r="P848" s="28">
        <v>0.34849999999999998</v>
      </c>
      <c r="Q848" s="38">
        <f t="shared" si="79"/>
        <v>0.34849999999999998</v>
      </c>
      <c r="R848" s="28">
        <v>0.56999999999999995</v>
      </c>
      <c r="S848" s="28">
        <v>0.1343</v>
      </c>
      <c r="T848" s="40" t="str" cm="1">
        <f t="array" ref="T848">_xlfn.IFS(S848*18.6&lt;2,"Calm",S848*18.6&lt;6,"Light Breeze",S848*18.6&lt;14,"Gale",TRUE,"Extreme Storm")</f>
        <v>Light Breeze</v>
      </c>
      <c r="U848" s="28">
        <v>16</v>
      </c>
      <c r="V848" s="28">
        <v>98</v>
      </c>
      <c r="W848" s="28">
        <v>114</v>
      </c>
      <c r="X848" s="44">
        <f>AVERAGE(INDEX($W:$W,MAX(ROW($W$3),ROW()-23)):INDEX($W:$W,ROW()))</f>
        <v>55.416666666666664</v>
      </c>
      <c r="Y848" s="44">
        <f>_xlfn.STDEV.S(INDEX($W:$W,MAX(ROW($W$3),ROW()-23)):INDEX($W:$W,ROW()))</f>
        <v>52.546390821880401</v>
      </c>
      <c r="Z848" s="44">
        <f t="shared" si="80"/>
        <v>1.1148878622685374</v>
      </c>
      <c r="AA848" s="40" t="b">
        <f t="shared" si="78"/>
        <v>0</v>
      </c>
    </row>
    <row r="849" spans="1:27" x14ac:dyDescent="0.3">
      <c r="A849" s="32">
        <v>847</v>
      </c>
      <c r="B849" s="33">
        <v>40581</v>
      </c>
      <c r="C849" s="40" t="str">
        <f t="shared" si="81"/>
        <v>Monday</v>
      </c>
      <c r="D849" s="28">
        <v>17</v>
      </c>
      <c r="E849" s="40" t="str" cm="1">
        <f t="array" ref="E849">_xlfn.IFS(D849&gt;=21,"Night",D849&gt;=17,"Evening",D849&gt;=12,"Midday",D849&gt;=6,"Morning", TRUE, "Night")</f>
        <v>Evening</v>
      </c>
      <c r="F849" s="28">
        <v>1</v>
      </c>
      <c r="G849" s="28">
        <v>0</v>
      </c>
      <c r="H849" s="28">
        <v>2</v>
      </c>
      <c r="I849" s="28">
        <v>1</v>
      </c>
      <c r="J849" s="40" t="str">
        <f t="shared" si="82"/>
        <v>Weekday</v>
      </c>
      <c r="K849" s="28" t="b">
        <v>0</v>
      </c>
      <c r="L849" s="28">
        <v>2</v>
      </c>
      <c r="M849" s="40" t="str" cm="1">
        <f t="array" ref="M849">_xlfn.IFS(L849=1,"Clear / Partly Cloudy",L849=2,"Mist / Cloudy",L849=3,"Light Snow / Rain",L849=4,"Heavy Precipitation")</f>
        <v>Mist / Cloudy</v>
      </c>
      <c r="N849" s="28">
        <v>0.32</v>
      </c>
      <c r="O849" s="28" t="str">
        <f t="shared" si="83"/>
        <v>Mild</v>
      </c>
      <c r="P849" s="28">
        <v>0.31819999999999998</v>
      </c>
      <c r="Q849" s="38">
        <f t="shared" si="79"/>
        <v>0.31819999999999998</v>
      </c>
      <c r="R849" s="28">
        <v>0.7</v>
      </c>
      <c r="S849" s="28">
        <v>0.16420000000000001</v>
      </c>
      <c r="T849" s="40" t="str" cm="1">
        <f t="array" ref="T849">_xlfn.IFS(S849*18.6&lt;2,"Calm",S849*18.6&lt;6,"Light Breeze",S849*18.6&lt;14,"Gale",TRUE,"Extreme Storm")</f>
        <v>Light Breeze</v>
      </c>
      <c r="U849" s="28">
        <v>9</v>
      </c>
      <c r="V849" s="28">
        <v>207</v>
      </c>
      <c r="W849" s="28">
        <v>216</v>
      </c>
      <c r="X849" s="44">
        <f>AVERAGE(INDEX($W:$W,MAX(ROW($W$3),ROW()-23)):INDEX($W:$W,ROW()))</f>
        <v>59.375</v>
      </c>
      <c r="Y849" s="44">
        <f>_xlfn.STDEV.S(INDEX($W:$W,MAX(ROW($W$3),ROW()-23)):INDEX($W:$W,ROW()))</f>
        <v>60.654267923958201</v>
      </c>
      <c r="Z849" s="44">
        <f t="shared" si="80"/>
        <v>2.5822585180050246</v>
      </c>
      <c r="AA849" s="40" t="b">
        <f t="shared" si="78"/>
        <v>0</v>
      </c>
    </row>
    <row r="850" spans="1:27" x14ac:dyDescent="0.3">
      <c r="A850" s="32">
        <v>848</v>
      </c>
      <c r="B850" s="33">
        <v>40581</v>
      </c>
      <c r="C850" s="40" t="str">
        <f t="shared" si="81"/>
        <v>Monday</v>
      </c>
      <c r="D850" s="28">
        <v>18</v>
      </c>
      <c r="E850" s="40" t="str" cm="1">
        <f t="array" ref="E850">_xlfn.IFS(D850&gt;=21,"Night",D850&gt;=17,"Evening",D850&gt;=12,"Midday",D850&gt;=6,"Morning", TRUE, "Night")</f>
        <v>Evening</v>
      </c>
      <c r="F850" s="28">
        <v>1</v>
      </c>
      <c r="G850" s="28">
        <v>0</v>
      </c>
      <c r="H850" s="28">
        <v>2</v>
      </c>
      <c r="I850" s="28">
        <v>1</v>
      </c>
      <c r="J850" s="40" t="str">
        <f t="shared" si="82"/>
        <v>Weekday</v>
      </c>
      <c r="K850" s="28" t="b">
        <v>0</v>
      </c>
      <c r="L850" s="28">
        <v>2</v>
      </c>
      <c r="M850" s="40" t="str" cm="1">
        <f t="array" ref="M850">_xlfn.IFS(L850=1,"Clear / Partly Cloudy",L850=2,"Mist / Cloudy",L850=3,"Light Snow / Rain",L850=4,"Heavy Precipitation")</f>
        <v>Mist / Cloudy</v>
      </c>
      <c r="N850" s="28">
        <v>0.34</v>
      </c>
      <c r="O850" s="28" t="str">
        <f t="shared" si="83"/>
        <v>Mild</v>
      </c>
      <c r="P850" s="28">
        <v>0.33329999999999999</v>
      </c>
      <c r="Q850" s="38">
        <f t="shared" si="79"/>
        <v>0.33329999999999999</v>
      </c>
      <c r="R850" s="28">
        <v>0.66</v>
      </c>
      <c r="S850" s="28">
        <v>0.1343</v>
      </c>
      <c r="T850" s="40" t="str" cm="1">
        <f t="array" ref="T850">_xlfn.IFS(S850*18.6&lt;2,"Calm",S850*18.6&lt;6,"Light Breeze",S850*18.6&lt;14,"Gale",TRUE,"Extreme Storm")</f>
        <v>Light Breeze</v>
      </c>
      <c r="U850" s="28">
        <v>5</v>
      </c>
      <c r="V850" s="28">
        <v>170</v>
      </c>
      <c r="W850" s="28">
        <v>175</v>
      </c>
      <c r="X850" s="44">
        <f>AVERAGE(INDEX($W:$W,MAX(ROW($W$3),ROW()-23)):INDEX($W:$W,ROW()))</f>
        <v>63.416666666666664</v>
      </c>
      <c r="Y850" s="44">
        <f>_xlfn.STDEV.S(INDEX($W:$W,MAX(ROW($W$3),ROW()-23)):INDEX($W:$W,ROW()))</f>
        <v>65.023685762535237</v>
      </c>
      <c r="Z850" s="44">
        <f t="shared" si="80"/>
        <v>1.71604134746887</v>
      </c>
      <c r="AA850" s="40" t="b">
        <f t="shared" si="78"/>
        <v>0</v>
      </c>
    </row>
    <row r="851" spans="1:27" x14ac:dyDescent="0.3">
      <c r="A851" s="32">
        <v>849</v>
      </c>
      <c r="B851" s="33">
        <v>40581</v>
      </c>
      <c r="C851" s="40" t="str">
        <f t="shared" si="81"/>
        <v>Monday</v>
      </c>
      <c r="D851" s="28">
        <v>19</v>
      </c>
      <c r="E851" s="40" t="str" cm="1">
        <f t="array" ref="E851">_xlfn.IFS(D851&gt;=21,"Night",D851&gt;=17,"Evening",D851&gt;=12,"Midday",D851&gt;=6,"Morning", TRUE, "Night")</f>
        <v>Evening</v>
      </c>
      <c r="F851" s="28">
        <v>1</v>
      </c>
      <c r="G851" s="28">
        <v>0</v>
      </c>
      <c r="H851" s="28">
        <v>2</v>
      </c>
      <c r="I851" s="28">
        <v>1</v>
      </c>
      <c r="J851" s="40" t="str">
        <f t="shared" si="82"/>
        <v>Weekday</v>
      </c>
      <c r="K851" s="28" t="b">
        <v>0</v>
      </c>
      <c r="L851" s="28">
        <v>2</v>
      </c>
      <c r="M851" s="40" t="str" cm="1">
        <f t="array" ref="M851">_xlfn.IFS(L851=1,"Clear / Partly Cloudy",L851=2,"Mist / Cloudy",L851=3,"Light Snow / Rain",L851=4,"Heavy Precipitation")</f>
        <v>Mist / Cloudy</v>
      </c>
      <c r="N851" s="28">
        <v>0.32</v>
      </c>
      <c r="O851" s="28" t="str">
        <f t="shared" si="83"/>
        <v>Mild</v>
      </c>
      <c r="P851" s="28">
        <v>0.34849999999999998</v>
      </c>
      <c r="Q851" s="38">
        <f t="shared" si="79"/>
        <v>0.34849999999999998</v>
      </c>
      <c r="R851" s="28">
        <v>0.7</v>
      </c>
      <c r="S851" s="28">
        <v>0</v>
      </c>
      <c r="T851" s="40" t="str" cm="1">
        <f t="array" ref="T851">_xlfn.IFS(S851*18.6&lt;2,"Calm",S851*18.6&lt;6,"Light Breeze",S851*18.6&lt;14,"Gale",TRUE,"Extreme Storm")</f>
        <v>Calm</v>
      </c>
      <c r="U851" s="28">
        <v>5</v>
      </c>
      <c r="V851" s="28">
        <v>123</v>
      </c>
      <c r="W851" s="28">
        <v>128</v>
      </c>
      <c r="X851" s="44">
        <f>AVERAGE(INDEX($W:$W,MAX(ROW($W$3),ROW()-23)):INDEX($W:$W,ROW()))</f>
        <v>67.875</v>
      </c>
      <c r="Y851" s="44">
        <f>_xlfn.STDEV.S(INDEX($W:$W,MAX(ROW($W$3),ROW()-23)):INDEX($W:$W,ROW()))</f>
        <v>65.654108451198539</v>
      </c>
      <c r="Z851" s="44">
        <f t="shared" si="80"/>
        <v>0.91578427334355794</v>
      </c>
      <c r="AA851" s="40" t="b">
        <f t="shared" si="78"/>
        <v>0</v>
      </c>
    </row>
    <row r="852" spans="1:27" x14ac:dyDescent="0.3">
      <c r="A852" s="32">
        <v>850</v>
      </c>
      <c r="B852" s="33">
        <v>40581</v>
      </c>
      <c r="C852" s="40" t="str">
        <f t="shared" si="81"/>
        <v>Monday</v>
      </c>
      <c r="D852" s="28">
        <v>20</v>
      </c>
      <c r="E852" s="40" t="str" cm="1">
        <f t="array" ref="E852">_xlfn.IFS(D852&gt;=21,"Night",D852&gt;=17,"Evening",D852&gt;=12,"Midday",D852&gt;=6,"Morning", TRUE, "Night")</f>
        <v>Evening</v>
      </c>
      <c r="F852" s="28">
        <v>1</v>
      </c>
      <c r="G852" s="28">
        <v>0</v>
      </c>
      <c r="H852" s="28">
        <v>2</v>
      </c>
      <c r="I852" s="28">
        <v>1</v>
      </c>
      <c r="J852" s="40" t="str">
        <f t="shared" si="82"/>
        <v>Weekday</v>
      </c>
      <c r="K852" s="28" t="b">
        <v>0</v>
      </c>
      <c r="L852" s="28">
        <v>2</v>
      </c>
      <c r="M852" s="40" t="str" cm="1">
        <f t="array" ref="M852">_xlfn.IFS(L852=1,"Clear / Partly Cloudy",L852=2,"Mist / Cloudy",L852=3,"Light Snow / Rain",L852=4,"Heavy Precipitation")</f>
        <v>Mist / Cloudy</v>
      </c>
      <c r="N852" s="28">
        <v>0.32</v>
      </c>
      <c r="O852" s="28" t="str">
        <f t="shared" si="83"/>
        <v>Mild</v>
      </c>
      <c r="P852" s="28">
        <v>0.33329999999999999</v>
      </c>
      <c r="Q852" s="38">
        <f t="shared" si="79"/>
        <v>0.33329999999999999</v>
      </c>
      <c r="R852" s="28">
        <v>0.7</v>
      </c>
      <c r="S852" s="28">
        <v>0.1045</v>
      </c>
      <c r="T852" s="40" t="str" cm="1">
        <f t="array" ref="T852">_xlfn.IFS(S852*18.6&lt;2,"Calm",S852*18.6&lt;6,"Light Breeze",S852*18.6&lt;14,"Gale",TRUE,"Extreme Storm")</f>
        <v>Calm</v>
      </c>
      <c r="U852" s="28">
        <v>6</v>
      </c>
      <c r="V852" s="28">
        <v>82</v>
      </c>
      <c r="W852" s="28">
        <v>88</v>
      </c>
      <c r="X852" s="44">
        <f>AVERAGE(INDEX($W:$W,MAX(ROW($W$3),ROW()-23)):INDEX($W:$W,ROW()))</f>
        <v>70.458333333333329</v>
      </c>
      <c r="Y852" s="44">
        <f>_xlfn.STDEV.S(INDEX($W:$W,MAX(ROW($W$3),ROW()-23)):INDEX($W:$W,ROW()))</f>
        <v>65.15264962856989</v>
      </c>
      <c r="Z852" s="44">
        <f t="shared" si="80"/>
        <v>0.26923949780508277</v>
      </c>
      <c r="AA852" s="40" t="b">
        <f t="shared" si="78"/>
        <v>0</v>
      </c>
    </row>
    <row r="853" spans="1:27" x14ac:dyDescent="0.3">
      <c r="A853" s="32">
        <v>851</v>
      </c>
      <c r="B853" s="33">
        <v>40581</v>
      </c>
      <c r="C853" s="40" t="str">
        <f t="shared" si="81"/>
        <v>Monday</v>
      </c>
      <c r="D853" s="28">
        <v>21</v>
      </c>
      <c r="E853" s="40" t="str" cm="1">
        <f t="array" ref="E853">_xlfn.IFS(D853&gt;=21,"Night",D853&gt;=17,"Evening",D853&gt;=12,"Midday",D853&gt;=6,"Morning", TRUE, "Night")</f>
        <v>Night</v>
      </c>
      <c r="F853" s="28">
        <v>1</v>
      </c>
      <c r="G853" s="28">
        <v>0</v>
      </c>
      <c r="H853" s="28">
        <v>2</v>
      </c>
      <c r="I853" s="28">
        <v>1</v>
      </c>
      <c r="J853" s="40" t="str">
        <f t="shared" si="82"/>
        <v>Weekday</v>
      </c>
      <c r="K853" s="28" t="b">
        <v>0</v>
      </c>
      <c r="L853" s="28">
        <v>1</v>
      </c>
      <c r="M853" s="40" t="str" cm="1">
        <f t="array" ref="M853">_xlfn.IFS(L853=1,"Clear / Partly Cloudy",L853=2,"Mist / Cloudy",L853=3,"Light Snow / Rain",L853=4,"Heavy Precipitation")</f>
        <v>Clear / Partly Cloudy</v>
      </c>
      <c r="N853" s="28">
        <v>0.32</v>
      </c>
      <c r="O853" s="28" t="str">
        <f t="shared" si="83"/>
        <v>Mild</v>
      </c>
      <c r="P853" s="28">
        <v>0.34849999999999998</v>
      </c>
      <c r="Q853" s="38">
        <f t="shared" si="79"/>
        <v>0.34849999999999998</v>
      </c>
      <c r="R853" s="28">
        <v>0.7</v>
      </c>
      <c r="S853" s="28">
        <v>0</v>
      </c>
      <c r="T853" s="40" t="str" cm="1">
        <f t="array" ref="T853">_xlfn.IFS(S853*18.6&lt;2,"Calm",S853*18.6&lt;6,"Light Breeze",S853*18.6&lt;14,"Gale",TRUE,"Extreme Storm")</f>
        <v>Calm</v>
      </c>
      <c r="U853" s="28">
        <v>3</v>
      </c>
      <c r="V853" s="28">
        <v>75</v>
      </c>
      <c r="W853" s="28">
        <v>78</v>
      </c>
      <c r="X853" s="44">
        <f>AVERAGE(INDEX($W:$W,MAX(ROW($W$3),ROW()-23)):INDEX($W:$W,ROW()))</f>
        <v>72.583333333333329</v>
      </c>
      <c r="Y853" s="44">
        <f>_xlfn.STDEV.S(INDEX($W:$W,MAX(ROW($W$3),ROW()-23)):INDEX($W:$W,ROW()))</f>
        <v>64.502050298836423</v>
      </c>
      <c r="Z853" s="44">
        <f t="shared" si="80"/>
        <v>8.3976658750712377E-2</v>
      </c>
      <c r="AA853" s="40" t="b">
        <f t="shared" si="78"/>
        <v>0</v>
      </c>
    </row>
    <row r="854" spans="1:27" x14ac:dyDescent="0.3">
      <c r="A854" s="32">
        <v>852</v>
      </c>
      <c r="B854" s="33">
        <v>40581</v>
      </c>
      <c r="C854" s="40" t="str">
        <f t="shared" si="81"/>
        <v>Monday</v>
      </c>
      <c r="D854" s="28">
        <v>22</v>
      </c>
      <c r="E854" s="40" t="str" cm="1">
        <f t="array" ref="E854">_xlfn.IFS(D854&gt;=21,"Night",D854&gt;=17,"Evening",D854&gt;=12,"Midday",D854&gt;=6,"Morning", TRUE, "Night")</f>
        <v>Night</v>
      </c>
      <c r="F854" s="28">
        <v>1</v>
      </c>
      <c r="G854" s="28">
        <v>0</v>
      </c>
      <c r="H854" s="28">
        <v>2</v>
      </c>
      <c r="I854" s="28">
        <v>1</v>
      </c>
      <c r="J854" s="40" t="str">
        <f t="shared" si="82"/>
        <v>Weekday</v>
      </c>
      <c r="K854" s="28" t="b">
        <v>0</v>
      </c>
      <c r="L854" s="28">
        <v>1</v>
      </c>
      <c r="M854" s="40" t="str" cm="1">
        <f t="array" ref="M854">_xlfn.IFS(L854=1,"Clear / Partly Cloudy",L854=2,"Mist / Cloudy",L854=3,"Light Snow / Rain",L854=4,"Heavy Precipitation")</f>
        <v>Clear / Partly Cloudy</v>
      </c>
      <c r="N854" s="28">
        <v>0.28000000000000003</v>
      </c>
      <c r="O854" s="28" t="str">
        <f t="shared" si="83"/>
        <v>Mild</v>
      </c>
      <c r="P854" s="28">
        <v>0.30299999999999999</v>
      </c>
      <c r="Q854" s="38">
        <f t="shared" si="79"/>
        <v>0.30299999999999999</v>
      </c>
      <c r="R854" s="28">
        <v>0.81</v>
      </c>
      <c r="S854" s="28">
        <v>8.9599999999999999E-2</v>
      </c>
      <c r="T854" s="40" t="str" cm="1">
        <f t="array" ref="T854">_xlfn.IFS(S854*18.6&lt;2,"Calm",S854*18.6&lt;6,"Light Breeze",S854*18.6&lt;14,"Gale",TRUE,"Extreme Storm")</f>
        <v>Calm</v>
      </c>
      <c r="U854" s="28">
        <v>3</v>
      </c>
      <c r="V854" s="28">
        <v>34</v>
      </c>
      <c r="W854" s="28">
        <v>37</v>
      </c>
      <c r="X854" s="44">
        <f>AVERAGE(INDEX($W:$W,MAX(ROW($W$3),ROW()-23)):INDEX($W:$W,ROW()))</f>
        <v>71.541666666666671</v>
      </c>
      <c r="Y854" s="44">
        <f>_xlfn.STDEV.S(INDEX($W:$W,MAX(ROW($W$3),ROW()-23)):INDEX($W:$W,ROW()))</f>
        <v>64.881148308249763</v>
      </c>
      <c r="Z854" s="44">
        <f t="shared" si="80"/>
        <v>-0.53238371341024238</v>
      </c>
      <c r="AA854" s="40" t="b">
        <f t="shared" si="78"/>
        <v>0</v>
      </c>
    </row>
    <row r="855" spans="1:27" x14ac:dyDescent="0.3">
      <c r="A855" s="32">
        <v>853</v>
      </c>
      <c r="B855" s="33">
        <v>40581</v>
      </c>
      <c r="C855" s="40" t="str">
        <f t="shared" si="81"/>
        <v>Monday</v>
      </c>
      <c r="D855" s="28">
        <v>23</v>
      </c>
      <c r="E855" s="40" t="str" cm="1">
        <f t="array" ref="E855">_xlfn.IFS(D855&gt;=21,"Night",D855&gt;=17,"Evening",D855&gt;=12,"Midday",D855&gt;=6,"Morning", TRUE, "Night")</f>
        <v>Night</v>
      </c>
      <c r="F855" s="28">
        <v>1</v>
      </c>
      <c r="G855" s="28">
        <v>0</v>
      </c>
      <c r="H855" s="28">
        <v>2</v>
      </c>
      <c r="I855" s="28">
        <v>1</v>
      </c>
      <c r="J855" s="40" t="str">
        <f t="shared" si="82"/>
        <v>Weekday</v>
      </c>
      <c r="K855" s="28" t="b">
        <v>0</v>
      </c>
      <c r="L855" s="28">
        <v>2</v>
      </c>
      <c r="M855" s="40" t="str" cm="1">
        <f t="array" ref="M855">_xlfn.IFS(L855=1,"Clear / Partly Cloudy",L855=2,"Mist / Cloudy",L855=3,"Light Snow / Rain",L855=4,"Heavy Precipitation")</f>
        <v>Mist / Cloudy</v>
      </c>
      <c r="N855" s="28">
        <v>0.3</v>
      </c>
      <c r="O855" s="28" t="str">
        <f t="shared" si="83"/>
        <v>Mild</v>
      </c>
      <c r="P855" s="28">
        <v>0.33329999999999999</v>
      </c>
      <c r="Q855" s="38">
        <f t="shared" si="79"/>
        <v>0.33329999999999999</v>
      </c>
      <c r="R855" s="28">
        <v>0.81</v>
      </c>
      <c r="S855" s="28">
        <v>0</v>
      </c>
      <c r="T855" s="40" t="str" cm="1">
        <f t="array" ref="T855">_xlfn.IFS(S855*18.6&lt;2,"Calm",S855*18.6&lt;6,"Light Breeze",S855*18.6&lt;14,"Gale",TRUE,"Extreme Storm")</f>
        <v>Calm</v>
      </c>
      <c r="U855" s="28">
        <v>6</v>
      </c>
      <c r="V855" s="28">
        <v>19</v>
      </c>
      <c r="W855" s="28">
        <v>25</v>
      </c>
      <c r="X855" s="44">
        <f>AVERAGE(INDEX($W:$W,MAX(ROW($W$3),ROW()-23)):INDEX($W:$W,ROW()))</f>
        <v>71.333333333333329</v>
      </c>
      <c r="Y855" s="44">
        <f>_xlfn.STDEV.S(INDEX($W:$W,MAX(ROW($W$3),ROW()-23)):INDEX($W:$W,ROW()))</f>
        <v>65.028199011403245</v>
      </c>
      <c r="Z855" s="44">
        <f t="shared" si="80"/>
        <v>-0.71251140332532337</v>
      </c>
      <c r="AA855" s="40" t="b">
        <f t="shared" si="78"/>
        <v>0</v>
      </c>
    </row>
    <row r="856" spans="1:27" x14ac:dyDescent="0.3">
      <c r="A856" s="32">
        <v>854</v>
      </c>
      <c r="B856" s="33">
        <v>40582</v>
      </c>
      <c r="C856" s="40" t="str">
        <f t="shared" si="81"/>
        <v>Tuesday</v>
      </c>
      <c r="D856" s="28">
        <v>0</v>
      </c>
      <c r="E856" s="40" t="str" cm="1">
        <f t="array" ref="E856">_xlfn.IFS(D856&gt;=21,"Night",D856&gt;=17,"Evening",D856&gt;=12,"Midday",D856&gt;=6,"Morning", TRUE, "Night")</f>
        <v>Night</v>
      </c>
      <c r="F856" s="28">
        <v>1</v>
      </c>
      <c r="G856" s="28">
        <v>0</v>
      </c>
      <c r="H856" s="28">
        <v>2</v>
      </c>
      <c r="I856" s="28">
        <v>2</v>
      </c>
      <c r="J856" s="40" t="str">
        <f t="shared" si="82"/>
        <v>Weekday</v>
      </c>
      <c r="K856" s="28" t="b">
        <v>0</v>
      </c>
      <c r="L856" s="28">
        <v>2</v>
      </c>
      <c r="M856" s="40" t="str" cm="1">
        <f t="array" ref="M856">_xlfn.IFS(L856=1,"Clear / Partly Cloudy",L856=2,"Mist / Cloudy",L856=3,"Light Snow / Rain",L856=4,"Heavy Precipitation")</f>
        <v>Mist / Cloudy</v>
      </c>
      <c r="N856" s="28">
        <v>0.28000000000000003</v>
      </c>
      <c r="O856" s="28" t="str">
        <f t="shared" si="83"/>
        <v>Mild</v>
      </c>
      <c r="P856" s="28">
        <v>0.31819999999999998</v>
      </c>
      <c r="Q856" s="38">
        <f t="shared" si="79"/>
        <v>0.31819999999999998</v>
      </c>
      <c r="R856" s="28">
        <v>0.87</v>
      </c>
      <c r="S856" s="28">
        <v>0</v>
      </c>
      <c r="T856" s="40" t="str" cm="1">
        <f t="array" ref="T856">_xlfn.IFS(S856*18.6&lt;2,"Calm",S856*18.6&lt;6,"Light Breeze",S856*18.6&lt;14,"Gale",TRUE,"Extreme Storm")</f>
        <v>Calm</v>
      </c>
      <c r="U856" s="28">
        <v>4</v>
      </c>
      <c r="V856" s="28">
        <v>6</v>
      </c>
      <c r="W856" s="28">
        <v>10</v>
      </c>
      <c r="X856" s="44">
        <f>AVERAGE(INDEX($W:$W,MAX(ROW($W$3),ROW()-23)):INDEX($W:$W,ROW()))</f>
        <v>71.125</v>
      </c>
      <c r="Y856" s="44">
        <f>_xlfn.STDEV.S(INDEX($W:$W,MAX(ROW($W$3),ROW()-23)):INDEX($W:$W,ROW()))</f>
        <v>65.224236959557615</v>
      </c>
      <c r="Z856" s="44">
        <f t="shared" si="80"/>
        <v>-0.9371516302735845</v>
      </c>
      <c r="AA856" s="40" t="b">
        <f t="shared" si="78"/>
        <v>0</v>
      </c>
    </row>
    <row r="857" spans="1:27" x14ac:dyDescent="0.3">
      <c r="A857" s="32">
        <v>855</v>
      </c>
      <c r="B857" s="33">
        <v>40582</v>
      </c>
      <c r="C857" s="40" t="str">
        <f t="shared" si="81"/>
        <v>Tuesday</v>
      </c>
      <c r="D857" s="28">
        <v>1</v>
      </c>
      <c r="E857" s="40" t="str" cm="1">
        <f t="array" ref="E857">_xlfn.IFS(D857&gt;=21,"Night",D857&gt;=17,"Evening",D857&gt;=12,"Midday",D857&gt;=6,"Morning", TRUE, "Night")</f>
        <v>Night</v>
      </c>
      <c r="F857" s="28">
        <v>1</v>
      </c>
      <c r="G857" s="28">
        <v>0</v>
      </c>
      <c r="H857" s="28">
        <v>2</v>
      </c>
      <c r="I857" s="28">
        <v>2</v>
      </c>
      <c r="J857" s="40" t="str">
        <f t="shared" si="82"/>
        <v>Weekday</v>
      </c>
      <c r="K857" s="28" t="b">
        <v>0</v>
      </c>
      <c r="L857" s="28">
        <v>2</v>
      </c>
      <c r="M857" s="40" t="str" cm="1">
        <f t="array" ref="M857">_xlfn.IFS(L857=1,"Clear / Partly Cloudy",L857=2,"Mist / Cloudy",L857=3,"Light Snow / Rain",L857=4,"Heavy Precipitation")</f>
        <v>Mist / Cloudy</v>
      </c>
      <c r="N857" s="28">
        <v>0.28000000000000003</v>
      </c>
      <c r="O857" s="28" t="str">
        <f t="shared" si="83"/>
        <v>Mild</v>
      </c>
      <c r="P857" s="28">
        <v>0.31819999999999998</v>
      </c>
      <c r="Q857" s="38">
        <f t="shared" si="79"/>
        <v>0.31819999999999998</v>
      </c>
      <c r="R857" s="28">
        <v>0.87</v>
      </c>
      <c r="S857" s="28">
        <v>0</v>
      </c>
      <c r="T857" s="40" t="str" cm="1">
        <f t="array" ref="T857">_xlfn.IFS(S857*18.6&lt;2,"Calm",S857*18.6&lt;6,"Light Breeze",S857*18.6&lt;14,"Gale",TRUE,"Extreme Storm")</f>
        <v>Calm</v>
      </c>
      <c r="U857" s="28">
        <v>0</v>
      </c>
      <c r="V857" s="28">
        <v>4</v>
      </c>
      <c r="W857" s="28">
        <v>4</v>
      </c>
      <c r="X857" s="44">
        <f>AVERAGE(INDEX($W:$W,MAX(ROW($W$3),ROW()-23)):INDEX($W:$W,ROW()))</f>
        <v>71.083333333333329</v>
      </c>
      <c r="Y857" s="44">
        <f>_xlfn.STDEV.S(INDEX($W:$W,MAX(ROW($W$3),ROW()-23)):INDEX($W:$W,ROW()))</f>
        <v>65.268619976395911</v>
      </c>
      <c r="Z857" s="44">
        <f t="shared" si="80"/>
        <v>-1.0278037647738485</v>
      </c>
      <c r="AA857" s="40" t="b">
        <f t="shared" si="78"/>
        <v>0</v>
      </c>
    </row>
    <row r="858" spans="1:27" x14ac:dyDescent="0.3">
      <c r="A858" s="32">
        <v>856</v>
      </c>
      <c r="B858" s="33">
        <v>40582</v>
      </c>
      <c r="C858" s="40" t="str">
        <f t="shared" si="81"/>
        <v>Tuesday</v>
      </c>
      <c r="D858" s="28">
        <v>2</v>
      </c>
      <c r="E858" s="40" t="str" cm="1">
        <f t="array" ref="E858">_xlfn.IFS(D858&gt;=21,"Night",D858&gt;=17,"Evening",D858&gt;=12,"Midday",D858&gt;=6,"Morning", TRUE, "Night")</f>
        <v>Night</v>
      </c>
      <c r="F858" s="28">
        <v>1</v>
      </c>
      <c r="G858" s="28">
        <v>0</v>
      </c>
      <c r="H858" s="28">
        <v>2</v>
      </c>
      <c r="I858" s="28">
        <v>2</v>
      </c>
      <c r="J858" s="40" t="str">
        <f t="shared" si="82"/>
        <v>Weekday</v>
      </c>
      <c r="K858" s="28" t="b">
        <v>0</v>
      </c>
      <c r="L858" s="28">
        <v>2</v>
      </c>
      <c r="M858" s="40" t="str" cm="1">
        <f t="array" ref="M858">_xlfn.IFS(L858=1,"Clear / Partly Cloudy",L858=2,"Mist / Cloudy",L858=3,"Light Snow / Rain",L858=4,"Heavy Precipitation")</f>
        <v>Mist / Cloudy</v>
      </c>
      <c r="N858" s="28">
        <v>0.26</v>
      </c>
      <c r="O858" s="28" t="str">
        <f t="shared" si="83"/>
        <v>Mild</v>
      </c>
      <c r="P858" s="28">
        <v>0.2727</v>
      </c>
      <c r="Q858" s="38">
        <f t="shared" si="79"/>
        <v>0.2727</v>
      </c>
      <c r="R858" s="28">
        <v>0.93</v>
      </c>
      <c r="S858" s="28">
        <v>0.1045</v>
      </c>
      <c r="T858" s="40" t="str" cm="1">
        <f t="array" ref="T858">_xlfn.IFS(S858*18.6&lt;2,"Calm",S858*18.6&lt;6,"Light Breeze",S858*18.6&lt;14,"Gale",TRUE,"Extreme Storm")</f>
        <v>Calm</v>
      </c>
      <c r="U858" s="28">
        <v>1</v>
      </c>
      <c r="V858" s="28">
        <v>1</v>
      </c>
      <c r="W858" s="28">
        <v>2</v>
      </c>
      <c r="X858" s="44">
        <f>AVERAGE(INDEX($W:$W,MAX(ROW($W$3),ROW()-23)):INDEX($W:$W,ROW()))</f>
        <v>71.041666666666671</v>
      </c>
      <c r="Y858" s="44">
        <f>_xlfn.STDEV.S(INDEX($W:$W,MAX(ROW($W$3),ROW()-23)):INDEX($W:$W,ROW()))</f>
        <v>65.314276464988325</v>
      </c>
      <c r="Z858" s="44">
        <f t="shared" si="80"/>
        <v>-1.0570685369786865</v>
      </c>
      <c r="AA858" s="40" t="b">
        <f t="shared" si="78"/>
        <v>0</v>
      </c>
    </row>
    <row r="859" spans="1:27" x14ac:dyDescent="0.3">
      <c r="A859" s="32">
        <v>857</v>
      </c>
      <c r="B859" s="33">
        <v>40582</v>
      </c>
      <c r="C859" s="40" t="str">
        <f t="shared" si="81"/>
        <v>Tuesday</v>
      </c>
      <c r="D859" s="28">
        <v>3</v>
      </c>
      <c r="E859" s="40" t="str" cm="1">
        <f t="array" ref="E859">_xlfn.IFS(D859&gt;=21,"Night",D859&gt;=17,"Evening",D859&gt;=12,"Midday",D859&gt;=6,"Morning", TRUE, "Night")</f>
        <v>Night</v>
      </c>
      <c r="F859" s="28">
        <v>1</v>
      </c>
      <c r="G859" s="28">
        <v>0</v>
      </c>
      <c r="H859" s="28">
        <v>2</v>
      </c>
      <c r="I859" s="28">
        <v>2</v>
      </c>
      <c r="J859" s="40" t="str">
        <f t="shared" si="82"/>
        <v>Weekday</v>
      </c>
      <c r="K859" s="28" t="b">
        <v>0</v>
      </c>
      <c r="L859" s="28">
        <v>3</v>
      </c>
      <c r="M859" s="40" t="str" cm="1">
        <f t="array" ref="M859">_xlfn.IFS(L859=1,"Clear / Partly Cloudy",L859=2,"Mist / Cloudy",L859=3,"Light Snow / Rain",L859=4,"Heavy Precipitation")</f>
        <v>Light Snow / Rain</v>
      </c>
      <c r="N859" s="28">
        <v>0.28000000000000003</v>
      </c>
      <c r="O859" s="28" t="str">
        <f t="shared" si="83"/>
        <v>Mild</v>
      </c>
      <c r="P859" s="28">
        <v>0.2727</v>
      </c>
      <c r="Q859" s="38">
        <f t="shared" si="79"/>
        <v>0.2727</v>
      </c>
      <c r="R859" s="28">
        <v>0.93</v>
      </c>
      <c r="S859" s="28">
        <v>0.16420000000000001</v>
      </c>
      <c r="T859" s="40" t="str" cm="1">
        <f t="array" ref="T859">_xlfn.IFS(S859*18.6&lt;2,"Calm",S859*18.6&lt;6,"Light Breeze",S859*18.6&lt;14,"Gale",TRUE,"Extreme Storm")</f>
        <v>Light Breeze</v>
      </c>
      <c r="U859" s="28">
        <v>0</v>
      </c>
      <c r="V859" s="28">
        <v>1</v>
      </c>
      <c r="W859" s="28">
        <v>1</v>
      </c>
      <c r="X859" s="44">
        <f>AVERAGE(INDEX($W:$W,MAX(ROW($W$3),ROW()-23)):INDEX($W:$W,ROW()))</f>
        <v>71.041666666666671</v>
      </c>
      <c r="Y859" s="44">
        <f>_xlfn.STDEV.S(INDEX($W:$W,MAX(ROW($W$3),ROW()-23)):INDEX($W:$W,ROW()))</f>
        <v>65.314276464988325</v>
      </c>
      <c r="Z859" s="44">
        <f t="shared" si="80"/>
        <v>-1.0723791253235802</v>
      </c>
      <c r="AA859" s="40" t="b">
        <f t="shared" si="78"/>
        <v>0</v>
      </c>
    </row>
    <row r="860" spans="1:27" x14ac:dyDescent="0.3">
      <c r="A860" s="32">
        <v>858</v>
      </c>
      <c r="B860" s="33">
        <v>40582</v>
      </c>
      <c r="C860" s="40" t="str">
        <f t="shared" si="81"/>
        <v>Tuesday</v>
      </c>
      <c r="D860" s="28">
        <v>4</v>
      </c>
      <c r="E860" s="40" t="str" cm="1">
        <f t="array" ref="E860">_xlfn.IFS(D860&gt;=21,"Night",D860&gt;=17,"Evening",D860&gt;=12,"Midday",D860&gt;=6,"Morning", TRUE, "Night")</f>
        <v>Night</v>
      </c>
      <c r="F860" s="28">
        <v>1</v>
      </c>
      <c r="G860" s="28">
        <v>0</v>
      </c>
      <c r="H860" s="28">
        <v>2</v>
      </c>
      <c r="I860" s="28">
        <v>2</v>
      </c>
      <c r="J860" s="40" t="str">
        <f t="shared" si="82"/>
        <v>Weekday</v>
      </c>
      <c r="K860" s="28" t="b">
        <v>0</v>
      </c>
      <c r="L860" s="28">
        <v>1</v>
      </c>
      <c r="M860" s="40" t="str" cm="1">
        <f t="array" ref="M860">_xlfn.IFS(L860=1,"Clear / Partly Cloudy",L860=2,"Mist / Cloudy",L860=3,"Light Snow / Rain",L860=4,"Heavy Precipitation")</f>
        <v>Clear / Partly Cloudy</v>
      </c>
      <c r="N860" s="28">
        <v>0.26</v>
      </c>
      <c r="O860" s="28" t="str">
        <f t="shared" si="83"/>
        <v>Mild</v>
      </c>
      <c r="P860" s="28">
        <v>0.2576</v>
      </c>
      <c r="Q860" s="38">
        <f t="shared" si="79"/>
        <v>0.2576</v>
      </c>
      <c r="R860" s="28">
        <v>0.93</v>
      </c>
      <c r="S860" s="28">
        <v>0.16420000000000001</v>
      </c>
      <c r="T860" s="40" t="str" cm="1">
        <f t="array" ref="T860">_xlfn.IFS(S860*18.6&lt;2,"Calm",S860*18.6&lt;6,"Light Breeze",S860*18.6&lt;14,"Gale",TRUE,"Extreme Storm")</f>
        <v>Light Breeze</v>
      </c>
      <c r="U860" s="28">
        <v>0</v>
      </c>
      <c r="V860" s="28">
        <v>3</v>
      </c>
      <c r="W860" s="28">
        <v>3</v>
      </c>
      <c r="X860" s="44">
        <f>AVERAGE(INDEX($W:$W,MAX(ROW($W$3),ROW()-23)):INDEX($W:$W,ROW()))</f>
        <v>71.083333333333329</v>
      </c>
      <c r="Y860" s="44">
        <f>_xlfn.STDEV.S(INDEX($W:$W,MAX(ROW($W$3),ROW()-23)):INDEX($W:$W,ROW()))</f>
        <v>65.268619976395911</v>
      </c>
      <c r="Z860" s="44">
        <f t="shared" si="80"/>
        <v>-1.0431250631307256</v>
      </c>
      <c r="AA860" s="40" t="b">
        <f t="shared" si="78"/>
        <v>0</v>
      </c>
    </row>
    <row r="861" spans="1:27" x14ac:dyDescent="0.3">
      <c r="A861" s="32">
        <v>859</v>
      </c>
      <c r="B861" s="33">
        <v>40582</v>
      </c>
      <c r="C861" s="40" t="str">
        <f t="shared" si="81"/>
        <v>Tuesday</v>
      </c>
      <c r="D861" s="28">
        <v>5</v>
      </c>
      <c r="E861" s="40" t="str" cm="1">
        <f t="array" ref="E861">_xlfn.IFS(D861&gt;=21,"Night",D861&gt;=17,"Evening",D861&gt;=12,"Midday",D861&gt;=6,"Morning", TRUE, "Night")</f>
        <v>Night</v>
      </c>
      <c r="F861" s="28">
        <v>1</v>
      </c>
      <c r="G861" s="28">
        <v>0</v>
      </c>
      <c r="H861" s="28">
        <v>2</v>
      </c>
      <c r="I861" s="28">
        <v>2</v>
      </c>
      <c r="J861" s="40" t="str">
        <f t="shared" si="82"/>
        <v>Weekday</v>
      </c>
      <c r="K861" s="28" t="b">
        <v>0</v>
      </c>
      <c r="L861" s="28">
        <v>1</v>
      </c>
      <c r="M861" s="40" t="str" cm="1">
        <f t="array" ref="M861">_xlfn.IFS(L861=1,"Clear / Partly Cloudy",L861=2,"Mist / Cloudy",L861=3,"Light Snow / Rain",L861=4,"Heavy Precipitation")</f>
        <v>Clear / Partly Cloudy</v>
      </c>
      <c r="N861" s="28">
        <v>0.26</v>
      </c>
      <c r="O861" s="28" t="str">
        <f t="shared" si="83"/>
        <v>Mild</v>
      </c>
      <c r="P861" s="28">
        <v>0.2273</v>
      </c>
      <c r="Q861" s="38">
        <f t="shared" si="79"/>
        <v>0.2273</v>
      </c>
      <c r="R861" s="28">
        <v>0.81</v>
      </c>
      <c r="S861" s="28">
        <v>0.32840000000000003</v>
      </c>
      <c r="T861" s="40" t="str" cm="1">
        <f t="array" ref="T861">_xlfn.IFS(S861*18.6&lt;2,"Calm",S861*18.6&lt;6,"Light Breeze",S861*18.6&lt;14,"Gale",TRUE,"Extreme Storm")</f>
        <v>Gale</v>
      </c>
      <c r="U861" s="28">
        <v>0</v>
      </c>
      <c r="V861" s="28">
        <v>2</v>
      </c>
      <c r="W861" s="28">
        <v>2</v>
      </c>
      <c r="X861" s="44">
        <f>AVERAGE(INDEX($W:$W,MAX(ROW($W$3),ROW()-23)):INDEX($W:$W,ROW()))</f>
        <v>70.75</v>
      </c>
      <c r="Y861" s="44">
        <f>_xlfn.STDEV.S(INDEX($W:$W,MAX(ROW($W$3),ROW()-23)):INDEX($W:$W,ROW()))</f>
        <v>65.613658440244308</v>
      </c>
      <c r="Z861" s="44">
        <f t="shared" si="80"/>
        <v>-1.0478001323857291</v>
      </c>
      <c r="AA861" s="40" t="b">
        <f t="shared" si="78"/>
        <v>0</v>
      </c>
    </row>
    <row r="862" spans="1:27" x14ac:dyDescent="0.3">
      <c r="A862" s="32">
        <v>860</v>
      </c>
      <c r="B862" s="33">
        <v>40582</v>
      </c>
      <c r="C862" s="40" t="str">
        <f t="shared" si="81"/>
        <v>Tuesday</v>
      </c>
      <c r="D862" s="28">
        <v>6</v>
      </c>
      <c r="E862" s="40" t="str" cm="1">
        <f t="array" ref="E862">_xlfn.IFS(D862&gt;=21,"Night",D862&gt;=17,"Evening",D862&gt;=12,"Midday",D862&gt;=6,"Morning", TRUE, "Night")</f>
        <v>Morning</v>
      </c>
      <c r="F862" s="28">
        <v>1</v>
      </c>
      <c r="G862" s="28">
        <v>0</v>
      </c>
      <c r="H862" s="28">
        <v>2</v>
      </c>
      <c r="I862" s="28">
        <v>2</v>
      </c>
      <c r="J862" s="40" t="str">
        <f t="shared" si="82"/>
        <v>Weekday</v>
      </c>
      <c r="K862" s="28" t="b">
        <v>0</v>
      </c>
      <c r="L862" s="28">
        <v>1</v>
      </c>
      <c r="M862" s="40" t="str" cm="1">
        <f t="array" ref="M862">_xlfn.IFS(L862=1,"Clear / Partly Cloudy",L862=2,"Mist / Cloudy",L862=3,"Light Snow / Rain",L862=4,"Heavy Precipitation")</f>
        <v>Clear / Partly Cloudy</v>
      </c>
      <c r="N862" s="28">
        <v>0.26</v>
      </c>
      <c r="O862" s="28" t="str">
        <f t="shared" si="83"/>
        <v>Mild</v>
      </c>
      <c r="P862" s="28">
        <v>0.2273</v>
      </c>
      <c r="Q862" s="38">
        <f t="shared" si="79"/>
        <v>0.2273</v>
      </c>
      <c r="R862" s="28">
        <v>0.7</v>
      </c>
      <c r="S862" s="28">
        <v>0.32840000000000003</v>
      </c>
      <c r="T862" s="40" t="str" cm="1">
        <f t="array" ref="T862">_xlfn.IFS(S862*18.6&lt;2,"Calm",S862*18.6&lt;6,"Light Breeze",S862*18.6&lt;14,"Gale",TRUE,"Extreme Storm")</f>
        <v>Gale</v>
      </c>
      <c r="U862" s="28">
        <v>0</v>
      </c>
      <c r="V862" s="28">
        <v>39</v>
      </c>
      <c r="W862" s="28">
        <v>39</v>
      </c>
      <c r="X862" s="44">
        <f>AVERAGE(INDEX($W:$W,MAX(ROW($W$3),ROW()-23)):INDEX($W:$W,ROW()))</f>
        <v>71.125</v>
      </c>
      <c r="Y862" s="44">
        <f>_xlfn.STDEV.S(INDEX($W:$W,MAX(ROW($W$3),ROW()-23)):INDEX($W:$W,ROW()))</f>
        <v>65.395992763817091</v>
      </c>
      <c r="Z862" s="44">
        <f t="shared" si="80"/>
        <v>-0.4912380505640771</v>
      </c>
      <c r="AA862" s="40" t="b">
        <f t="shared" si="78"/>
        <v>0</v>
      </c>
    </row>
    <row r="863" spans="1:27" x14ac:dyDescent="0.3">
      <c r="A863" s="32">
        <v>861</v>
      </c>
      <c r="B863" s="33">
        <v>40582</v>
      </c>
      <c r="C863" s="40" t="str">
        <f t="shared" si="81"/>
        <v>Tuesday</v>
      </c>
      <c r="D863" s="28">
        <v>7</v>
      </c>
      <c r="E863" s="40" t="str" cm="1">
        <f t="array" ref="E863">_xlfn.IFS(D863&gt;=21,"Night",D863&gt;=17,"Evening",D863&gt;=12,"Midday",D863&gt;=6,"Morning", TRUE, "Night")</f>
        <v>Morning</v>
      </c>
      <c r="F863" s="28">
        <v>1</v>
      </c>
      <c r="G863" s="28">
        <v>0</v>
      </c>
      <c r="H863" s="28">
        <v>2</v>
      </c>
      <c r="I863" s="28">
        <v>2</v>
      </c>
      <c r="J863" s="40" t="str">
        <f t="shared" si="82"/>
        <v>Weekday</v>
      </c>
      <c r="K863" s="28" t="b">
        <v>0</v>
      </c>
      <c r="L863" s="28">
        <v>1</v>
      </c>
      <c r="M863" s="40" t="str" cm="1">
        <f t="array" ref="M863">_xlfn.IFS(L863=1,"Clear / Partly Cloudy",L863=2,"Mist / Cloudy",L863=3,"Light Snow / Rain",L863=4,"Heavy Precipitation")</f>
        <v>Clear / Partly Cloudy</v>
      </c>
      <c r="N863" s="28">
        <v>0.24</v>
      </c>
      <c r="O863" s="28" t="str">
        <f t="shared" si="83"/>
        <v>Mild</v>
      </c>
      <c r="P863" s="28">
        <v>0.19700000000000001</v>
      </c>
      <c r="Q863" s="38">
        <f t="shared" si="79"/>
        <v>0.19700000000000001</v>
      </c>
      <c r="R863" s="28">
        <v>0.65</v>
      </c>
      <c r="S863" s="28">
        <v>0.41789999999999999</v>
      </c>
      <c r="T863" s="40" t="str" cm="1">
        <f t="array" ref="T863">_xlfn.IFS(S863*18.6&lt;2,"Calm",S863*18.6&lt;6,"Light Breeze",S863*18.6&lt;14,"Gale",TRUE,"Extreme Storm")</f>
        <v>Gale</v>
      </c>
      <c r="U863" s="28">
        <v>3</v>
      </c>
      <c r="V863" s="28">
        <v>97</v>
      </c>
      <c r="W863" s="28">
        <v>100</v>
      </c>
      <c r="X863" s="44">
        <f>AVERAGE(INDEX($W:$W,MAX(ROW($W$3),ROW()-23)):INDEX($W:$W,ROW()))</f>
        <v>71.333333333333329</v>
      </c>
      <c r="Y863" s="44">
        <f>_xlfn.STDEV.S(INDEX($W:$W,MAX(ROW($W$3),ROW()-23)):INDEX($W:$W,ROW()))</f>
        <v>65.483264816397877</v>
      </c>
      <c r="Z863" s="44">
        <f t="shared" si="80"/>
        <v>0.43777088309573958</v>
      </c>
      <c r="AA863" s="40" t="b">
        <f t="shared" si="78"/>
        <v>0</v>
      </c>
    </row>
    <row r="864" spans="1:27" x14ac:dyDescent="0.3">
      <c r="A864" s="32">
        <v>862</v>
      </c>
      <c r="B864" s="33">
        <v>40582</v>
      </c>
      <c r="C864" s="40" t="str">
        <f t="shared" si="81"/>
        <v>Tuesday</v>
      </c>
      <c r="D864" s="28">
        <v>8</v>
      </c>
      <c r="E864" s="40" t="str" cm="1">
        <f t="array" ref="E864">_xlfn.IFS(D864&gt;=21,"Night",D864&gt;=17,"Evening",D864&gt;=12,"Midday",D864&gt;=6,"Morning", TRUE, "Night")</f>
        <v>Morning</v>
      </c>
      <c r="F864" s="28">
        <v>1</v>
      </c>
      <c r="G864" s="28">
        <v>0</v>
      </c>
      <c r="H864" s="28">
        <v>2</v>
      </c>
      <c r="I864" s="28">
        <v>2</v>
      </c>
      <c r="J864" s="40" t="str">
        <f t="shared" si="82"/>
        <v>Weekday</v>
      </c>
      <c r="K864" s="28" t="b">
        <v>0</v>
      </c>
      <c r="L864" s="28">
        <v>1</v>
      </c>
      <c r="M864" s="40" t="str" cm="1">
        <f t="array" ref="M864">_xlfn.IFS(L864=1,"Clear / Partly Cloudy",L864=2,"Mist / Cloudy",L864=3,"Light Snow / Rain",L864=4,"Heavy Precipitation")</f>
        <v>Clear / Partly Cloudy</v>
      </c>
      <c r="N864" s="28">
        <v>0.24</v>
      </c>
      <c r="O864" s="28" t="str">
        <f t="shared" si="83"/>
        <v>Mild</v>
      </c>
      <c r="P864" s="28">
        <v>0.19700000000000001</v>
      </c>
      <c r="Q864" s="38">
        <f t="shared" si="79"/>
        <v>0.19700000000000001</v>
      </c>
      <c r="R864" s="28">
        <v>0.56000000000000005</v>
      </c>
      <c r="S864" s="28">
        <v>0.49249999999999999</v>
      </c>
      <c r="T864" s="40" t="str" cm="1">
        <f t="array" ref="T864">_xlfn.IFS(S864*18.6&lt;2,"Calm",S864*18.6&lt;6,"Light Breeze",S864*18.6&lt;14,"Gale",TRUE,"Extreme Storm")</f>
        <v>Gale</v>
      </c>
      <c r="U864" s="28">
        <v>7</v>
      </c>
      <c r="V864" s="28">
        <v>236</v>
      </c>
      <c r="W864" s="28">
        <v>243</v>
      </c>
      <c r="X864" s="44">
        <f>AVERAGE(INDEX($W:$W,MAX(ROW($W$3),ROW()-23)):INDEX($W:$W,ROW()))</f>
        <v>71.875</v>
      </c>
      <c r="Y864" s="44">
        <f>_xlfn.STDEV.S(INDEX($W:$W,MAX(ROW($W$3),ROW()-23)):INDEX($W:$W,ROW()))</f>
        <v>66.891419154640005</v>
      </c>
      <c r="Z864" s="44">
        <f t="shared" si="80"/>
        <v>2.5582504028564883</v>
      </c>
      <c r="AA864" s="40" t="b">
        <f t="shared" si="78"/>
        <v>0</v>
      </c>
    </row>
    <row r="865" spans="1:27" x14ac:dyDescent="0.3">
      <c r="A865" s="32">
        <v>863</v>
      </c>
      <c r="B865" s="33">
        <v>40582</v>
      </c>
      <c r="C865" s="40" t="str">
        <f t="shared" si="81"/>
        <v>Tuesday</v>
      </c>
      <c r="D865" s="28">
        <v>9</v>
      </c>
      <c r="E865" s="40" t="str" cm="1">
        <f t="array" ref="E865">_xlfn.IFS(D865&gt;=21,"Night",D865&gt;=17,"Evening",D865&gt;=12,"Midday",D865&gt;=6,"Morning", TRUE, "Night")</f>
        <v>Morning</v>
      </c>
      <c r="F865" s="28">
        <v>1</v>
      </c>
      <c r="G865" s="28">
        <v>0</v>
      </c>
      <c r="H865" s="28">
        <v>2</v>
      </c>
      <c r="I865" s="28">
        <v>2</v>
      </c>
      <c r="J865" s="40" t="str">
        <f t="shared" si="82"/>
        <v>Weekday</v>
      </c>
      <c r="K865" s="28" t="b">
        <v>0</v>
      </c>
      <c r="L865" s="28">
        <v>1</v>
      </c>
      <c r="M865" s="40" t="str" cm="1">
        <f t="array" ref="M865">_xlfn.IFS(L865=1,"Clear / Partly Cloudy",L865=2,"Mist / Cloudy",L865=3,"Light Snow / Rain",L865=4,"Heavy Precipitation")</f>
        <v>Clear / Partly Cloudy</v>
      </c>
      <c r="N865" s="28">
        <v>0.24</v>
      </c>
      <c r="O865" s="28" t="str">
        <f t="shared" si="83"/>
        <v>Mild</v>
      </c>
      <c r="P865" s="28">
        <v>0.19700000000000001</v>
      </c>
      <c r="Q865" s="38">
        <f t="shared" si="79"/>
        <v>0.19700000000000001</v>
      </c>
      <c r="R865" s="28">
        <v>0.52</v>
      </c>
      <c r="S865" s="28">
        <v>0.49249999999999999</v>
      </c>
      <c r="T865" s="40" t="str" cm="1">
        <f t="array" ref="T865">_xlfn.IFS(S865*18.6&lt;2,"Calm",S865*18.6&lt;6,"Light Breeze",S865*18.6&lt;14,"Gale",TRUE,"Extreme Storm")</f>
        <v>Gale</v>
      </c>
      <c r="U865" s="28">
        <v>7</v>
      </c>
      <c r="V865" s="28">
        <v>128</v>
      </c>
      <c r="W865" s="28">
        <v>135</v>
      </c>
      <c r="X865" s="44">
        <f>AVERAGE(INDEX($W:$W,MAX(ROW($W$3),ROW()-23)):INDEX($W:$W,ROW()))</f>
        <v>72.583333333333329</v>
      </c>
      <c r="Y865" s="44">
        <f>_xlfn.STDEV.S(INDEX($W:$W,MAX(ROW($W$3),ROW()-23)):INDEX($W:$W,ROW()))</f>
        <v>67.488431644224036</v>
      </c>
      <c r="Z865" s="44">
        <f t="shared" si="80"/>
        <v>0.92484986161340987</v>
      </c>
      <c r="AA865" s="40" t="b">
        <f t="shared" si="78"/>
        <v>0</v>
      </c>
    </row>
    <row r="866" spans="1:27" x14ac:dyDescent="0.3">
      <c r="A866" s="32">
        <v>864</v>
      </c>
      <c r="B866" s="33">
        <v>40582</v>
      </c>
      <c r="C866" s="40" t="str">
        <f t="shared" si="81"/>
        <v>Tuesday</v>
      </c>
      <c r="D866" s="28">
        <v>10</v>
      </c>
      <c r="E866" s="40" t="str" cm="1">
        <f t="array" ref="E866">_xlfn.IFS(D866&gt;=21,"Night",D866&gt;=17,"Evening",D866&gt;=12,"Midday",D866&gt;=6,"Morning", TRUE, "Night")</f>
        <v>Morning</v>
      </c>
      <c r="F866" s="28">
        <v>1</v>
      </c>
      <c r="G866" s="28">
        <v>0</v>
      </c>
      <c r="H866" s="28">
        <v>2</v>
      </c>
      <c r="I866" s="28">
        <v>2</v>
      </c>
      <c r="J866" s="40" t="str">
        <f t="shared" si="82"/>
        <v>Weekday</v>
      </c>
      <c r="K866" s="28" t="b">
        <v>0</v>
      </c>
      <c r="L866" s="28">
        <v>1</v>
      </c>
      <c r="M866" s="40" t="str" cm="1">
        <f t="array" ref="M866">_xlfn.IFS(L866=1,"Clear / Partly Cloudy",L866=2,"Mist / Cloudy",L866=3,"Light Snow / Rain",L866=4,"Heavy Precipitation")</f>
        <v>Clear / Partly Cloudy</v>
      </c>
      <c r="N866" s="28">
        <v>0.22</v>
      </c>
      <c r="O866" s="28" t="str">
        <f t="shared" si="83"/>
        <v>Mild</v>
      </c>
      <c r="P866" s="28">
        <v>0.18179999999999999</v>
      </c>
      <c r="Q866" s="38">
        <f t="shared" si="79"/>
        <v>0.18179999999999999</v>
      </c>
      <c r="R866" s="28">
        <v>0.47</v>
      </c>
      <c r="S866" s="28">
        <v>0.55220000000000002</v>
      </c>
      <c r="T866" s="40" t="str" cm="1">
        <f t="array" ref="T866">_xlfn.IFS(S866*18.6&lt;2,"Calm",S866*18.6&lt;6,"Light Breeze",S866*18.6&lt;14,"Gale",TRUE,"Extreme Storm")</f>
        <v>Gale</v>
      </c>
      <c r="U866" s="28">
        <v>4</v>
      </c>
      <c r="V866" s="28">
        <v>44</v>
      </c>
      <c r="W866" s="28">
        <v>48</v>
      </c>
      <c r="X866" s="44">
        <f>AVERAGE(INDEX($W:$W,MAX(ROW($W$3),ROW()-23)):INDEX($W:$W,ROW()))</f>
        <v>72.291666666666671</v>
      </c>
      <c r="Y866" s="44">
        <f>_xlfn.STDEV.S(INDEX($W:$W,MAX(ROW($W$3),ROW()-23)):INDEX($W:$W,ROW()))</f>
        <v>67.582786055433473</v>
      </c>
      <c r="Z866" s="44">
        <f t="shared" si="80"/>
        <v>-0.35943570966047333</v>
      </c>
      <c r="AA866" s="40" t="b">
        <f t="shared" si="78"/>
        <v>0</v>
      </c>
    </row>
    <row r="867" spans="1:27" x14ac:dyDescent="0.3">
      <c r="A867" s="32">
        <v>865</v>
      </c>
      <c r="B867" s="33">
        <v>40582</v>
      </c>
      <c r="C867" s="40" t="str">
        <f t="shared" si="81"/>
        <v>Tuesday</v>
      </c>
      <c r="D867" s="28">
        <v>11</v>
      </c>
      <c r="E867" s="40" t="str" cm="1">
        <f t="array" ref="E867">_xlfn.IFS(D867&gt;=21,"Night",D867&gt;=17,"Evening",D867&gt;=12,"Midday",D867&gt;=6,"Morning", TRUE, "Night")</f>
        <v>Morning</v>
      </c>
      <c r="F867" s="28">
        <v>1</v>
      </c>
      <c r="G867" s="28">
        <v>0</v>
      </c>
      <c r="H867" s="28">
        <v>2</v>
      </c>
      <c r="I867" s="28">
        <v>2</v>
      </c>
      <c r="J867" s="40" t="str">
        <f t="shared" si="82"/>
        <v>Weekday</v>
      </c>
      <c r="K867" s="28" t="b">
        <v>0</v>
      </c>
      <c r="L867" s="28">
        <v>1</v>
      </c>
      <c r="M867" s="40" t="str" cm="1">
        <f t="array" ref="M867">_xlfn.IFS(L867=1,"Clear / Partly Cloudy",L867=2,"Mist / Cloudy",L867=3,"Light Snow / Rain",L867=4,"Heavy Precipitation")</f>
        <v>Clear / Partly Cloudy</v>
      </c>
      <c r="N867" s="28">
        <v>0.22</v>
      </c>
      <c r="O867" s="28" t="str">
        <f t="shared" si="83"/>
        <v>Mild</v>
      </c>
      <c r="P867" s="28">
        <v>0.18179999999999999</v>
      </c>
      <c r="Q867" s="38">
        <f t="shared" si="79"/>
        <v>0.18179999999999999</v>
      </c>
      <c r="R867" s="28">
        <v>0.47</v>
      </c>
      <c r="S867" s="28">
        <v>0.4627</v>
      </c>
      <c r="T867" s="40" t="str" cm="1">
        <f t="array" ref="T867">_xlfn.IFS(S867*18.6&lt;2,"Calm",S867*18.6&lt;6,"Light Breeze",S867*18.6&lt;14,"Gale",TRUE,"Extreme Storm")</f>
        <v>Gale</v>
      </c>
      <c r="U867" s="28">
        <v>1</v>
      </c>
      <c r="V867" s="28">
        <v>49</v>
      </c>
      <c r="W867" s="28">
        <v>50</v>
      </c>
      <c r="X867" s="44">
        <f>AVERAGE(INDEX($W:$W,MAX(ROW($W$3),ROW()-23)):INDEX($W:$W,ROW()))</f>
        <v>72.416666666666671</v>
      </c>
      <c r="Y867" s="44">
        <f>_xlfn.STDEV.S(INDEX($W:$W,MAX(ROW($W$3),ROW()-23)):INDEX($W:$W,ROW()))</f>
        <v>67.536731820006921</v>
      </c>
      <c r="Z867" s="44">
        <f t="shared" si="80"/>
        <v>-0.33191814383926127</v>
      </c>
      <c r="AA867" s="40" t="b">
        <f t="shared" si="78"/>
        <v>0</v>
      </c>
    </row>
    <row r="868" spans="1:27" x14ac:dyDescent="0.3">
      <c r="A868" s="32">
        <v>866</v>
      </c>
      <c r="B868" s="33">
        <v>40582</v>
      </c>
      <c r="C868" s="40" t="str">
        <f t="shared" si="81"/>
        <v>Tuesday</v>
      </c>
      <c r="D868" s="28">
        <v>12</v>
      </c>
      <c r="E868" s="40" t="str" cm="1">
        <f t="array" ref="E868">_xlfn.IFS(D868&gt;=21,"Night",D868&gt;=17,"Evening",D868&gt;=12,"Midday",D868&gt;=6,"Morning", TRUE, "Night")</f>
        <v>Midday</v>
      </c>
      <c r="F868" s="28">
        <v>1</v>
      </c>
      <c r="G868" s="28">
        <v>0</v>
      </c>
      <c r="H868" s="28">
        <v>2</v>
      </c>
      <c r="I868" s="28">
        <v>2</v>
      </c>
      <c r="J868" s="40" t="str">
        <f t="shared" si="82"/>
        <v>Weekday</v>
      </c>
      <c r="K868" s="28" t="b">
        <v>0</v>
      </c>
      <c r="L868" s="28">
        <v>1</v>
      </c>
      <c r="M868" s="40" t="str" cm="1">
        <f t="array" ref="M868">_xlfn.IFS(L868=1,"Clear / Partly Cloudy",L868=2,"Mist / Cloudy",L868=3,"Light Snow / Rain",L868=4,"Heavy Precipitation")</f>
        <v>Clear / Partly Cloudy</v>
      </c>
      <c r="N868" s="28">
        <v>0.24</v>
      </c>
      <c r="O868" s="28" t="str">
        <f t="shared" si="83"/>
        <v>Mild</v>
      </c>
      <c r="P868" s="28">
        <v>0.19700000000000001</v>
      </c>
      <c r="Q868" s="38">
        <f t="shared" si="79"/>
        <v>0.19700000000000001</v>
      </c>
      <c r="R868" s="28">
        <v>0.38</v>
      </c>
      <c r="S868" s="28">
        <v>0.49249999999999999</v>
      </c>
      <c r="T868" s="40" t="str" cm="1">
        <f t="array" ref="T868">_xlfn.IFS(S868*18.6&lt;2,"Calm",S868*18.6&lt;6,"Light Breeze",S868*18.6&lt;14,"Gale",TRUE,"Extreme Storm")</f>
        <v>Gale</v>
      </c>
      <c r="U868" s="28">
        <v>2</v>
      </c>
      <c r="V868" s="28">
        <v>63</v>
      </c>
      <c r="W868" s="28">
        <v>65</v>
      </c>
      <c r="X868" s="44">
        <f>AVERAGE(INDEX($W:$W,MAX(ROW($W$3),ROW()-23)):INDEX($W:$W,ROW()))</f>
        <v>72.375</v>
      </c>
      <c r="Y868" s="44">
        <f>_xlfn.STDEV.S(INDEX($W:$W,MAX(ROW($W$3),ROW()-23)):INDEX($W:$W,ROW()))</f>
        <v>67.541171018932559</v>
      </c>
      <c r="Z868" s="44">
        <f t="shared" si="80"/>
        <v>-0.10919265817782021</v>
      </c>
      <c r="AA868" s="40" t="b">
        <f t="shared" si="78"/>
        <v>0</v>
      </c>
    </row>
    <row r="869" spans="1:27" x14ac:dyDescent="0.3">
      <c r="A869" s="32">
        <v>867</v>
      </c>
      <c r="B869" s="33">
        <v>40582</v>
      </c>
      <c r="C869" s="40" t="str">
        <f t="shared" si="81"/>
        <v>Tuesday</v>
      </c>
      <c r="D869" s="28">
        <v>13</v>
      </c>
      <c r="E869" s="40" t="str" cm="1">
        <f t="array" ref="E869">_xlfn.IFS(D869&gt;=21,"Night",D869&gt;=17,"Evening",D869&gt;=12,"Midday",D869&gt;=6,"Morning", TRUE, "Night")</f>
        <v>Midday</v>
      </c>
      <c r="F869" s="28">
        <v>1</v>
      </c>
      <c r="G869" s="28">
        <v>0</v>
      </c>
      <c r="H869" s="28">
        <v>2</v>
      </c>
      <c r="I869" s="28">
        <v>2</v>
      </c>
      <c r="J869" s="40" t="str">
        <f t="shared" si="82"/>
        <v>Weekday</v>
      </c>
      <c r="K869" s="28" t="b">
        <v>0</v>
      </c>
      <c r="L869" s="28">
        <v>2</v>
      </c>
      <c r="M869" s="40" t="str" cm="1">
        <f t="array" ref="M869">_xlfn.IFS(L869=1,"Clear / Partly Cloudy",L869=2,"Mist / Cloudy",L869=3,"Light Snow / Rain",L869=4,"Heavy Precipitation")</f>
        <v>Mist / Cloudy</v>
      </c>
      <c r="N869" s="28">
        <v>0.24</v>
      </c>
      <c r="O869" s="28" t="str">
        <f t="shared" si="83"/>
        <v>Mild</v>
      </c>
      <c r="P869" s="28">
        <v>0.19700000000000001</v>
      </c>
      <c r="Q869" s="38">
        <f t="shared" si="79"/>
        <v>0.19700000000000001</v>
      </c>
      <c r="R869" s="28">
        <v>0.32</v>
      </c>
      <c r="S869" s="28">
        <v>0.44779999999999998</v>
      </c>
      <c r="T869" s="40" t="str" cm="1">
        <f t="array" ref="T869">_xlfn.IFS(S869*18.6&lt;2,"Calm",S869*18.6&lt;6,"Light Breeze",S869*18.6&lt;14,"Gale",TRUE,"Extreme Storm")</f>
        <v>Gale</v>
      </c>
      <c r="U869" s="28">
        <v>2</v>
      </c>
      <c r="V869" s="28">
        <v>48</v>
      </c>
      <c r="W869" s="28">
        <v>50</v>
      </c>
      <c r="X869" s="44">
        <f>AVERAGE(INDEX($W:$W,MAX(ROW($W$3),ROW()-23)):INDEX($W:$W,ROW()))</f>
        <v>71.791666666666671</v>
      </c>
      <c r="Y869" s="44">
        <f>_xlfn.STDEV.S(INDEX($W:$W,MAX(ROW($W$3),ROW()-23)):INDEX($W:$W,ROW()))</f>
        <v>67.676968766702871</v>
      </c>
      <c r="Z869" s="44">
        <f t="shared" si="80"/>
        <v>-0.32199531190274278</v>
      </c>
      <c r="AA869" s="40" t="b">
        <f t="shared" si="78"/>
        <v>0</v>
      </c>
    </row>
    <row r="870" spans="1:27" x14ac:dyDescent="0.3">
      <c r="A870" s="32">
        <v>868</v>
      </c>
      <c r="B870" s="33">
        <v>40582</v>
      </c>
      <c r="C870" s="40" t="str">
        <f t="shared" si="81"/>
        <v>Tuesday</v>
      </c>
      <c r="D870" s="28">
        <v>14</v>
      </c>
      <c r="E870" s="40" t="str" cm="1">
        <f t="array" ref="E870">_xlfn.IFS(D870&gt;=21,"Night",D870&gt;=17,"Evening",D870&gt;=12,"Midday",D870&gt;=6,"Morning", TRUE, "Night")</f>
        <v>Midday</v>
      </c>
      <c r="F870" s="28">
        <v>1</v>
      </c>
      <c r="G870" s="28">
        <v>0</v>
      </c>
      <c r="H870" s="28">
        <v>2</v>
      </c>
      <c r="I870" s="28">
        <v>2</v>
      </c>
      <c r="J870" s="40" t="str">
        <f t="shared" si="82"/>
        <v>Weekday</v>
      </c>
      <c r="K870" s="28" t="b">
        <v>0</v>
      </c>
      <c r="L870" s="28">
        <v>1</v>
      </c>
      <c r="M870" s="40" t="str" cm="1">
        <f t="array" ref="M870">_xlfn.IFS(L870=1,"Clear / Partly Cloudy",L870=2,"Mist / Cloudy",L870=3,"Light Snow / Rain",L870=4,"Heavy Precipitation")</f>
        <v>Clear / Partly Cloudy</v>
      </c>
      <c r="N870" s="28">
        <v>0.22</v>
      </c>
      <c r="O870" s="28" t="str">
        <f t="shared" si="83"/>
        <v>Mild</v>
      </c>
      <c r="P870" s="28">
        <v>0.19700000000000001</v>
      </c>
      <c r="Q870" s="38">
        <f t="shared" si="79"/>
        <v>0.19700000000000001</v>
      </c>
      <c r="R870" s="28">
        <v>0.37</v>
      </c>
      <c r="S870" s="28">
        <v>0.41789999999999999</v>
      </c>
      <c r="T870" s="40" t="str" cm="1">
        <f t="array" ref="T870">_xlfn.IFS(S870*18.6&lt;2,"Calm",S870*18.6&lt;6,"Light Breeze",S870*18.6&lt;14,"Gale",TRUE,"Extreme Storm")</f>
        <v>Gale</v>
      </c>
      <c r="U870" s="28">
        <v>3</v>
      </c>
      <c r="V870" s="28">
        <v>61</v>
      </c>
      <c r="W870" s="28">
        <v>64</v>
      </c>
      <c r="X870" s="44">
        <f>AVERAGE(INDEX($W:$W,MAX(ROW($W$3),ROW()-23)):INDEX($W:$W,ROW()))</f>
        <v>71.958333333333329</v>
      </c>
      <c r="Y870" s="44">
        <f>_xlfn.STDEV.S(INDEX($W:$W,MAX(ROW($W$3),ROW()-23)):INDEX($W:$W,ROW()))</f>
        <v>67.651587703767746</v>
      </c>
      <c r="Z870" s="44">
        <f t="shared" si="80"/>
        <v>-0.1176370518927245</v>
      </c>
      <c r="AA870" s="40" t="b">
        <f t="shared" si="78"/>
        <v>0</v>
      </c>
    </row>
    <row r="871" spans="1:27" x14ac:dyDescent="0.3">
      <c r="A871" s="32">
        <v>869</v>
      </c>
      <c r="B871" s="33">
        <v>40582</v>
      </c>
      <c r="C871" s="40" t="str">
        <f t="shared" si="81"/>
        <v>Tuesday</v>
      </c>
      <c r="D871" s="28">
        <v>15</v>
      </c>
      <c r="E871" s="40" t="str" cm="1">
        <f t="array" ref="E871">_xlfn.IFS(D871&gt;=21,"Night",D871&gt;=17,"Evening",D871&gt;=12,"Midday",D871&gt;=6,"Morning", TRUE, "Night")</f>
        <v>Midday</v>
      </c>
      <c r="F871" s="28">
        <v>1</v>
      </c>
      <c r="G871" s="28">
        <v>0</v>
      </c>
      <c r="H871" s="28">
        <v>2</v>
      </c>
      <c r="I871" s="28">
        <v>2</v>
      </c>
      <c r="J871" s="40" t="str">
        <f t="shared" si="82"/>
        <v>Weekday</v>
      </c>
      <c r="K871" s="28" t="b">
        <v>0</v>
      </c>
      <c r="L871" s="28">
        <v>1</v>
      </c>
      <c r="M871" s="40" t="str" cm="1">
        <f t="array" ref="M871">_xlfn.IFS(L871=1,"Clear / Partly Cloudy",L871=2,"Mist / Cloudy",L871=3,"Light Snow / Rain",L871=4,"Heavy Precipitation")</f>
        <v>Clear / Partly Cloudy</v>
      </c>
      <c r="N871" s="28">
        <v>0.22</v>
      </c>
      <c r="O871" s="28" t="str">
        <f t="shared" si="83"/>
        <v>Mild</v>
      </c>
      <c r="P871" s="28">
        <v>0.19700000000000001</v>
      </c>
      <c r="Q871" s="38">
        <f t="shared" si="79"/>
        <v>0.19700000000000001</v>
      </c>
      <c r="R871" s="28">
        <v>0.35</v>
      </c>
      <c r="S871" s="28">
        <v>0.3881</v>
      </c>
      <c r="T871" s="40" t="str" cm="1">
        <f t="array" ref="T871">_xlfn.IFS(S871*18.6&lt;2,"Calm",S871*18.6&lt;6,"Light Breeze",S871*18.6&lt;14,"Gale",TRUE,"Extreme Storm")</f>
        <v>Gale</v>
      </c>
      <c r="U871" s="28">
        <v>6</v>
      </c>
      <c r="V871" s="28">
        <v>45</v>
      </c>
      <c r="W871" s="28">
        <v>51</v>
      </c>
      <c r="X871" s="44">
        <f>AVERAGE(INDEX($W:$W,MAX(ROW($W$3),ROW()-23)):INDEX($W:$W,ROW()))</f>
        <v>72</v>
      </c>
      <c r="Y871" s="44">
        <f>_xlfn.STDEV.S(INDEX($W:$W,MAX(ROW($W$3),ROW()-23)):INDEX($W:$W,ROW()))</f>
        <v>67.637782083813121</v>
      </c>
      <c r="Z871" s="44">
        <f t="shared" si="80"/>
        <v>-0.31047735973923457</v>
      </c>
      <c r="AA871" s="40" t="b">
        <f t="shared" si="78"/>
        <v>0</v>
      </c>
    </row>
    <row r="872" spans="1:27" x14ac:dyDescent="0.3">
      <c r="A872" s="32">
        <v>870</v>
      </c>
      <c r="B872" s="33">
        <v>40582</v>
      </c>
      <c r="C872" s="40" t="str">
        <f t="shared" si="81"/>
        <v>Tuesday</v>
      </c>
      <c r="D872" s="28">
        <v>16</v>
      </c>
      <c r="E872" s="40" t="str" cm="1">
        <f t="array" ref="E872">_xlfn.IFS(D872&gt;=21,"Night",D872&gt;=17,"Evening",D872&gt;=12,"Midday",D872&gt;=6,"Morning", TRUE, "Night")</f>
        <v>Midday</v>
      </c>
      <c r="F872" s="28">
        <v>1</v>
      </c>
      <c r="G872" s="28">
        <v>0</v>
      </c>
      <c r="H872" s="28">
        <v>2</v>
      </c>
      <c r="I872" s="28">
        <v>2</v>
      </c>
      <c r="J872" s="40" t="str">
        <f t="shared" si="82"/>
        <v>Weekday</v>
      </c>
      <c r="K872" s="28" t="b">
        <v>0</v>
      </c>
      <c r="L872" s="28">
        <v>1</v>
      </c>
      <c r="M872" s="40" t="str" cm="1">
        <f t="array" ref="M872">_xlfn.IFS(L872=1,"Clear / Partly Cloudy",L872=2,"Mist / Cloudy",L872=3,"Light Snow / Rain",L872=4,"Heavy Precipitation")</f>
        <v>Clear / Partly Cloudy</v>
      </c>
      <c r="N872" s="28">
        <v>0.22</v>
      </c>
      <c r="O872" s="28" t="str">
        <f t="shared" si="83"/>
        <v>Mild</v>
      </c>
      <c r="P872" s="28">
        <v>0.18179999999999999</v>
      </c>
      <c r="Q872" s="38">
        <f t="shared" si="79"/>
        <v>0.18179999999999999</v>
      </c>
      <c r="R872" s="28">
        <v>0.35</v>
      </c>
      <c r="S872" s="28">
        <v>0.52239999999999998</v>
      </c>
      <c r="T872" s="40" t="str" cm="1">
        <f t="array" ref="T872">_xlfn.IFS(S872*18.6&lt;2,"Calm",S872*18.6&lt;6,"Light Breeze",S872*18.6&lt;14,"Gale",TRUE,"Extreme Storm")</f>
        <v>Gale</v>
      </c>
      <c r="U872" s="28">
        <v>4</v>
      </c>
      <c r="V872" s="28">
        <v>79</v>
      </c>
      <c r="W872" s="28">
        <v>83</v>
      </c>
      <c r="X872" s="44">
        <f>AVERAGE(INDEX($W:$W,MAX(ROW($W$3),ROW()-23)):INDEX($W:$W,ROW()))</f>
        <v>70.708333333333329</v>
      </c>
      <c r="Y872" s="44">
        <f>_xlfn.STDEV.S(INDEX($W:$W,MAX(ROW($W$3),ROW()-23)):INDEX($W:$W,ROW()))</f>
        <v>67.094663279427152</v>
      </c>
      <c r="Z872" s="44">
        <f t="shared" si="80"/>
        <v>0.18319887254632955</v>
      </c>
      <c r="AA872" s="40" t="b">
        <f t="shared" si="78"/>
        <v>0</v>
      </c>
    </row>
    <row r="873" spans="1:27" x14ac:dyDescent="0.3">
      <c r="A873" s="32">
        <v>871</v>
      </c>
      <c r="B873" s="33">
        <v>40582</v>
      </c>
      <c r="C873" s="40" t="str">
        <f t="shared" si="81"/>
        <v>Tuesday</v>
      </c>
      <c r="D873" s="28">
        <v>17</v>
      </c>
      <c r="E873" s="40" t="str" cm="1">
        <f t="array" ref="E873">_xlfn.IFS(D873&gt;=21,"Night",D873&gt;=17,"Evening",D873&gt;=12,"Midday",D873&gt;=6,"Morning", TRUE, "Night")</f>
        <v>Evening</v>
      </c>
      <c r="F873" s="28">
        <v>1</v>
      </c>
      <c r="G873" s="28">
        <v>0</v>
      </c>
      <c r="H873" s="28">
        <v>2</v>
      </c>
      <c r="I873" s="28">
        <v>2</v>
      </c>
      <c r="J873" s="40" t="str">
        <f t="shared" si="82"/>
        <v>Weekday</v>
      </c>
      <c r="K873" s="28" t="b">
        <v>0</v>
      </c>
      <c r="L873" s="28">
        <v>1</v>
      </c>
      <c r="M873" s="40" t="str" cm="1">
        <f t="array" ref="M873">_xlfn.IFS(L873=1,"Clear / Partly Cloudy",L873=2,"Mist / Cloudy",L873=3,"Light Snow / Rain",L873=4,"Heavy Precipitation")</f>
        <v>Clear / Partly Cloudy</v>
      </c>
      <c r="N873" s="28">
        <v>0.22</v>
      </c>
      <c r="O873" s="28" t="str">
        <f t="shared" si="83"/>
        <v>Mild</v>
      </c>
      <c r="P873" s="28">
        <v>0.18179999999999999</v>
      </c>
      <c r="Q873" s="38">
        <f t="shared" si="79"/>
        <v>0.18179999999999999</v>
      </c>
      <c r="R873" s="28">
        <v>0.32</v>
      </c>
      <c r="S873" s="28">
        <v>0.58209999999999995</v>
      </c>
      <c r="T873" s="40" t="str" cm="1">
        <f t="array" ref="T873">_xlfn.IFS(S873*18.6&lt;2,"Calm",S873*18.6&lt;6,"Light Breeze",S873*18.6&lt;14,"Gale",TRUE,"Extreme Storm")</f>
        <v>Gale</v>
      </c>
      <c r="U873" s="28">
        <v>4</v>
      </c>
      <c r="V873" s="28">
        <v>172</v>
      </c>
      <c r="W873" s="28">
        <v>176</v>
      </c>
      <c r="X873" s="44">
        <f>AVERAGE(INDEX($W:$W,MAX(ROW($W$3),ROW()-23)):INDEX($W:$W,ROW()))</f>
        <v>69.041666666666671</v>
      </c>
      <c r="Y873" s="44">
        <f>_xlfn.STDEV.S(INDEX($W:$W,MAX(ROW($W$3),ROW()-23)):INDEX($W:$W,ROW()))</f>
        <v>63.741651911491886</v>
      </c>
      <c r="Z873" s="44">
        <f t="shared" si="80"/>
        <v>1.6779975122365784</v>
      </c>
      <c r="AA873" s="40" t="b">
        <f t="shared" si="78"/>
        <v>0</v>
      </c>
    </row>
    <row r="874" spans="1:27" x14ac:dyDescent="0.3">
      <c r="A874" s="32">
        <v>872</v>
      </c>
      <c r="B874" s="33">
        <v>40582</v>
      </c>
      <c r="C874" s="40" t="str">
        <f t="shared" si="81"/>
        <v>Tuesday</v>
      </c>
      <c r="D874" s="28">
        <v>18</v>
      </c>
      <c r="E874" s="40" t="str" cm="1">
        <f t="array" ref="E874">_xlfn.IFS(D874&gt;=21,"Night",D874&gt;=17,"Evening",D874&gt;=12,"Midday",D874&gt;=6,"Morning", TRUE, "Night")</f>
        <v>Evening</v>
      </c>
      <c r="F874" s="28">
        <v>1</v>
      </c>
      <c r="G874" s="28">
        <v>0</v>
      </c>
      <c r="H874" s="28">
        <v>2</v>
      </c>
      <c r="I874" s="28">
        <v>2</v>
      </c>
      <c r="J874" s="40" t="str">
        <f t="shared" si="82"/>
        <v>Weekday</v>
      </c>
      <c r="K874" s="28" t="b">
        <v>0</v>
      </c>
      <c r="L874" s="28">
        <v>1</v>
      </c>
      <c r="M874" s="40" t="str" cm="1">
        <f t="array" ref="M874">_xlfn.IFS(L874=1,"Clear / Partly Cloudy",L874=2,"Mist / Cloudy",L874=3,"Light Snow / Rain",L874=4,"Heavy Precipitation")</f>
        <v>Clear / Partly Cloudy</v>
      </c>
      <c r="N874" s="28">
        <v>0.2</v>
      </c>
      <c r="O874" s="28" t="str">
        <f t="shared" si="83"/>
        <v>Mild</v>
      </c>
      <c r="P874" s="28">
        <v>0.18179999999999999</v>
      </c>
      <c r="Q874" s="38">
        <f t="shared" si="79"/>
        <v>0.18179999999999999</v>
      </c>
      <c r="R874" s="28">
        <v>0.32</v>
      </c>
      <c r="S874" s="28">
        <v>0.3881</v>
      </c>
      <c r="T874" s="40" t="str" cm="1">
        <f t="array" ref="T874">_xlfn.IFS(S874*18.6&lt;2,"Calm",S874*18.6&lt;6,"Light Breeze",S874*18.6&lt;14,"Gale",TRUE,"Extreme Storm")</f>
        <v>Gale</v>
      </c>
      <c r="U874" s="28">
        <v>1</v>
      </c>
      <c r="V874" s="28">
        <v>151</v>
      </c>
      <c r="W874" s="28">
        <v>152</v>
      </c>
      <c r="X874" s="44">
        <f>AVERAGE(INDEX($W:$W,MAX(ROW($W$3),ROW()-23)):INDEX($W:$W,ROW()))</f>
        <v>68.083333333333329</v>
      </c>
      <c r="Y874" s="44">
        <f>_xlfn.STDEV.S(INDEX($W:$W,MAX(ROW($W$3),ROW()-23)):INDEX($W:$W,ROW()))</f>
        <v>62.234421250669612</v>
      </c>
      <c r="Z874" s="44">
        <f t="shared" si="80"/>
        <v>1.3483963533406165</v>
      </c>
      <c r="AA874" s="40" t="b">
        <f t="shared" si="78"/>
        <v>0</v>
      </c>
    </row>
    <row r="875" spans="1:27" x14ac:dyDescent="0.3">
      <c r="A875" s="32">
        <v>873</v>
      </c>
      <c r="B875" s="33">
        <v>40582</v>
      </c>
      <c r="C875" s="40" t="str">
        <f t="shared" si="81"/>
        <v>Tuesday</v>
      </c>
      <c r="D875" s="28">
        <v>19</v>
      </c>
      <c r="E875" s="40" t="str" cm="1">
        <f t="array" ref="E875">_xlfn.IFS(D875&gt;=21,"Night",D875&gt;=17,"Evening",D875&gt;=12,"Midday",D875&gt;=6,"Morning", TRUE, "Night")</f>
        <v>Evening</v>
      </c>
      <c r="F875" s="28">
        <v>1</v>
      </c>
      <c r="G875" s="28">
        <v>0</v>
      </c>
      <c r="H875" s="28">
        <v>2</v>
      </c>
      <c r="I875" s="28">
        <v>2</v>
      </c>
      <c r="J875" s="40" t="str">
        <f t="shared" si="82"/>
        <v>Weekday</v>
      </c>
      <c r="K875" s="28" t="b">
        <v>0</v>
      </c>
      <c r="L875" s="28">
        <v>1</v>
      </c>
      <c r="M875" s="40" t="str" cm="1">
        <f t="array" ref="M875">_xlfn.IFS(L875=1,"Clear / Partly Cloudy",L875=2,"Mist / Cloudy",L875=3,"Light Snow / Rain",L875=4,"Heavy Precipitation")</f>
        <v>Clear / Partly Cloudy</v>
      </c>
      <c r="N875" s="28">
        <v>0.16</v>
      </c>
      <c r="O875" s="28" t="str">
        <f t="shared" si="83"/>
        <v>Cold</v>
      </c>
      <c r="P875" s="28">
        <v>0.1212</v>
      </c>
      <c r="Q875" s="38">
        <f t="shared" si="79"/>
        <v>0.1212</v>
      </c>
      <c r="R875" s="28">
        <v>0.4</v>
      </c>
      <c r="S875" s="28">
        <v>0.4627</v>
      </c>
      <c r="T875" s="40" t="str" cm="1">
        <f t="array" ref="T875">_xlfn.IFS(S875*18.6&lt;2,"Calm",S875*18.6&lt;6,"Light Breeze",S875*18.6&lt;14,"Gale",TRUE,"Extreme Storm")</f>
        <v>Gale</v>
      </c>
      <c r="U875" s="28">
        <v>1</v>
      </c>
      <c r="V875" s="28">
        <v>100</v>
      </c>
      <c r="W875" s="28">
        <v>101</v>
      </c>
      <c r="X875" s="44">
        <f>AVERAGE(INDEX($W:$W,MAX(ROW($W$3),ROW()-23)):INDEX($W:$W,ROW()))</f>
        <v>66.958333333333329</v>
      </c>
      <c r="Y875" s="44">
        <f>_xlfn.STDEV.S(INDEX($W:$W,MAX(ROW($W$3),ROW()-23)):INDEX($W:$W,ROW()))</f>
        <v>61.341863970393973</v>
      </c>
      <c r="Z875" s="44">
        <f t="shared" si="80"/>
        <v>0.55494998787608629</v>
      </c>
      <c r="AA875" s="40" t="b">
        <f t="shared" si="78"/>
        <v>0</v>
      </c>
    </row>
    <row r="876" spans="1:27" x14ac:dyDescent="0.3">
      <c r="A876" s="32">
        <v>874</v>
      </c>
      <c r="B876" s="33">
        <v>40582</v>
      </c>
      <c r="C876" s="40" t="str">
        <f t="shared" si="81"/>
        <v>Tuesday</v>
      </c>
      <c r="D876" s="28">
        <v>20</v>
      </c>
      <c r="E876" s="40" t="str" cm="1">
        <f t="array" ref="E876">_xlfn.IFS(D876&gt;=21,"Night",D876&gt;=17,"Evening",D876&gt;=12,"Midday",D876&gt;=6,"Morning", TRUE, "Night")</f>
        <v>Evening</v>
      </c>
      <c r="F876" s="28">
        <v>1</v>
      </c>
      <c r="G876" s="28">
        <v>0</v>
      </c>
      <c r="H876" s="28">
        <v>2</v>
      </c>
      <c r="I876" s="28">
        <v>2</v>
      </c>
      <c r="J876" s="40" t="str">
        <f t="shared" si="82"/>
        <v>Weekday</v>
      </c>
      <c r="K876" s="28" t="b">
        <v>0</v>
      </c>
      <c r="L876" s="28">
        <v>1</v>
      </c>
      <c r="M876" s="40" t="str" cm="1">
        <f t="array" ref="M876">_xlfn.IFS(L876=1,"Clear / Partly Cloudy",L876=2,"Mist / Cloudy",L876=3,"Light Snow / Rain",L876=4,"Heavy Precipitation")</f>
        <v>Clear / Partly Cloudy</v>
      </c>
      <c r="N876" s="28">
        <v>0.16</v>
      </c>
      <c r="O876" s="28" t="str">
        <f t="shared" si="83"/>
        <v>Cold</v>
      </c>
      <c r="P876" s="28">
        <v>0.13639999999999999</v>
      </c>
      <c r="Q876" s="38">
        <f t="shared" si="79"/>
        <v>0.13639999999999999</v>
      </c>
      <c r="R876" s="28">
        <v>0.4</v>
      </c>
      <c r="S876" s="28">
        <v>0.32840000000000003</v>
      </c>
      <c r="T876" s="40" t="str" cm="1">
        <f t="array" ref="T876">_xlfn.IFS(S876*18.6&lt;2,"Calm",S876*18.6&lt;6,"Light Breeze",S876*18.6&lt;14,"Gale",TRUE,"Extreme Storm")</f>
        <v>Gale</v>
      </c>
      <c r="U876" s="28">
        <v>3</v>
      </c>
      <c r="V876" s="28">
        <v>53</v>
      </c>
      <c r="W876" s="28">
        <v>56</v>
      </c>
      <c r="X876" s="44">
        <f>AVERAGE(INDEX($W:$W,MAX(ROW($W$3),ROW()-23)):INDEX($W:$W,ROW()))</f>
        <v>65.625</v>
      </c>
      <c r="Y876" s="44">
        <f>_xlfn.STDEV.S(INDEX($W:$W,MAX(ROW($W$3),ROW()-23)):INDEX($W:$W,ROW()))</f>
        <v>61.212255450941392</v>
      </c>
      <c r="Z876" s="44">
        <f t="shared" si="80"/>
        <v>-0.15723975418148026</v>
      </c>
      <c r="AA876" s="40" t="b">
        <f t="shared" si="78"/>
        <v>0</v>
      </c>
    </row>
    <row r="877" spans="1:27" x14ac:dyDescent="0.3">
      <c r="A877" s="32">
        <v>875</v>
      </c>
      <c r="B877" s="33">
        <v>40582</v>
      </c>
      <c r="C877" s="40" t="str">
        <f t="shared" si="81"/>
        <v>Tuesday</v>
      </c>
      <c r="D877" s="28">
        <v>21</v>
      </c>
      <c r="E877" s="40" t="str" cm="1">
        <f t="array" ref="E877">_xlfn.IFS(D877&gt;=21,"Night",D877&gt;=17,"Evening",D877&gt;=12,"Midday",D877&gt;=6,"Morning", TRUE, "Night")</f>
        <v>Night</v>
      </c>
      <c r="F877" s="28">
        <v>1</v>
      </c>
      <c r="G877" s="28">
        <v>0</v>
      </c>
      <c r="H877" s="28">
        <v>2</v>
      </c>
      <c r="I877" s="28">
        <v>2</v>
      </c>
      <c r="J877" s="40" t="str">
        <f t="shared" si="82"/>
        <v>Weekday</v>
      </c>
      <c r="K877" s="28" t="b">
        <v>0</v>
      </c>
      <c r="L877" s="28">
        <v>1</v>
      </c>
      <c r="M877" s="40" t="str" cm="1">
        <f t="array" ref="M877">_xlfn.IFS(L877=1,"Clear / Partly Cloudy",L877=2,"Mist / Cloudy",L877=3,"Light Snow / Rain",L877=4,"Heavy Precipitation")</f>
        <v>Clear / Partly Cloudy</v>
      </c>
      <c r="N877" s="28">
        <v>0.14000000000000001</v>
      </c>
      <c r="O877" s="28" t="str">
        <f t="shared" si="83"/>
        <v>Cold</v>
      </c>
      <c r="P877" s="28">
        <v>0.1061</v>
      </c>
      <c r="Q877" s="38">
        <f t="shared" si="79"/>
        <v>0.1061</v>
      </c>
      <c r="R877" s="28">
        <v>0.33</v>
      </c>
      <c r="S877" s="28">
        <v>0.4627</v>
      </c>
      <c r="T877" s="40" t="str" cm="1">
        <f t="array" ref="T877">_xlfn.IFS(S877*18.6&lt;2,"Calm",S877*18.6&lt;6,"Light Breeze",S877*18.6&lt;14,"Gale",TRUE,"Extreme Storm")</f>
        <v>Gale</v>
      </c>
      <c r="U877" s="28">
        <v>8</v>
      </c>
      <c r="V877" s="28">
        <v>46</v>
      </c>
      <c r="W877" s="28">
        <v>54</v>
      </c>
      <c r="X877" s="44">
        <f>AVERAGE(INDEX($W:$W,MAX(ROW($W$3),ROW()-23)):INDEX($W:$W,ROW()))</f>
        <v>64.625</v>
      </c>
      <c r="Y877" s="44">
        <f>_xlfn.STDEV.S(INDEX($W:$W,MAX(ROW($W$3),ROW()-23)):INDEX($W:$W,ROW()))</f>
        <v>61.197337609039678</v>
      </c>
      <c r="Z877" s="44">
        <f t="shared" si="80"/>
        <v>-0.17361866406473447</v>
      </c>
      <c r="AA877" s="40" t="b">
        <f t="shared" si="78"/>
        <v>0</v>
      </c>
    </row>
    <row r="878" spans="1:27" x14ac:dyDescent="0.3">
      <c r="A878" s="32">
        <v>876</v>
      </c>
      <c r="B878" s="33">
        <v>40582</v>
      </c>
      <c r="C878" s="40" t="str">
        <f t="shared" si="81"/>
        <v>Tuesday</v>
      </c>
      <c r="D878" s="28">
        <v>22</v>
      </c>
      <c r="E878" s="40" t="str" cm="1">
        <f t="array" ref="E878">_xlfn.IFS(D878&gt;=21,"Night",D878&gt;=17,"Evening",D878&gt;=12,"Midday",D878&gt;=6,"Morning", TRUE, "Night")</f>
        <v>Night</v>
      </c>
      <c r="F878" s="28">
        <v>1</v>
      </c>
      <c r="G878" s="28">
        <v>0</v>
      </c>
      <c r="H878" s="28">
        <v>2</v>
      </c>
      <c r="I878" s="28">
        <v>2</v>
      </c>
      <c r="J878" s="40" t="str">
        <f t="shared" si="82"/>
        <v>Weekday</v>
      </c>
      <c r="K878" s="28" t="b">
        <v>0</v>
      </c>
      <c r="L878" s="28">
        <v>1</v>
      </c>
      <c r="M878" s="40" t="str" cm="1">
        <f t="array" ref="M878">_xlfn.IFS(L878=1,"Clear / Partly Cloudy",L878=2,"Mist / Cloudy",L878=3,"Light Snow / Rain",L878=4,"Heavy Precipitation")</f>
        <v>Clear / Partly Cloudy</v>
      </c>
      <c r="N878" s="28">
        <v>0.12</v>
      </c>
      <c r="O878" s="28" t="str">
        <f t="shared" si="83"/>
        <v>Cold</v>
      </c>
      <c r="P878" s="28">
        <v>0.1061</v>
      </c>
      <c r="Q878" s="38">
        <f t="shared" si="79"/>
        <v>0.1061</v>
      </c>
      <c r="R878" s="28">
        <v>0.33</v>
      </c>
      <c r="S878" s="28">
        <v>0.35820000000000002</v>
      </c>
      <c r="T878" s="40" t="str" cm="1">
        <f t="array" ref="T878">_xlfn.IFS(S878*18.6&lt;2,"Calm",S878*18.6&lt;6,"Light Breeze",S878*18.6&lt;14,"Gale",TRUE,"Extreme Storm")</f>
        <v>Gale</v>
      </c>
      <c r="U878" s="28">
        <v>0</v>
      </c>
      <c r="V878" s="28">
        <v>29</v>
      </c>
      <c r="W878" s="28">
        <v>29</v>
      </c>
      <c r="X878" s="44">
        <f>AVERAGE(INDEX($W:$W,MAX(ROW($W$3),ROW()-23)):INDEX($W:$W,ROW()))</f>
        <v>64.291666666666671</v>
      </c>
      <c r="Y878" s="44">
        <f>_xlfn.STDEV.S(INDEX($W:$W,MAX(ROW($W$3),ROW()-23)):INDEX($W:$W,ROW()))</f>
        <v>61.37587627403618</v>
      </c>
      <c r="Z878" s="44">
        <f t="shared" si="80"/>
        <v>-0.5750087625485536</v>
      </c>
      <c r="AA878" s="40" t="b">
        <f t="shared" si="78"/>
        <v>0</v>
      </c>
    </row>
    <row r="879" spans="1:27" x14ac:dyDescent="0.3">
      <c r="A879" s="32">
        <v>877</v>
      </c>
      <c r="B879" s="33">
        <v>40582</v>
      </c>
      <c r="C879" s="40" t="str">
        <f t="shared" si="81"/>
        <v>Tuesday</v>
      </c>
      <c r="D879" s="28">
        <v>23</v>
      </c>
      <c r="E879" s="40" t="str" cm="1">
        <f t="array" ref="E879">_xlfn.IFS(D879&gt;=21,"Night",D879&gt;=17,"Evening",D879&gt;=12,"Midday",D879&gt;=6,"Morning", TRUE, "Night")</f>
        <v>Night</v>
      </c>
      <c r="F879" s="28">
        <v>1</v>
      </c>
      <c r="G879" s="28">
        <v>0</v>
      </c>
      <c r="H879" s="28">
        <v>2</v>
      </c>
      <c r="I879" s="28">
        <v>2</v>
      </c>
      <c r="J879" s="40" t="str">
        <f t="shared" si="82"/>
        <v>Weekday</v>
      </c>
      <c r="K879" s="28" t="b">
        <v>0</v>
      </c>
      <c r="L879" s="28">
        <v>1</v>
      </c>
      <c r="M879" s="40" t="str" cm="1">
        <f t="array" ref="M879">_xlfn.IFS(L879=1,"Clear / Partly Cloudy",L879=2,"Mist / Cloudy",L879=3,"Light Snow / Rain",L879=4,"Heavy Precipitation")</f>
        <v>Clear / Partly Cloudy</v>
      </c>
      <c r="N879" s="28">
        <v>0.12</v>
      </c>
      <c r="O879" s="28" t="str">
        <f t="shared" si="83"/>
        <v>Cold</v>
      </c>
      <c r="P879" s="28">
        <v>0.1061</v>
      </c>
      <c r="Q879" s="38">
        <f t="shared" si="79"/>
        <v>0.1061</v>
      </c>
      <c r="R879" s="28">
        <v>0.33</v>
      </c>
      <c r="S879" s="28">
        <v>0.32840000000000003</v>
      </c>
      <c r="T879" s="40" t="str" cm="1">
        <f t="array" ref="T879">_xlfn.IFS(S879*18.6&lt;2,"Calm",S879*18.6&lt;6,"Light Breeze",S879*18.6&lt;14,"Gale",TRUE,"Extreme Storm")</f>
        <v>Gale</v>
      </c>
      <c r="U879" s="28">
        <v>3</v>
      </c>
      <c r="V879" s="28">
        <v>9</v>
      </c>
      <c r="W879" s="28">
        <v>12</v>
      </c>
      <c r="X879" s="44">
        <f>AVERAGE(INDEX($W:$W,MAX(ROW($W$3),ROW()-23)):INDEX($W:$W,ROW()))</f>
        <v>63.75</v>
      </c>
      <c r="Y879" s="44">
        <f>_xlfn.STDEV.S(INDEX($W:$W,MAX(ROW($W$3),ROW()-23)):INDEX($W:$W,ROW()))</f>
        <v>61.793660853999661</v>
      </c>
      <c r="Z879" s="44">
        <f t="shared" si="80"/>
        <v>-0.83746454385135249</v>
      </c>
      <c r="AA879" s="40" t="b">
        <f t="shared" si="78"/>
        <v>0</v>
      </c>
    </row>
    <row r="880" spans="1:27" x14ac:dyDescent="0.3">
      <c r="A880" s="32">
        <v>878</v>
      </c>
      <c r="B880" s="33">
        <v>40583</v>
      </c>
      <c r="C880" s="40" t="str">
        <f t="shared" si="81"/>
        <v>Wednesday</v>
      </c>
      <c r="D880" s="28">
        <v>0</v>
      </c>
      <c r="E880" s="40" t="str" cm="1">
        <f t="array" ref="E880">_xlfn.IFS(D880&gt;=21,"Night",D880&gt;=17,"Evening",D880&gt;=12,"Midday",D880&gt;=6,"Morning", TRUE, "Night")</f>
        <v>Night</v>
      </c>
      <c r="F880" s="28">
        <v>1</v>
      </c>
      <c r="G880" s="28">
        <v>0</v>
      </c>
      <c r="H880" s="28">
        <v>2</v>
      </c>
      <c r="I880" s="28">
        <v>3</v>
      </c>
      <c r="J880" s="40" t="str">
        <f t="shared" si="82"/>
        <v>Weekday</v>
      </c>
      <c r="K880" s="28" t="b">
        <v>0</v>
      </c>
      <c r="L880" s="28">
        <v>1</v>
      </c>
      <c r="M880" s="40" t="str" cm="1">
        <f t="array" ref="M880">_xlfn.IFS(L880=1,"Clear / Partly Cloudy",L880=2,"Mist / Cloudy",L880=3,"Light Snow / Rain",L880=4,"Heavy Precipitation")</f>
        <v>Clear / Partly Cloudy</v>
      </c>
      <c r="N880" s="28">
        <v>0.1</v>
      </c>
      <c r="O880" s="28" t="str">
        <f t="shared" si="83"/>
        <v>Cold</v>
      </c>
      <c r="P880" s="28">
        <v>7.5800000000000006E-2</v>
      </c>
      <c r="Q880" s="38">
        <f t="shared" si="79"/>
        <v>7.5800000000000006E-2</v>
      </c>
      <c r="R880" s="28">
        <v>0.36</v>
      </c>
      <c r="S880" s="28">
        <v>0.35820000000000002</v>
      </c>
      <c r="T880" s="40" t="str" cm="1">
        <f t="array" ref="T880">_xlfn.IFS(S880*18.6&lt;2,"Calm",S880*18.6&lt;6,"Light Breeze",S880*18.6&lt;14,"Gale",TRUE,"Extreme Storm")</f>
        <v>Gale</v>
      </c>
      <c r="U880" s="28">
        <v>0</v>
      </c>
      <c r="V880" s="28">
        <v>17</v>
      </c>
      <c r="W880" s="28">
        <v>17</v>
      </c>
      <c r="X880" s="44">
        <f>AVERAGE(INDEX($W:$W,MAX(ROW($W$3),ROW()-23)):INDEX($W:$W,ROW()))</f>
        <v>64.041666666666671</v>
      </c>
      <c r="Y880" s="44">
        <f>_xlfn.STDEV.S(INDEX($W:$W,MAX(ROW($W$3),ROW()-23)):INDEX($W:$W,ROW()))</f>
        <v>61.544949403679333</v>
      </c>
      <c r="Z880" s="44">
        <f t="shared" si="80"/>
        <v>-0.76434649995592308</v>
      </c>
      <c r="AA880" s="40" t="b">
        <f t="shared" si="78"/>
        <v>0</v>
      </c>
    </row>
    <row r="881" spans="1:27" x14ac:dyDescent="0.3">
      <c r="A881" s="32">
        <v>879</v>
      </c>
      <c r="B881" s="33">
        <v>40583</v>
      </c>
      <c r="C881" s="40" t="str">
        <f t="shared" si="81"/>
        <v>Wednesday</v>
      </c>
      <c r="D881" s="28">
        <v>1</v>
      </c>
      <c r="E881" s="40" t="str" cm="1">
        <f t="array" ref="E881">_xlfn.IFS(D881&gt;=21,"Night",D881&gt;=17,"Evening",D881&gt;=12,"Midday",D881&gt;=6,"Morning", TRUE, "Night")</f>
        <v>Night</v>
      </c>
      <c r="F881" s="28">
        <v>1</v>
      </c>
      <c r="G881" s="28">
        <v>0</v>
      </c>
      <c r="H881" s="28">
        <v>2</v>
      </c>
      <c r="I881" s="28">
        <v>3</v>
      </c>
      <c r="J881" s="40" t="str">
        <f t="shared" si="82"/>
        <v>Weekday</v>
      </c>
      <c r="K881" s="28" t="b">
        <v>0</v>
      </c>
      <c r="L881" s="28">
        <v>1</v>
      </c>
      <c r="M881" s="40" t="str" cm="1">
        <f t="array" ref="M881">_xlfn.IFS(L881=1,"Clear / Partly Cloudy",L881=2,"Mist / Cloudy",L881=3,"Light Snow / Rain",L881=4,"Heavy Precipitation")</f>
        <v>Clear / Partly Cloudy</v>
      </c>
      <c r="N881" s="28">
        <v>0.1</v>
      </c>
      <c r="O881" s="28" t="str">
        <f t="shared" si="83"/>
        <v>Cold</v>
      </c>
      <c r="P881" s="28">
        <v>0.1061</v>
      </c>
      <c r="Q881" s="38">
        <f t="shared" si="79"/>
        <v>0.1061</v>
      </c>
      <c r="R881" s="28">
        <v>0.36</v>
      </c>
      <c r="S881" s="28">
        <v>0.22389999999999999</v>
      </c>
      <c r="T881" s="40" t="str" cm="1">
        <f t="array" ref="T881">_xlfn.IFS(S881*18.6&lt;2,"Calm",S881*18.6&lt;6,"Light Breeze",S881*18.6&lt;14,"Gale",TRUE,"Extreme Storm")</f>
        <v>Light Breeze</v>
      </c>
      <c r="U881" s="28">
        <v>0</v>
      </c>
      <c r="V881" s="28">
        <v>7</v>
      </c>
      <c r="W881" s="28">
        <v>7</v>
      </c>
      <c r="X881" s="44">
        <f>AVERAGE(INDEX($W:$W,MAX(ROW($W$3),ROW()-23)):INDEX($W:$W,ROW()))</f>
        <v>64.166666666666671</v>
      </c>
      <c r="Y881" s="44">
        <f>_xlfn.STDEV.S(INDEX($W:$W,MAX(ROW($W$3),ROW()-23)):INDEX($W:$W,ROW()))</f>
        <v>61.420621566564989</v>
      </c>
      <c r="Z881" s="44">
        <f t="shared" si="80"/>
        <v>-0.93074060809873005</v>
      </c>
      <c r="AA881" s="40" t="b">
        <f t="shared" si="78"/>
        <v>0</v>
      </c>
    </row>
    <row r="882" spans="1:27" x14ac:dyDescent="0.3">
      <c r="A882" s="32">
        <v>880</v>
      </c>
      <c r="B882" s="33">
        <v>40583</v>
      </c>
      <c r="C882" s="40" t="str">
        <f t="shared" si="81"/>
        <v>Wednesday</v>
      </c>
      <c r="D882" s="28">
        <v>2</v>
      </c>
      <c r="E882" s="40" t="str" cm="1">
        <f t="array" ref="E882">_xlfn.IFS(D882&gt;=21,"Night",D882&gt;=17,"Evening",D882&gt;=12,"Midday",D882&gt;=6,"Morning", TRUE, "Night")</f>
        <v>Night</v>
      </c>
      <c r="F882" s="28">
        <v>1</v>
      </c>
      <c r="G882" s="28">
        <v>0</v>
      </c>
      <c r="H882" s="28">
        <v>2</v>
      </c>
      <c r="I882" s="28">
        <v>3</v>
      </c>
      <c r="J882" s="40" t="str">
        <f t="shared" si="82"/>
        <v>Weekday</v>
      </c>
      <c r="K882" s="28" t="b">
        <v>0</v>
      </c>
      <c r="L882" s="28">
        <v>1</v>
      </c>
      <c r="M882" s="40" t="str" cm="1">
        <f t="array" ref="M882">_xlfn.IFS(L882=1,"Clear / Partly Cloudy",L882=2,"Mist / Cloudy",L882=3,"Light Snow / Rain",L882=4,"Heavy Precipitation")</f>
        <v>Clear / Partly Cloudy</v>
      </c>
      <c r="N882" s="28">
        <v>0.08</v>
      </c>
      <c r="O882" s="28" t="str">
        <f t="shared" si="83"/>
        <v>Cold</v>
      </c>
      <c r="P882" s="28">
        <v>7.5800000000000006E-2</v>
      </c>
      <c r="Q882" s="38">
        <f t="shared" si="79"/>
        <v>7.5800000000000006E-2</v>
      </c>
      <c r="R882" s="28">
        <v>0.38</v>
      </c>
      <c r="S882" s="28">
        <v>0.28360000000000002</v>
      </c>
      <c r="T882" s="40" t="str" cm="1">
        <f t="array" ref="T882">_xlfn.IFS(S882*18.6&lt;2,"Calm",S882*18.6&lt;6,"Light Breeze",S882*18.6&lt;14,"Gale",TRUE,"Extreme Storm")</f>
        <v>Light Breeze</v>
      </c>
      <c r="U882" s="28">
        <v>1</v>
      </c>
      <c r="V882" s="28">
        <v>2</v>
      </c>
      <c r="W882" s="28">
        <v>3</v>
      </c>
      <c r="X882" s="44">
        <f>AVERAGE(INDEX($W:$W,MAX(ROW($W$3),ROW()-23)):INDEX($W:$W,ROW()))</f>
        <v>64.208333333333329</v>
      </c>
      <c r="Y882" s="44">
        <f>_xlfn.STDEV.S(INDEX($W:$W,MAX(ROW($W$3),ROW()-23)):INDEX($W:$W,ROW()))</f>
        <v>61.37693885482075</v>
      </c>
      <c r="Z882" s="44">
        <f t="shared" si="80"/>
        <v>-0.99725294997382918</v>
      </c>
      <c r="AA882" s="40" t="b">
        <f t="shared" si="78"/>
        <v>0</v>
      </c>
    </row>
    <row r="883" spans="1:27" x14ac:dyDescent="0.3">
      <c r="A883" s="32">
        <v>881</v>
      </c>
      <c r="B883" s="33">
        <v>40583</v>
      </c>
      <c r="C883" s="40" t="str">
        <f t="shared" si="81"/>
        <v>Wednesday</v>
      </c>
      <c r="D883" s="28">
        <v>3</v>
      </c>
      <c r="E883" s="40" t="str" cm="1">
        <f t="array" ref="E883">_xlfn.IFS(D883&gt;=21,"Night",D883&gt;=17,"Evening",D883&gt;=12,"Midday",D883&gt;=6,"Morning", TRUE, "Night")</f>
        <v>Night</v>
      </c>
      <c r="F883" s="28">
        <v>1</v>
      </c>
      <c r="G883" s="28">
        <v>0</v>
      </c>
      <c r="H883" s="28">
        <v>2</v>
      </c>
      <c r="I883" s="28">
        <v>3</v>
      </c>
      <c r="J883" s="40" t="str">
        <f t="shared" si="82"/>
        <v>Weekday</v>
      </c>
      <c r="K883" s="28" t="b">
        <v>0</v>
      </c>
      <c r="L883" s="28">
        <v>1</v>
      </c>
      <c r="M883" s="40" t="str" cm="1">
        <f t="array" ref="M883">_xlfn.IFS(L883=1,"Clear / Partly Cloudy",L883=2,"Mist / Cloudy",L883=3,"Light Snow / Rain",L883=4,"Heavy Precipitation")</f>
        <v>Clear / Partly Cloudy</v>
      </c>
      <c r="N883" s="28">
        <v>0.06</v>
      </c>
      <c r="O883" s="28" t="str">
        <f t="shared" si="83"/>
        <v>Cold</v>
      </c>
      <c r="P883" s="28">
        <v>7.5800000000000006E-2</v>
      </c>
      <c r="Q883" s="38">
        <f t="shared" si="79"/>
        <v>7.5800000000000006E-2</v>
      </c>
      <c r="R883" s="28">
        <v>0.45</v>
      </c>
      <c r="S883" s="28">
        <v>0.1343</v>
      </c>
      <c r="T883" s="40" t="str" cm="1">
        <f t="array" ref="T883">_xlfn.IFS(S883*18.6&lt;2,"Calm",S883*18.6&lt;6,"Light Breeze",S883*18.6&lt;14,"Gale",TRUE,"Extreme Storm")</f>
        <v>Light Breeze</v>
      </c>
      <c r="U883" s="28">
        <v>0</v>
      </c>
      <c r="V883" s="28">
        <v>2</v>
      </c>
      <c r="W883" s="28">
        <v>2</v>
      </c>
      <c r="X883" s="44">
        <f>AVERAGE(INDEX($W:$W,MAX(ROW($W$3),ROW()-23)):INDEX($W:$W,ROW()))</f>
        <v>64.25</v>
      </c>
      <c r="Y883" s="44">
        <f>_xlfn.STDEV.S(INDEX($W:$W,MAX(ROW($W$3),ROW()-23)):INDEX($W:$W,ROW()))</f>
        <v>61.332486604111189</v>
      </c>
      <c r="Z883" s="44">
        <f t="shared" si="80"/>
        <v>-1.0149596640653293</v>
      </c>
      <c r="AA883" s="40" t="b">
        <f t="shared" si="78"/>
        <v>0</v>
      </c>
    </row>
    <row r="884" spans="1:27" x14ac:dyDescent="0.3">
      <c r="A884" s="32">
        <v>882</v>
      </c>
      <c r="B884" s="33">
        <v>40583</v>
      </c>
      <c r="C884" s="40" t="str">
        <f t="shared" si="81"/>
        <v>Wednesday</v>
      </c>
      <c r="D884" s="28">
        <v>5</v>
      </c>
      <c r="E884" s="40" t="str" cm="1">
        <f t="array" ref="E884">_xlfn.IFS(D884&gt;=21,"Night",D884&gt;=17,"Evening",D884&gt;=12,"Midday",D884&gt;=6,"Morning", TRUE, "Night")</f>
        <v>Night</v>
      </c>
      <c r="F884" s="28">
        <v>1</v>
      </c>
      <c r="G884" s="28">
        <v>0</v>
      </c>
      <c r="H884" s="28">
        <v>2</v>
      </c>
      <c r="I884" s="28">
        <v>3</v>
      </c>
      <c r="J884" s="40" t="str">
        <f t="shared" si="82"/>
        <v>Weekday</v>
      </c>
      <c r="K884" s="28" t="b">
        <v>0</v>
      </c>
      <c r="L884" s="28">
        <v>1</v>
      </c>
      <c r="M884" s="40" t="str" cm="1">
        <f t="array" ref="M884">_xlfn.IFS(L884=1,"Clear / Partly Cloudy",L884=2,"Mist / Cloudy",L884=3,"Light Snow / Rain",L884=4,"Heavy Precipitation")</f>
        <v>Clear / Partly Cloudy</v>
      </c>
      <c r="N884" s="28">
        <v>0.06</v>
      </c>
      <c r="O884" s="28" t="str">
        <f t="shared" si="83"/>
        <v>Cold</v>
      </c>
      <c r="P884" s="28">
        <v>0.1061</v>
      </c>
      <c r="Q884" s="38">
        <f t="shared" si="79"/>
        <v>0.1061</v>
      </c>
      <c r="R884" s="28">
        <v>0.45</v>
      </c>
      <c r="S884" s="28">
        <v>0.1045</v>
      </c>
      <c r="T884" s="40" t="str" cm="1">
        <f t="array" ref="T884">_xlfn.IFS(S884*18.6&lt;2,"Calm",S884*18.6&lt;6,"Light Breeze",S884*18.6&lt;14,"Gale",TRUE,"Extreme Storm")</f>
        <v>Calm</v>
      </c>
      <c r="U884" s="28">
        <v>0</v>
      </c>
      <c r="V884" s="28">
        <v>7</v>
      </c>
      <c r="W884" s="28">
        <v>7</v>
      </c>
      <c r="X884" s="44">
        <f>AVERAGE(INDEX($W:$W,MAX(ROW($W$3),ROW()-23)):INDEX($W:$W,ROW()))</f>
        <v>64.416666666666671</v>
      </c>
      <c r="Y884" s="44">
        <f>_xlfn.STDEV.S(INDEX($W:$W,MAX(ROW($W$3),ROW()-23)):INDEX($W:$W,ROW()))</f>
        <v>61.164010920508289</v>
      </c>
      <c r="Z884" s="44">
        <f t="shared" si="80"/>
        <v>-0.93873285617727309</v>
      </c>
      <c r="AA884" s="40" t="b">
        <f t="shared" si="78"/>
        <v>0</v>
      </c>
    </row>
    <row r="885" spans="1:27" x14ac:dyDescent="0.3">
      <c r="A885" s="32">
        <v>883</v>
      </c>
      <c r="B885" s="33">
        <v>40583</v>
      </c>
      <c r="C885" s="40" t="str">
        <f t="shared" si="81"/>
        <v>Wednesday</v>
      </c>
      <c r="D885" s="28">
        <v>6</v>
      </c>
      <c r="E885" s="40" t="str" cm="1">
        <f t="array" ref="E885">_xlfn.IFS(D885&gt;=21,"Night",D885&gt;=17,"Evening",D885&gt;=12,"Midday",D885&gt;=6,"Morning", TRUE, "Night")</f>
        <v>Morning</v>
      </c>
      <c r="F885" s="28">
        <v>1</v>
      </c>
      <c r="G885" s="28">
        <v>0</v>
      </c>
      <c r="H885" s="28">
        <v>2</v>
      </c>
      <c r="I885" s="28">
        <v>3</v>
      </c>
      <c r="J885" s="40" t="str">
        <f t="shared" si="82"/>
        <v>Weekday</v>
      </c>
      <c r="K885" s="28" t="b">
        <v>0</v>
      </c>
      <c r="L885" s="28">
        <v>1</v>
      </c>
      <c r="M885" s="40" t="str" cm="1">
        <f t="array" ref="M885">_xlfn.IFS(L885=1,"Clear / Partly Cloudy",L885=2,"Mist / Cloudy",L885=3,"Light Snow / Rain",L885=4,"Heavy Precipitation")</f>
        <v>Clear / Partly Cloudy</v>
      </c>
      <c r="N885" s="28">
        <v>0.06</v>
      </c>
      <c r="O885" s="28" t="str">
        <f t="shared" si="83"/>
        <v>Cold</v>
      </c>
      <c r="P885" s="28">
        <v>0.1515</v>
      </c>
      <c r="Q885" s="38">
        <f t="shared" si="79"/>
        <v>0.1515</v>
      </c>
      <c r="R885" s="28">
        <v>0.45</v>
      </c>
      <c r="S885" s="28">
        <v>0</v>
      </c>
      <c r="T885" s="40" t="str" cm="1">
        <f t="array" ref="T885">_xlfn.IFS(S885*18.6&lt;2,"Calm",S885*18.6&lt;6,"Light Breeze",S885*18.6&lt;14,"Gale",TRUE,"Extreme Storm")</f>
        <v>Calm</v>
      </c>
      <c r="U885" s="28">
        <v>0</v>
      </c>
      <c r="V885" s="28">
        <v>43</v>
      </c>
      <c r="W885" s="28">
        <v>43</v>
      </c>
      <c r="X885" s="44">
        <f>AVERAGE(INDEX($W:$W,MAX(ROW($W$3),ROW()-23)):INDEX($W:$W,ROW()))</f>
        <v>66.125</v>
      </c>
      <c r="Y885" s="44">
        <f>_xlfn.STDEV.S(INDEX($W:$W,MAX(ROW($W$3),ROW()-23)):INDEX($W:$W,ROW()))</f>
        <v>59.904498270526219</v>
      </c>
      <c r="Z885" s="44">
        <f t="shared" si="80"/>
        <v>-0.38603111064495466</v>
      </c>
      <c r="AA885" s="40" t="b">
        <f t="shared" si="78"/>
        <v>0</v>
      </c>
    </row>
    <row r="886" spans="1:27" x14ac:dyDescent="0.3">
      <c r="A886" s="32">
        <v>884</v>
      </c>
      <c r="B886" s="33">
        <v>40583</v>
      </c>
      <c r="C886" s="40" t="str">
        <f t="shared" si="81"/>
        <v>Wednesday</v>
      </c>
      <c r="D886" s="28">
        <v>7</v>
      </c>
      <c r="E886" s="40" t="str" cm="1">
        <f t="array" ref="E886">_xlfn.IFS(D886&gt;=21,"Night",D886&gt;=17,"Evening",D886&gt;=12,"Midday",D886&gt;=6,"Morning", TRUE, "Night")</f>
        <v>Morning</v>
      </c>
      <c r="F886" s="28">
        <v>1</v>
      </c>
      <c r="G886" s="28">
        <v>0</v>
      </c>
      <c r="H886" s="28">
        <v>2</v>
      </c>
      <c r="I886" s="28">
        <v>3</v>
      </c>
      <c r="J886" s="40" t="str">
        <f t="shared" si="82"/>
        <v>Weekday</v>
      </c>
      <c r="K886" s="28" t="b">
        <v>0</v>
      </c>
      <c r="L886" s="28">
        <v>1</v>
      </c>
      <c r="M886" s="40" t="str" cm="1">
        <f t="array" ref="M886">_xlfn.IFS(L886=1,"Clear / Partly Cloudy",L886=2,"Mist / Cloudy",L886=3,"Light Snow / Rain",L886=4,"Heavy Precipitation")</f>
        <v>Clear / Partly Cloudy</v>
      </c>
      <c r="N886" s="28">
        <v>0.06</v>
      </c>
      <c r="O886" s="28" t="str">
        <f t="shared" si="83"/>
        <v>Cold</v>
      </c>
      <c r="P886" s="28">
        <v>0.1061</v>
      </c>
      <c r="Q886" s="38">
        <f t="shared" si="79"/>
        <v>0.1061</v>
      </c>
      <c r="R886" s="28">
        <v>0.49</v>
      </c>
      <c r="S886" s="28">
        <v>0.1045</v>
      </c>
      <c r="T886" s="40" t="str" cm="1">
        <f t="array" ref="T886">_xlfn.IFS(S886*18.6&lt;2,"Calm",S886*18.6&lt;6,"Light Breeze",S886*18.6&lt;14,"Gale",TRUE,"Extreme Storm")</f>
        <v>Calm</v>
      </c>
      <c r="U886" s="28">
        <v>4</v>
      </c>
      <c r="V886" s="28">
        <v>95</v>
      </c>
      <c r="W886" s="28">
        <v>99</v>
      </c>
      <c r="X886" s="44">
        <f>AVERAGE(INDEX($W:$W,MAX(ROW($W$3),ROW()-23)):INDEX($W:$W,ROW()))</f>
        <v>68.625</v>
      </c>
      <c r="Y886" s="44">
        <f>_xlfn.STDEV.S(INDEX($W:$W,MAX(ROW($W$3),ROW()-23)):INDEX($W:$W,ROW()))</f>
        <v>59.975221332755773</v>
      </c>
      <c r="Z886" s="44">
        <f t="shared" si="80"/>
        <v>0.50645915638181294</v>
      </c>
      <c r="AA886" s="40" t="b">
        <f t="shared" si="78"/>
        <v>0</v>
      </c>
    </row>
    <row r="887" spans="1:27" x14ac:dyDescent="0.3">
      <c r="A887" s="32">
        <v>885</v>
      </c>
      <c r="B887" s="33">
        <v>40583</v>
      </c>
      <c r="C887" s="40" t="str">
        <f t="shared" si="81"/>
        <v>Wednesday</v>
      </c>
      <c r="D887" s="28">
        <v>8</v>
      </c>
      <c r="E887" s="40" t="str" cm="1">
        <f t="array" ref="E887">_xlfn.IFS(D887&gt;=21,"Night",D887&gt;=17,"Evening",D887&gt;=12,"Midday",D887&gt;=6,"Morning", TRUE, "Night")</f>
        <v>Morning</v>
      </c>
      <c r="F887" s="28">
        <v>1</v>
      </c>
      <c r="G887" s="28">
        <v>0</v>
      </c>
      <c r="H887" s="28">
        <v>2</v>
      </c>
      <c r="I887" s="28">
        <v>3</v>
      </c>
      <c r="J887" s="40" t="str">
        <f t="shared" si="82"/>
        <v>Weekday</v>
      </c>
      <c r="K887" s="28" t="b">
        <v>0</v>
      </c>
      <c r="L887" s="28">
        <v>1</v>
      </c>
      <c r="M887" s="40" t="str" cm="1">
        <f t="array" ref="M887">_xlfn.IFS(L887=1,"Clear / Partly Cloudy",L887=2,"Mist / Cloudy",L887=3,"Light Snow / Rain",L887=4,"Heavy Precipitation")</f>
        <v>Clear / Partly Cloudy</v>
      </c>
      <c r="N887" s="28">
        <v>0.1</v>
      </c>
      <c r="O887" s="28" t="str">
        <f t="shared" si="83"/>
        <v>Cold</v>
      </c>
      <c r="P887" s="28">
        <v>0.13639999999999999</v>
      </c>
      <c r="Q887" s="38">
        <f t="shared" si="79"/>
        <v>0.13639999999999999</v>
      </c>
      <c r="R887" s="28">
        <v>0.42</v>
      </c>
      <c r="S887" s="28">
        <v>0</v>
      </c>
      <c r="T887" s="40" t="str" cm="1">
        <f t="array" ref="T887">_xlfn.IFS(S887*18.6&lt;2,"Calm",S887*18.6&lt;6,"Light Breeze",S887*18.6&lt;14,"Gale",TRUE,"Extreme Storm")</f>
        <v>Calm</v>
      </c>
      <c r="U887" s="28">
        <v>1</v>
      </c>
      <c r="V887" s="28">
        <v>198</v>
      </c>
      <c r="W887" s="28">
        <v>199</v>
      </c>
      <c r="X887" s="44">
        <f>AVERAGE(INDEX($W:$W,MAX(ROW($W$3),ROW()-23)):INDEX($W:$W,ROW()))</f>
        <v>72.75</v>
      </c>
      <c r="Y887" s="44">
        <f>_xlfn.STDEV.S(INDEX($W:$W,MAX(ROW($W$3),ROW()-23)):INDEX($W:$W,ROW()))</f>
        <v>65.387307636880109</v>
      </c>
      <c r="Z887" s="44">
        <f t="shared" si="80"/>
        <v>1.9308028509311459</v>
      </c>
      <c r="AA887" s="40" t="b">
        <f t="shared" si="78"/>
        <v>0</v>
      </c>
    </row>
    <row r="888" spans="1:27" x14ac:dyDescent="0.3">
      <c r="A888" s="32">
        <v>886</v>
      </c>
      <c r="B888" s="33">
        <v>40583</v>
      </c>
      <c r="C888" s="40" t="str">
        <f t="shared" si="81"/>
        <v>Wednesday</v>
      </c>
      <c r="D888" s="28">
        <v>9</v>
      </c>
      <c r="E888" s="40" t="str" cm="1">
        <f t="array" ref="E888">_xlfn.IFS(D888&gt;=21,"Night",D888&gt;=17,"Evening",D888&gt;=12,"Midday",D888&gt;=6,"Morning", TRUE, "Night")</f>
        <v>Morning</v>
      </c>
      <c r="F888" s="28">
        <v>1</v>
      </c>
      <c r="G888" s="28">
        <v>0</v>
      </c>
      <c r="H888" s="28">
        <v>2</v>
      </c>
      <c r="I888" s="28">
        <v>3</v>
      </c>
      <c r="J888" s="40" t="str">
        <f t="shared" si="82"/>
        <v>Weekday</v>
      </c>
      <c r="K888" s="28" t="b">
        <v>0</v>
      </c>
      <c r="L888" s="28">
        <v>1</v>
      </c>
      <c r="M888" s="40" t="str" cm="1">
        <f t="array" ref="M888">_xlfn.IFS(L888=1,"Clear / Partly Cloudy",L888=2,"Mist / Cloudy",L888=3,"Light Snow / Rain",L888=4,"Heavy Precipitation")</f>
        <v>Clear / Partly Cloudy</v>
      </c>
      <c r="N888" s="28">
        <v>0.12</v>
      </c>
      <c r="O888" s="28" t="str">
        <f t="shared" si="83"/>
        <v>Cold</v>
      </c>
      <c r="P888" s="28">
        <v>0.13639999999999999</v>
      </c>
      <c r="Q888" s="38">
        <f t="shared" si="79"/>
        <v>0.13639999999999999</v>
      </c>
      <c r="R888" s="28">
        <v>0.39</v>
      </c>
      <c r="S888" s="28">
        <v>0.16420000000000001</v>
      </c>
      <c r="T888" s="40" t="str" cm="1">
        <f t="array" ref="T888">_xlfn.IFS(S888*18.6&lt;2,"Calm",S888*18.6&lt;6,"Light Breeze",S888*18.6&lt;14,"Gale",TRUE,"Extreme Storm")</f>
        <v>Light Breeze</v>
      </c>
      <c r="U888" s="28">
        <v>4</v>
      </c>
      <c r="V888" s="28">
        <v>119</v>
      </c>
      <c r="W888" s="28">
        <v>123</v>
      </c>
      <c r="X888" s="44">
        <f>AVERAGE(INDEX($W:$W,MAX(ROW($W$3),ROW()-23)):INDEX($W:$W,ROW()))</f>
        <v>67.75</v>
      </c>
      <c r="Y888" s="44">
        <f>_xlfn.STDEV.S(INDEX($W:$W,MAX(ROW($W$3),ROW()-23)):INDEX($W:$W,ROW()))</f>
        <v>55.66846738387509</v>
      </c>
      <c r="Z888" s="44">
        <f t="shared" si="80"/>
        <v>0.99248286501244143</v>
      </c>
      <c r="AA888" s="40" t="b">
        <f t="shared" si="78"/>
        <v>0</v>
      </c>
    </row>
    <row r="889" spans="1:27" x14ac:dyDescent="0.3">
      <c r="A889" s="32">
        <v>887</v>
      </c>
      <c r="B889" s="33">
        <v>40583</v>
      </c>
      <c r="C889" s="40" t="str">
        <f t="shared" si="81"/>
        <v>Wednesday</v>
      </c>
      <c r="D889" s="28">
        <v>10</v>
      </c>
      <c r="E889" s="40" t="str" cm="1">
        <f t="array" ref="E889">_xlfn.IFS(D889&gt;=21,"Night",D889&gt;=17,"Evening",D889&gt;=12,"Midday",D889&gt;=6,"Morning", TRUE, "Night")</f>
        <v>Morning</v>
      </c>
      <c r="F889" s="28">
        <v>1</v>
      </c>
      <c r="G889" s="28">
        <v>0</v>
      </c>
      <c r="H889" s="28">
        <v>2</v>
      </c>
      <c r="I889" s="28">
        <v>3</v>
      </c>
      <c r="J889" s="40" t="str">
        <f t="shared" si="82"/>
        <v>Weekday</v>
      </c>
      <c r="K889" s="28" t="b">
        <v>0</v>
      </c>
      <c r="L889" s="28">
        <v>1</v>
      </c>
      <c r="M889" s="40" t="str" cm="1">
        <f t="array" ref="M889">_xlfn.IFS(L889=1,"Clear / Partly Cloudy",L889=2,"Mist / Cloudy",L889=3,"Light Snow / Rain",L889=4,"Heavy Precipitation")</f>
        <v>Clear / Partly Cloudy</v>
      </c>
      <c r="N889" s="28">
        <v>0.14000000000000001</v>
      </c>
      <c r="O889" s="28" t="str">
        <f t="shared" si="83"/>
        <v>Cold</v>
      </c>
      <c r="P889" s="28">
        <v>0.18179999999999999</v>
      </c>
      <c r="Q889" s="38">
        <f t="shared" si="79"/>
        <v>0.18179999999999999</v>
      </c>
      <c r="R889" s="28">
        <v>0.36</v>
      </c>
      <c r="S889" s="28">
        <v>0</v>
      </c>
      <c r="T889" s="40" t="str" cm="1">
        <f t="array" ref="T889">_xlfn.IFS(S889*18.6&lt;2,"Calm",S889*18.6&lt;6,"Light Breeze",S889*18.6&lt;14,"Gale",TRUE,"Extreme Storm")</f>
        <v>Calm</v>
      </c>
      <c r="U889" s="28">
        <v>8</v>
      </c>
      <c r="V889" s="28">
        <v>51</v>
      </c>
      <c r="W889" s="28">
        <v>59</v>
      </c>
      <c r="X889" s="44">
        <f>AVERAGE(INDEX($W:$W,MAX(ROW($W$3),ROW()-23)):INDEX($W:$W,ROW()))</f>
        <v>64.583333333333329</v>
      </c>
      <c r="Y889" s="44">
        <f>_xlfn.STDEV.S(INDEX($W:$W,MAX(ROW($W$3),ROW()-23)):INDEX($W:$W,ROW()))</f>
        <v>53.807157004691632</v>
      </c>
      <c r="Z889" s="44">
        <f t="shared" si="80"/>
        <v>-0.10376562606432632</v>
      </c>
      <c r="AA889" s="40" t="b">
        <f t="shared" si="78"/>
        <v>0</v>
      </c>
    </row>
    <row r="890" spans="1:27" x14ac:dyDescent="0.3">
      <c r="A890" s="32">
        <v>888</v>
      </c>
      <c r="B890" s="33">
        <v>40583</v>
      </c>
      <c r="C890" s="40" t="str">
        <f t="shared" si="81"/>
        <v>Wednesday</v>
      </c>
      <c r="D890" s="28">
        <v>11</v>
      </c>
      <c r="E890" s="40" t="str" cm="1">
        <f t="array" ref="E890">_xlfn.IFS(D890&gt;=21,"Night",D890&gt;=17,"Evening",D890&gt;=12,"Midday",D890&gt;=6,"Morning", TRUE, "Night")</f>
        <v>Morning</v>
      </c>
      <c r="F890" s="28">
        <v>1</v>
      </c>
      <c r="G890" s="28">
        <v>0</v>
      </c>
      <c r="H890" s="28">
        <v>2</v>
      </c>
      <c r="I890" s="28">
        <v>3</v>
      </c>
      <c r="J890" s="40" t="str">
        <f t="shared" si="82"/>
        <v>Weekday</v>
      </c>
      <c r="K890" s="28" t="b">
        <v>0</v>
      </c>
      <c r="L890" s="28">
        <v>2</v>
      </c>
      <c r="M890" s="40" t="str" cm="1">
        <f t="array" ref="M890">_xlfn.IFS(L890=1,"Clear / Partly Cloudy",L890=2,"Mist / Cloudy",L890=3,"Light Snow / Rain",L890=4,"Heavy Precipitation")</f>
        <v>Mist / Cloudy</v>
      </c>
      <c r="N890" s="28">
        <v>0.14000000000000001</v>
      </c>
      <c r="O890" s="28" t="str">
        <f t="shared" si="83"/>
        <v>Cold</v>
      </c>
      <c r="P890" s="28">
        <v>0.1515</v>
      </c>
      <c r="Q890" s="38">
        <f t="shared" si="79"/>
        <v>0.1515</v>
      </c>
      <c r="R890" s="28">
        <v>0.43</v>
      </c>
      <c r="S890" s="28">
        <v>0.16420000000000001</v>
      </c>
      <c r="T890" s="40" t="str" cm="1">
        <f t="array" ref="T890">_xlfn.IFS(S890*18.6&lt;2,"Calm",S890*18.6&lt;6,"Light Breeze",S890*18.6&lt;14,"Gale",TRUE,"Extreme Storm")</f>
        <v>Light Breeze</v>
      </c>
      <c r="U890" s="28">
        <v>1</v>
      </c>
      <c r="V890" s="28">
        <v>40</v>
      </c>
      <c r="W890" s="28">
        <v>41</v>
      </c>
      <c r="X890" s="44">
        <f>AVERAGE(INDEX($W:$W,MAX(ROW($W$3),ROW()-23)):INDEX($W:$W,ROW()))</f>
        <v>64.291666666666671</v>
      </c>
      <c r="Y890" s="44">
        <f>_xlfn.STDEV.S(INDEX($W:$W,MAX(ROW($W$3),ROW()-23)):INDEX($W:$W,ROW()))</f>
        <v>53.91981096492043</v>
      </c>
      <c r="Z890" s="44">
        <f t="shared" si="80"/>
        <v>-0.431968626184909</v>
      </c>
      <c r="AA890" s="40" t="b">
        <f t="shared" si="78"/>
        <v>0</v>
      </c>
    </row>
    <row r="891" spans="1:27" x14ac:dyDescent="0.3">
      <c r="A891" s="32">
        <v>889</v>
      </c>
      <c r="B891" s="33">
        <v>40583</v>
      </c>
      <c r="C891" s="40" t="str">
        <f t="shared" si="81"/>
        <v>Wednesday</v>
      </c>
      <c r="D891" s="28">
        <v>12</v>
      </c>
      <c r="E891" s="40" t="str" cm="1">
        <f t="array" ref="E891">_xlfn.IFS(D891&gt;=21,"Night",D891&gt;=17,"Evening",D891&gt;=12,"Midday",D891&gt;=6,"Morning", TRUE, "Night")</f>
        <v>Midday</v>
      </c>
      <c r="F891" s="28">
        <v>1</v>
      </c>
      <c r="G891" s="28">
        <v>0</v>
      </c>
      <c r="H891" s="28">
        <v>2</v>
      </c>
      <c r="I891" s="28">
        <v>3</v>
      </c>
      <c r="J891" s="40" t="str">
        <f t="shared" si="82"/>
        <v>Weekday</v>
      </c>
      <c r="K891" s="28" t="b">
        <v>0</v>
      </c>
      <c r="L891" s="28">
        <v>2</v>
      </c>
      <c r="M891" s="40" t="str" cm="1">
        <f t="array" ref="M891">_xlfn.IFS(L891=1,"Clear / Partly Cloudy",L891=2,"Mist / Cloudy",L891=3,"Light Snow / Rain",L891=4,"Heavy Precipitation")</f>
        <v>Mist / Cloudy</v>
      </c>
      <c r="N891" s="28">
        <v>0.18</v>
      </c>
      <c r="O891" s="28" t="str">
        <f t="shared" si="83"/>
        <v>Cold</v>
      </c>
      <c r="P891" s="28">
        <v>0.18179999999999999</v>
      </c>
      <c r="Q891" s="38">
        <f t="shared" si="79"/>
        <v>0.18179999999999999</v>
      </c>
      <c r="R891" s="28">
        <v>0.4</v>
      </c>
      <c r="S891" s="28">
        <v>0.22389999999999999</v>
      </c>
      <c r="T891" s="40" t="str" cm="1">
        <f t="array" ref="T891">_xlfn.IFS(S891*18.6&lt;2,"Calm",S891*18.6&lt;6,"Light Breeze",S891*18.6&lt;14,"Gale",TRUE,"Extreme Storm")</f>
        <v>Light Breeze</v>
      </c>
      <c r="U891" s="28">
        <v>4</v>
      </c>
      <c r="V891" s="28">
        <v>57</v>
      </c>
      <c r="W891" s="28">
        <v>61</v>
      </c>
      <c r="X891" s="44">
        <f>AVERAGE(INDEX($W:$W,MAX(ROW($W$3),ROW()-23)):INDEX($W:$W,ROW()))</f>
        <v>64.75</v>
      </c>
      <c r="Y891" s="44">
        <f>_xlfn.STDEV.S(INDEX($W:$W,MAX(ROW($W$3),ROW()-23)):INDEX($W:$W,ROW()))</f>
        <v>53.839738031535298</v>
      </c>
      <c r="Z891" s="44">
        <f t="shared" si="80"/>
        <v>-6.9651156136820908E-2</v>
      </c>
      <c r="AA891" s="40" t="b">
        <f t="shared" si="78"/>
        <v>0</v>
      </c>
    </row>
    <row r="892" spans="1:27" x14ac:dyDescent="0.3">
      <c r="A892" s="32">
        <v>890</v>
      </c>
      <c r="B892" s="33">
        <v>40583</v>
      </c>
      <c r="C892" s="40" t="str">
        <f t="shared" si="81"/>
        <v>Wednesday</v>
      </c>
      <c r="D892" s="28">
        <v>13</v>
      </c>
      <c r="E892" s="40" t="str" cm="1">
        <f t="array" ref="E892">_xlfn.IFS(D892&gt;=21,"Night",D892&gt;=17,"Evening",D892&gt;=12,"Midday",D892&gt;=6,"Morning", TRUE, "Night")</f>
        <v>Midday</v>
      </c>
      <c r="F892" s="28">
        <v>1</v>
      </c>
      <c r="G892" s="28">
        <v>0</v>
      </c>
      <c r="H892" s="28">
        <v>2</v>
      </c>
      <c r="I892" s="28">
        <v>3</v>
      </c>
      <c r="J892" s="40" t="str">
        <f t="shared" si="82"/>
        <v>Weekday</v>
      </c>
      <c r="K892" s="28" t="b">
        <v>0</v>
      </c>
      <c r="L892" s="28">
        <v>1</v>
      </c>
      <c r="M892" s="40" t="str" cm="1">
        <f t="array" ref="M892">_xlfn.IFS(L892=1,"Clear / Partly Cloudy",L892=2,"Mist / Cloudy",L892=3,"Light Snow / Rain",L892=4,"Heavy Precipitation")</f>
        <v>Clear / Partly Cloudy</v>
      </c>
      <c r="N892" s="28">
        <v>0.18</v>
      </c>
      <c r="O892" s="28" t="str">
        <f t="shared" si="83"/>
        <v>Cold</v>
      </c>
      <c r="P892" s="28">
        <v>0.16669999999999999</v>
      </c>
      <c r="Q892" s="38">
        <f t="shared" si="79"/>
        <v>0.16669999999999999</v>
      </c>
      <c r="R892" s="28">
        <v>0.4</v>
      </c>
      <c r="S892" s="28">
        <v>0.25369999999999998</v>
      </c>
      <c r="T892" s="40" t="str" cm="1">
        <f t="array" ref="T892">_xlfn.IFS(S892*18.6&lt;2,"Calm",S892*18.6&lt;6,"Light Breeze",S892*18.6&lt;14,"Gale",TRUE,"Extreme Storm")</f>
        <v>Light Breeze</v>
      </c>
      <c r="U892" s="28">
        <v>2</v>
      </c>
      <c r="V892" s="28">
        <v>67</v>
      </c>
      <c r="W892" s="28">
        <v>69</v>
      </c>
      <c r="X892" s="44">
        <f>AVERAGE(INDEX($W:$W,MAX(ROW($W$3),ROW()-23)):INDEX($W:$W,ROW()))</f>
        <v>64.916666666666671</v>
      </c>
      <c r="Y892" s="44">
        <f>_xlfn.STDEV.S(INDEX($W:$W,MAX(ROW($W$3),ROW()-23)):INDEX($W:$W,ROW()))</f>
        <v>53.84673634021614</v>
      </c>
      <c r="Z892" s="44">
        <f t="shared" si="80"/>
        <v>7.5832512996403048E-2</v>
      </c>
      <c r="AA892" s="40" t="b">
        <f t="shared" si="78"/>
        <v>0</v>
      </c>
    </row>
    <row r="893" spans="1:27" x14ac:dyDescent="0.3">
      <c r="A893" s="32">
        <v>891</v>
      </c>
      <c r="B893" s="33">
        <v>40583</v>
      </c>
      <c r="C893" s="40" t="str">
        <f t="shared" si="81"/>
        <v>Wednesday</v>
      </c>
      <c r="D893" s="28">
        <v>14</v>
      </c>
      <c r="E893" s="40" t="str" cm="1">
        <f t="array" ref="E893">_xlfn.IFS(D893&gt;=21,"Night",D893&gt;=17,"Evening",D893&gt;=12,"Midday",D893&gt;=6,"Morning", TRUE, "Night")</f>
        <v>Midday</v>
      </c>
      <c r="F893" s="28">
        <v>1</v>
      </c>
      <c r="G893" s="28">
        <v>0</v>
      </c>
      <c r="H893" s="28">
        <v>2</v>
      </c>
      <c r="I893" s="28">
        <v>3</v>
      </c>
      <c r="J893" s="40" t="str">
        <f t="shared" si="82"/>
        <v>Weekday</v>
      </c>
      <c r="K893" s="28" t="b">
        <v>0</v>
      </c>
      <c r="L893" s="28">
        <v>1</v>
      </c>
      <c r="M893" s="40" t="str" cm="1">
        <f t="array" ref="M893">_xlfn.IFS(L893=1,"Clear / Partly Cloudy",L893=2,"Mist / Cloudy",L893=3,"Light Snow / Rain",L893=4,"Heavy Precipitation")</f>
        <v>Clear / Partly Cloudy</v>
      </c>
      <c r="N893" s="28">
        <v>0.2</v>
      </c>
      <c r="O893" s="28" t="str">
        <f t="shared" si="83"/>
        <v>Mild</v>
      </c>
      <c r="P893" s="28">
        <v>0.18179999999999999</v>
      </c>
      <c r="Q893" s="38">
        <f t="shared" si="79"/>
        <v>0.18179999999999999</v>
      </c>
      <c r="R893" s="28">
        <v>0.34</v>
      </c>
      <c r="S893" s="28">
        <v>0.29849999999999999</v>
      </c>
      <c r="T893" s="40" t="str" cm="1">
        <f t="array" ref="T893">_xlfn.IFS(S893*18.6&lt;2,"Calm",S893*18.6&lt;6,"Light Breeze",S893*18.6&lt;14,"Gale",TRUE,"Extreme Storm")</f>
        <v>Light Breeze</v>
      </c>
      <c r="U893" s="28">
        <v>2</v>
      </c>
      <c r="V893" s="28">
        <v>56</v>
      </c>
      <c r="W893" s="28">
        <v>58</v>
      </c>
      <c r="X893" s="44">
        <f>AVERAGE(INDEX($W:$W,MAX(ROW($W$3),ROW()-23)):INDEX($W:$W,ROW()))</f>
        <v>65.25</v>
      </c>
      <c r="Y893" s="44">
        <f>_xlfn.STDEV.S(INDEX($W:$W,MAX(ROW($W$3),ROW()-23)):INDEX($W:$W,ROW()))</f>
        <v>53.775095253892552</v>
      </c>
      <c r="Z893" s="44">
        <f t="shared" si="80"/>
        <v>-0.13482077466845963</v>
      </c>
      <c r="AA893" s="40" t="b">
        <f t="shared" si="78"/>
        <v>0</v>
      </c>
    </row>
    <row r="894" spans="1:27" x14ac:dyDescent="0.3">
      <c r="A894" s="32">
        <v>892</v>
      </c>
      <c r="B894" s="33">
        <v>40583</v>
      </c>
      <c r="C894" s="40" t="str">
        <f t="shared" si="81"/>
        <v>Wednesday</v>
      </c>
      <c r="D894" s="28">
        <v>15</v>
      </c>
      <c r="E894" s="40" t="str" cm="1">
        <f t="array" ref="E894">_xlfn.IFS(D894&gt;=21,"Night",D894&gt;=17,"Evening",D894&gt;=12,"Midday",D894&gt;=6,"Morning", TRUE, "Night")</f>
        <v>Midday</v>
      </c>
      <c r="F894" s="28">
        <v>1</v>
      </c>
      <c r="G894" s="28">
        <v>0</v>
      </c>
      <c r="H894" s="28">
        <v>2</v>
      </c>
      <c r="I894" s="28">
        <v>3</v>
      </c>
      <c r="J894" s="40" t="str">
        <f t="shared" si="82"/>
        <v>Weekday</v>
      </c>
      <c r="K894" s="28" t="b">
        <v>0</v>
      </c>
      <c r="L894" s="28">
        <v>2</v>
      </c>
      <c r="M894" s="40" t="str" cm="1">
        <f t="array" ref="M894">_xlfn.IFS(L894=1,"Clear / Partly Cloudy",L894=2,"Mist / Cloudy",L894=3,"Light Snow / Rain",L894=4,"Heavy Precipitation")</f>
        <v>Mist / Cloudy</v>
      </c>
      <c r="N894" s="28">
        <v>0.2</v>
      </c>
      <c r="O894" s="28" t="str">
        <f t="shared" si="83"/>
        <v>Mild</v>
      </c>
      <c r="P894" s="28">
        <v>0.18179999999999999</v>
      </c>
      <c r="Q894" s="38">
        <f t="shared" si="79"/>
        <v>0.18179999999999999</v>
      </c>
      <c r="R894" s="28">
        <v>0.34</v>
      </c>
      <c r="S894" s="28">
        <v>0.28360000000000002</v>
      </c>
      <c r="T894" s="40" t="str" cm="1">
        <f t="array" ref="T894">_xlfn.IFS(S894*18.6&lt;2,"Calm",S894*18.6&lt;6,"Light Breeze",S894*18.6&lt;14,"Gale",TRUE,"Extreme Storm")</f>
        <v>Light Breeze</v>
      </c>
      <c r="U894" s="28">
        <v>3</v>
      </c>
      <c r="V894" s="28">
        <v>61</v>
      </c>
      <c r="W894" s="28">
        <v>64</v>
      </c>
      <c r="X894" s="44">
        <f>AVERAGE(INDEX($W:$W,MAX(ROW($W$3),ROW()-23)):INDEX($W:$W,ROW()))</f>
        <v>65.25</v>
      </c>
      <c r="Y894" s="44">
        <f>_xlfn.STDEV.S(INDEX($W:$W,MAX(ROW($W$3),ROW()-23)):INDEX($W:$W,ROW()))</f>
        <v>53.775095253892552</v>
      </c>
      <c r="Z894" s="44">
        <f t="shared" si="80"/>
        <v>-2.3244961149734417E-2</v>
      </c>
      <c r="AA894" s="40" t="b">
        <f t="shared" si="78"/>
        <v>0</v>
      </c>
    </row>
    <row r="895" spans="1:27" x14ac:dyDescent="0.3">
      <c r="A895" s="32">
        <v>893</v>
      </c>
      <c r="B895" s="33">
        <v>40583</v>
      </c>
      <c r="C895" s="40" t="str">
        <f t="shared" si="81"/>
        <v>Wednesday</v>
      </c>
      <c r="D895" s="28">
        <v>16</v>
      </c>
      <c r="E895" s="40" t="str" cm="1">
        <f t="array" ref="E895">_xlfn.IFS(D895&gt;=21,"Night",D895&gt;=17,"Evening",D895&gt;=12,"Midday",D895&gt;=6,"Morning", TRUE, "Night")</f>
        <v>Midday</v>
      </c>
      <c r="F895" s="28">
        <v>1</v>
      </c>
      <c r="G895" s="28">
        <v>0</v>
      </c>
      <c r="H895" s="28">
        <v>2</v>
      </c>
      <c r="I895" s="28">
        <v>3</v>
      </c>
      <c r="J895" s="40" t="str">
        <f t="shared" si="82"/>
        <v>Weekday</v>
      </c>
      <c r="K895" s="28" t="b">
        <v>0</v>
      </c>
      <c r="L895" s="28">
        <v>2</v>
      </c>
      <c r="M895" s="40" t="str" cm="1">
        <f t="array" ref="M895">_xlfn.IFS(L895=1,"Clear / Partly Cloudy",L895=2,"Mist / Cloudy",L895=3,"Light Snow / Rain",L895=4,"Heavy Precipitation")</f>
        <v>Mist / Cloudy</v>
      </c>
      <c r="N895" s="28">
        <v>0.2</v>
      </c>
      <c r="O895" s="28" t="str">
        <f t="shared" si="83"/>
        <v>Mild</v>
      </c>
      <c r="P895" s="28">
        <v>0.19700000000000001</v>
      </c>
      <c r="Q895" s="38">
        <f t="shared" si="79"/>
        <v>0.19700000000000001</v>
      </c>
      <c r="R895" s="28">
        <v>0.37</v>
      </c>
      <c r="S895" s="28">
        <v>0.25369999999999998</v>
      </c>
      <c r="T895" s="40" t="str" cm="1">
        <f t="array" ref="T895">_xlfn.IFS(S895*18.6&lt;2,"Calm",S895*18.6&lt;6,"Light Breeze",S895*18.6&lt;14,"Gale",TRUE,"Extreme Storm")</f>
        <v>Light Breeze</v>
      </c>
      <c r="U895" s="28">
        <v>7</v>
      </c>
      <c r="V895" s="28">
        <v>72</v>
      </c>
      <c r="W895" s="28">
        <v>79</v>
      </c>
      <c r="X895" s="44">
        <f>AVERAGE(INDEX($W:$W,MAX(ROW($W$3),ROW()-23)):INDEX($W:$W,ROW()))</f>
        <v>66.416666666666671</v>
      </c>
      <c r="Y895" s="44">
        <f>_xlfn.STDEV.S(INDEX($W:$W,MAX(ROW($W$3),ROW()-23)):INDEX($W:$W,ROW()))</f>
        <v>53.756226467805298</v>
      </c>
      <c r="Z895" s="44">
        <f t="shared" si="80"/>
        <v>0.23408141084585821</v>
      </c>
      <c r="AA895" s="40" t="b">
        <f t="shared" si="78"/>
        <v>0</v>
      </c>
    </row>
    <row r="896" spans="1:27" x14ac:dyDescent="0.3">
      <c r="A896" s="32">
        <v>894</v>
      </c>
      <c r="B896" s="33">
        <v>40583</v>
      </c>
      <c r="C896" s="40" t="str">
        <f t="shared" si="81"/>
        <v>Wednesday</v>
      </c>
      <c r="D896" s="28">
        <v>17</v>
      </c>
      <c r="E896" s="40" t="str" cm="1">
        <f t="array" ref="E896">_xlfn.IFS(D896&gt;=21,"Night",D896&gt;=17,"Evening",D896&gt;=12,"Midday",D896&gt;=6,"Morning", TRUE, "Night")</f>
        <v>Evening</v>
      </c>
      <c r="F896" s="28">
        <v>1</v>
      </c>
      <c r="G896" s="28">
        <v>0</v>
      </c>
      <c r="H896" s="28">
        <v>2</v>
      </c>
      <c r="I896" s="28">
        <v>3</v>
      </c>
      <c r="J896" s="40" t="str">
        <f t="shared" si="82"/>
        <v>Weekday</v>
      </c>
      <c r="K896" s="28" t="b">
        <v>0</v>
      </c>
      <c r="L896" s="28">
        <v>2</v>
      </c>
      <c r="M896" s="40" t="str" cm="1">
        <f t="array" ref="M896">_xlfn.IFS(L896=1,"Clear / Partly Cloudy",L896=2,"Mist / Cloudy",L896=3,"Light Snow / Rain",L896=4,"Heavy Precipitation")</f>
        <v>Mist / Cloudy</v>
      </c>
      <c r="N896" s="28">
        <v>0.2</v>
      </c>
      <c r="O896" s="28" t="str">
        <f t="shared" si="83"/>
        <v>Mild</v>
      </c>
      <c r="P896" s="28">
        <v>0.19700000000000001</v>
      </c>
      <c r="Q896" s="38">
        <f t="shared" si="79"/>
        <v>0.19700000000000001</v>
      </c>
      <c r="R896" s="28">
        <v>0.34</v>
      </c>
      <c r="S896" s="28">
        <v>0.25369999999999998</v>
      </c>
      <c r="T896" s="40" t="str" cm="1">
        <f t="array" ref="T896">_xlfn.IFS(S896*18.6&lt;2,"Calm",S896*18.6&lt;6,"Light Breeze",S896*18.6&lt;14,"Gale",TRUE,"Extreme Storm")</f>
        <v>Light Breeze</v>
      </c>
      <c r="U896" s="28">
        <v>9</v>
      </c>
      <c r="V896" s="28">
        <v>157</v>
      </c>
      <c r="W896" s="28">
        <v>166</v>
      </c>
      <c r="X896" s="44">
        <f>AVERAGE(INDEX($W:$W,MAX(ROW($W$3),ROW()-23)):INDEX($W:$W,ROW()))</f>
        <v>69.875</v>
      </c>
      <c r="Y896" s="44">
        <f>_xlfn.STDEV.S(INDEX($W:$W,MAX(ROW($W$3),ROW()-23)):INDEX($W:$W,ROW()))</f>
        <v>57.414823491165926</v>
      </c>
      <c r="Z896" s="44">
        <f t="shared" si="80"/>
        <v>1.6742192025512397</v>
      </c>
      <c r="AA896" s="40" t="b">
        <f t="shared" si="78"/>
        <v>0</v>
      </c>
    </row>
    <row r="897" spans="1:27" x14ac:dyDescent="0.3">
      <c r="A897" s="32">
        <v>895</v>
      </c>
      <c r="B897" s="33">
        <v>40583</v>
      </c>
      <c r="C897" s="40" t="str">
        <f t="shared" si="81"/>
        <v>Wednesday</v>
      </c>
      <c r="D897" s="28">
        <v>18</v>
      </c>
      <c r="E897" s="40" t="str" cm="1">
        <f t="array" ref="E897">_xlfn.IFS(D897&gt;=21,"Night",D897&gt;=17,"Evening",D897&gt;=12,"Midday",D897&gt;=6,"Morning", TRUE, "Night")</f>
        <v>Evening</v>
      </c>
      <c r="F897" s="28">
        <v>1</v>
      </c>
      <c r="G897" s="28">
        <v>0</v>
      </c>
      <c r="H897" s="28">
        <v>2</v>
      </c>
      <c r="I897" s="28">
        <v>3</v>
      </c>
      <c r="J897" s="40" t="str">
        <f t="shared" si="82"/>
        <v>Weekday</v>
      </c>
      <c r="K897" s="28" t="b">
        <v>0</v>
      </c>
      <c r="L897" s="28">
        <v>2</v>
      </c>
      <c r="M897" s="40" t="str" cm="1">
        <f t="array" ref="M897">_xlfn.IFS(L897=1,"Clear / Partly Cloudy",L897=2,"Mist / Cloudy",L897=3,"Light Snow / Rain",L897=4,"Heavy Precipitation")</f>
        <v>Mist / Cloudy</v>
      </c>
      <c r="N897" s="28">
        <v>0.18</v>
      </c>
      <c r="O897" s="28" t="str">
        <f t="shared" si="83"/>
        <v>Cold</v>
      </c>
      <c r="P897" s="28">
        <v>0.16669999999999999</v>
      </c>
      <c r="Q897" s="38">
        <f t="shared" si="79"/>
        <v>0.16669999999999999</v>
      </c>
      <c r="R897" s="28">
        <v>0.47</v>
      </c>
      <c r="S897" s="28">
        <v>0.29849999999999999</v>
      </c>
      <c r="T897" s="40" t="str" cm="1">
        <f t="array" ref="T897">_xlfn.IFS(S897*18.6&lt;2,"Calm",S897*18.6&lt;6,"Light Breeze",S897*18.6&lt;14,"Gale",TRUE,"Extreme Storm")</f>
        <v>Light Breeze</v>
      </c>
      <c r="U897" s="28">
        <v>2</v>
      </c>
      <c r="V897" s="28">
        <v>168</v>
      </c>
      <c r="W897" s="28">
        <v>170</v>
      </c>
      <c r="X897" s="44">
        <f>AVERAGE(INDEX($W:$W,MAX(ROW($W$3),ROW()-23)):INDEX($W:$W,ROW()))</f>
        <v>69.625</v>
      </c>
      <c r="Y897" s="44">
        <f>_xlfn.STDEV.S(INDEX($W:$W,MAX(ROW($W$3),ROW()-23)):INDEX($W:$W,ROW()))</f>
        <v>56.943765166208919</v>
      </c>
      <c r="Z897" s="44">
        <f t="shared" si="80"/>
        <v>1.7627039537519671</v>
      </c>
      <c r="AA897" s="40" t="b">
        <f t="shared" si="78"/>
        <v>0</v>
      </c>
    </row>
    <row r="898" spans="1:27" x14ac:dyDescent="0.3">
      <c r="A898" s="32">
        <v>896</v>
      </c>
      <c r="B898" s="33">
        <v>40583</v>
      </c>
      <c r="C898" s="40" t="str">
        <f t="shared" si="81"/>
        <v>Wednesday</v>
      </c>
      <c r="D898" s="28">
        <v>19</v>
      </c>
      <c r="E898" s="40" t="str" cm="1">
        <f t="array" ref="E898">_xlfn.IFS(D898&gt;=21,"Night",D898&gt;=17,"Evening",D898&gt;=12,"Midday",D898&gt;=6,"Morning", TRUE, "Night")</f>
        <v>Evening</v>
      </c>
      <c r="F898" s="28">
        <v>1</v>
      </c>
      <c r="G898" s="28">
        <v>0</v>
      </c>
      <c r="H898" s="28">
        <v>2</v>
      </c>
      <c r="I898" s="28">
        <v>3</v>
      </c>
      <c r="J898" s="40" t="str">
        <f t="shared" si="82"/>
        <v>Weekday</v>
      </c>
      <c r="K898" s="28" t="b">
        <v>0</v>
      </c>
      <c r="L898" s="28">
        <v>3</v>
      </c>
      <c r="M898" s="40" t="str" cm="1">
        <f t="array" ref="M898">_xlfn.IFS(L898=1,"Clear / Partly Cloudy",L898=2,"Mist / Cloudy",L898=3,"Light Snow / Rain",L898=4,"Heavy Precipitation")</f>
        <v>Light Snow / Rain</v>
      </c>
      <c r="N898" s="28">
        <v>0.14000000000000001</v>
      </c>
      <c r="O898" s="28" t="str">
        <f t="shared" si="83"/>
        <v>Cold</v>
      </c>
      <c r="P898" s="28">
        <v>0.1212</v>
      </c>
      <c r="Q898" s="38">
        <f t="shared" si="79"/>
        <v>0.1212</v>
      </c>
      <c r="R898" s="28">
        <v>0.86</v>
      </c>
      <c r="S898" s="28">
        <v>0.25369999999999998</v>
      </c>
      <c r="T898" s="40" t="str" cm="1">
        <f t="array" ref="T898">_xlfn.IFS(S898*18.6&lt;2,"Calm",S898*18.6&lt;6,"Light Breeze",S898*18.6&lt;14,"Gale",TRUE,"Extreme Storm")</f>
        <v>Light Breeze</v>
      </c>
      <c r="U898" s="28">
        <v>1</v>
      </c>
      <c r="V898" s="28">
        <v>87</v>
      </c>
      <c r="W898" s="28">
        <v>88</v>
      </c>
      <c r="X898" s="44">
        <f>AVERAGE(INDEX($W:$W,MAX(ROW($W$3),ROW()-23)):INDEX($W:$W,ROW()))</f>
        <v>66.958333333333329</v>
      </c>
      <c r="Y898" s="44">
        <f>_xlfn.STDEV.S(INDEX($W:$W,MAX(ROW($W$3),ROW()-23)):INDEX($W:$W,ROW()))</f>
        <v>54.35829536843773</v>
      </c>
      <c r="Z898" s="44">
        <f t="shared" si="80"/>
        <v>0.3870920992655737</v>
      </c>
      <c r="AA898" s="40" t="b">
        <f t="shared" si="78"/>
        <v>0</v>
      </c>
    </row>
    <row r="899" spans="1:27" x14ac:dyDescent="0.3">
      <c r="A899" s="32">
        <v>897</v>
      </c>
      <c r="B899" s="33">
        <v>40583</v>
      </c>
      <c r="C899" s="40" t="str">
        <f t="shared" si="81"/>
        <v>Wednesday</v>
      </c>
      <c r="D899" s="28">
        <v>20</v>
      </c>
      <c r="E899" s="40" t="str" cm="1">
        <f t="array" ref="E899">_xlfn.IFS(D899&gt;=21,"Night",D899&gt;=17,"Evening",D899&gt;=12,"Midday",D899&gt;=6,"Morning", TRUE, "Night")</f>
        <v>Evening</v>
      </c>
      <c r="F899" s="28">
        <v>1</v>
      </c>
      <c r="G899" s="28">
        <v>0</v>
      </c>
      <c r="H899" s="28">
        <v>2</v>
      </c>
      <c r="I899" s="28">
        <v>3</v>
      </c>
      <c r="J899" s="40" t="str">
        <f t="shared" si="82"/>
        <v>Weekday</v>
      </c>
      <c r="K899" s="28" t="b">
        <v>0</v>
      </c>
      <c r="L899" s="28">
        <v>3</v>
      </c>
      <c r="M899" s="40" t="str" cm="1">
        <f t="array" ref="M899">_xlfn.IFS(L899=1,"Clear / Partly Cloudy",L899=2,"Mist / Cloudy",L899=3,"Light Snow / Rain",L899=4,"Heavy Precipitation")</f>
        <v>Light Snow / Rain</v>
      </c>
      <c r="N899" s="28">
        <v>0.14000000000000001</v>
      </c>
      <c r="O899" s="28" t="str">
        <f t="shared" si="83"/>
        <v>Cold</v>
      </c>
      <c r="P899" s="28">
        <v>0.1515</v>
      </c>
      <c r="Q899" s="38">
        <f t="shared" si="79"/>
        <v>0.1515</v>
      </c>
      <c r="R899" s="28">
        <v>0.86</v>
      </c>
      <c r="S899" s="28">
        <v>0.16420000000000001</v>
      </c>
      <c r="T899" s="40" t="str" cm="1">
        <f t="array" ref="T899">_xlfn.IFS(S899*18.6&lt;2,"Calm",S899*18.6&lt;6,"Light Breeze",S899*18.6&lt;14,"Gale",TRUE,"Extreme Storm")</f>
        <v>Light Breeze</v>
      </c>
      <c r="U899" s="28">
        <v>0</v>
      </c>
      <c r="V899" s="28">
        <v>84</v>
      </c>
      <c r="W899" s="28">
        <v>84</v>
      </c>
      <c r="X899" s="44">
        <f>AVERAGE(INDEX($W:$W,MAX(ROW($W$3),ROW()-23)):INDEX($W:$W,ROW()))</f>
        <v>66.25</v>
      </c>
      <c r="Y899" s="44">
        <f>_xlfn.STDEV.S(INDEX($W:$W,MAX(ROW($W$3),ROW()-23)):INDEX($W:$W,ROW()))</f>
        <v>54.005031971667876</v>
      </c>
      <c r="Z899" s="44">
        <f t="shared" si="80"/>
        <v>0.32867307641465721</v>
      </c>
      <c r="AA899" s="40" t="b">
        <f t="shared" ref="AA899:AA962" si="84">IF(ABS(Z899)&gt;=3,TRUE,FALSE)</f>
        <v>0</v>
      </c>
    </row>
    <row r="900" spans="1:27" x14ac:dyDescent="0.3">
      <c r="A900" s="32">
        <v>898</v>
      </c>
      <c r="B900" s="33">
        <v>40583</v>
      </c>
      <c r="C900" s="40" t="str">
        <f t="shared" si="81"/>
        <v>Wednesday</v>
      </c>
      <c r="D900" s="28">
        <v>21</v>
      </c>
      <c r="E900" s="40" t="str" cm="1">
        <f t="array" ref="E900">_xlfn.IFS(D900&gt;=21,"Night",D900&gt;=17,"Evening",D900&gt;=12,"Midday",D900&gt;=6,"Morning", TRUE, "Night")</f>
        <v>Night</v>
      </c>
      <c r="F900" s="28">
        <v>1</v>
      </c>
      <c r="G900" s="28">
        <v>0</v>
      </c>
      <c r="H900" s="28">
        <v>2</v>
      </c>
      <c r="I900" s="28">
        <v>3</v>
      </c>
      <c r="J900" s="40" t="str">
        <f t="shared" si="82"/>
        <v>Weekday</v>
      </c>
      <c r="K900" s="28" t="b">
        <v>0</v>
      </c>
      <c r="L900" s="28">
        <v>2</v>
      </c>
      <c r="M900" s="40" t="str" cm="1">
        <f t="array" ref="M900">_xlfn.IFS(L900=1,"Clear / Partly Cloudy",L900=2,"Mist / Cloudy",L900=3,"Light Snow / Rain",L900=4,"Heavy Precipitation")</f>
        <v>Mist / Cloudy</v>
      </c>
      <c r="N900" s="28">
        <v>0.14000000000000001</v>
      </c>
      <c r="O900" s="28" t="str">
        <f t="shared" si="83"/>
        <v>Cold</v>
      </c>
      <c r="P900" s="28">
        <v>0.1515</v>
      </c>
      <c r="Q900" s="38">
        <f t="shared" ref="Q900:Q963" si="85">IF(P900="", AVERAGE($P$3:$P$1002), P900)</f>
        <v>0.1515</v>
      </c>
      <c r="R900" s="28">
        <v>0.86</v>
      </c>
      <c r="S900" s="28">
        <v>0.16420000000000001</v>
      </c>
      <c r="T900" s="40" t="str" cm="1">
        <f t="array" ref="T900">_xlfn.IFS(S900*18.6&lt;2,"Calm",S900*18.6&lt;6,"Light Breeze",S900*18.6&lt;14,"Gale",TRUE,"Extreme Storm")</f>
        <v>Light Breeze</v>
      </c>
      <c r="U900" s="28">
        <v>0</v>
      </c>
      <c r="V900" s="28">
        <v>83</v>
      </c>
      <c r="W900" s="28">
        <v>83</v>
      </c>
      <c r="X900" s="44">
        <f>AVERAGE(INDEX($W:$W,MAX(ROW($W$3),ROW()-23)):INDEX($W:$W,ROW()))</f>
        <v>67.375</v>
      </c>
      <c r="Y900" s="44">
        <f>_xlfn.STDEV.S(INDEX($W:$W,MAX(ROW($W$3),ROW()-23)):INDEX($W:$W,ROW()))</f>
        <v>54.063418878846029</v>
      </c>
      <c r="Z900" s="44">
        <f t="shared" ref="Z900:Z963" si="86">IFERROR((W900-X900)/Y900,0)</f>
        <v>0.28901242881096739</v>
      </c>
      <c r="AA900" s="40" t="b">
        <f t="shared" si="84"/>
        <v>0</v>
      </c>
    </row>
    <row r="901" spans="1:27" x14ac:dyDescent="0.3">
      <c r="A901" s="32">
        <v>899</v>
      </c>
      <c r="B901" s="33">
        <v>40583</v>
      </c>
      <c r="C901" s="40" t="str">
        <f t="shared" ref="C901:C964" si="87">TEXT(B901,"dddd")</f>
        <v>Wednesday</v>
      </c>
      <c r="D901" s="28">
        <v>22</v>
      </c>
      <c r="E901" s="40" t="str" cm="1">
        <f t="array" ref="E901">_xlfn.IFS(D901&gt;=21,"Night",D901&gt;=17,"Evening",D901&gt;=12,"Midday",D901&gt;=6,"Morning", TRUE, "Night")</f>
        <v>Night</v>
      </c>
      <c r="F901" s="28">
        <v>1</v>
      </c>
      <c r="G901" s="28">
        <v>0</v>
      </c>
      <c r="H901" s="28">
        <v>2</v>
      </c>
      <c r="I901" s="28">
        <v>3</v>
      </c>
      <c r="J901" s="40" t="str">
        <f t="shared" ref="J901:J964" si="88">IF(OR(I901="Saturday", I901="Sunday"), "Weekend", "Weekday")</f>
        <v>Weekday</v>
      </c>
      <c r="K901" s="28" t="b">
        <v>0</v>
      </c>
      <c r="L901" s="28">
        <v>3</v>
      </c>
      <c r="M901" s="40" t="str" cm="1">
        <f t="array" ref="M901">_xlfn.IFS(L901=1,"Clear / Partly Cloudy",L901=2,"Mist / Cloudy",L901=3,"Light Snow / Rain",L901=4,"Heavy Precipitation")</f>
        <v>Light Snow / Rain</v>
      </c>
      <c r="N901" s="28">
        <v>0.16</v>
      </c>
      <c r="O901" s="28" t="str">
        <f t="shared" ref="O901:O964" si="89">IF(N901&lt;0.2,"Cold",IF(N901&lt;0.6,"Mild","Hot"))</f>
        <v>Cold</v>
      </c>
      <c r="P901" s="28">
        <v>0.16669999999999999</v>
      </c>
      <c r="Q901" s="38">
        <f t="shared" si="85"/>
        <v>0.16669999999999999</v>
      </c>
      <c r="R901" s="28">
        <v>0.8</v>
      </c>
      <c r="S901" s="28">
        <v>0.16420000000000001</v>
      </c>
      <c r="T901" s="40" t="str" cm="1">
        <f t="array" ref="T901">_xlfn.IFS(S901*18.6&lt;2,"Calm",S901*18.6&lt;6,"Light Breeze",S901*18.6&lt;14,"Gale",TRUE,"Extreme Storm")</f>
        <v>Light Breeze</v>
      </c>
      <c r="U901" s="28">
        <v>4</v>
      </c>
      <c r="V901" s="28">
        <v>42</v>
      </c>
      <c r="W901" s="28">
        <v>46</v>
      </c>
      <c r="X901" s="44">
        <f>AVERAGE(INDEX($W:$W,MAX(ROW($W$3),ROW()-23)):INDEX($W:$W,ROW()))</f>
        <v>67.041666666666671</v>
      </c>
      <c r="Y901" s="44">
        <f>_xlfn.STDEV.S(INDEX($W:$W,MAX(ROW($W$3),ROW()-23)):INDEX($W:$W,ROW()))</f>
        <v>54.174018453150758</v>
      </c>
      <c r="Z901" s="44">
        <f t="shared" si="86"/>
        <v>-0.38840882156200635</v>
      </c>
      <c r="AA901" s="40" t="b">
        <f t="shared" si="84"/>
        <v>0</v>
      </c>
    </row>
    <row r="902" spans="1:27" x14ac:dyDescent="0.3">
      <c r="A902" s="32">
        <v>900</v>
      </c>
      <c r="B902" s="33">
        <v>40583</v>
      </c>
      <c r="C902" s="40" t="str">
        <f t="shared" si="87"/>
        <v>Wednesday</v>
      </c>
      <c r="D902" s="28">
        <v>23</v>
      </c>
      <c r="E902" s="40" t="str" cm="1">
        <f t="array" ref="E902">_xlfn.IFS(D902&gt;=21,"Night",D902&gt;=17,"Evening",D902&gt;=12,"Midday",D902&gt;=6,"Morning", TRUE, "Night")</f>
        <v>Night</v>
      </c>
      <c r="F902" s="28">
        <v>1</v>
      </c>
      <c r="G902" s="28">
        <v>0</v>
      </c>
      <c r="H902" s="28">
        <v>2</v>
      </c>
      <c r="I902" s="28">
        <v>3</v>
      </c>
      <c r="J902" s="40" t="str">
        <f t="shared" si="88"/>
        <v>Weekday</v>
      </c>
      <c r="K902" s="28" t="b">
        <v>0</v>
      </c>
      <c r="L902" s="28">
        <v>3</v>
      </c>
      <c r="M902" s="40" t="str" cm="1">
        <f t="array" ref="M902">_xlfn.IFS(L902=1,"Clear / Partly Cloudy",L902=2,"Mist / Cloudy",L902=3,"Light Snow / Rain",L902=4,"Heavy Precipitation")</f>
        <v>Light Snow / Rain</v>
      </c>
      <c r="N902" s="28">
        <v>0.16</v>
      </c>
      <c r="O902" s="28" t="str">
        <f t="shared" si="89"/>
        <v>Cold</v>
      </c>
      <c r="P902" s="28">
        <v>0.1515</v>
      </c>
      <c r="Q902" s="38">
        <f t="shared" si="85"/>
        <v>0.1515</v>
      </c>
      <c r="R902" s="28">
        <v>0.8</v>
      </c>
      <c r="S902" s="28">
        <v>0.19400000000000001</v>
      </c>
      <c r="T902" s="40" t="str" cm="1">
        <f t="array" ref="T902">_xlfn.IFS(S902*18.6&lt;2,"Calm",S902*18.6&lt;6,"Light Breeze",S902*18.6&lt;14,"Gale",TRUE,"Extreme Storm")</f>
        <v>Light Breeze</v>
      </c>
      <c r="U902" s="28">
        <v>0</v>
      </c>
      <c r="V902" s="28">
        <v>37</v>
      </c>
      <c r="W902" s="28">
        <v>37</v>
      </c>
      <c r="X902" s="44">
        <f>AVERAGE(INDEX($W:$W,MAX(ROW($W$3),ROW()-23)):INDEX($W:$W,ROW()))</f>
        <v>67.375</v>
      </c>
      <c r="Y902" s="44">
        <f>_xlfn.STDEV.S(INDEX($W:$W,MAX(ROW($W$3),ROW()-23)):INDEX($W:$W,ROW()))</f>
        <v>53.9539356665762</v>
      </c>
      <c r="Z902" s="44">
        <f t="shared" si="86"/>
        <v>-0.56298024647749545</v>
      </c>
      <c r="AA902" s="40" t="b">
        <f t="shared" si="84"/>
        <v>0</v>
      </c>
    </row>
    <row r="903" spans="1:27" x14ac:dyDescent="0.3">
      <c r="A903" s="32">
        <v>901</v>
      </c>
      <c r="B903" s="33">
        <v>40584</v>
      </c>
      <c r="C903" s="40" t="str">
        <f t="shared" si="87"/>
        <v>Thursday</v>
      </c>
      <c r="D903" s="28">
        <v>0</v>
      </c>
      <c r="E903" s="40" t="str" cm="1">
        <f t="array" ref="E903">_xlfn.IFS(D903&gt;=21,"Night",D903&gt;=17,"Evening",D903&gt;=12,"Midday",D903&gt;=6,"Morning", TRUE, "Night")</f>
        <v>Night</v>
      </c>
      <c r="F903" s="28">
        <v>1</v>
      </c>
      <c r="G903" s="28">
        <v>0</v>
      </c>
      <c r="H903" s="28">
        <v>2</v>
      </c>
      <c r="I903" s="28">
        <v>4</v>
      </c>
      <c r="J903" s="40" t="str">
        <f t="shared" si="88"/>
        <v>Weekday</v>
      </c>
      <c r="K903" s="28" t="b">
        <v>0</v>
      </c>
      <c r="L903" s="28">
        <v>3</v>
      </c>
      <c r="M903" s="40" t="str" cm="1">
        <f t="array" ref="M903">_xlfn.IFS(L903=1,"Clear / Partly Cloudy",L903=2,"Mist / Cloudy",L903=3,"Light Snow / Rain",L903=4,"Heavy Precipitation")</f>
        <v>Light Snow / Rain</v>
      </c>
      <c r="N903" s="28">
        <v>0.14000000000000001</v>
      </c>
      <c r="O903" s="28" t="str">
        <f t="shared" si="89"/>
        <v>Cold</v>
      </c>
      <c r="P903" s="28">
        <v>0.13639999999999999</v>
      </c>
      <c r="Q903" s="38">
        <f t="shared" si="85"/>
        <v>0.13639999999999999</v>
      </c>
      <c r="R903" s="28">
        <v>0.86</v>
      </c>
      <c r="S903" s="28">
        <v>0.19400000000000001</v>
      </c>
      <c r="T903" s="40" t="str" cm="1">
        <f t="array" ref="T903">_xlfn.IFS(S903*18.6&lt;2,"Calm",S903*18.6&lt;6,"Light Breeze",S903*18.6&lt;14,"Gale",TRUE,"Extreme Storm")</f>
        <v>Light Breeze</v>
      </c>
      <c r="U903" s="28">
        <v>0</v>
      </c>
      <c r="V903" s="28">
        <v>16</v>
      </c>
      <c r="W903" s="28">
        <v>16</v>
      </c>
      <c r="X903" s="44">
        <f>AVERAGE(INDEX($W:$W,MAX(ROW($W$3),ROW()-23)):INDEX($W:$W,ROW()))</f>
        <v>67.541666666666671</v>
      </c>
      <c r="Y903" s="44">
        <f>_xlfn.STDEV.S(INDEX($W:$W,MAX(ROW($W$3),ROW()-23)):INDEX($W:$W,ROW()))</f>
        <v>53.78134407965733</v>
      </c>
      <c r="Z903" s="44">
        <f t="shared" si="86"/>
        <v>-0.95835586760953018</v>
      </c>
      <c r="AA903" s="40" t="b">
        <f t="shared" si="84"/>
        <v>0</v>
      </c>
    </row>
    <row r="904" spans="1:27" x14ac:dyDescent="0.3">
      <c r="A904" s="32">
        <v>902</v>
      </c>
      <c r="B904" s="33">
        <v>40584</v>
      </c>
      <c r="C904" s="40" t="str">
        <f t="shared" si="87"/>
        <v>Thursday</v>
      </c>
      <c r="D904" s="28">
        <v>1</v>
      </c>
      <c r="E904" s="40" t="str" cm="1">
        <f t="array" ref="E904">_xlfn.IFS(D904&gt;=21,"Night",D904&gt;=17,"Evening",D904&gt;=12,"Midday",D904&gt;=6,"Morning", TRUE, "Night")</f>
        <v>Night</v>
      </c>
      <c r="F904" s="28">
        <v>1</v>
      </c>
      <c r="G904" s="28">
        <v>0</v>
      </c>
      <c r="H904" s="28">
        <v>2</v>
      </c>
      <c r="I904" s="28">
        <v>4</v>
      </c>
      <c r="J904" s="40" t="str">
        <f t="shared" si="88"/>
        <v>Weekday</v>
      </c>
      <c r="K904" s="28" t="b">
        <v>0</v>
      </c>
      <c r="L904" s="28">
        <v>3</v>
      </c>
      <c r="M904" s="40" t="str" cm="1">
        <f t="array" ref="M904">_xlfn.IFS(L904=1,"Clear / Partly Cloudy",L904=2,"Mist / Cloudy",L904=3,"Light Snow / Rain",L904=4,"Heavy Precipitation")</f>
        <v>Light Snow / Rain</v>
      </c>
      <c r="N904" s="28">
        <v>0.14000000000000001</v>
      </c>
      <c r="O904" s="28" t="str">
        <f t="shared" si="89"/>
        <v>Cold</v>
      </c>
      <c r="P904" s="28">
        <v>0.1515</v>
      </c>
      <c r="Q904" s="38">
        <f t="shared" si="85"/>
        <v>0.1515</v>
      </c>
      <c r="R904" s="28">
        <v>0.8</v>
      </c>
      <c r="S904" s="28">
        <v>0.1343</v>
      </c>
      <c r="T904" s="40" t="str" cm="1">
        <f t="array" ref="T904">_xlfn.IFS(S904*18.6&lt;2,"Calm",S904*18.6&lt;6,"Light Breeze",S904*18.6&lt;14,"Gale",TRUE,"Extreme Storm")</f>
        <v>Light Breeze</v>
      </c>
      <c r="U904" s="28">
        <v>0</v>
      </c>
      <c r="V904" s="28">
        <v>7</v>
      </c>
      <c r="W904" s="28">
        <v>7</v>
      </c>
      <c r="X904" s="44">
        <f>AVERAGE(INDEX($W:$W,MAX(ROW($W$3),ROW()-23)):INDEX($W:$W,ROW()))</f>
        <v>67.125</v>
      </c>
      <c r="Y904" s="44">
        <f>_xlfn.STDEV.S(INDEX($W:$W,MAX(ROW($W$3),ROW()-23)):INDEX($W:$W,ROW()))</f>
        <v>54.226828351319597</v>
      </c>
      <c r="Z904" s="44">
        <f t="shared" si="86"/>
        <v>-1.1087685160280423</v>
      </c>
      <c r="AA904" s="40" t="b">
        <f t="shared" si="84"/>
        <v>0</v>
      </c>
    </row>
    <row r="905" spans="1:27" x14ac:dyDescent="0.3">
      <c r="A905" s="32">
        <v>903</v>
      </c>
      <c r="B905" s="33">
        <v>40584</v>
      </c>
      <c r="C905" s="40" t="str">
        <f t="shared" si="87"/>
        <v>Thursday</v>
      </c>
      <c r="D905" s="28">
        <v>2</v>
      </c>
      <c r="E905" s="40" t="str" cm="1">
        <f t="array" ref="E905">_xlfn.IFS(D905&gt;=21,"Night",D905&gt;=17,"Evening",D905&gt;=12,"Midday",D905&gt;=6,"Morning", TRUE, "Night")</f>
        <v>Night</v>
      </c>
      <c r="F905" s="28">
        <v>1</v>
      </c>
      <c r="G905" s="28">
        <v>0</v>
      </c>
      <c r="H905" s="28">
        <v>2</v>
      </c>
      <c r="I905" s="28">
        <v>4</v>
      </c>
      <c r="J905" s="40" t="str">
        <f t="shared" si="88"/>
        <v>Weekday</v>
      </c>
      <c r="K905" s="28" t="b">
        <v>0</v>
      </c>
      <c r="L905" s="28">
        <v>3</v>
      </c>
      <c r="M905" s="40" t="str" cm="1">
        <f t="array" ref="M905">_xlfn.IFS(L905=1,"Clear / Partly Cloudy",L905=2,"Mist / Cloudy",L905=3,"Light Snow / Rain",L905=4,"Heavy Precipitation")</f>
        <v>Light Snow / Rain</v>
      </c>
      <c r="N905" s="28">
        <v>0.14000000000000001</v>
      </c>
      <c r="O905" s="28" t="str">
        <f t="shared" si="89"/>
        <v>Cold</v>
      </c>
      <c r="P905" s="28">
        <v>0.1515</v>
      </c>
      <c r="Q905" s="38">
        <f t="shared" si="85"/>
        <v>0.1515</v>
      </c>
      <c r="R905" s="28">
        <v>0.8</v>
      </c>
      <c r="S905" s="28">
        <v>0.1343</v>
      </c>
      <c r="T905" s="40" t="str" cm="1">
        <f t="array" ref="T905">_xlfn.IFS(S905*18.6&lt;2,"Calm",S905*18.6&lt;6,"Light Breeze",S905*18.6&lt;14,"Gale",TRUE,"Extreme Storm")</f>
        <v>Light Breeze</v>
      </c>
      <c r="U905" s="28">
        <v>0</v>
      </c>
      <c r="V905" s="28">
        <v>3</v>
      </c>
      <c r="W905" s="28">
        <v>3</v>
      </c>
      <c r="X905" s="44">
        <f>AVERAGE(INDEX($W:$W,MAX(ROW($W$3),ROW()-23)):INDEX($W:$W,ROW()))</f>
        <v>66.958333333333329</v>
      </c>
      <c r="Y905" s="44">
        <f>_xlfn.STDEV.S(INDEX($W:$W,MAX(ROW($W$3),ROW()-23)):INDEX($W:$W,ROW()))</f>
        <v>54.42544095538782</v>
      </c>
      <c r="Z905" s="44">
        <f t="shared" si="86"/>
        <v>-1.1751550784082678</v>
      </c>
      <c r="AA905" s="40" t="b">
        <f t="shared" si="84"/>
        <v>0</v>
      </c>
    </row>
    <row r="906" spans="1:27" x14ac:dyDescent="0.3">
      <c r="A906" s="32">
        <v>904</v>
      </c>
      <c r="B906" s="33">
        <v>40584</v>
      </c>
      <c r="C906" s="40" t="str">
        <f t="shared" si="87"/>
        <v>Thursday</v>
      </c>
      <c r="D906" s="28">
        <v>4</v>
      </c>
      <c r="E906" s="40" t="str" cm="1">
        <f t="array" ref="E906">_xlfn.IFS(D906&gt;=21,"Night",D906&gt;=17,"Evening",D906&gt;=12,"Midday",D906&gt;=6,"Morning", TRUE, "Night")</f>
        <v>Night</v>
      </c>
      <c r="F906" s="28">
        <v>1</v>
      </c>
      <c r="G906" s="28">
        <v>0</v>
      </c>
      <c r="H906" s="28">
        <v>2</v>
      </c>
      <c r="I906" s="28">
        <v>4</v>
      </c>
      <c r="J906" s="40" t="str">
        <f t="shared" si="88"/>
        <v>Weekday</v>
      </c>
      <c r="K906" s="28" t="b">
        <v>0</v>
      </c>
      <c r="L906" s="28">
        <v>2</v>
      </c>
      <c r="M906" s="40" t="str" cm="1">
        <f t="array" ref="M906">_xlfn.IFS(L906=1,"Clear / Partly Cloudy",L906=2,"Mist / Cloudy",L906=3,"Light Snow / Rain",L906=4,"Heavy Precipitation")</f>
        <v>Mist / Cloudy</v>
      </c>
      <c r="N906" s="28">
        <v>0.14000000000000001</v>
      </c>
      <c r="O906" s="28" t="str">
        <f t="shared" si="89"/>
        <v>Cold</v>
      </c>
      <c r="P906" s="28">
        <v>0.13639999999999999</v>
      </c>
      <c r="Q906" s="38">
        <f t="shared" si="85"/>
        <v>0.13639999999999999</v>
      </c>
      <c r="R906" s="28">
        <v>0.59</v>
      </c>
      <c r="S906" s="28">
        <v>0.22389999999999999</v>
      </c>
      <c r="T906" s="40" t="str" cm="1">
        <f t="array" ref="T906">_xlfn.IFS(S906*18.6&lt;2,"Calm",S906*18.6&lt;6,"Light Breeze",S906*18.6&lt;14,"Gale",TRUE,"Extreme Storm")</f>
        <v>Light Breeze</v>
      </c>
      <c r="U906" s="28">
        <v>0</v>
      </c>
      <c r="V906" s="28">
        <v>1</v>
      </c>
      <c r="W906" s="28">
        <v>1</v>
      </c>
      <c r="X906" s="44">
        <f>AVERAGE(INDEX($W:$W,MAX(ROW($W$3),ROW()-23)):INDEX($W:$W,ROW()))</f>
        <v>66.875</v>
      </c>
      <c r="Y906" s="44">
        <f>_xlfn.STDEV.S(INDEX($W:$W,MAX(ROW($W$3),ROW()-23)):INDEX($W:$W,ROW()))</f>
        <v>54.529060859883415</v>
      </c>
      <c r="Z906" s="44">
        <f t="shared" si="86"/>
        <v>-1.2080714202885474</v>
      </c>
      <c r="AA906" s="40" t="b">
        <f t="shared" si="84"/>
        <v>0</v>
      </c>
    </row>
    <row r="907" spans="1:27" x14ac:dyDescent="0.3">
      <c r="A907" s="32">
        <v>905</v>
      </c>
      <c r="B907" s="33">
        <v>40584</v>
      </c>
      <c r="C907" s="40" t="str">
        <f t="shared" si="87"/>
        <v>Thursday</v>
      </c>
      <c r="D907" s="28">
        <v>5</v>
      </c>
      <c r="E907" s="40" t="str" cm="1">
        <f t="array" ref="E907">_xlfn.IFS(D907&gt;=21,"Night",D907&gt;=17,"Evening",D907&gt;=12,"Midday",D907&gt;=6,"Morning", TRUE, "Night")</f>
        <v>Night</v>
      </c>
      <c r="F907" s="28">
        <v>1</v>
      </c>
      <c r="G907" s="28">
        <v>0</v>
      </c>
      <c r="H907" s="28">
        <v>2</v>
      </c>
      <c r="I907" s="28">
        <v>4</v>
      </c>
      <c r="J907" s="40" t="str">
        <f t="shared" si="88"/>
        <v>Weekday</v>
      </c>
      <c r="K907" s="28" t="b">
        <v>0</v>
      </c>
      <c r="L907" s="28">
        <v>2</v>
      </c>
      <c r="M907" s="40" t="str" cm="1">
        <f t="array" ref="M907">_xlfn.IFS(L907=1,"Clear / Partly Cloudy",L907=2,"Mist / Cloudy",L907=3,"Light Snow / Rain",L907=4,"Heavy Precipitation")</f>
        <v>Mist / Cloudy</v>
      </c>
      <c r="N907" s="28">
        <v>0.12</v>
      </c>
      <c r="O907" s="28" t="str">
        <f t="shared" si="89"/>
        <v>Cold</v>
      </c>
      <c r="P907" s="28">
        <v>0.1212</v>
      </c>
      <c r="Q907" s="38">
        <f t="shared" si="85"/>
        <v>0.1212</v>
      </c>
      <c r="R907" s="28">
        <v>0.5</v>
      </c>
      <c r="S907" s="28">
        <v>0.22389999999999999</v>
      </c>
      <c r="T907" s="40" t="str" cm="1">
        <f t="array" ref="T907">_xlfn.IFS(S907*18.6&lt;2,"Calm",S907*18.6&lt;6,"Light Breeze",S907*18.6&lt;14,"Gale",TRUE,"Extreme Storm")</f>
        <v>Light Breeze</v>
      </c>
      <c r="U907" s="28">
        <v>0</v>
      </c>
      <c r="V907" s="28">
        <v>6</v>
      </c>
      <c r="W907" s="28">
        <v>6</v>
      </c>
      <c r="X907" s="44">
        <f>AVERAGE(INDEX($W:$W,MAX(ROW($W$3),ROW()-23)):INDEX($W:$W,ROW()))</f>
        <v>67.041666666666671</v>
      </c>
      <c r="Y907" s="44">
        <f>_xlfn.STDEV.S(INDEX($W:$W,MAX(ROW($W$3),ROW()-23)):INDEX($W:$W,ROW()))</f>
        <v>54.32789272129218</v>
      </c>
      <c r="Z907" s="44">
        <f t="shared" si="86"/>
        <v>-1.123578766064365</v>
      </c>
      <c r="AA907" s="40" t="b">
        <f t="shared" si="84"/>
        <v>0</v>
      </c>
    </row>
    <row r="908" spans="1:27" x14ac:dyDescent="0.3">
      <c r="A908" s="32">
        <v>906</v>
      </c>
      <c r="B908" s="33">
        <v>40584</v>
      </c>
      <c r="C908" s="40" t="str">
        <f t="shared" si="87"/>
        <v>Thursday</v>
      </c>
      <c r="D908" s="28">
        <v>6</v>
      </c>
      <c r="E908" s="40" t="str" cm="1">
        <f t="array" ref="E908">_xlfn.IFS(D908&gt;=21,"Night",D908&gt;=17,"Evening",D908&gt;=12,"Midday",D908&gt;=6,"Morning", TRUE, "Night")</f>
        <v>Morning</v>
      </c>
      <c r="F908" s="28">
        <v>1</v>
      </c>
      <c r="G908" s="28">
        <v>0</v>
      </c>
      <c r="H908" s="28">
        <v>2</v>
      </c>
      <c r="I908" s="28">
        <v>4</v>
      </c>
      <c r="J908" s="40" t="str">
        <f t="shared" si="88"/>
        <v>Weekday</v>
      </c>
      <c r="K908" s="28" t="b">
        <v>0</v>
      </c>
      <c r="L908" s="28">
        <v>2</v>
      </c>
      <c r="M908" s="40" t="str" cm="1">
        <f t="array" ref="M908">_xlfn.IFS(L908=1,"Clear / Partly Cloudy",L908=2,"Mist / Cloudy",L908=3,"Light Snow / Rain",L908=4,"Heavy Precipitation")</f>
        <v>Mist / Cloudy</v>
      </c>
      <c r="N908" s="28">
        <v>0.12</v>
      </c>
      <c r="O908" s="28" t="str">
        <f t="shared" si="89"/>
        <v>Cold</v>
      </c>
      <c r="P908" s="28">
        <v>0.1212</v>
      </c>
      <c r="Q908" s="38">
        <f t="shared" si="85"/>
        <v>0.1212</v>
      </c>
      <c r="R908" s="28">
        <v>0.54</v>
      </c>
      <c r="S908" s="28">
        <v>0.28360000000000002</v>
      </c>
      <c r="T908" s="40" t="str" cm="1">
        <f t="array" ref="T908">_xlfn.IFS(S908*18.6&lt;2,"Calm",S908*18.6&lt;6,"Light Breeze",S908*18.6&lt;14,"Gale",TRUE,"Extreme Storm")</f>
        <v>Light Breeze</v>
      </c>
      <c r="U908" s="28">
        <v>0</v>
      </c>
      <c r="V908" s="28">
        <v>26</v>
      </c>
      <c r="W908" s="28">
        <v>26</v>
      </c>
      <c r="X908" s="44">
        <f>AVERAGE(INDEX($W:$W,MAX(ROW($W$3),ROW()-23)):INDEX($W:$W,ROW()))</f>
        <v>67.833333333333329</v>
      </c>
      <c r="Y908" s="44">
        <f>_xlfn.STDEV.S(INDEX($W:$W,MAX(ROW($W$3),ROW()-23)):INDEX($W:$W,ROW()))</f>
        <v>53.547757365183649</v>
      </c>
      <c r="Z908" s="44">
        <f t="shared" si="86"/>
        <v>-0.78123408694857965</v>
      </c>
      <c r="AA908" s="40" t="b">
        <f t="shared" si="84"/>
        <v>0</v>
      </c>
    </row>
    <row r="909" spans="1:27" x14ac:dyDescent="0.3">
      <c r="A909" s="32">
        <v>907</v>
      </c>
      <c r="B909" s="33">
        <v>40584</v>
      </c>
      <c r="C909" s="40" t="str">
        <f t="shared" si="87"/>
        <v>Thursday</v>
      </c>
      <c r="D909" s="28">
        <v>7</v>
      </c>
      <c r="E909" s="40" t="str" cm="1">
        <f t="array" ref="E909">_xlfn.IFS(D909&gt;=21,"Night",D909&gt;=17,"Evening",D909&gt;=12,"Midday",D909&gt;=6,"Morning", TRUE, "Night")</f>
        <v>Morning</v>
      </c>
      <c r="F909" s="28">
        <v>1</v>
      </c>
      <c r="G909" s="28">
        <v>0</v>
      </c>
      <c r="H909" s="28">
        <v>2</v>
      </c>
      <c r="I909" s="28">
        <v>4</v>
      </c>
      <c r="J909" s="40" t="str">
        <f t="shared" si="88"/>
        <v>Weekday</v>
      </c>
      <c r="K909" s="28" t="b">
        <v>0</v>
      </c>
      <c r="L909" s="28">
        <v>1</v>
      </c>
      <c r="M909" s="40" t="str" cm="1">
        <f t="array" ref="M909">_xlfn.IFS(L909=1,"Clear / Partly Cloudy",L909=2,"Mist / Cloudy",L909=3,"Light Snow / Rain",L909=4,"Heavy Precipitation")</f>
        <v>Clear / Partly Cloudy</v>
      </c>
      <c r="N909" s="28">
        <v>0.1</v>
      </c>
      <c r="O909" s="28" t="str">
        <f t="shared" si="89"/>
        <v>Cold</v>
      </c>
      <c r="P909" s="28">
        <v>7.5800000000000006E-2</v>
      </c>
      <c r="Q909" s="38">
        <f t="shared" si="85"/>
        <v>7.5800000000000006E-2</v>
      </c>
      <c r="R909" s="28">
        <v>0.5</v>
      </c>
      <c r="S909" s="28">
        <v>0.41789999999999999</v>
      </c>
      <c r="T909" s="40" t="str" cm="1">
        <f t="array" ref="T909">_xlfn.IFS(S909*18.6&lt;2,"Calm",S909*18.6&lt;6,"Light Breeze",S909*18.6&lt;14,"Gale",TRUE,"Extreme Storm")</f>
        <v>Gale</v>
      </c>
      <c r="U909" s="28">
        <v>0</v>
      </c>
      <c r="V909" s="28">
        <v>99</v>
      </c>
      <c r="W909" s="28">
        <v>99</v>
      </c>
      <c r="X909" s="44">
        <f>AVERAGE(INDEX($W:$W,MAX(ROW($W$3),ROW()-23)):INDEX($W:$W,ROW()))</f>
        <v>70.166666666666671</v>
      </c>
      <c r="Y909" s="44">
        <f>_xlfn.STDEV.S(INDEX($W:$W,MAX(ROW($W$3),ROW()-23)):INDEX($W:$W,ROW()))</f>
        <v>53.638619009770956</v>
      </c>
      <c r="Z909" s="44">
        <f t="shared" si="86"/>
        <v>0.53754801793239626</v>
      </c>
      <c r="AA909" s="40" t="b">
        <f t="shared" si="84"/>
        <v>0</v>
      </c>
    </row>
    <row r="910" spans="1:27" x14ac:dyDescent="0.3">
      <c r="A910" s="32">
        <v>908</v>
      </c>
      <c r="B910" s="33">
        <v>40584</v>
      </c>
      <c r="C910" s="40" t="str">
        <f t="shared" si="87"/>
        <v>Thursday</v>
      </c>
      <c r="D910" s="28">
        <v>8</v>
      </c>
      <c r="E910" s="40" t="str" cm="1">
        <f t="array" ref="E910">_xlfn.IFS(D910&gt;=21,"Night",D910&gt;=17,"Evening",D910&gt;=12,"Midday",D910&gt;=6,"Morning", TRUE, "Night")</f>
        <v>Morning</v>
      </c>
      <c r="F910" s="28">
        <v>1</v>
      </c>
      <c r="G910" s="28">
        <v>0</v>
      </c>
      <c r="H910" s="28">
        <v>2</v>
      </c>
      <c r="I910" s="28">
        <v>4</v>
      </c>
      <c r="J910" s="40" t="str">
        <f t="shared" si="88"/>
        <v>Weekday</v>
      </c>
      <c r="K910" s="28" t="b">
        <v>0</v>
      </c>
      <c r="L910" s="28">
        <v>1</v>
      </c>
      <c r="M910" s="40" t="str" cm="1">
        <f t="array" ref="M910">_xlfn.IFS(L910=1,"Clear / Partly Cloudy",L910=2,"Mist / Cloudy",L910=3,"Light Snow / Rain",L910=4,"Heavy Precipitation")</f>
        <v>Clear / Partly Cloudy</v>
      </c>
      <c r="N910" s="28">
        <v>0.1</v>
      </c>
      <c r="O910" s="28" t="str">
        <f t="shared" si="89"/>
        <v>Cold</v>
      </c>
      <c r="P910" s="28">
        <v>7.5800000000000006E-2</v>
      </c>
      <c r="Q910" s="38">
        <f t="shared" si="85"/>
        <v>7.5800000000000006E-2</v>
      </c>
      <c r="R910" s="28">
        <v>0.49</v>
      </c>
      <c r="S910" s="28">
        <v>0.32840000000000003</v>
      </c>
      <c r="T910" s="40" t="str" cm="1">
        <f t="array" ref="T910">_xlfn.IFS(S910*18.6&lt;2,"Calm",S910*18.6&lt;6,"Light Breeze",S910*18.6&lt;14,"Gale",TRUE,"Extreme Storm")</f>
        <v>Gale</v>
      </c>
      <c r="U910" s="28">
        <v>5</v>
      </c>
      <c r="V910" s="28">
        <v>173</v>
      </c>
      <c r="W910" s="28">
        <v>178</v>
      </c>
      <c r="X910" s="44">
        <f>AVERAGE(INDEX($W:$W,MAX(ROW($W$3),ROW()-23)):INDEX($W:$W,ROW()))</f>
        <v>73.458333333333329</v>
      </c>
      <c r="Y910" s="44">
        <f>_xlfn.STDEV.S(INDEX($W:$W,MAX(ROW($W$3),ROW()-23)):INDEX($W:$W,ROW()))</f>
        <v>57.751325350247541</v>
      </c>
      <c r="Z910" s="44">
        <f t="shared" si="86"/>
        <v>1.81020376645293</v>
      </c>
      <c r="AA910" s="40" t="b">
        <f t="shared" si="84"/>
        <v>0</v>
      </c>
    </row>
    <row r="911" spans="1:27" x14ac:dyDescent="0.3">
      <c r="A911" s="32">
        <v>909</v>
      </c>
      <c r="B911" s="33">
        <v>40584</v>
      </c>
      <c r="C911" s="40" t="str">
        <f t="shared" si="87"/>
        <v>Thursday</v>
      </c>
      <c r="D911" s="28">
        <v>9</v>
      </c>
      <c r="E911" s="40" t="str" cm="1">
        <f t="array" ref="E911">_xlfn.IFS(D911&gt;=21,"Night",D911&gt;=17,"Evening",D911&gt;=12,"Midday",D911&gt;=6,"Morning", TRUE, "Night")</f>
        <v>Morning</v>
      </c>
      <c r="F911" s="28">
        <v>1</v>
      </c>
      <c r="G911" s="28">
        <v>0</v>
      </c>
      <c r="H911" s="28">
        <v>2</v>
      </c>
      <c r="I911" s="28">
        <v>4</v>
      </c>
      <c r="J911" s="40" t="str">
        <f t="shared" si="88"/>
        <v>Weekday</v>
      </c>
      <c r="K911" s="28" t="b">
        <v>0</v>
      </c>
      <c r="L911" s="28">
        <v>1</v>
      </c>
      <c r="M911" s="40" t="str" cm="1">
        <f t="array" ref="M911">_xlfn.IFS(L911=1,"Clear / Partly Cloudy",L911=2,"Mist / Cloudy",L911=3,"Light Snow / Rain",L911=4,"Heavy Precipitation")</f>
        <v>Clear / Partly Cloudy</v>
      </c>
      <c r="N911" s="28">
        <v>0.12</v>
      </c>
      <c r="O911" s="28" t="str">
        <f t="shared" si="89"/>
        <v>Cold</v>
      </c>
      <c r="P911" s="28">
        <v>0.1061</v>
      </c>
      <c r="Q911" s="38">
        <f t="shared" si="85"/>
        <v>0.1061</v>
      </c>
      <c r="R911" s="28">
        <v>0.42</v>
      </c>
      <c r="S911" s="28">
        <v>0.35820000000000002</v>
      </c>
      <c r="T911" s="40" t="str" cm="1">
        <f t="array" ref="T911">_xlfn.IFS(S911*18.6&lt;2,"Calm",S911*18.6&lt;6,"Light Breeze",S911*18.6&lt;14,"Gale",TRUE,"Extreme Storm")</f>
        <v>Gale</v>
      </c>
      <c r="U911" s="28">
        <v>1</v>
      </c>
      <c r="V911" s="28">
        <v>121</v>
      </c>
      <c r="W911" s="28">
        <v>122</v>
      </c>
      <c r="X911" s="44">
        <f>AVERAGE(INDEX($W:$W,MAX(ROW($W$3),ROW()-23)):INDEX($W:$W,ROW()))</f>
        <v>70.25</v>
      </c>
      <c r="Y911" s="44">
        <f>_xlfn.STDEV.S(INDEX($W:$W,MAX(ROW($W$3),ROW()-23)):INDEX($W:$W,ROW()))</f>
        <v>52.360996104385549</v>
      </c>
      <c r="Z911" s="44">
        <f t="shared" si="86"/>
        <v>0.9883310832519786</v>
      </c>
      <c r="AA911" s="40" t="b">
        <f t="shared" si="84"/>
        <v>0</v>
      </c>
    </row>
    <row r="912" spans="1:27" x14ac:dyDescent="0.3">
      <c r="A912" s="32">
        <v>910</v>
      </c>
      <c r="B912" s="33">
        <v>40584</v>
      </c>
      <c r="C912" s="40" t="str">
        <f t="shared" si="87"/>
        <v>Thursday</v>
      </c>
      <c r="D912" s="28">
        <v>10</v>
      </c>
      <c r="E912" s="40" t="str" cm="1">
        <f t="array" ref="E912">_xlfn.IFS(D912&gt;=21,"Night",D912&gt;=17,"Evening",D912&gt;=12,"Midday",D912&gt;=6,"Morning", TRUE, "Night")</f>
        <v>Morning</v>
      </c>
      <c r="F912" s="28">
        <v>1</v>
      </c>
      <c r="G912" s="28">
        <v>0</v>
      </c>
      <c r="H912" s="28">
        <v>2</v>
      </c>
      <c r="I912" s="28">
        <v>4</v>
      </c>
      <c r="J912" s="40" t="str">
        <f t="shared" si="88"/>
        <v>Weekday</v>
      </c>
      <c r="K912" s="28" t="b">
        <v>0</v>
      </c>
      <c r="L912" s="28">
        <v>1</v>
      </c>
      <c r="M912" s="40" t="str" cm="1">
        <f t="array" ref="M912">_xlfn.IFS(L912=1,"Clear / Partly Cloudy",L912=2,"Mist / Cloudy",L912=3,"Light Snow / Rain",L912=4,"Heavy Precipitation")</f>
        <v>Clear / Partly Cloudy</v>
      </c>
      <c r="N912" s="28">
        <v>0.12</v>
      </c>
      <c r="O912" s="28" t="str">
        <f t="shared" si="89"/>
        <v>Cold</v>
      </c>
      <c r="P912" s="28">
        <v>0.1061</v>
      </c>
      <c r="Q912" s="38">
        <f t="shared" si="85"/>
        <v>0.1061</v>
      </c>
      <c r="R912" s="28">
        <v>0.42</v>
      </c>
      <c r="S912" s="28">
        <v>0.29849999999999999</v>
      </c>
      <c r="T912" s="40" t="str" cm="1">
        <f t="array" ref="T912">_xlfn.IFS(S912*18.6&lt;2,"Calm",S912*18.6&lt;6,"Light Breeze",S912*18.6&lt;14,"Gale",TRUE,"Extreme Storm")</f>
        <v>Light Breeze</v>
      </c>
      <c r="U912" s="28">
        <v>1</v>
      </c>
      <c r="V912" s="28">
        <v>34</v>
      </c>
      <c r="W912" s="28">
        <v>35</v>
      </c>
      <c r="X912" s="44">
        <f>AVERAGE(INDEX($W:$W,MAX(ROW($W$3),ROW()-23)):INDEX($W:$W,ROW()))</f>
        <v>66.583333333333329</v>
      </c>
      <c r="Y912" s="44">
        <f>_xlfn.STDEV.S(INDEX($W:$W,MAX(ROW($W$3),ROW()-23)):INDEX($W:$W,ROW()))</f>
        <v>51.581861209121769</v>
      </c>
      <c r="Z912" s="44">
        <f t="shared" si="86"/>
        <v>-0.61229534167619593</v>
      </c>
      <c r="AA912" s="40" t="b">
        <f t="shared" si="84"/>
        <v>0</v>
      </c>
    </row>
    <row r="913" spans="1:27" x14ac:dyDescent="0.3">
      <c r="A913" s="32">
        <v>911</v>
      </c>
      <c r="B913" s="33">
        <v>40584</v>
      </c>
      <c r="C913" s="40" t="str">
        <f t="shared" si="87"/>
        <v>Thursday</v>
      </c>
      <c r="D913" s="28">
        <v>11</v>
      </c>
      <c r="E913" s="40" t="str" cm="1">
        <f t="array" ref="E913">_xlfn.IFS(D913&gt;=21,"Night",D913&gt;=17,"Evening",D913&gt;=12,"Midday",D913&gt;=6,"Morning", TRUE, "Night")</f>
        <v>Morning</v>
      </c>
      <c r="F913" s="28">
        <v>1</v>
      </c>
      <c r="G913" s="28">
        <v>0</v>
      </c>
      <c r="H913" s="28">
        <v>2</v>
      </c>
      <c r="I913" s="28">
        <v>4</v>
      </c>
      <c r="J913" s="40" t="str">
        <f t="shared" si="88"/>
        <v>Weekday</v>
      </c>
      <c r="K913" s="28" t="b">
        <v>0</v>
      </c>
      <c r="L913" s="28">
        <v>1</v>
      </c>
      <c r="M913" s="40" t="str" cm="1">
        <f t="array" ref="M913">_xlfn.IFS(L913=1,"Clear / Partly Cloudy",L913=2,"Mist / Cloudy",L913=3,"Light Snow / Rain",L913=4,"Heavy Precipitation")</f>
        <v>Clear / Partly Cloudy</v>
      </c>
      <c r="N913" s="28">
        <v>0.14000000000000001</v>
      </c>
      <c r="O913" s="28" t="str">
        <f t="shared" si="89"/>
        <v>Cold</v>
      </c>
      <c r="P913" s="28">
        <v>0.1212</v>
      </c>
      <c r="Q913" s="38">
        <f t="shared" si="85"/>
        <v>0.1212</v>
      </c>
      <c r="R913" s="28">
        <v>0.39</v>
      </c>
      <c r="S913" s="28">
        <v>0.35820000000000002</v>
      </c>
      <c r="T913" s="40" t="str" cm="1">
        <f t="array" ref="T913">_xlfn.IFS(S913*18.6&lt;2,"Calm",S913*18.6&lt;6,"Light Breeze",S913*18.6&lt;14,"Gale",TRUE,"Extreme Storm")</f>
        <v>Gale</v>
      </c>
      <c r="U913" s="28">
        <v>1</v>
      </c>
      <c r="V913" s="28">
        <v>44</v>
      </c>
      <c r="W913" s="28">
        <v>45</v>
      </c>
      <c r="X913" s="44">
        <f>AVERAGE(INDEX($W:$W,MAX(ROW($W$3),ROW()-23)):INDEX($W:$W,ROW()))</f>
        <v>66</v>
      </c>
      <c r="Y913" s="44">
        <f>_xlfn.STDEV.S(INDEX($W:$W,MAX(ROW($W$3),ROW()-23)):INDEX($W:$W,ROW()))</f>
        <v>51.750236294356561</v>
      </c>
      <c r="Z913" s="44">
        <f t="shared" si="86"/>
        <v>-0.40579524855792942</v>
      </c>
      <c r="AA913" s="40" t="b">
        <f t="shared" si="84"/>
        <v>0</v>
      </c>
    </row>
    <row r="914" spans="1:27" x14ac:dyDescent="0.3">
      <c r="A914" s="32">
        <v>912</v>
      </c>
      <c r="B914" s="33">
        <v>40584</v>
      </c>
      <c r="C914" s="40" t="str">
        <f t="shared" si="87"/>
        <v>Thursday</v>
      </c>
      <c r="D914" s="28">
        <v>12</v>
      </c>
      <c r="E914" s="40" t="str" cm="1">
        <f t="array" ref="E914">_xlfn.IFS(D914&gt;=21,"Night",D914&gt;=17,"Evening",D914&gt;=12,"Midday",D914&gt;=6,"Morning", TRUE, "Night")</f>
        <v>Midday</v>
      </c>
      <c r="F914" s="28">
        <v>1</v>
      </c>
      <c r="G914" s="28">
        <v>0</v>
      </c>
      <c r="H914" s="28">
        <v>2</v>
      </c>
      <c r="I914" s="28">
        <v>4</v>
      </c>
      <c r="J914" s="40" t="str">
        <f t="shared" si="88"/>
        <v>Weekday</v>
      </c>
      <c r="K914" s="28" t="b">
        <v>0</v>
      </c>
      <c r="L914" s="28">
        <v>1</v>
      </c>
      <c r="M914" s="40" t="str" cm="1">
        <f t="array" ref="M914">_xlfn.IFS(L914=1,"Clear / Partly Cloudy",L914=2,"Mist / Cloudy",L914=3,"Light Snow / Rain",L914=4,"Heavy Precipitation")</f>
        <v>Clear / Partly Cloudy</v>
      </c>
      <c r="N914" s="28">
        <v>0.16</v>
      </c>
      <c r="O914" s="28" t="str">
        <f t="shared" si="89"/>
        <v>Cold</v>
      </c>
      <c r="P914" s="28">
        <v>0.13639999999999999</v>
      </c>
      <c r="Q914" s="38">
        <f t="shared" si="85"/>
        <v>0.13639999999999999</v>
      </c>
      <c r="R914" s="28">
        <v>0.34</v>
      </c>
      <c r="S914" s="28">
        <v>0.3881</v>
      </c>
      <c r="T914" s="40" t="str" cm="1">
        <f t="array" ref="T914">_xlfn.IFS(S914*18.6&lt;2,"Calm",S914*18.6&lt;6,"Light Breeze",S914*18.6&lt;14,"Gale",TRUE,"Extreme Storm")</f>
        <v>Gale</v>
      </c>
      <c r="U914" s="28">
        <v>4</v>
      </c>
      <c r="V914" s="28">
        <v>65</v>
      </c>
      <c r="W914" s="28">
        <v>69</v>
      </c>
      <c r="X914" s="44">
        <f>AVERAGE(INDEX($W:$W,MAX(ROW($W$3),ROW()-23)):INDEX($W:$W,ROW()))</f>
        <v>67.166666666666671</v>
      </c>
      <c r="Y914" s="44">
        <f>_xlfn.STDEV.S(INDEX($W:$W,MAX(ROW($W$3),ROW()-23)):INDEX($W:$W,ROW()))</f>
        <v>51.477024564081155</v>
      </c>
      <c r="Z914" s="44">
        <f t="shared" si="86"/>
        <v>3.5614594061300187E-2</v>
      </c>
      <c r="AA914" s="40" t="b">
        <f t="shared" si="84"/>
        <v>0</v>
      </c>
    </row>
    <row r="915" spans="1:27" x14ac:dyDescent="0.3">
      <c r="A915" s="32">
        <v>913</v>
      </c>
      <c r="B915" s="33">
        <v>40584</v>
      </c>
      <c r="C915" s="40" t="str">
        <f t="shared" si="87"/>
        <v>Thursday</v>
      </c>
      <c r="D915" s="28">
        <v>13</v>
      </c>
      <c r="E915" s="40" t="str" cm="1">
        <f t="array" ref="E915">_xlfn.IFS(D915&gt;=21,"Night",D915&gt;=17,"Evening",D915&gt;=12,"Midday",D915&gt;=6,"Morning", TRUE, "Night")</f>
        <v>Midday</v>
      </c>
      <c r="F915" s="28">
        <v>1</v>
      </c>
      <c r="G915" s="28">
        <v>0</v>
      </c>
      <c r="H915" s="28">
        <v>2</v>
      </c>
      <c r="I915" s="28">
        <v>4</v>
      </c>
      <c r="J915" s="40" t="str">
        <f t="shared" si="88"/>
        <v>Weekday</v>
      </c>
      <c r="K915" s="28" t="b">
        <v>0</v>
      </c>
      <c r="L915" s="28">
        <v>1</v>
      </c>
      <c r="M915" s="40" t="str" cm="1">
        <f t="array" ref="M915">_xlfn.IFS(L915=1,"Clear / Partly Cloudy",L915=2,"Mist / Cloudy",L915=3,"Light Snow / Rain",L915=4,"Heavy Precipitation")</f>
        <v>Clear / Partly Cloudy</v>
      </c>
      <c r="N915" s="28">
        <v>0.18</v>
      </c>
      <c r="O915" s="28" t="str">
        <f t="shared" si="89"/>
        <v>Cold</v>
      </c>
      <c r="P915" s="28">
        <v>0.16669999999999999</v>
      </c>
      <c r="Q915" s="38">
        <f t="shared" si="85"/>
        <v>0.16669999999999999</v>
      </c>
      <c r="R915" s="28">
        <v>0.28999999999999998</v>
      </c>
      <c r="S915" s="28">
        <v>0.29849999999999999</v>
      </c>
      <c r="T915" s="40" t="str" cm="1">
        <f t="array" ref="T915">_xlfn.IFS(S915*18.6&lt;2,"Calm",S915*18.6&lt;6,"Light Breeze",S915*18.6&lt;14,"Gale",TRUE,"Extreme Storm")</f>
        <v>Light Breeze</v>
      </c>
      <c r="U915" s="28">
        <v>3</v>
      </c>
      <c r="V915" s="28">
        <v>59</v>
      </c>
      <c r="W915" s="28">
        <v>62</v>
      </c>
      <c r="X915" s="44">
        <f>AVERAGE(INDEX($W:$W,MAX(ROW($W$3),ROW()-23)):INDEX($W:$W,ROW()))</f>
        <v>67.208333333333329</v>
      </c>
      <c r="Y915" s="44">
        <f>_xlfn.STDEV.S(INDEX($W:$W,MAX(ROW($W$3),ROW()-23)):INDEX($W:$W,ROW()))</f>
        <v>51.472220592797655</v>
      </c>
      <c r="Z915" s="44">
        <f t="shared" si="86"/>
        <v>-0.1011872670996074</v>
      </c>
      <c r="AA915" s="40" t="b">
        <f t="shared" si="84"/>
        <v>0</v>
      </c>
    </row>
    <row r="916" spans="1:27" x14ac:dyDescent="0.3">
      <c r="A916" s="32">
        <v>914</v>
      </c>
      <c r="B916" s="33">
        <v>40584</v>
      </c>
      <c r="C916" s="40" t="str">
        <f t="shared" si="87"/>
        <v>Thursday</v>
      </c>
      <c r="D916" s="28">
        <v>14</v>
      </c>
      <c r="E916" s="40" t="str" cm="1">
        <f t="array" ref="E916">_xlfn.IFS(D916&gt;=21,"Night",D916&gt;=17,"Evening",D916&gt;=12,"Midday",D916&gt;=6,"Morning", TRUE, "Night")</f>
        <v>Midday</v>
      </c>
      <c r="F916" s="28">
        <v>1</v>
      </c>
      <c r="G916" s="28">
        <v>0</v>
      </c>
      <c r="H916" s="28">
        <v>2</v>
      </c>
      <c r="I916" s="28">
        <v>4</v>
      </c>
      <c r="J916" s="40" t="str">
        <f t="shared" si="88"/>
        <v>Weekday</v>
      </c>
      <c r="K916" s="28" t="b">
        <v>0</v>
      </c>
      <c r="L916" s="28">
        <v>1</v>
      </c>
      <c r="M916" s="40" t="str" cm="1">
        <f t="array" ref="M916">_xlfn.IFS(L916=1,"Clear / Partly Cloudy",L916=2,"Mist / Cloudy",L916=3,"Light Snow / Rain",L916=4,"Heavy Precipitation")</f>
        <v>Clear / Partly Cloudy</v>
      </c>
      <c r="N916" s="28">
        <v>0.2</v>
      </c>
      <c r="O916" s="28" t="str">
        <f t="shared" si="89"/>
        <v>Mild</v>
      </c>
      <c r="P916" s="28">
        <v>0.18179999999999999</v>
      </c>
      <c r="Q916" s="38">
        <f t="shared" si="85"/>
        <v>0.18179999999999999</v>
      </c>
      <c r="R916" s="28">
        <v>0.27</v>
      </c>
      <c r="S916" s="28">
        <v>0.28360000000000002</v>
      </c>
      <c r="T916" s="40" t="str" cm="1">
        <f t="array" ref="T916">_xlfn.IFS(S916*18.6&lt;2,"Calm",S916*18.6&lt;6,"Light Breeze",S916*18.6&lt;14,"Gale",TRUE,"Extreme Storm")</f>
        <v>Light Breeze</v>
      </c>
      <c r="U916" s="28">
        <v>6</v>
      </c>
      <c r="V916" s="28">
        <v>42</v>
      </c>
      <c r="W916" s="28">
        <v>48</v>
      </c>
      <c r="X916" s="44">
        <f>AVERAGE(INDEX($W:$W,MAX(ROW($W$3),ROW()-23)):INDEX($W:$W,ROW()))</f>
        <v>66.333333333333329</v>
      </c>
      <c r="Y916" s="44">
        <f>_xlfn.STDEV.S(INDEX($W:$W,MAX(ROW($W$3),ROW()-23)):INDEX($W:$W,ROW()))</f>
        <v>51.618724835307468</v>
      </c>
      <c r="Z916" s="44">
        <f t="shared" si="86"/>
        <v>-0.35516827259539807</v>
      </c>
      <c r="AA916" s="40" t="b">
        <f t="shared" si="84"/>
        <v>0</v>
      </c>
    </row>
    <row r="917" spans="1:27" x14ac:dyDescent="0.3">
      <c r="A917" s="32">
        <v>915</v>
      </c>
      <c r="B917" s="33">
        <v>40584</v>
      </c>
      <c r="C917" s="40" t="str">
        <f t="shared" si="87"/>
        <v>Thursday</v>
      </c>
      <c r="D917" s="28">
        <v>15</v>
      </c>
      <c r="E917" s="40" t="str" cm="1">
        <f t="array" ref="E917">_xlfn.IFS(D917&gt;=21,"Night",D917&gt;=17,"Evening",D917&gt;=12,"Midday",D917&gt;=6,"Morning", TRUE, "Night")</f>
        <v>Midday</v>
      </c>
      <c r="F917" s="28">
        <v>1</v>
      </c>
      <c r="G917" s="28">
        <v>0</v>
      </c>
      <c r="H917" s="28">
        <v>2</v>
      </c>
      <c r="I917" s="28">
        <v>4</v>
      </c>
      <c r="J917" s="40" t="str">
        <f t="shared" si="88"/>
        <v>Weekday</v>
      </c>
      <c r="K917" s="28" t="b">
        <v>0</v>
      </c>
      <c r="L917" s="28">
        <v>1</v>
      </c>
      <c r="M917" s="40" t="str" cm="1">
        <f t="array" ref="M917">_xlfn.IFS(L917=1,"Clear / Partly Cloudy",L917=2,"Mist / Cloudy",L917=3,"Light Snow / Rain",L917=4,"Heavy Precipitation")</f>
        <v>Clear / Partly Cloudy</v>
      </c>
      <c r="N917" s="28">
        <v>0.2</v>
      </c>
      <c r="O917" s="28" t="str">
        <f t="shared" si="89"/>
        <v>Mild</v>
      </c>
      <c r="P917" s="28">
        <v>0.19700000000000001</v>
      </c>
      <c r="Q917" s="38">
        <f t="shared" si="85"/>
        <v>0.19700000000000001</v>
      </c>
      <c r="R917" s="28">
        <v>0.25</v>
      </c>
      <c r="S917" s="28">
        <v>0.25369999999999998</v>
      </c>
      <c r="T917" s="40" t="str" cm="1">
        <f t="array" ref="T917">_xlfn.IFS(S917*18.6&lt;2,"Calm",S917*18.6&lt;6,"Light Breeze",S917*18.6&lt;14,"Gale",TRUE,"Extreme Storm")</f>
        <v>Light Breeze</v>
      </c>
      <c r="U917" s="28">
        <v>0</v>
      </c>
      <c r="V917" s="28">
        <v>50</v>
      </c>
      <c r="W917" s="28">
        <v>50</v>
      </c>
      <c r="X917" s="44">
        <f>AVERAGE(INDEX($W:$W,MAX(ROW($W$3),ROW()-23)):INDEX($W:$W,ROW()))</f>
        <v>66</v>
      </c>
      <c r="Y917" s="44">
        <f>_xlfn.STDEV.S(INDEX($W:$W,MAX(ROW($W$3),ROW()-23)):INDEX($W:$W,ROW()))</f>
        <v>51.700643339702559</v>
      </c>
      <c r="Z917" s="44">
        <f t="shared" si="86"/>
        <v>-0.30947390528336222</v>
      </c>
      <c r="AA917" s="40" t="b">
        <f t="shared" si="84"/>
        <v>0</v>
      </c>
    </row>
    <row r="918" spans="1:27" x14ac:dyDescent="0.3">
      <c r="A918" s="32">
        <v>916</v>
      </c>
      <c r="B918" s="33">
        <v>40584</v>
      </c>
      <c r="C918" s="40" t="str">
        <f t="shared" si="87"/>
        <v>Thursday</v>
      </c>
      <c r="D918" s="28">
        <v>16</v>
      </c>
      <c r="E918" s="40" t="str" cm="1">
        <f t="array" ref="E918">_xlfn.IFS(D918&gt;=21,"Night",D918&gt;=17,"Evening",D918&gt;=12,"Midday",D918&gt;=6,"Morning", TRUE, "Night")</f>
        <v>Midday</v>
      </c>
      <c r="F918" s="28">
        <v>1</v>
      </c>
      <c r="G918" s="28">
        <v>0</v>
      </c>
      <c r="H918" s="28">
        <v>2</v>
      </c>
      <c r="I918" s="28">
        <v>4</v>
      </c>
      <c r="J918" s="40" t="str">
        <f t="shared" si="88"/>
        <v>Weekday</v>
      </c>
      <c r="K918" s="28" t="b">
        <v>0</v>
      </c>
      <c r="L918" s="28">
        <v>1</v>
      </c>
      <c r="M918" s="40" t="str" cm="1">
        <f t="array" ref="M918">_xlfn.IFS(L918=1,"Clear / Partly Cloudy",L918=2,"Mist / Cloudy",L918=3,"Light Snow / Rain",L918=4,"Heavy Precipitation")</f>
        <v>Clear / Partly Cloudy</v>
      </c>
      <c r="N918" s="28">
        <v>0.2</v>
      </c>
      <c r="O918" s="28" t="str">
        <f t="shared" si="89"/>
        <v>Mild</v>
      </c>
      <c r="P918" s="28">
        <v>0.18179999999999999</v>
      </c>
      <c r="Q918" s="38">
        <f t="shared" si="85"/>
        <v>0.18179999999999999</v>
      </c>
      <c r="R918" s="28">
        <v>0.27</v>
      </c>
      <c r="S918" s="28">
        <v>0.29849999999999999</v>
      </c>
      <c r="T918" s="40" t="str" cm="1">
        <f t="array" ref="T918">_xlfn.IFS(S918*18.6&lt;2,"Calm",S918*18.6&lt;6,"Light Breeze",S918*18.6&lt;14,"Gale",TRUE,"Extreme Storm")</f>
        <v>Light Breeze</v>
      </c>
      <c r="U918" s="28">
        <v>4</v>
      </c>
      <c r="V918" s="28">
        <v>76</v>
      </c>
      <c r="W918" s="28">
        <v>80</v>
      </c>
      <c r="X918" s="44">
        <f>AVERAGE(INDEX($W:$W,MAX(ROW($W$3),ROW()-23)):INDEX($W:$W,ROW()))</f>
        <v>66.666666666666671</v>
      </c>
      <c r="Y918" s="44">
        <f>_xlfn.STDEV.S(INDEX($W:$W,MAX(ROW($W$3),ROW()-23)):INDEX($W:$W,ROW()))</f>
        <v>51.776834392517131</v>
      </c>
      <c r="Z918" s="44">
        <f t="shared" si="86"/>
        <v>0.25751542151561668</v>
      </c>
      <c r="AA918" s="40" t="b">
        <f t="shared" si="84"/>
        <v>0</v>
      </c>
    </row>
    <row r="919" spans="1:27" x14ac:dyDescent="0.3">
      <c r="A919" s="32">
        <v>917</v>
      </c>
      <c r="B919" s="33">
        <v>40584</v>
      </c>
      <c r="C919" s="40" t="str">
        <f t="shared" si="87"/>
        <v>Thursday</v>
      </c>
      <c r="D919" s="28">
        <v>17</v>
      </c>
      <c r="E919" s="40" t="str" cm="1">
        <f t="array" ref="E919">_xlfn.IFS(D919&gt;=21,"Night",D919&gt;=17,"Evening",D919&gt;=12,"Midday",D919&gt;=6,"Morning", TRUE, "Night")</f>
        <v>Evening</v>
      </c>
      <c r="F919" s="28">
        <v>1</v>
      </c>
      <c r="G919" s="28">
        <v>0</v>
      </c>
      <c r="H919" s="28">
        <v>2</v>
      </c>
      <c r="I919" s="28">
        <v>4</v>
      </c>
      <c r="J919" s="40" t="str">
        <f t="shared" si="88"/>
        <v>Weekday</v>
      </c>
      <c r="K919" s="28" t="b">
        <v>0</v>
      </c>
      <c r="L919" s="28">
        <v>1</v>
      </c>
      <c r="M919" s="40" t="str" cm="1">
        <f t="array" ref="M919">_xlfn.IFS(L919=1,"Clear / Partly Cloudy",L919=2,"Mist / Cloudy",L919=3,"Light Snow / Rain",L919=4,"Heavy Precipitation")</f>
        <v>Clear / Partly Cloudy</v>
      </c>
      <c r="N919" s="28">
        <v>0.18</v>
      </c>
      <c r="O919" s="28" t="str">
        <f t="shared" si="89"/>
        <v>Cold</v>
      </c>
      <c r="P919" s="28">
        <v>0.18179999999999999</v>
      </c>
      <c r="Q919" s="38">
        <f t="shared" si="85"/>
        <v>0.18179999999999999</v>
      </c>
      <c r="R919" s="28">
        <v>0.26</v>
      </c>
      <c r="S919" s="28">
        <v>0.19400000000000001</v>
      </c>
      <c r="T919" s="40" t="str" cm="1">
        <f t="array" ref="T919">_xlfn.IFS(S919*18.6&lt;2,"Calm",S919*18.6&lt;6,"Light Breeze",S919*18.6&lt;14,"Gale",TRUE,"Extreme Storm")</f>
        <v>Light Breeze</v>
      </c>
      <c r="U919" s="28">
        <v>6</v>
      </c>
      <c r="V919" s="28">
        <v>159</v>
      </c>
      <c r="W919" s="28">
        <v>165</v>
      </c>
      <c r="X919" s="44">
        <f>AVERAGE(INDEX($W:$W,MAX(ROW($W$3),ROW()-23)):INDEX($W:$W,ROW()))</f>
        <v>70.25</v>
      </c>
      <c r="Y919" s="44">
        <f>_xlfn.STDEV.S(INDEX($W:$W,MAX(ROW($W$3),ROW()-23)):INDEX($W:$W,ROW()))</f>
        <v>55.508910369730572</v>
      </c>
      <c r="Z919" s="44">
        <f t="shared" si="86"/>
        <v>1.706933163863146</v>
      </c>
      <c r="AA919" s="40" t="b">
        <f t="shared" si="84"/>
        <v>0</v>
      </c>
    </row>
    <row r="920" spans="1:27" x14ac:dyDescent="0.3">
      <c r="A920" s="32">
        <v>918</v>
      </c>
      <c r="B920" s="33">
        <v>40584</v>
      </c>
      <c r="C920" s="40" t="str">
        <f t="shared" si="87"/>
        <v>Thursday</v>
      </c>
      <c r="D920" s="28">
        <v>18</v>
      </c>
      <c r="E920" s="40" t="str" cm="1">
        <f t="array" ref="E920">_xlfn.IFS(D920&gt;=21,"Night",D920&gt;=17,"Evening",D920&gt;=12,"Midday",D920&gt;=6,"Morning", TRUE, "Night")</f>
        <v>Evening</v>
      </c>
      <c r="F920" s="28">
        <v>1</v>
      </c>
      <c r="G920" s="28">
        <v>0</v>
      </c>
      <c r="H920" s="28">
        <v>2</v>
      </c>
      <c r="I920" s="28">
        <v>4</v>
      </c>
      <c r="J920" s="40" t="str">
        <f t="shared" si="88"/>
        <v>Weekday</v>
      </c>
      <c r="K920" s="28" t="b">
        <v>0</v>
      </c>
      <c r="L920" s="28">
        <v>1</v>
      </c>
      <c r="M920" s="40" t="str" cm="1">
        <f t="array" ref="M920">_xlfn.IFS(L920=1,"Clear / Partly Cloudy",L920=2,"Mist / Cloudy",L920=3,"Light Snow / Rain",L920=4,"Heavy Precipitation")</f>
        <v>Clear / Partly Cloudy</v>
      </c>
      <c r="N920" s="28">
        <v>0.16</v>
      </c>
      <c r="O920" s="28" t="str">
        <f t="shared" si="89"/>
        <v>Cold</v>
      </c>
      <c r="P920" s="28">
        <v>0.18179999999999999</v>
      </c>
      <c r="Q920" s="38">
        <f t="shared" si="85"/>
        <v>0.18179999999999999</v>
      </c>
      <c r="R920" s="28">
        <v>0.28000000000000003</v>
      </c>
      <c r="S920" s="28">
        <v>0.1343</v>
      </c>
      <c r="T920" s="40" t="str" cm="1">
        <f t="array" ref="T920">_xlfn.IFS(S920*18.6&lt;2,"Calm",S920*18.6&lt;6,"Light Breeze",S920*18.6&lt;14,"Gale",TRUE,"Extreme Storm")</f>
        <v>Light Breeze</v>
      </c>
      <c r="U920" s="28">
        <v>3</v>
      </c>
      <c r="V920" s="28">
        <v>157</v>
      </c>
      <c r="W920" s="28">
        <v>160</v>
      </c>
      <c r="X920" s="44">
        <f>AVERAGE(INDEX($W:$W,MAX(ROW($W$3),ROW()-23)):INDEX($W:$W,ROW()))</f>
        <v>70</v>
      </c>
      <c r="Y920" s="44">
        <f>_xlfn.STDEV.S(INDEX($W:$W,MAX(ROW($W$3),ROW()-23)):INDEX($W:$W,ROW()))</f>
        <v>55.070705540202155</v>
      </c>
      <c r="Z920" s="44">
        <f t="shared" si="86"/>
        <v>1.6342627013249198</v>
      </c>
      <c r="AA920" s="40" t="b">
        <f t="shared" si="84"/>
        <v>0</v>
      </c>
    </row>
    <row r="921" spans="1:27" x14ac:dyDescent="0.3">
      <c r="A921" s="32">
        <v>919</v>
      </c>
      <c r="B921" s="33">
        <v>40584</v>
      </c>
      <c r="C921" s="40" t="str">
        <f t="shared" si="87"/>
        <v>Thursday</v>
      </c>
      <c r="D921" s="28">
        <v>19</v>
      </c>
      <c r="E921" s="40" t="str" cm="1">
        <f t="array" ref="E921">_xlfn.IFS(D921&gt;=21,"Night",D921&gt;=17,"Evening",D921&gt;=12,"Midday",D921&gt;=6,"Morning", TRUE, "Night")</f>
        <v>Evening</v>
      </c>
      <c r="F921" s="28">
        <v>1</v>
      </c>
      <c r="G921" s="28">
        <v>0</v>
      </c>
      <c r="H921" s="28">
        <v>2</v>
      </c>
      <c r="I921" s="28">
        <v>4</v>
      </c>
      <c r="J921" s="40" t="str">
        <f t="shared" si="88"/>
        <v>Weekday</v>
      </c>
      <c r="K921" s="28" t="b">
        <v>0</v>
      </c>
      <c r="L921" s="28">
        <v>1</v>
      </c>
      <c r="M921" s="40" t="str" cm="1">
        <f t="array" ref="M921">_xlfn.IFS(L921=1,"Clear / Partly Cloudy",L921=2,"Mist / Cloudy",L921=3,"Light Snow / Rain",L921=4,"Heavy Precipitation")</f>
        <v>Clear / Partly Cloudy</v>
      </c>
      <c r="N921" s="28">
        <v>0.14000000000000001</v>
      </c>
      <c r="O921" s="28" t="str">
        <f t="shared" si="89"/>
        <v>Cold</v>
      </c>
      <c r="P921" s="28">
        <v>0.16669999999999999</v>
      </c>
      <c r="Q921" s="38">
        <f t="shared" si="85"/>
        <v>0.16669999999999999</v>
      </c>
      <c r="R921" s="28">
        <v>0.28000000000000003</v>
      </c>
      <c r="S921" s="28">
        <v>0.1045</v>
      </c>
      <c r="T921" s="40" t="str" cm="1">
        <f t="array" ref="T921">_xlfn.IFS(S921*18.6&lt;2,"Calm",S921*18.6&lt;6,"Light Breeze",S921*18.6&lt;14,"Gale",TRUE,"Extreme Storm")</f>
        <v>Calm</v>
      </c>
      <c r="U921" s="28">
        <v>2</v>
      </c>
      <c r="V921" s="28">
        <v>110</v>
      </c>
      <c r="W921" s="28">
        <v>112</v>
      </c>
      <c r="X921" s="44">
        <f>AVERAGE(INDEX($W:$W,MAX(ROW($W$3),ROW()-23)):INDEX($W:$W,ROW()))</f>
        <v>67.583333333333329</v>
      </c>
      <c r="Y921" s="44">
        <f>_xlfn.STDEV.S(INDEX($W:$W,MAX(ROW($W$3),ROW()-23)):INDEX($W:$W,ROW()))</f>
        <v>51.658508004735893</v>
      </c>
      <c r="Z921" s="44">
        <f t="shared" si="86"/>
        <v>0.85981319209983165</v>
      </c>
      <c r="AA921" s="40" t="b">
        <f t="shared" si="84"/>
        <v>0</v>
      </c>
    </row>
    <row r="922" spans="1:27" x14ac:dyDescent="0.3">
      <c r="A922" s="32">
        <v>920</v>
      </c>
      <c r="B922" s="33">
        <v>40584</v>
      </c>
      <c r="C922" s="40" t="str">
        <f t="shared" si="87"/>
        <v>Thursday</v>
      </c>
      <c r="D922" s="28">
        <v>20</v>
      </c>
      <c r="E922" s="40" t="str" cm="1">
        <f t="array" ref="E922">_xlfn.IFS(D922&gt;=21,"Night",D922&gt;=17,"Evening",D922&gt;=12,"Midday",D922&gt;=6,"Morning", TRUE, "Night")</f>
        <v>Evening</v>
      </c>
      <c r="F922" s="28">
        <v>1</v>
      </c>
      <c r="G922" s="28">
        <v>0</v>
      </c>
      <c r="H922" s="28">
        <v>2</v>
      </c>
      <c r="I922" s="28">
        <v>4</v>
      </c>
      <c r="J922" s="40" t="str">
        <f t="shared" si="88"/>
        <v>Weekday</v>
      </c>
      <c r="K922" s="28" t="b">
        <v>0</v>
      </c>
      <c r="L922" s="28">
        <v>1</v>
      </c>
      <c r="M922" s="40" t="str" cm="1">
        <f t="array" ref="M922">_xlfn.IFS(L922=1,"Clear / Partly Cloudy",L922=2,"Mist / Cloudy",L922=3,"Light Snow / Rain",L922=4,"Heavy Precipitation")</f>
        <v>Clear / Partly Cloudy</v>
      </c>
      <c r="N922" s="28">
        <v>0.14000000000000001</v>
      </c>
      <c r="O922" s="28" t="str">
        <f t="shared" si="89"/>
        <v>Cold</v>
      </c>
      <c r="P922" s="28">
        <v>0.18179999999999999</v>
      </c>
      <c r="Q922" s="38">
        <f t="shared" si="85"/>
        <v>0.18179999999999999</v>
      </c>
      <c r="R922" s="28">
        <v>0.31</v>
      </c>
      <c r="S922" s="28">
        <v>8.9599999999999999E-2</v>
      </c>
      <c r="T922" s="40" t="str" cm="1">
        <f t="array" ref="T922">_xlfn.IFS(S922*18.6&lt;2,"Calm",S922*18.6&lt;6,"Light Breeze",S922*18.6&lt;14,"Gale",TRUE,"Extreme Storm")</f>
        <v>Calm</v>
      </c>
      <c r="U922" s="28">
        <v>4</v>
      </c>
      <c r="V922" s="28">
        <v>93</v>
      </c>
      <c r="W922" s="28">
        <v>97</v>
      </c>
      <c r="X922" s="44">
        <f>AVERAGE(INDEX($W:$W,MAX(ROW($W$3),ROW()-23)):INDEX($W:$W,ROW()))</f>
        <v>67.958333333333329</v>
      </c>
      <c r="Y922" s="44">
        <f>_xlfn.STDEV.S(INDEX($W:$W,MAX(ROW($W$3),ROW()-23)):INDEX($W:$W,ROW()))</f>
        <v>51.845488811900765</v>
      </c>
      <c r="Z922" s="44">
        <f t="shared" si="86"/>
        <v>0.56015802593803232</v>
      </c>
      <c r="AA922" s="40" t="b">
        <f t="shared" si="84"/>
        <v>0</v>
      </c>
    </row>
    <row r="923" spans="1:27" x14ac:dyDescent="0.3">
      <c r="A923" s="32">
        <v>921</v>
      </c>
      <c r="B923" s="33">
        <v>40584</v>
      </c>
      <c r="C923" s="40" t="str">
        <f t="shared" si="87"/>
        <v>Thursday</v>
      </c>
      <c r="D923" s="28">
        <v>21</v>
      </c>
      <c r="E923" s="40" t="str" cm="1">
        <f t="array" ref="E923">_xlfn.IFS(D923&gt;=21,"Night",D923&gt;=17,"Evening",D923&gt;=12,"Midday",D923&gt;=6,"Morning", TRUE, "Night")</f>
        <v>Night</v>
      </c>
      <c r="F923" s="28">
        <v>1</v>
      </c>
      <c r="G923" s="28">
        <v>0</v>
      </c>
      <c r="H923" s="28">
        <v>2</v>
      </c>
      <c r="I923" s="28">
        <v>4</v>
      </c>
      <c r="J923" s="40" t="str">
        <f t="shared" si="88"/>
        <v>Weekday</v>
      </c>
      <c r="K923" s="28" t="b">
        <v>0</v>
      </c>
      <c r="L923" s="28">
        <v>1</v>
      </c>
      <c r="M923" s="40" t="str" cm="1">
        <f t="array" ref="M923">_xlfn.IFS(L923=1,"Clear / Partly Cloudy",L923=2,"Mist / Cloudy",L923=3,"Light Snow / Rain",L923=4,"Heavy Precipitation")</f>
        <v>Clear / Partly Cloudy</v>
      </c>
      <c r="N923" s="28">
        <v>0.14000000000000001</v>
      </c>
      <c r="O923" s="28" t="str">
        <f t="shared" si="89"/>
        <v>Cold</v>
      </c>
      <c r="P923" s="28">
        <v>0.21210000000000001</v>
      </c>
      <c r="Q923" s="38">
        <f t="shared" si="85"/>
        <v>0.21210000000000001</v>
      </c>
      <c r="R923" s="28">
        <v>0.39</v>
      </c>
      <c r="S923" s="28">
        <v>0</v>
      </c>
      <c r="T923" s="40" t="str" cm="1">
        <f t="array" ref="T923">_xlfn.IFS(S923*18.6&lt;2,"Calm",S923*18.6&lt;6,"Light Breeze",S923*18.6&lt;14,"Gale",TRUE,"Extreme Storm")</f>
        <v>Calm</v>
      </c>
      <c r="U923" s="28">
        <v>2</v>
      </c>
      <c r="V923" s="28">
        <v>70</v>
      </c>
      <c r="W923" s="28">
        <v>72</v>
      </c>
      <c r="X923" s="44">
        <f>AVERAGE(INDEX($W:$W,MAX(ROW($W$3),ROW()-23)):INDEX($W:$W,ROW()))</f>
        <v>67.458333333333329</v>
      </c>
      <c r="Y923" s="44">
        <f>_xlfn.STDEV.S(INDEX($W:$W,MAX(ROW($W$3),ROW()-23)):INDEX($W:$W,ROW()))</f>
        <v>51.741816548224747</v>
      </c>
      <c r="Z923" s="44">
        <f t="shared" si="86"/>
        <v>8.7775555047119716E-2</v>
      </c>
      <c r="AA923" s="40" t="b">
        <f t="shared" si="84"/>
        <v>0</v>
      </c>
    </row>
    <row r="924" spans="1:27" x14ac:dyDescent="0.3">
      <c r="A924" s="32">
        <v>922</v>
      </c>
      <c r="B924" s="33">
        <v>40584</v>
      </c>
      <c r="C924" s="40" t="str">
        <f t="shared" si="87"/>
        <v>Thursday</v>
      </c>
      <c r="D924" s="28">
        <v>22</v>
      </c>
      <c r="E924" s="40" t="str" cm="1">
        <f t="array" ref="E924">_xlfn.IFS(D924&gt;=21,"Night",D924&gt;=17,"Evening",D924&gt;=12,"Midday",D924&gt;=6,"Morning", TRUE, "Night")</f>
        <v>Night</v>
      </c>
      <c r="F924" s="28">
        <v>1</v>
      </c>
      <c r="G924" s="28">
        <v>0</v>
      </c>
      <c r="H924" s="28">
        <v>2</v>
      </c>
      <c r="I924" s="28">
        <v>4</v>
      </c>
      <c r="J924" s="40" t="str">
        <f t="shared" si="88"/>
        <v>Weekday</v>
      </c>
      <c r="K924" s="28" t="b">
        <v>0</v>
      </c>
      <c r="L924" s="28">
        <v>1</v>
      </c>
      <c r="M924" s="40" t="str" cm="1">
        <f t="array" ref="M924">_xlfn.IFS(L924=1,"Clear / Partly Cloudy",L924=2,"Mist / Cloudy",L924=3,"Light Snow / Rain",L924=4,"Heavy Precipitation")</f>
        <v>Clear / Partly Cloudy</v>
      </c>
      <c r="N924" s="28">
        <v>0.12</v>
      </c>
      <c r="O924" s="28" t="str">
        <f t="shared" si="89"/>
        <v>Cold</v>
      </c>
      <c r="P924" s="28">
        <v>0.19700000000000001</v>
      </c>
      <c r="Q924" s="38">
        <f t="shared" si="85"/>
        <v>0.19700000000000001</v>
      </c>
      <c r="R924" s="28">
        <v>0.39</v>
      </c>
      <c r="S924" s="28">
        <v>0</v>
      </c>
      <c r="T924" s="40" t="str" cm="1">
        <f t="array" ref="T924">_xlfn.IFS(S924*18.6&lt;2,"Calm",S924*18.6&lt;6,"Light Breeze",S924*18.6&lt;14,"Gale",TRUE,"Extreme Storm")</f>
        <v>Calm</v>
      </c>
      <c r="U924" s="28">
        <v>4</v>
      </c>
      <c r="V924" s="28">
        <v>47</v>
      </c>
      <c r="W924" s="28">
        <v>51</v>
      </c>
      <c r="X924" s="44">
        <f>AVERAGE(INDEX($W:$W,MAX(ROW($W$3),ROW()-23)):INDEX($W:$W,ROW()))</f>
        <v>66.125</v>
      </c>
      <c r="Y924" s="44">
        <f>_xlfn.STDEV.S(INDEX($W:$W,MAX(ROW($W$3),ROW()-23)):INDEX($W:$W,ROW()))</f>
        <v>51.736214294874898</v>
      </c>
      <c r="Z924" s="44">
        <f t="shared" si="86"/>
        <v>-0.29234841022177988</v>
      </c>
      <c r="AA924" s="40" t="b">
        <f t="shared" si="84"/>
        <v>0</v>
      </c>
    </row>
    <row r="925" spans="1:27" x14ac:dyDescent="0.3">
      <c r="A925" s="32">
        <v>923</v>
      </c>
      <c r="B925" s="33">
        <v>40584</v>
      </c>
      <c r="C925" s="40" t="str">
        <f t="shared" si="87"/>
        <v>Thursday</v>
      </c>
      <c r="D925" s="28">
        <v>23</v>
      </c>
      <c r="E925" s="40" t="str" cm="1">
        <f t="array" ref="E925">_xlfn.IFS(D925&gt;=21,"Night",D925&gt;=17,"Evening",D925&gt;=12,"Midday",D925&gt;=6,"Morning", TRUE, "Night")</f>
        <v>Night</v>
      </c>
      <c r="F925" s="28">
        <v>1</v>
      </c>
      <c r="G925" s="28">
        <v>0</v>
      </c>
      <c r="H925" s="28">
        <v>2</v>
      </c>
      <c r="I925" s="28">
        <v>4</v>
      </c>
      <c r="J925" s="40" t="str">
        <f t="shared" si="88"/>
        <v>Weekday</v>
      </c>
      <c r="K925" s="28" t="b">
        <v>0</v>
      </c>
      <c r="L925" s="28">
        <v>1</v>
      </c>
      <c r="M925" s="40" t="str" cm="1">
        <f t="array" ref="M925">_xlfn.IFS(L925=1,"Clear / Partly Cloudy",L925=2,"Mist / Cloudy",L925=3,"Light Snow / Rain",L925=4,"Heavy Precipitation")</f>
        <v>Clear / Partly Cloudy</v>
      </c>
      <c r="N925" s="28">
        <v>0.12</v>
      </c>
      <c r="O925" s="28" t="str">
        <f t="shared" si="89"/>
        <v>Cold</v>
      </c>
      <c r="P925" s="28">
        <v>0.1515</v>
      </c>
      <c r="Q925" s="38">
        <f t="shared" si="85"/>
        <v>0.1515</v>
      </c>
      <c r="R925" s="28">
        <v>0.42</v>
      </c>
      <c r="S925" s="28">
        <v>0.1045</v>
      </c>
      <c r="T925" s="40" t="str" cm="1">
        <f t="array" ref="T925">_xlfn.IFS(S925*18.6&lt;2,"Calm",S925*18.6&lt;6,"Light Breeze",S925*18.6&lt;14,"Gale",TRUE,"Extreme Storm")</f>
        <v>Calm</v>
      </c>
      <c r="U925" s="28">
        <v>1</v>
      </c>
      <c r="V925" s="28">
        <v>33</v>
      </c>
      <c r="W925" s="28">
        <v>34</v>
      </c>
      <c r="X925" s="44">
        <f>AVERAGE(INDEX($W:$W,MAX(ROW($W$3),ROW()-23)):INDEX($W:$W,ROW()))</f>
        <v>65.625</v>
      </c>
      <c r="Y925" s="44">
        <f>_xlfn.STDEV.S(INDEX($W:$W,MAX(ROW($W$3),ROW()-23)):INDEX($W:$W,ROW()))</f>
        <v>51.996498627938571</v>
      </c>
      <c r="Z925" s="44">
        <f t="shared" si="86"/>
        <v>-0.60821403045410771</v>
      </c>
      <c r="AA925" s="40" t="b">
        <f t="shared" si="84"/>
        <v>0</v>
      </c>
    </row>
    <row r="926" spans="1:27" x14ac:dyDescent="0.3">
      <c r="A926" s="32">
        <v>924</v>
      </c>
      <c r="B926" s="33">
        <v>40585</v>
      </c>
      <c r="C926" s="40" t="str">
        <f t="shared" si="87"/>
        <v>Friday</v>
      </c>
      <c r="D926" s="28">
        <v>0</v>
      </c>
      <c r="E926" s="40" t="str" cm="1">
        <f t="array" ref="E926">_xlfn.IFS(D926&gt;=21,"Night",D926&gt;=17,"Evening",D926&gt;=12,"Midday",D926&gt;=6,"Morning", TRUE, "Night")</f>
        <v>Night</v>
      </c>
      <c r="F926" s="28">
        <v>1</v>
      </c>
      <c r="G926" s="28">
        <v>0</v>
      </c>
      <c r="H926" s="28">
        <v>2</v>
      </c>
      <c r="I926" s="28">
        <v>5</v>
      </c>
      <c r="J926" s="40" t="str">
        <f t="shared" si="88"/>
        <v>Weekday</v>
      </c>
      <c r="K926" s="28" t="b">
        <v>0</v>
      </c>
      <c r="L926" s="28">
        <v>1</v>
      </c>
      <c r="M926" s="40" t="str" cm="1">
        <f t="array" ref="M926">_xlfn.IFS(L926=1,"Clear / Partly Cloudy",L926=2,"Mist / Cloudy",L926=3,"Light Snow / Rain",L926=4,"Heavy Precipitation")</f>
        <v>Clear / Partly Cloudy</v>
      </c>
      <c r="N926" s="28">
        <v>0.1</v>
      </c>
      <c r="O926" s="28" t="str">
        <f t="shared" si="89"/>
        <v>Cold</v>
      </c>
      <c r="P926" s="28">
        <v>0.13639999999999999</v>
      </c>
      <c r="Q926" s="38">
        <f t="shared" si="85"/>
        <v>0.13639999999999999</v>
      </c>
      <c r="R926" s="28">
        <v>0.49</v>
      </c>
      <c r="S926" s="28">
        <v>0.1045</v>
      </c>
      <c r="T926" s="40" t="str" cm="1">
        <f t="array" ref="T926">_xlfn.IFS(S926*18.6&lt;2,"Calm",S926*18.6&lt;6,"Light Breeze",S926*18.6&lt;14,"Gale",TRUE,"Extreme Storm")</f>
        <v>Calm</v>
      </c>
      <c r="U926" s="28">
        <v>2</v>
      </c>
      <c r="V926" s="28">
        <v>12</v>
      </c>
      <c r="W926" s="28">
        <v>14</v>
      </c>
      <c r="X926" s="44">
        <f>AVERAGE(INDEX($W:$W,MAX(ROW($W$3),ROW()-23)):INDEX($W:$W,ROW()))</f>
        <v>64.666666666666671</v>
      </c>
      <c r="Y926" s="44">
        <f>_xlfn.STDEV.S(INDEX($W:$W,MAX(ROW($W$3),ROW()-23)):INDEX($W:$W,ROW()))</f>
        <v>52.753459945598678</v>
      </c>
      <c r="Z926" s="44">
        <f t="shared" si="86"/>
        <v>-0.96044253246926392</v>
      </c>
      <c r="AA926" s="40" t="b">
        <f t="shared" si="84"/>
        <v>0</v>
      </c>
    </row>
    <row r="927" spans="1:27" x14ac:dyDescent="0.3">
      <c r="A927" s="32">
        <v>925</v>
      </c>
      <c r="B927" s="33">
        <v>40585</v>
      </c>
      <c r="C927" s="40" t="str">
        <f t="shared" si="87"/>
        <v>Friday</v>
      </c>
      <c r="D927" s="28">
        <v>1</v>
      </c>
      <c r="E927" s="40" t="str" cm="1">
        <f t="array" ref="E927">_xlfn.IFS(D927&gt;=21,"Night",D927&gt;=17,"Evening",D927&gt;=12,"Midday",D927&gt;=6,"Morning", TRUE, "Night")</f>
        <v>Night</v>
      </c>
      <c r="F927" s="28">
        <v>1</v>
      </c>
      <c r="G927" s="28">
        <v>0</v>
      </c>
      <c r="H927" s="28">
        <v>2</v>
      </c>
      <c r="I927" s="28">
        <v>5</v>
      </c>
      <c r="J927" s="40" t="str">
        <f t="shared" si="88"/>
        <v>Weekday</v>
      </c>
      <c r="K927" s="28" t="b">
        <v>0</v>
      </c>
      <c r="L927" s="28">
        <v>1</v>
      </c>
      <c r="M927" s="40" t="str" cm="1">
        <f t="array" ref="M927">_xlfn.IFS(L927=1,"Clear / Partly Cloudy",L927=2,"Mist / Cloudy",L927=3,"Light Snow / Rain",L927=4,"Heavy Precipitation")</f>
        <v>Clear / Partly Cloudy</v>
      </c>
      <c r="N927" s="28">
        <v>0.1</v>
      </c>
      <c r="O927" s="28" t="str">
        <f t="shared" si="89"/>
        <v>Cold</v>
      </c>
      <c r="P927" s="28">
        <v>0.13639999999999999</v>
      </c>
      <c r="Q927" s="38">
        <f t="shared" si="85"/>
        <v>0.13639999999999999</v>
      </c>
      <c r="R927" s="28">
        <v>0.54</v>
      </c>
      <c r="S927" s="28">
        <v>8.9599999999999999E-2</v>
      </c>
      <c r="T927" s="40" t="str" cm="1">
        <f t="array" ref="T927">_xlfn.IFS(S927*18.6&lt;2,"Calm",S927*18.6&lt;6,"Light Breeze",S927*18.6&lt;14,"Gale",TRUE,"Extreme Storm")</f>
        <v>Calm</v>
      </c>
      <c r="U927" s="28">
        <v>1</v>
      </c>
      <c r="V927" s="28">
        <v>6</v>
      </c>
      <c r="W927" s="28">
        <v>7</v>
      </c>
      <c r="X927" s="44">
        <f>AVERAGE(INDEX($W:$W,MAX(ROW($W$3),ROW()-23)):INDEX($W:$W,ROW()))</f>
        <v>64.291666666666671</v>
      </c>
      <c r="Y927" s="44">
        <f>_xlfn.STDEV.S(INDEX($W:$W,MAX(ROW($W$3),ROW()-23)):INDEX($W:$W,ROW()))</f>
        <v>53.144985584282765</v>
      </c>
      <c r="Z927" s="44">
        <f t="shared" si="86"/>
        <v>-1.0780258200617567</v>
      </c>
      <c r="AA927" s="40" t="b">
        <f t="shared" si="84"/>
        <v>0</v>
      </c>
    </row>
    <row r="928" spans="1:27" x14ac:dyDescent="0.3">
      <c r="A928" s="32">
        <v>926</v>
      </c>
      <c r="B928" s="33">
        <v>40585</v>
      </c>
      <c r="C928" s="40" t="str">
        <f t="shared" si="87"/>
        <v>Friday</v>
      </c>
      <c r="D928" s="28">
        <v>2</v>
      </c>
      <c r="E928" s="40" t="str" cm="1">
        <f t="array" ref="E928">_xlfn.IFS(D928&gt;=21,"Night",D928&gt;=17,"Evening",D928&gt;=12,"Midday",D928&gt;=6,"Morning", TRUE, "Night")</f>
        <v>Night</v>
      </c>
      <c r="F928" s="28">
        <v>1</v>
      </c>
      <c r="G928" s="28">
        <v>0</v>
      </c>
      <c r="H928" s="28">
        <v>2</v>
      </c>
      <c r="I928" s="28">
        <v>5</v>
      </c>
      <c r="J928" s="40" t="str">
        <f t="shared" si="88"/>
        <v>Weekday</v>
      </c>
      <c r="K928" s="28" t="b">
        <v>0</v>
      </c>
      <c r="L928" s="28">
        <v>1</v>
      </c>
      <c r="M928" s="40" t="str" cm="1">
        <f t="array" ref="M928">_xlfn.IFS(L928=1,"Clear / Partly Cloudy",L928=2,"Mist / Cloudy",L928=3,"Light Snow / Rain",L928=4,"Heavy Precipitation")</f>
        <v>Clear / Partly Cloudy</v>
      </c>
      <c r="N928" s="28">
        <v>0.1</v>
      </c>
      <c r="O928" s="28" t="str">
        <f t="shared" si="89"/>
        <v>Cold</v>
      </c>
      <c r="P928" s="28">
        <v>0.13639999999999999</v>
      </c>
      <c r="Q928" s="38">
        <f t="shared" si="85"/>
        <v>0.13639999999999999</v>
      </c>
      <c r="R928" s="28">
        <v>0.54</v>
      </c>
      <c r="S928" s="28">
        <v>8.9599999999999999E-2</v>
      </c>
      <c r="T928" s="40" t="str" cm="1">
        <f t="array" ref="T928">_xlfn.IFS(S928*18.6&lt;2,"Calm",S928*18.6&lt;6,"Light Breeze",S928*18.6&lt;14,"Gale",TRUE,"Extreme Storm")</f>
        <v>Calm</v>
      </c>
      <c r="U928" s="28">
        <v>0</v>
      </c>
      <c r="V928" s="28">
        <v>3</v>
      </c>
      <c r="W928" s="28">
        <v>3</v>
      </c>
      <c r="X928" s="44">
        <f>AVERAGE(INDEX($W:$W,MAX(ROW($W$3),ROW()-23)):INDEX($W:$W,ROW()))</f>
        <v>64.125</v>
      </c>
      <c r="Y928" s="44">
        <f>_xlfn.STDEV.S(INDEX($W:$W,MAX(ROW($W$3),ROW()-23)):INDEX($W:$W,ROW()))</f>
        <v>53.338388573823394</v>
      </c>
      <c r="Z928" s="44">
        <f t="shared" si="86"/>
        <v>-1.145985126929725</v>
      </c>
      <c r="AA928" s="40" t="b">
        <f t="shared" si="84"/>
        <v>0</v>
      </c>
    </row>
    <row r="929" spans="1:27" x14ac:dyDescent="0.3">
      <c r="A929" s="32">
        <v>927</v>
      </c>
      <c r="B929" s="33">
        <v>40585</v>
      </c>
      <c r="C929" s="40" t="str">
        <f t="shared" si="87"/>
        <v>Friday</v>
      </c>
      <c r="D929" s="28">
        <v>5</v>
      </c>
      <c r="E929" s="40" t="str" cm="1">
        <f t="array" ref="E929">_xlfn.IFS(D929&gt;=21,"Night",D929&gt;=17,"Evening",D929&gt;=12,"Midday",D929&gt;=6,"Morning", TRUE, "Night")</f>
        <v>Night</v>
      </c>
      <c r="F929" s="28">
        <v>1</v>
      </c>
      <c r="G929" s="28">
        <v>0</v>
      </c>
      <c r="H929" s="28">
        <v>2</v>
      </c>
      <c r="I929" s="28">
        <v>5</v>
      </c>
      <c r="J929" s="40" t="str">
        <f t="shared" si="88"/>
        <v>Weekday</v>
      </c>
      <c r="K929" s="28" t="b">
        <v>0</v>
      </c>
      <c r="L929" s="28">
        <v>1</v>
      </c>
      <c r="M929" s="40" t="str" cm="1">
        <f t="array" ref="M929">_xlfn.IFS(L929=1,"Clear / Partly Cloudy",L929=2,"Mist / Cloudy",L929=3,"Light Snow / Rain",L929=4,"Heavy Precipitation")</f>
        <v>Clear / Partly Cloudy</v>
      </c>
      <c r="N929" s="28">
        <v>0.08</v>
      </c>
      <c r="O929" s="28" t="str">
        <f t="shared" si="89"/>
        <v>Cold</v>
      </c>
      <c r="P929" s="28">
        <v>0.1212</v>
      </c>
      <c r="Q929" s="38">
        <f t="shared" si="85"/>
        <v>0.1212</v>
      </c>
      <c r="R929" s="28">
        <v>0.63</v>
      </c>
      <c r="S929" s="28">
        <v>8.9599999999999999E-2</v>
      </c>
      <c r="T929" s="40" t="str" cm="1">
        <f t="array" ref="T929">_xlfn.IFS(S929*18.6&lt;2,"Calm",S929*18.6&lt;6,"Light Breeze",S929*18.6&lt;14,"Gale",TRUE,"Extreme Storm")</f>
        <v>Calm</v>
      </c>
      <c r="U929" s="28">
        <v>0</v>
      </c>
      <c r="V929" s="28">
        <v>4</v>
      </c>
      <c r="W929" s="28">
        <v>4</v>
      </c>
      <c r="X929" s="44">
        <f>AVERAGE(INDEX($W:$W,MAX(ROW($W$3),ROW()-23)):INDEX($W:$W,ROW()))</f>
        <v>64.166666666666671</v>
      </c>
      <c r="Y929" s="44">
        <f>_xlfn.STDEV.S(INDEX($W:$W,MAX(ROW($W$3),ROW()-23)):INDEX($W:$W,ROW()))</f>
        <v>53.288930791746388</v>
      </c>
      <c r="Z929" s="44">
        <f t="shared" si="86"/>
        <v>-1.1290650004181644</v>
      </c>
      <c r="AA929" s="40" t="b">
        <f t="shared" si="84"/>
        <v>0</v>
      </c>
    </row>
    <row r="930" spans="1:27" x14ac:dyDescent="0.3">
      <c r="A930" s="32">
        <v>928</v>
      </c>
      <c r="B930" s="33">
        <v>40585</v>
      </c>
      <c r="C930" s="40" t="str">
        <f t="shared" si="87"/>
        <v>Friday</v>
      </c>
      <c r="D930" s="28">
        <v>6</v>
      </c>
      <c r="E930" s="40" t="str" cm="1">
        <f t="array" ref="E930">_xlfn.IFS(D930&gt;=21,"Night",D930&gt;=17,"Evening",D930&gt;=12,"Midday",D930&gt;=6,"Morning", TRUE, "Night")</f>
        <v>Morning</v>
      </c>
      <c r="F930" s="28">
        <v>1</v>
      </c>
      <c r="G930" s="28">
        <v>0</v>
      </c>
      <c r="H930" s="28">
        <v>2</v>
      </c>
      <c r="I930" s="28">
        <v>5</v>
      </c>
      <c r="J930" s="40" t="str">
        <f t="shared" si="88"/>
        <v>Weekday</v>
      </c>
      <c r="K930" s="28" t="b">
        <v>0</v>
      </c>
      <c r="L930" s="28">
        <v>1</v>
      </c>
      <c r="M930" s="40" t="str" cm="1">
        <f t="array" ref="M930">_xlfn.IFS(L930=1,"Clear / Partly Cloudy",L930=2,"Mist / Cloudy",L930=3,"Light Snow / Rain",L930=4,"Heavy Precipitation")</f>
        <v>Clear / Partly Cloudy</v>
      </c>
      <c r="N930" s="28">
        <v>0.1</v>
      </c>
      <c r="O930" s="28" t="str">
        <f t="shared" si="89"/>
        <v>Cold</v>
      </c>
      <c r="P930" s="28">
        <v>0.18179999999999999</v>
      </c>
      <c r="Q930" s="38">
        <f t="shared" si="85"/>
        <v>0.18179999999999999</v>
      </c>
      <c r="R930" s="28">
        <v>0.68</v>
      </c>
      <c r="S930" s="28">
        <v>0</v>
      </c>
      <c r="T930" s="40" t="str" cm="1">
        <f t="array" ref="T930">_xlfn.IFS(S930*18.6&lt;2,"Calm",S930*18.6&lt;6,"Light Breeze",S930*18.6&lt;14,"Gale",TRUE,"Extreme Storm")</f>
        <v>Calm</v>
      </c>
      <c r="U930" s="28">
        <v>1</v>
      </c>
      <c r="V930" s="28">
        <v>23</v>
      </c>
      <c r="W930" s="28">
        <v>24</v>
      </c>
      <c r="X930" s="44">
        <f>AVERAGE(INDEX($W:$W,MAX(ROW($W$3),ROW()-23)):INDEX($W:$W,ROW()))</f>
        <v>65.125</v>
      </c>
      <c r="Y930" s="44">
        <f>_xlfn.STDEV.S(INDEX($W:$W,MAX(ROW($W$3),ROW()-23)):INDEX($W:$W,ROW()))</f>
        <v>52.301228267229725</v>
      </c>
      <c r="Z930" s="44">
        <f t="shared" si="86"/>
        <v>-0.78631040536704966</v>
      </c>
      <c r="AA930" s="40" t="b">
        <f t="shared" si="84"/>
        <v>0</v>
      </c>
    </row>
    <row r="931" spans="1:27" x14ac:dyDescent="0.3">
      <c r="A931" s="32">
        <v>929</v>
      </c>
      <c r="B931" s="33">
        <v>40585</v>
      </c>
      <c r="C931" s="40" t="str">
        <f t="shared" si="87"/>
        <v>Friday</v>
      </c>
      <c r="D931" s="28">
        <v>7</v>
      </c>
      <c r="E931" s="40" t="str" cm="1">
        <f t="array" ref="E931">_xlfn.IFS(D931&gt;=21,"Night",D931&gt;=17,"Evening",D931&gt;=12,"Midday",D931&gt;=6,"Morning", TRUE, "Night")</f>
        <v>Morning</v>
      </c>
      <c r="F931" s="28">
        <v>1</v>
      </c>
      <c r="G931" s="28">
        <v>0</v>
      </c>
      <c r="H931" s="28">
        <v>2</v>
      </c>
      <c r="I931" s="28">
        <v>5</v>
      </c>
      <c r="J931" s="40" t="str">
        <f t="shared" si="88"/>
        <v>Weekday</v>
      </c>
      <c r="K931" s="28" t="b">
        <v>0</v>
      </c>
      <c r="L931" s="28">
        <v>1</v>
      </c>
      <c r="M931" s="40" t="str" cm="1">
        <f t="array" ref="M931">_xlfn.IFS(L931=1,"Clear / Partly Cloudy",L931=2,"Mist / Cloudy",L931=3,"Light Snow / Rain",L931=4,"Heavy Precipitation")</f>
        <v>Clear / Partly Cloudy</v>
      </c>
      <c r="N931" s="28">
        <v>0.08</v>
      </c>
      <c r="O931" s="28" t="str">
        <f t="shared" si="89"/>
        <v>Cold</v>
      </c>
      <c r="P931" s="28">
        <v>0.16669999999999999</v>
      </c>
      <c r="Q931" s="38">
        <f t="shared" si="85"/>
        <v>0.16669999999999999</v>
      </c>
      <c r="R931" s="28">
        <v>0.73</v>
      </c>
      <c r="S931" s="28">
        <v>0</v>
      </c>
      <c r="T931" s="40" t="str" cm="1">
        <f t="array" ref="T931">_xlfn.IFS(S931*18.6&lt;2,"Calm",S931*18.6&lt;6,"Light Breeze",S931*18.6&lt;14,"Gale",TRUE,"Extreme Storm")</f>
        <v>Calm</v>
      </c>
      <c r="U931" s="28">
        <v>1</v>
      </c>
      <c r="V931" s="28">
        <v>73</v>
      </c>
      <c r="W931" s="28">
        <v>74</v>
      </c>
      <c r="X931" s="44">
        <f>AVERAGE(INDEX($W:$W,MAX(ROW($W$3),ROW()-23)):INDEX($W:$W,ROW()))</f>
        <v>67.958333333333329</v>
      </c>
      <c r="Y931" s="44">
        <f>_xlfn.STDEV.S(INDEX($W:$W,MAX(ROW($W$3),ROW()-23)):INDEX($W:$W,ROW()))</f>
        <v>50.778700744262473</v>
      </c>
      <c r="Z931" s="44">
        <f t="shared" si="86"/>
        <v>0.1189803318736808</v>
      </c>
      <c r="AA931" s="40" t="b">
        <f t="shared" si="84"/>
        <v>0</v>
      </c>
    </row>
    <row r="932" spans="1:27" x14ac:dyDescent="0.3">
      <c r="A932" s="32">
        <v>930</v>
      </c>
      <c r="B932" s="33">
        <v>40585</v>
      </c>
      <c r="C932" s="40" t="str">
        <f t="shared" si="87"/>
        <v>Friday</v>
      </c>
      <c r="D932" s="28">
        <v>8</v>
      </c>
      <c r="E932" s="40" t="str" cm="1">
        <f t="array" ref="E932">_xlfn.IFS(D932&gt;=21,"Night",D932&gt;=17,"Evening",D932&gt;=12,"Midday",D932&gt;=6,"Morning", TRUE, "Night")</f>
        <v>Morning</v>
      </c>
      <c r="F932" s="28">
        <v>1</v>
      </c>
      <c r="G932" s="28">
        <v>0</v>
      </c>
      <c r="H932" s="28">
        <v>2</v>
      </c>
      <c r="I932" s="28">
        <v>5</v>
      </c>
      <c r="J932" s="40" t="str">
        <f t="shared" si="88"/>
        <v>Weekday</v>
      </c>
      <c r="K932" s="28" t="b">
        <v>0</v>
      </c>
      <c r="L932" s="28">
        <v>1</v>
      </c>
      <c r="M932" s="40" t="str" cm="1">
        <f t="array" ref="M932">_xlfn.IFS(L932=1,"Clear / Partly Cloudy",L932=2,"Mist / Cloudy",L932=3,"Light Snow / Rain",L932=4,"Heavy Precipitation")</f>
        <v>Clear / Partly Cloudy</v>
      </c>
      <c r="N932" s="28">
        <v>0.1</v>
      </c>
      <c r="O932" s="28" t="str">
        <f t="shared" si="89"/>
        <v>Cold</v>
      </c>
      <c r="P932" s="28">
        <v>0.1212</v>
      </c>
      <c r="Q932" s="38">
        <f t="shared" si="85"/>
        <v>0.1212</v>
      </c>
      <c r="R932" s="28">
        <v>0.74</v>
      </c>
      <c r="S932" s="28">
        <v>0.16420000000000001</v>
      </c>
      <c r="T932" s="40" t="str" cm="1">
        <f t="array" ref="T932">_xlfn.IFS(S932*18.6&lt;2,"Calm",S932*18.6&lt;6,"Light Breeze",S932*18.6&lt;14,"Gale",TRUE,"Extreme Storm")</f>
        <v>Light Breeze</v>
      </c>
      <c r="U932" s="28">
        <v>4</v>
      </c>
      <c r="V932" s="28">
        <v>212</v>
      </c>
      <c r="W932" s="28">
        <v>216</v>
      </c>
      <c r="X932" s="44">
        <f>AVERAGE(INDEX($W:$W,MAX(ROW($W$3),ROW()-23)):INDEX($W:$W,ROW()))</f>
        <v>75.875</v>
      </c>
      <c r="Y932" s="44">
        <f>_xlfn.STDEV.S(INDEX($W:$W,MAX(ROW($W$3),ROW()-23)):INDEX($W:$W,ROW()))</f>
        <v>58.2187124407683</v>
      </c>
      <c r="Z932" s="44">
        <f t="shared" si="86"/>
        <v>2.4068721915236981</v>
      </c>
      <c r="AA932" s="40" t="b">
        <f t="shared" si="84"/>
        <v>0</v>
      </c>
    </row>
    <row r="933" spans="1:27" x14ac:dyDescent="0.3">
      <c r="A933" s="32">
        <v>931</v>
      </c>
      <c r="B933" s="33">
        <v>40585</v>
      </c>
      <c r="C933" s="40" t="str">
        <f t="shared" si="87"/>
        <v>Friday</v>
      </c>
      <c r="D933" s="28">
        <v>9</v>
      </c>
      <c r="E933" s="40" t="str" cm="1">
        <f t="array" ref="E933">_xlfn.IFS(D933&gt;=21,"Night",D933&gt;=17,"Evening",D933&gt;=12,"Midday",D933&gt;=6,"Morning", TRUE, "Night")</f>
        <v>Morning</v>
      </c>
      <c r="F933" s="28">
        <v>1</v>
      </c>
      <c r="G933" s="28">
        <v>0</v>
      </c>
      <c r="H933" s="28">
        <v>2</v>
      </c>
      <c r="I933" s="28">
        <v>5</v>
      </c>
      <c r="J933" s="40" t="str">
        <f t="shared" si="88"/>
        <v>Weekday</v>
      </c>
      <c r="K933" s="28" t="b">
        <v>0</v>
      </c>
      <c r="L933" s="28">
        <v>1</v>
      </c>
      <c r="M933" s="40" t="str" cm="1">
        <f t="array" ref="M933">_xlfn.IFS(L933=1,"Clear / Partly Cloudy",L933=2,"Mist / Cloudy",L933=3,"Light Snow / Rain",L933=4,"Heavy Precipitation")</f>
        <v>Clear / Partly Cloudy</v>
      </c>
      <c r="N933" s="28">
        <v>0.12</v>
      </c>
      <c r="O933" s="28" t="str">
        <f t="shared" si="89"/>
        <v>Cold</v>
      </c>
      <c r="P933" s="28">
        <v>0.1212</v>
      </c>
      <c r="Q933" s="38">
        <f t="shared" si="85"/>
        <v>0.1212</v>
      </c>
      <c r="R933" s="28">
        <v>0.74</v>
      </c>
      <c r="S933" s="28">
        <v>0.22389999999999999</v>
      </c>
      <c r="T933" s="40" t="str" cm="1">
        <f t="array" ref="T933">_xlfn.IFS(S933*18.6&lt;2,"Calm",S933*18.6&lt;6,"Light Breeze",S933*18.6&lt;14,"Gale",TRUE,"Extreme Storm")</f>
        <v>Light Breeze</v>
      </c>
      <c r="U933" s="28">
        <v>8</v>
      </c>
      <c r="V933" s="28">
        <v>132</v>
      </c>
      <c r="W933" s="28">
        <v>140</v>
      </c>
      <c r="X933" s="44">
        <f>AVERAGE(INDEX($W:$W,MAX(ROW($W$3),ROW()-23)):INDEX($W:$W,ROW()))</f>
        <v>77.583333333333329</v>
      </c>
      <c r="Y933" s="44">
        <f>_xlfn.STDEV.S(INDEX($W:$W,MAX(ROW($W$3),ROW()-23)):INDEX($W:$W,ROW()))</f>
        <v>59.513912634790273</v>
      </c>
      <c r="Z933" s="44">
        <f t="shared" si="86"/>
        <v>1.0487743773407956</v>
      </c>
      <c r="AA933" s="40" t="b">
        <f t="shared" si="84"/>
        <v>0</v>
      </c>
    </row>
    <row r="934" spans="1:27" x14ac:dyDescent="0.3">
      <c r="A934" s="32">
        <v>932</v>
      </c>
      <c r="B934" s="33">
        <v>40585</v>
      </c>
      <c r="C934" s="40" t="str">
        <f t="shared" si="87"/>
        <v>Friday</v>
      </c>
      <c r="D934" s="28">
        <v>10</v>
      </c>
      <c r="E934" s="40" t="str" cm="1">
        <f t="array" ref="E934">_xlfn.IFS(D934&gt;=21,"Night",D934&gt;=17,"Evening",D934&gt;=12,"Midday",D934&gt;=6,"Morning", TRUE, "Night")</f>
        <v>Morning</v>
      </c>
      <c r="F934" s="28">
        <v>1</v>
      </c>
      <c r="G934" s="28">
        <v>0</v>
      </c>
      <c r="H934" s="28">
        <v>2</v>
      </c>
      <c r="I934" s="28">
        <v>5</v>
      </c>
      <c r="J934" s="40" t="str">
        <f t="shared" si="88"/>
        <v>Weekday</v>
      </c>
      <c r="K934" s="28" t="b">
        <v>0</v>
      </c>
      <c r="L934" s="28">
        <v>1</v>
      </c>
      <c r="M934" s="40" t="str" cm="1">
        <f t="array" ref="M934">_xlfn.IFS(L934=1,"Clear / Partly Cloudy",L934=2,"Mist / Cloudy",L934=3,"Light Snow / Rain",L934=4,"Heavy Precipitation")</f>
        <v>Clear / Partly Cloudy</v>
      </c>
      <c r="N934" s="28">
        <v>0.14000000000000001</v>
      </c>
      <c r="O934" s="28" t="str">
        <f t="shared" si="89"/>
        <v>Cold</v>
      </c>
      <c r="P934" s="28">
        <v>0.13639999999999999</v>
      </c>
      <c r="Q934" s="38">
        <f t="shared" si="85"/>
        <v>0.13639999999999999</v>
      </c>
      <c r="R934" s="28">
        <v>0.69</v>
      </c>
      <c r="S934" s="28">
        <v>0.19400000000000001</v>
      </c>
      <c r="T934" s="40" t="str" cm="1">
        <f t="array" ref="T934">_xlfn.IFS(S934*18.6&lt;2,"Calm",S934*18.6&lt;6,"Light Breeze",S934*18.6&lt;14,"Gale",TRUE,"Extreme Storm")</f>
        <v>Light Breeze</v>
      </c>
      <c r="U934" s="28">
        <v>5</v>
      </c>
      <c r="V934" s="28">
        <v>39</v>
      </c>
      <c r="W934" s="28">
        <v>44</v>
      </c>
      <c r="X934" s="44">
        <f>AVERAGE(INDEX($W:$W,MAX(ROW($W$3),ROW()-23)):INDEX($W:$W,ROW()))</f>
        <v>72</v>
      </c>
      <c r="Y934" s="44">
        <f>_xlfn.STDEV.S(INDEX($W:$W,MAX(ROW($W$3),ROW()-23)):INDEX($W:$W,ROW()))</f>
        <v>55.856960175075763</v>
      </c>
      <c r="Z934" s="44">
        <f t="shared" si="86"/>
        <v>-0.50128041182760308</v>
      </c>
      <c r="AA934" s="40" t="b">
        <f t="shared" si="84"/>
        <v>0</v>
      </c>
    </row>
    <row r="935" spans="1:27" x14ac:dyDescent="0.3">
      <c r="A935" s="32">
        <v>933</v>
      </c>
      <c r="B935" s="33">
        <v>40585</v>
      </c>
      <c r="C935" s="40" t="str">
        <f t="shared" si="87"/>
        <v>Friday</v>
      </c>
      <c r="D935" s="28">
        <v>11</v>
      </c>
      <c r="E935" s="40" t="str" cm="1">
        <f t="array" ref="E935">_xlfn.IFS(D935&gt;=21,"Night",D935&gt;=17,"Evening",D935&gt;=12,"Midday",D935&gt;=6,"Morning", TRUE, "Night")</f>
        <v>Morning</v>
      </c>
      <c r="F935" s="28">
        <v>1</v>
      </c>
      <c r="G935" s="28">
        <v>0</v>
      </c>
      <c r="H935" s="28">
        <v>2</v>
      </c>
      <c r="I935" s="28">
        <v>5</v>
      </c>
      <c r="J935" s="40" t="str">
        <f t="shared" si="88"/>
        <v>Weekday</v>
      </c>
      <c r="K935" s="28" t="b">
        <v>0</v>
      </c>
      <c r="L935" s="28">
        <v>1</v>
      </c>
      <c r="M935" s="40" t="str" cm="1">
        <f t="array" ref="M935">_xlfn.IFS(L935=1,"Clear / Partly Cloudy",L935=2,"Mist / Cloudy",L935=3,"Light Snow / Rain",L935=4,"Heavy Precipitation")</f>
        <v>Clear / Partly Cloudy</v>
      </c>
      <c r="N935" s="28">
        <v>0.22</v>
      </c>
      <c r="O935" s="28" t="str">
        <f t="shared" si="89"/>
        <v>Mild</v>
      </c>
      <c r="P935" s="28">
        <v>0.2273</v>
      </c>
      <c r="Q935" s="38">
        <f t="shared" si="85"/>
        <v>0.2273</v>
      </c>
      <c r="R935" s="28">
        <v>0.47</v>
      </c>
      <c r="S935" s="28">
        <v>0.1343</v>
      </c>
      <c r="T935" s="40" t="str" cm="1">
        <f t="array" ref="T935">_xlfn.IFS(S935*18.6&lt;2,"Calm",S935*18.6&lt;6,"Light Breeze",S935*18.6&lt;14,"Gale",TRUE,"Extreme Storm")</f>
        <v>Light Breeze</v>
      </c>
      <c r="U935" s="28">
        <v>12</v>
      </c>
      <c r="V935" s="28">
        <v>52</v>
      </c>
      <c r="W935" s="28">
        <v>64</v>
      </c>
      <c r="X935" s="44">
        <f>AVERAGE(INDEX($W:$W,MAX(ROW($W$3),ROW()-23)):INDEX($W:$W,ROW()))</f>
        <v>69.583333333333329</v>
      </c>
      <c r="Y935" s="44">
        <f>_xlfn.STDEV.S(INDEX($W:$W,MAX(ROW($W$3),ROW()-23)):INDEX($W:$W,ROW()))</f>
        <v>54.845170741125315</v>
      </c>
      <c r="Z935" s="44">
        <f t="shared" si="86"/>
        <v>-0.10180173127160493</v>
      </c>
      <c r="AA935" s="40" t="b">
        <f t="shared" si="84"/>
        <v>0</v>
      </c>
    </row>
    <row r="936" spans="1:27" x14ac:dyDescent="0.3">
      <c r="A936" s="32">
        <v>934</v>
      </c>
      <c r="B936" s="33">
        <v>40585</v>
      </c>
      <c r="C936" s="40" t="str">
        <f t="shared" si="87"/>
        <v>Friday</v>
      </c>
      <c r="D936" s="28">
        <v>12</v>
      </c>
      <c r="E936" s="40" t="str" cm="1">
        <f t="array" ref="E936">_xlfn.IFS(D936&gt;=21,"Night",D936&gt;=17,"Evening",D936&gt;=12,"Midday",D936&gt;=6,"Morning", TRUE, "Night")</f>
        <v>Midday</v>
      </c>
      <c r="F936" s="28">
        <v>1</v>
      </c>
      <c r="G936" s="28">
        <v>0</v>
      </c>
      <c r="H936" s="28">
        <v>2</v>
      </c>
      <c r="I936" s="28">
        <v>5</v>
      </c>
      <c r="J936" s="40" t="str">
        <f t="shared" si="88"/>
        <v>Weekday</v>
      </c>
      <c r="K936" s="28" t="b">
        <v>0</v>
      </c>
      <c r="L936" s="28">
        <v>1</v>
      </c>
      <c r="M936" s="40" t="str" cm="1">
        <f t="array" ref="M936">_xlfn.IFS(L936=1,"Clear / Partly Cloudy",L936=2,"Mist / Cloudy",L936=3,"Light Snow / Rain",L936=4,"Heavy Precipitation")</f>
        <v>Clear / Partly Cloudy</v>
      </c>
      <c r="N936" s="28">
        <v>0.22</v>
      </c>
      <c r="O936" s="28" t="str">
        <f t="shared" si="89"/>
        <v>Mild</v>
      </c>
      <c r="P936" s="28">
        <v>0.2273</v>
      </c>
      <c r="Q936" s="38">
        <f t="shared" si="85"/>
        <v>0.2273</v>
      </c>
      <c r="R936" s="28">
        <v>0.47</v>
      </c>
      <c r="S936" s="28">
        <v>0.1343</v>
      </c>
      <c r="T936" s="40" t="str" cm="1">
        <f t="array" ref="T936">_xlfn.IFS(S936*18.6&lt;2,"Calm",S936*18.6&lt;6,"Light Breeze",S936*18.6&lt;14,"Gale",TRUE,"Extreme Storm")</f>
        <v>Light Breeze</v>
      </c>
      <c r="U936" s="28">
        <v>7</v>
      </c>
      <c r="V936" s="28">
        <v>64</v>
      </c>
      <c r="W936" s="28">
        <v>71</v>
      </c>
      <c r="X936" s="44">
        <f>AVERAGE(INDEX($W:$W,MAX(ROW($W$3),ROW()-23)):INDEX($W:$W,ROW()))</f>
        <v>71.083333333333329</v>
      </c>
      <c r="Y936" s="44">
        <f>_xlfn.STDEV.S(INDEX($W:$W,MAX(ROW($W$3),ROW()-23)):INDEX($W:$W,ROW()))</f>
        <v>54.348246375186484</v>
      </c>
      <c r="Z936" s="44">
        <f t="shared" si="86"/>
        <v>-1.5333214756930169E-3</v>
      </c>
      <c r="AA936" s="40" t="b">
        <f t="shared" si="84"/>
        <v>0</v>
      </c>
    </row>
    <row r="937" spans="1:27" x14ac:dyDescent="0.3">
      <c r="A937" s="32">
        <v>935</v>
      </c>
      <c r="B937" s="33">
        <v>40585</v>
      </c>
      <c r="C937" s="40" t="str">
        <f t="shared" si="87"/>
        <v>Friday</v>
      </c>
      <c r="D937" s="28">
        <v>13</v>
      </c>
      <c r="E937" s="40" t="str" cm="1">
        <f t="array" ref="E937">_xlfn.IFS(D937&gt;=21,"Night",D937&gt;=17,"Evening",D937&gt;=12,"Midday",D937&gt;=6,"Morning", TRUE, "Night")</f>
        <v>Midday</v>
      </c>
      <c r="F937" s="28">
        <v>1</v>
      </c>
      <c r="G937" s="28">
        <v>0</v>
      </c>
      <c r="H937" s="28">
        <v>2</v>
      </c>
      <c r="I937" s="28">
        <v>5</v>
      </c>
      <c r="J937" s="40" t="str">
        <f t="shared" si="88"/>
        <v>Weekday</v>
      </c>
      <c r="K937" s="28" t="b">
        <v>0</v>
      </c>
      <c r="L937" s="28">
        <v>1</v>
      </c>
      <c r="M937" s="40" t="str" cm="1">
        <f t="array" ref="M937">_xlfn.IFS(L937=1,"Clear / Partly Cloudy",L937=2,"Mist / Cloudy",L937=3,"Light Snow / Rain",L937=4,"Heavy Precipitation")</f>
        <v>Clear / Partly Cloudy</v>
      </c>
      <c r="N937" s="28">
        <v>0.24</v>
      </c>
      <c r="O937" s="28" t="str">
        <f t="shared" si="89"/>
        <v>Mild</v>
      </c>
      <c r="P937" s="28">
        <v>0.2273</v>
      </c>
      <c r="Q937" s="38">
        <f t="shared" si="85"/>
        <v>0.2273</v>
      </c>
      <c r="R937" s="28">
        <v>0.35</v>
      </c>
      <c r="S937" s="28">
        <v>0.19400000000000001</v>
      </c>
      <c r="T937" s="40" t="str" cm="1">
        <f t="array" ref="T937">_xlfn.IFS(S937*18.6&lt;2,"Calm",S937*18.6&lt;6,"Light Breeze",S937*18.6&lt;14,"Gale",TRUE,"Extreme Storm")</f>
        <v>Light Breeze</v>
      </c>
      <c r="U937" s="28">
        <v>21</v>
      </c>
      <c r="V937" s="28">
        <v>89</v>
      </c>
      <c r="W937" s="28">
        <v>110</v>
      </c>
      <c r="X937" s="44">
        <f>AVERAGE(INDEX($W:$W,MAX(ROW($W$3),ROW()-23)):INDEX($W:$W,ROW()))</f>
        <v>73.791666666666671</v>
      </c>
      <c r="Y937" s="44">
        <f>_xlfn.STDEV.S(INDEX($W:$W,MAX(ROW($W$3),ROW()-23)):INDEX($W:$W,ROW()))</f>
        <v>54.610859858573491</v>
      </c>
      <c r="Z937" s="44">
        <f t="shared" si="86"/>
        <v>0.66302441358921205</v>
      </c>
      <c r="AA937" s="40" t="b">
        <f t="shared" si="84"/>
        <v>0</v>
      </c>
    </row>
    <row r="938" spans="1:27" x14ac:dyDescent="0.3">
      <c r="A938" s="32">
        <v>936</v>
      </c>
      <c r="B938" s="33">
        <v>40585</v>
      </c>
      <c r="C938" s="40" t="str">
        <f t="shared" si="87"/>
        <v>Friday</v>
      </c>
      <c r="D938" s="28">
        <v>14</v>
      </c>
      <c r="E938" s="40" t="str" cm="1">
        <f t="array" ref="E938">_xlfn.IFS(D938&gt;=21,"Night",D938&gt;=17,"Evening",D938&gt;=12,"Midday",D938&gt;=6,"Morning", TRUE, "Night")</f>
        <v>Midday</v>
      </c>
      <c r="F938" s="28">
        <v>1</v>
      </c>
      <c r="G938" s="28">
        <v>0</v>
      </c>
      <c r="H938" s="28">
        <v>2</v>
      </c>
      <c r="I938" s="28">
        <v>5</v>
      </c>
      <c r="J938" s="40" t="str">
        <f t="shared" si="88"/>
        <v>Weekday</v>
      </c>
      <c r="K938" s="28" t="b">
        <v>0</v>
      </c>
      <c r="L938" s="28">
        <v>1</v>
      </c>
      <c r="M938" s="40" t="str" cm="1">
        <f t="array" ref="M938">_xlfn.IFS(L938=1,"Clear / Partly Cloudy",L938=2,"Mist / Cloudy",L938=3,"Light Snow / Rain",L938=4,"Heavy Precipitation")</f>
        <v>Clear / Partly Cloudy</v>
      </c>
      <c r="N938" s="28">
        <v>0.3</v>
      </c>
      <c r="O938" s="28" t="str">
        <f t="shared" si="89"/>
        <v>Mild</v>
      </c>
      <c r="P938" s="28">
        <v>0.28789999999999999</v>
      </c>
      <c r="Q938" s="38">
        <f t="shared" si="85"/>
        <v>0.28789999999999999</v>
      </c>
      <c r="R938" s="28">
        <v>0.26</v>
      </c>
      <c r="S938" s="28">
        <v>0.25369999999999998</v>
      </c>
      <c r="T938" s="40" t="str" cm="1">
        <f t="array" ref="T938">_xlfn.IFS(S938*18.6&lt;2,"Calm",S938*18.6&lt;6,"Light Breeze",S938*18.6&lt;14,"Gale",TRUE,"Extreme Storm")</f>
        <v>Light Breeze</v>
      </c>
      <c r="U938" s="28">
        <v>17</v>
      </c>
      <c r="V938" s="28">
        <v>67</v>
      </c>
      <c r="W938" s="28">
        <v>84</v>
      </c>
      <c r="X938" s="44">
        <f>AVERAGE(INDEX($W:$W,MAX(ROW($W$3),ROW()-23)):INDEX($W:$W,ROW()))</f>
        <v>74.416666666666671</v>
      </c>
      <c r="Y938" s="44">
        <f>_xlfn.STDEV.S(INDEX($W:$W,MAX(ROW($W$3),ROW()-23)):INDEX($W:$W,ROW()))</f>
        <v>54.639463892801459</v>
      </c>
      <c r="Z938" s="44">
        <f t="shared" si="86"/>
        <v>0.17539215524030602</v>
      </c>
      <c r="AA938" s="40" t="b">
        <f t="shared" si="84"/>
        <v>0</v>
      </c>
    </row>
    <row r="939" spans="1:27" x14ac:dyDescent="0.3">
      <c r="A939" s="32">
        <v>937</v>
      </c>
      <c r="B939" s="33">
        <v>40585</v>
      </c>
      <c r="C939" s="40" t="str">
        <f t="shared" si="87"/>
        <v>Friday</v>
      </c>
      <c r="D939" s="28">
        <v>15</v>
      </c>
      <c r="E939" s="40" t="str" cm="1">
        <f t="array" ref="E939">_xlfn.IFS(D939&gt;=21,"Night",D939&gt;=17,"Evening",D939&gt;=12,"Midday",D939&gt;=6,"Morning", TRUE, "Night")</f>
        <v>Midday</v>
      </c>
      <c r="F939" s="28">
        <v>1</v>
      </c>
      <c r="G939" s="28">
        <v>0</v>
      </c>
      <c r="H939" s="28">
        <v>2</v>
      </c>
      <c r="I939" s="28">
        <v>5</v>
      </c>
      <c r="J939" s="40" t="str">
        <f t="shared" si="88"/>
        <v>Weekday</v>
      </c>
      <c r="K939" s="28" t="b">
        <v>0</v>
      </c>
      <c r="L939" s="28">
        <v>1</v>
      </c>
      <c r="M939" s="40" t="str" cm="1">
        <f t="array" ref="M939">_xlfn.IFS(L939=1,"Clear / Partly Cloudy",L939=2,"Mist / Cloudy",L939=3,"Light Snow / Rain",L939=4,"Heavy Precipitation")</f>
        <v>Clear / Partly Cloudy</v>
      </c>
      <c r="N939" s="28">
        <v>0.32</v>
      </c>
      <c r="O939" s="28" t="str">
        <f t="shared" si="89"/>
        <v>Mild</v>
      </c>
      <c r="P939" s="28">
        <v>0.31819999999999998</v>
      </c>
      <c r="Q939" s="38">
        <f t="shared" si="85"/>
        <v>0.31819999999999998</v>
      </c>
      <c r="R939" s="28">
        <v>0.21</v>
      </c>
      <c r="S939" s="28">
        <v>0.16420000000000001</v>
      </c>
      <c r="T939" s="40" t="str" cm="1">
        <f t="array" ref="T939">_xlfn.IFS(S939*18.6&lt;2,"Calm",S939*18.6&lt;6,"Light Breeze",S939*18.6&lt;14,"Gale",TRUE,"Extreme Storm")</f>
        <v>Light Breeze</v>
      </c>
      <c r="U939" s="28">
        <v>12</v>
      </c>
      <c r="V939" s="28">
        <v>62</v>
      </c>
      <c r="W939" s="28">
        <v>74</v>
      </c>
      <c r="X939" s="44">
        <f>AVERAGE(INDEX($W:$W,MAX(ROW($W$3),ROW()-23)):INDEX($W:$W,ROW()))</f>
        <v>74.916666666666671</v>
      </c>
      <c r="Y939" s="44">
        <f>_xlfn.STDEV.S(INDEX($W:$W,MAX(ROW($W$3),ROW()-23)):INDEX($W:$W,ROW()))</f>
        <v>54.575768366131349</v>
      </c>
      <c r="Z939" s="44">
        <f t="shared" si="86"/>
        <v>-1.6796220998979774E-2</v>
      </c>
      <c r="AA939" s="40" t="b">
        <f t="shared" si="84"/>
        <v>0</v>
      </c>
    </row>
    <row r="940" spans="1:27" x14ac:dyDescent="0.3">
      <c r="A940" s="32">
        <v>938</v>
      </c>
      <c r="B940" s="33">
        <v>40585</v>
      </c>
      <c r="C940" s="40" t="str">
        <f t="shared" si="87"/>
        <v>Friday</v>
      </c>
      <c r="D940" s="28">
        <v>16</v>
      </c>
      <c r="E940" s="40" t="str" cm="1">
        <f t="array" ref="E940">_xlfn.IFS(D940&gt;=21,"Night",D940&gt;=17,"Evening",D940&gt;=12,"Midday",D940&gt;=6,"Morning", TRUE, "Night")</f>
        <v>Midday</v>
      </c>
      <c r="F940" s="28">
        <v>1</v>
      </c>
      <c r="G940" s="28">
        <v>0</v>
      </c>
      <c r="H940" s="28">
        <v>2</v>
      </c>
      <c r="I940" s="28">
        <v>5</v>
      </c>
      <c r="J940" s="40" t="str">
        <f t="shared" si="88"/>
        <v>Weekday</v>
      </c>
      <c r="K940" s="28" t="b">
        <v>0</v>
      </c>
      <c r="L940" s="28">
        <v>1</v>
      </c>
      <c r="M940" s="40" t="str" cm="1">
        <f t="array" ref="M940">_xlfn.IFS(L940=1,"Clear / Partly Cloudy",L940=2,"Mist / Cloudy",L940=3,"Light Snow / Rain",L940=4,"Heavy Precipitation")</f>
        <v>Clear / Partly Cloudy</v>
      </c>
      <c r="N940" s="28">
        <v>0.3</v>
      </c>
      <c r="O940" s="28" t="str">
        <f t="shared" si="89"/>
        <v>Mild</v>
      </c>
      <c r="P940" s="28">
        <v>0.28789999999999999</v>
      </c>
      <c r="Q940" s="38">
        <f t="shared" si="85"/>
        <v>0.28789999999999999</v>
      </c>
      <c r="R940" s="28">
        <v>0.28000000000000003</v>
      </c>
      <c r="S940" s="28">
        <v>0.19400000000000001</v>
      </c>
      <c r="T940" s="40" t="str" cm="1">
        <f t="array" ref="T940">_xlfn.IFS(S940*18.6&lt;2,"Calm",S940*18.6&lt;6,"Light Breeze",S940*18.6&lt;14,"Gale",TRUE,"Extreme Storm")</f>
        <v>Light Breeze</v>
      </c>
      <c r="U940" s="28">
        <v>14</v>
      </c>
      <c r="V940" s="28">
        <v>111</v>
      </c>
      <c r="W940" s="28">
        <v>125</v>
      </c>
      <c r="X940" s="44">
        <f>AVERAGE(INDEX($W:$W,MAX(ROW($W$3),ROW()-23)):INDEX($W:$W,ROW()))</f>
        <v>78.125</v>
      </c>
      <c r="Y940" s="44">
        <f>_xlfn.STDEV.S(INDEX($W:$W,MAX(ROW($W$3),ROW()-23)):INDEX($W:$W,ROW()))</f>
        <v>55.18452248356536</v>
      </c>
      <c r="Z940" s="44">
        <f t="shared" si="86"/>
        <v>0.84942295213227514</v>
      </c>
      <c r="AA940" s="40" t="b">
        <f t="shared" si="84"/>
        <v>0</v>
      </c>
    </row>
    <row r="941" spans="1:27" x14ac:dyDescent="0.3">
      <c r="A941" s="32">
        <v>939</v>
      </c>
      <c r="B941" s="33">
        <v>40585</v>
      </c>
      <c r="C941" s="40" t="str">
        <f t="shared" si="87"/>
        <v>Friday</v>
      </c>
      <c r="D941" s="28">
        <v>17</v>
      </c>
      <c r="E941" s="40" t="str" cm="1">
        <f t="array" ref="E941">_xlfn.IFS(D941&gt;=21,"Night",D941&gt;=17,"Evening",D941&gt;=12,"Midday",D941&gt;=6,"Morning", TRUE, "Night")</f>
        <v>Evening</v>
      </c>
      <c r="F941" s="28">
        <v>1</v>
      </c>
      <c r="G941" s="28">
        <v>0</v>
      </c>
      <c r="H941" s="28">
        <v>2</v>
      </c>
      <c r="I941" s="28">
        <v>5</v>
      </c>
      <c r="J941" s="40" t="str">
        <f t="shared" si="88"/>
        <v>Weekday</v>
      </c>
      <c r="K941" s="28" t="b">
        <v>0</v>
      </c>
      <c r="L941" s="28">
        <v>1</v>
      </c>
      <c r="M941" s="40" t="str" cm="1">
        <f t="array" ref="M941">_xlfn.IFS(L941=1,"Clear / Partly Cloudy",L941=2,"Mist / Cloudy",L941=3,"Light Snow / Rain",L941=4,"Heavy Precipitation")</f>
        <v>Clear / Partly Cloudy</v>
      </c>
      <c r="N941" s="28">
        <v>0.3</v>
      </c>
      <c r="O941" s="28" t="str">
        <f t="shared" si="89"/>
        <v>Mild</v>
      </c>
      <c r="P941" s="28">
        <v>0.33329999999999999</v>
      </c>
      <c r="Q941" s="38">
        <f t="shared" si="85"/>
        <v>0.33329999999999999</v>
      </c>
      <c r="R941" s="28">
        <v>0.24</v>
      </c>
      <c r="S941" s="28">
        <v>0</v>
      </c>
      <c r="T941" s="40" t="str" cm="1">
        <f t="array" ref="T941">_xlfn.IFS(S941*18.6&lt;2,"Calm",S941*18.6&lt;6,"Light Breeze",S941*18.6&lt;14,"Gale",TRUE,"Extreme Storm")</f>
        <v>Calm</v>
      </c>
      <c r="U941" s="28">
        <v>18</v>
      </c>
      <c r="V941" s="28">
        <v>193</v>
      </c>
      <c r="W941" s="28">
        <v>211</v>
      </c>
      <c r="X941" s="44">
        <f>AVERAGE(INDEX($W:$W,MAX(ROW($W$3),ROW()-23)):INDEX($W:$W,ROW()))</f>
        <v>84.833333333333329</v>
      </c>
      <c r="Y941" s="44">
        <f>_xlfn.STDEV.S(INDEX($W:$W,MAX(ROW($W$3),ROW()-23)):INDEX($W:$W,ROW()))</f>
        <v>61.087013254912023</v>
      </c>
      <c r="Z941" s="44">
        <f t="shared" si="86"/>
        <v>2.0653598849264672</v>
      </c>
      <c r="AA941" s="40" t="b">
        <f t="shared" si="84"/>
        <v>0</v>
      </c>
    </row>
    <row r="942" spans="1:27" x14ac:dyDescent="0.3">
      <c r="A942" s="32">
        <v>940</v>
      </c>
      <c r="B942" s="33">
        <v>40585</v>
      </c>
      <c r="C942" s="40" t="str">
        <f t="shared" si="87"/>
        <v>Friday</v>
      </c>
      <c r="D942" s="28">
        <v>18</v>
      </c>
      <c r="E942" s="40" t="str" cm="1">
        <f t="array" ref="E942">_xlfn.IFS(D942&gt;=21,"Night",D942&gt;=17,"Evening",D942&gt;=12,"Midday",D942&gt;=6,"Morning", TRUE, "Night")</f>
        <v>Evening</v>
      </c>
      <c r="F942" s="28">
        <v>1</v>
      </c>
      <c r="G942" s="28">
        <v>0</v>
      </c>
      <c r="H942" s="28">
        <v>2</v>
      </c>
      <c r="I942" s="28">
        <v>5</v>
      </c>
      <c r="J942" s="40" t="str">
        <f t="shared" si="88"/>
        <v>Weekday</v>
      </c>
      <c r="K942" s="28" t="b">
        <v>0</v>
      </c>
      <c r="L942" s="28">
        <v>1</v>
      </c>
      <c r="M942" s="40" t="str" cm="1">
        <f t="array" ref="M942">_xlfn.IFS(L942=1,"Clear / Partly Cloudy",L942=2,"Mist / Cloudy",L942=3,"Light Snow / Rain",L942=4,"Heavy Precipitation")</f>
        <v>Clear / Partly Cloudy</v>
      </c>
      <c r="N942" s="28">
        <v>0.28000000000000003</v>
      </c>
      <c r="O942" s="28" t="str">
        <f t="shared" si="89"/>
        <v>Mild</v>
      </c>
      <c r="P942" s="28">
        <v>0.31819999999999998</v>
      </c>
      <c r="Q942" s="38">
        <f t="shared" si="85"/>
        <v>0.31819999999999998</v>
      </c>
      <c r="R942" s="28">
        <v>0.28000000000000003</v>
      </c>
      <c r="S942" s="28">
        <v>0</v>
      </c>
      <c r="T942" s="40" t="str" cm="1">
        <f t="array" ref="T942">_xlfn.IFS(S942*18.6&lt;2,"Calm",S942*18.6&lt;6,"Light Breeze",S942*18.6&lt;14,"Gale",TRUE,"Extreme Storm")</f>
        <v>Calm</v>
      </c>
      <c r="U942" s="28">
        <v>9</v>
      </c>
      <c r="V942" s="28">
        <v>165</v>
      </c>
      <c r="W942" s="28">
        <v>174</v>
      </c>
      <c r="X942" s="44">
        <f>AVERAGE(INDEX($W:$W,MAX(ROW($W$3),ROW()-23)):INDEX($W:$W,ROW()))</f>
        <v>88.75</v>
      </c>
      <c r="Y942" s="44">
        <f>_xlfn.STDEV.S(INDEX($W:$W,MAX(ROW($W$3),ROW()-23)):INDEX($W:$W,ROW()))</f>
        <v>63.720346897169762</v>
      </c>
      <c r="Z942" s="44">
        <f t="shared" si="86"/>
        <v>1.3378772111453541</v>
      </c>
      <c r="AA942" s="40" t="b">
        <f t="shared" si="84"/>
        <v>0</v>
      </c>
    </row>
    <row r="943" spans="1:27" x14ac:dyDescent="0.3">
      <c r="A943" s="32">
        <v>941</v>
      </c>
      <c r="B943" s="33">
        <v>40585</v>
      </c>
      <c r="C943" s="40" t="str">
        <f t="shared" si="87"/>
        <v>Friday</v>
      </c>
      <c r="D943" s="28">
        <v>19</v>
      </c>
      <c r="E943" s="40" t="str" cm="1">
        <f t="array" ref="E943">_xlfn.IFS(D943&gt;=21,"Night",D943&gt;=17,"Evening",D943&gt;=12,"Midday",D943&gt;=6,"Morning", TRUE, "Night")</f>
        <v>Evening</v>
      </c>
      <c r="F943" s="28">
        <v>1</v>
      </c>
      <c r="G943" s="28">
        <v>0</v>
      </c>
      <c r="H943" s="28">
        <v>2</v>
      </c>
      <c r="I943" s="28">
        <v>5</v>
      </c>
      <c r="J943" s="40" t="str">
        <f t="shared" si="88"/>
        <v>Weekday</v>
      </c>
      <c r="K943" s="28" t="b">
        <v>0</v>
      </c>
      <c r="L943" s="28">
        <v>1</v>
      </c>
      <c r="M943" s="40" t="str" cm="1">
        <f t="array" ref="M943">_xlfn.IFS(L943=1,"Clear / Partly Cloudy",L943=2,"Mist / Cloudy",L943=3,"Light Snow / Rain",L943=4,"Heavy Precipitation")</f>
        <v>Clear / Partly Cloudy</v>
      </c>
      <c r="N943" s="28">
        <v>0.26</v>
      </c>
      <c r="O943" s="28" t="str">
        <f t="shared" si="89"/>
        <v>Mild</v>
      </c>
      <c r="P943" s="28">
        <v>0.30299999999999999</v>
      </c>
      <c r="Q943" s="38">
        <f t="shared" si="85"/>
        <v>0.30299999999999999</v>
      </c>
      <c r="R943" s="28">
        <v>0.33</v>
      </c>
      <c r="S943" s="28">
        <v>0</v>
      </c>
      <c r="T943" s="40" t="str" cm="1">
        <f t="array" ref="T943">_xlfn.IFS(S943*18.6&lt;2,"Calm",S943*18.6&lt;6,"Light Breeze",S943*18.6&lt;14,"Gale",TRUE,"Extreme Storm")</f>
        <v>Calm</v>
      </c>
      <c r="U943" s="28">
        <v>7</v>
      </c>
      <c r="V943" s="28">
        <v>94</v>
      </c>
      <c r="W943" s="28">
        <v>101</v>
      </c>
      <c r="X943" s="44">
        <f>AVERAGE(INDEX($W:$W,MAX(ROW($W$3),ROW()-23)):INDEX($W:$W,ROW()))</f>
        <v>86.083333333333329</v>
      </c>
      <c r="Y943" s="44">
        <f>_xlfn.STDEV.S(INDEX($W:$W,MAX(ROW($W$3),ROW()-23)):INDEX($W:$W,ROW()))</f>
        <v>61.697661619184267</v>
      </c>
      <c r="Z943" s="44">
        <f t="shared" si="86"/>
        <v>0.24177037306108348</v>
      </c>
      <c r="AA943" s="40" t="b">
        <f t="shared" si="84"/>
        <v>0</v>
      </c>
    </row>
    <row r="944" spans="1:27" x14ac:dyDescent="0.3">
      <c r="A944" s="32">
        <v>942</v>
      </c>
      <c r="B944" s="33">
        <v>40585</v>
      </c>
      <c r="C944" s="40" t="str">
        <f t="shared" si="87"/>
        <v>Friday</v>
      </c>
      <c r="D944" s="28">
        <v>20</v>
      </c>
      <c r="E944" s="40" t="str" cm="1">
        <f t="array" ref="E944">_xlfn.IFS(D944&gt;=21,"Night",D944&gt;=17,"Evening",D944&gt;=12,"Midday",D944&gt;=6,"Morning", TRUE, "Night")</f>
        <v>Evening</v>
      </c>
      <c r="F944" s="28">
        <v>1</v>
      </c>
      <c r="G944" s="28">
        <v>0</v>
      </c>
      <c r="H944" s="28">
        <v>2</v>
      </c>
      <c r="I944" s="28">
        <v>5</v>
      </c>
      <c r="J944" s="40" t="str">
        <f t="shared" si="88"/>
        <v>Weekday</v>
      </c>
      <c r="K944" s="28" t="b">
        <v>0</v>
      </c>
      <c r="L944" s="28">
        <v>1</v>
      </c>
      <c r="M944" s="40" t="str" cm="1">
        <f t="array" ref="M944">_xlfn.IFS(L944=1,"Clear / Partly Cloudy",L944=2,"Mist / Cloudy",L944=3,"Light Snow / Rain",L944=4,"Heavy Precipitation")</f>
        <v>Clear / Partly Cloudy</v>
      </c>
      <c r="N944" s="28">
        <v>0.22</v>
      </c>
      <c r="O944" s="28" t="str">
        <f t="shared" si="89"/>
        <v>Mild</v>
      </c>
      <c r="P944" s="28">
        <v>0.2273</v>
      </c>
      <c r="Q944" s="38">
        <f t="shared" si="85"/>
        <v>0.2273</v>
      </c>
      <c r="R944" s="28">
        <v>0.55000000000000004</v>
      </c>
      <c r="S944" s="28">
        <v>0.1343</v>
      </c>
      <c r="T944" s="40" t="str" cm="1">
        <f t="array" ref="T944">_xlfn.IFS(S944*18.6&lt;2,"Calm",S944*18.6&lt;6,"Light Breeze",S944*18.6&lt;14,"Gale",TRUE,"Extreme Storm")</f>
        <v>Light Breeze</v>
      </c>
      <c r="U944" s="28">
        <v>2</v>
      </c>
      <c r="V944" s="28">
        <v>61</v>
      </c>
      <c r="W944" s="28">
        <v>63</v>
      </c>
      <c r="X944" s="44">
        <f>AVERAGE(INDEX($W:$W,MAX(ROW($W$3),ROW()-23)):INDEX($W:$W,ROW()))</f>
        <v>82.041666666666671</v>
      </c>
      <c r="Y944" s="44">
        <f>_xlfn.STDEV.S(INDEX($W:$W,MAX(ROW($W$3),ROW()-23)):INDEX($W:$W,ROW()))</f>
        <v>59.792742882805399</v>
      </c>
      <c r="Z944" s="44">
        <f t="shared" si="86"/>
        <v>-0.31846116683405212</v>
      </c>
      <c r="AA944" s="40" t="b">
        <f t="shared" si="84"/>
        <v>0</v>
      </c>
    </row>
    <row r="945" spans="1:27" x14ac:dyDescent="0.3">
      <c r="A945" s="32">
        <v>943</v>
      </c>
      <c r="B945" s="33">
        <v>40585</v>
      </c>
      <c r="C945" s="40" t="str">
        <f t="shared" si="87"/>
        <v>Friday</v>
      </c>
      <c r="D945" s="28">
        <v>21</v>
      </c>
      <c r="E945" s="40" t="str" cm="1">
        <f t="array" ref="E945">_xlfn.IFS(D945&gt;=21,"Night",D945&gt;=17,"Evening",D945&gt;=12,"Midday",D945&gt;=6,"Morning", TRUE, "Night")</f>
        <v>Night</v>
      </c>
      <c r="F945" s="28">
        <v>1</v>
      </c>
      <c r="G945" s="28">
        <v>0</v>
      </c>
      <c r="H945" s="28">
        <v>2</v>
      </c>
      <c r="I945" s="28">
        <v>5</v>
      </c>
      <c r="J945" s="40" t="str">
        <f t="shared" si="88"/>
        <v>Weekday</v>
      </c>
      <c r="K945" s="28" t="b">
        <v>0</v>
      </c>
      <c r="L945" s="28">
        <v>1</v>
      </c>
      <c r="M945" s="40" t="str" cm="1">
        <f t="array" ref="M945">_xlfn.IFS(L945=1,"Clear / Partly Cloudy",L945=2,"Mist / Cloudy",L945=3,"Light Snow / Rain",L945=4,"Heavy Precipitation")</f>
        <v>Clear / Partly Cloudy</v>
      </c>
      <c r="N945" s="28">
        <v>0.2</v>
      </c>
      <c r="O945" s="28" t="str">
        <f t="shared" si="89"/>
        <v>Mild</v>
      </c>
      <c r="P945" s="28">
        <v>0.21210000000000001</v>
      </c>
      <c r="Q945" s="38">
        <f t="shared" si="85"/>
        <v>0.21210000000000001</v>
      </c>
      <c r="R945" s="28">
        <v>0.59</v>
      </c>
      <c r="S945" s="28">
        <v>0.1343</v>
      </c>
      <c r="T945" s="40" t="str" cm="1">
        <f t="array" ref="T945">_xlfn.IFS(S945*18.6&lt;2,"Calm",S945*18.6&lt;6,"Light Breeze",S945*18.6&lt;14,"Gale",TRUE,"Extreme Storm")</f>
        <v>Light Breeze</v>
      </c>
      <c r="U945" s="28">
        <v>1</v>
      </c>
      <c r="V945" s="28">
        <v>46</v>
      </c>
      <c r="W945" s="28">
        <v>47</v>
      </c>
      <c r="X945" s="44">
        <f>AVERAGE(INDEX($W:$W,MAX(ROW($W$3),ROW()-23)):INDEX($W:$W,ROW()))</f>
        <v>79.333333333333329</v>
      </c>
      <c r="Y945" s="44">
        <f>_xlfn.STDEV.S(INDEX($W:$W,MAX(ROW($W$3),ROW()-23)):INDEX($W:$W,ROW()))</f>
        <v>59.848843413812226</v>
      </c>
      <c r="Z945" s="44">
        <f t="shared" si="86"/>
        <v>-0.5402499278018007</v>
      </c>
      <c r="AA945" s="40" t="b">
        <f t="shared" si="84"/>
        <v>0</v>
      </c>
    </row>
    <row r="946" spans="1:27" x14ac:dyDescent="0.3">
      <c r="A946" s="32">
        <v>944</v>
      </c>
      <c r="B946" s="33">
        <v>40585</v>
      </c>
      <c r="C946" s="40" t="str">
        <f t="shared" si="87"/>
        <v>Friday</v>
      </c>
      <c r="D946" s="28">
        <v>22</v>
      </c>
      <c r="E946" s="40" t="str" cm="1">
        <f t="array" ref="E946">_xlfn.IFS(D946&gt;=21,"Night",D946&gt;=17,"Evening",D946&gt;=12,"Midday",D946&gt;=6,"Morning", TRUE, "Night")</f>
        <v>Night</v>
      </c>
      <c r="F946" s="28">
        <v>1</v>
      </c>
      <c r="G946" s="28">
        <v>0</v>
      </c>
      <c r="H946" s="28">
        <v>2</v>
      </c>
      <c r="I946" s="28">
        <v>5</v>
      </c>
      <c r="J946" s="40" t="str">
        <f t="shared" si="88"/>
        <v>Weekday</v>
      </c>
      <c r="K946" s="28" t="b">
        <v>0</v>
      </c>
      <c r="L946" s="28">
        <v>1</v>
      </c>
      <c r="M946" s="40" t="str" cm="1">
        <f t="array" ref="M946">_xlfn.IFS(L946=1,"Clear / Partly Cloudy",L946=2,"Mist / Cloudy",L946=3,"Light Snow / Rain",L946=4,"Heavy Precipitation")</f>
        <v>Clear / Partly Cloudy</v>
      </c>
      <c r="N946" s="28">
        <v>0.2</v>
      </c>
      <c r="O946" s="28" t="str">
        <f t="shared" si="89"/>
        <v>Mild</v>
      </c>
      <c r="P946" s="28">
        <v>0.2273</v>
      </c>
      <c r="Q946" s="38">
        <f t="shared" si="85"/>
        <v>0.2273</v>
      </c>
      <c r="R946" s="28">
        <v>0.64</v>
      </c>
      <c r="S946" s="28">
        <v>8.9599999999999999E-2</v>
      </c>
      <c r="T946" s="40" t="str" cm="1">
        <f t="array" ref="T946">_xlfn.IFS(S946*18.6&lt;2,"Calm",S946*18.6&lt;6,"Light Breeze",S946*18.6&lt;14,"Gale",TRUE,"Extreme Storm")</f>
        <v>Calm</v>
      </c>
      <c r="U946" s="28">
        <v>2</v>
      </c>
      <c r="V946" s="28">
        <v>41</v>
      </c>
      <c r="W946" s="28">
        <v>43</v>
      </c>
      <c r="X946" s="44">
        <f>AVERAGE(INDEX($W:$W,MAX(ROW($W$3),ROW()-23)):INDEX($W:$W,ROW()))</f>
        <v>77.083333333333329</v>
      </c>
      <c r="Y946" s="44">
        <f>_xlfn.STDEV.S(INDEX($W:$W,MAX(ROW($W$3),ROW()-23)):INDEX($W:$W,ROW()))</f>
        <v>60.169988667373744</v>
      </c>
      <c r="Z946" s="44">
        <f t="shared" si="86"/>
        <v>-0.56645071884174203</v>
      </c>
      <c r="AA946" s="40" t="b">
        <f t="shared" si="84"/>
        <v>0</v>
      </c>
    </row>
    <row r="947" spans="1:27" x14ac:dyDescent="0.3">
      <c r="A947" s="32">
        <v>945</v>
      </c>
      <c r="B947" s="33">
        <v>40585</v>
      </c>
      <c r="C947" s="40" t="str">
        <f t="shared" si="87"/>
        <v>Friday</v>
      </c>
      <c r="D947" s="28">
        <v>23</v>
      </c>
      <c r="E947" s="40" t="str" cm="1">
        <f t="array" ref="E947">_xlfn.IFS(D947&gt;=21,"Night",D947&gt;=17,"Evening",D947&gt;=12,"Midday",D947&gt;=6,"Morning", TRUE, "Night")</f>
        <v>Night</v>
      </c>
      <c r="F947" s="28">
        <v>1</v>
      </c>
      <c r="G947" s="28">
        <v>0</v>
      </c>
      <c r="H947" s="28">
        <v>2</v>
      </c>
      <c r="I947" s="28">
        <v>5</v>
      </c>
      <c r="J947" s="40" t="str">
        <f t="shared" si="88"/>
        <v>Weekday</v>
      </c>
      <c r="K947" s="28" t="b">
        <v>0</v>
      </c>
      <c r="L947" s="28">
        <v>1</v>
      </c>
      <c r="M947" s="40" t="str" cm="1">
        <f t="array" ref="M947">_xlfn.IFS(L947=1,"Clear / Partly Cloudy",L947=2,"Mist / Cloudy",L947=3,"Light Snow / Rain",L947=4,"Heavy Precipitation")</f>
        <v>Clear / Partly Cloudy</v>
      </c>
      <c r="N947" s="28">
        <v>0.18</v>
      </c>
      <c r="O947" s="28" t="str">
        <f t="shared" si="89"/>
        <v>Cold</v>
      </c>
      <c r="P947" s="28">
        <v>0.2424</v>
      </c>
      <c r="Q947" s="38">
        <f t="shared" si="85"/>
        <v>0.2424</v>
      </c>
      <c r="R947" s="28">
        <v>0.69</v>
      </c>
      <c r="S947" s="28">
        <v>0</v>
      </c>
      <c r="T947" s="40" t="str" cm="1">
        <f t="array" ref="T947">_xlfn.IFS(S947*18.6&lt;2,"Calm",S947*18.6&lt;6,"Light Breeze",S947*18.6&lt;14,"Gale",TRUE,"Extreme Storm")</f>
        <v>Calm</v>
      </c>
      <c r="U947" s="28">
        <v>5</v>
      </c>
      <c r="V947" s="28">
        <v>48</v>
      </c>
      <c r="W947" s="28">
        <v>53</v>
      </c>
      <c r="X947" s="44">
        <f>AVERAGE(INDEX($W:$W,MAX(ROW($W$3),ROW()-23)):INDEX($W:$W,ROW()))</f>
        <v>76.291666666666671</v>
      </c>
      <c r="Y947" s="44">
        <f>_xlfn.STDEV.S(INDEX($W:$W,MAX(ROW($W$3),ROW()-23)):INDEX($W:$W,ROW()))</f>
        <v>60.364457701723694</v>
      </c>
      <c r="Z947" s="44">
        <f t="shared" si="86"/>
        <v>-0.38585067361586822</v>
      </c>
      <c r="AA947" s="40" t="b">
        <f t="shared" si="84"/>
        <v>0</v>
      </c>
    </row>
    <row r="948" spans="1:27" x14ac:dyDescent="0.3">
      <c r="A948" s="32">
        <v>946</v>
      </c>
      <c r="B948" s="33">
        <v>40586</v>
      </c>
      <c r="C948" s="40" t="str">
        <f t="shared" si="87"/>
        <v>Saturday</v>
      </c>
      <c r="D948" s="28">
        <v>0</v>
      </c>
      <c r="E948" s="40" t="str" cm="1">
        <f t="array" ref="E948">_xlfn.IFS(D948&gt;=21,"Night",D948&gt;=17,"Evening",D948&gt;=12,"Midday",D948&gt;=6,"Morning", TRUE, "Night")</f>
        <v>Night</v>
      </c>
      <c r="F948" s="28">
        <v>1</v>
      </c>
      <c r="G948" s="28">
        <v>0</v>
      </c>
      <c r="H948" s="28">
        <v>2</v>
      </c>
      <c r="I948" s="28">
        <v>6</v>
      </c>
      <c r="J948" s="40" t="str">
        <f t="shared" si="88"/>
        <v>Weekday</v>
      </c>
      <c r="K948" s="28" t="b">
        <v>0</v>
      </c>
      <c r="L948" s="28">
        <v>1</v>
      </c>
      <c r="M948" s="40" t="str" cm="1">
        <f t="array" ref="M948">_xlfn.IFS(L948=1,"Clear / Partly Cloudy",L948=2,"Mist / Cloudy",L948=3,"Light Snow / Rain",L948=4,"Heavy Precipitation")</f>
        <v>Clear / Partly Cloudy</v>
      </c>
      <c r="N948" s="28">
        <v>0.16</v>
      </c>
      <c r="O948" s="28" t="str">
        <f t="shared" si="89"/>
        <v>Cold</v>
      </c>
      <c r="P948" s="28">
        <v>0.19700000000000001</v>
      </c>
      <c r="Q948" s="38">
        <f t="shared" si="85"/>
        <v>0.19700000000000001</v>
      </c>
      <c r="R948" s="28">
        <v>0.69</v>
      </c>
      <c r="S948" s="28">
        <v>8.9599999999999999E-2</v>
      </c>
      <c r="T948" s="40" t="str" cm="1">
        <f t="array" ref="T948">_xlfn.IFS(S948*18.6&lt;2,"Calm",S948*18.6&lt;6,"Light Breeze",S948*18.6&lt;14,"Gale",TRUE,"Extreme Storm")</f>
        <v>Calm</v>
      </c>
      <c r="U948" s="28">
        <v>3</v>
      </c>
      <c r="V948" s="28">
        <v>27</v>
      </c>
      <c r="W948" s="28">
        <v>30</v>
      </c>
      <c r="X948" s="44">
        <f>AVERAGE(INDEX($W:$W,MAX(ROW($W$3),ROW()-23)):INDEX($W:$W,ROW()))</f>
        <v>75.416666666666671</v>
      </c>
      <c r="Y948" s="44">
        <f>_xlfn.STDEV.S(INDEX($W:$W,MAX(ROW($W$3),ROW()-23)):INDEX($W:$W,ROW()))</f>
        <v>60.896859822423394</v>
      </c>
      <c r="Z948" s="44">
        <f t="shared" si="86"/>
        <v>-0.74579652873896429</v>
      </c>
      <c r="AA948" s="40" t="b">
        <f t="shared" si="84"/>
        <v>0</v>
      </c>
    </row>
    <row r="949" spans="1:27" x14ac:dyDescent="0.3">
      <c r="A949" s="32">
        <v>947</v>
      </c>
      <c r="B949" s="33">
        <v>40586</v>
      </c>
      <c r="C949" s="40" t="str">
        <f t="shared" si="87"/>
        <v>Saturday</v>
      </c>
      <c r="D949" s="28">
        <v>1</v>
      </c>
      <c r="E949" s="40" t="str" cm="1">
        <f t="array" ref="E949">_xlfn.IFS(D949&gt;=21,"Night",D949&gt;=17,"Evening",D949&gt;=12,"Midday",D949&gt;=6,"Morning", TRUE, "Night")</f>
        <v>Night</v>
      </c>
      <c r="F949" s="28">
        <v>1</v>
      </c>
      <c r="G949" s="28">
        <v>0</v>
      </c>
      <c r="H949" s="28">
        <v>2</v>
      </c>
      <c r="I949" s="28">
        <v>6</v>
      </c>
      <c r="J949" s="40" t="str">
        <f t="shared" si="88"/>
        <v>Weekday</v>
      </c>
      <c r="K949" s="28" t="b">
        <v>0</v>
      </c>
      <c r="L949" s="28">
        <v>1</v>
      </c>
      <c r="M949" s="40" t="str" cm="1">
        <f t="array" ref="M949">_xlfn.IFS(L949=1,"Clear / Partly Cloudy",L949=2,"Mist / Cloudy",L949=3,"Light Snow / Rain",L949=4,"Heavy Precipitation")</f>
        <v>Clear / Partly Cloudy</v>
      </c>
      <c r="N949" s="28">
        <v>0.14000000000000001</v>
      </c>
      <c r="O949" s="28" t="str">
        <f t="shared" si="89"/>
        <v>Cold</v>
      </c>
      <c r="P949" s="28">
        <v>0.21210000000000001</v>
      </c>
      <c r="Q949" s="38">
        <f t="shared" si="85"/>
        <v>0.21210000000000001</v>
      </c>
      <c r="R949" s="28">
        <v>0.86</v>
      </c>
      <c r="S949" s="28">
        <v>0</v>
      </c>
      <c r="T949" s="40" t="str" cm="1">
        <f t="array" ref="T949">_xlfn.IFS(S949*18.6&lt;2,"Calm",S949*18.6&lt;6,"Light Breeze",S949*18.6&lt;14,"Gale",TRUE,"Extreme Storm")</f>
        <v>Calm</v>
      </c>
      <c r="U949" s="28">
        <v>2</v>
      </c>
      <c r="V949" s="28">
        <v>22</v>
      </c>
      <c r="W949" s="28">
        <v>24</v>
      </c>
      <c r="X949" s="44">
        <f>AVERAGE(INDEX($W:$W,MAX(ROW($W$3),ROW()-23)):INDEX($W:$W,ROW()))</f>
        <v>75</v>
      </c>
      <c r="Y949" s="44">
        <f>_xlfn.STDEV.S(INDEX($W:$W,MAX(ROW($W$3),ROW()-23)):INDEX($W:$W,ROW()))</f>
        <v>61.225882563276897</v>
      </c>
      <c r="Z949" s="44">
        <f t="shared" si="86"/>
        <v>-0.83298105090263985</v>
      </c>
      <c r="AA949" s="40" t="b">
        <f t="shared" si="84"/>
        <v>0</v>
      </c>
    </row>
    <row r="950" spans="1:27" x14ac:dyDescent="0.3">
      <c r="A950" s="32">
        <v>948</v>
      </c>
      <c r="B950" s="33">
        <v>40586</v>
      </c>
      <c r="C950" s="40" t="str">
        <f t="shared" si="87"/>
        <v>Saturday</v>
      </c>
      <c r="D950" s="28">
        <v>2</v>
      </c>
      <c r="E950" s="40" t="str" cm="1">
        <f t="array" ref="E950">_xlfn.IFS(D950&gt;=21,"Night",D950&gt;=17,"Evening",D950&gt;=12,"Midday",D950&gt;=6,"Morning", TRUE, "Night")</f>
        <v>Night</v>
      </c>
      <c r="F950" s="28">
        <v>1</v>
      </c>
      <c r="G950" s="28">
        <v>0</v>
      </c>
      <c r="H950" s="28">
        <v>2</v>
      </c>
      <c r="I950" s="28">
        <v>6</v>
      </c>
      <c r="J950" s="40" t="str">
        <f t="shared" si="88"/>
        <v>Weekday</v>
      </c>
      <c r="K950" s="28" t="b">
        <v>0</v>
      </c>
      <c r="L950" s="28">
        <v>1</v>
      </c>
      <c r="M950" s="40" t="str" cm="1">
        <f t="array" ref="M950">_xlfn.IFS(L950=1,"Clear / Partly Cloudy",L950=2,"Mist / Cloudy",L950=3,"Light Snow / Rain",L950=4,"Heavy Precipitation")</f>
        <v>Clear / Partly Cloudy</v>
      </c>
      <c r="N950" s="28">
        <v>0.14000000000000001</v>
      </c>
      <c r="O950" s="28" t="str">
        <f t="shared" si="89"/>
        <v>Cold</v>
      </c>
      <c r="P950" s="28">
        <v>0.21210000000000001</v>
      </c>
      <c r="Q950" s="38">
        <f t="shared" si="85"/>
        <v>0.21210000000000001</v>
      </c>
      <c r="R950" s="28">
        <v>0.8</v>
      </c>
      <c r="S950" s="28">
        <v>0</v>
      </c>
      <c r="T950" s="40" t="str" cm="1">
        <f t="array" ref="T950">_xlfn.IFS(S950*18.6&lt;2,"Calm",S950*18.6&lt;6,"Light Breeze",S950*18.6&lt;14,"Gale",TRUE,"Extreme Storm")</f>
        <v>Calm</v>
      </c>
      <c r="U950" s="28">
        <v>2</v>
      </c>
      <c r="V950" s="28">
        <v>13</v>
      </c>
      <c r="W950" s="28">
        <v>15</v>
      </c>
      <c r="X950" s="44">
        <f>AVERAGE(INDEX($W:$W,MAX(ROW($W$3),ROW()-23)):INDEX($W:$W,ROW()))</f>
        <v>75.041666666666671</v>
      </c>
      <c r="Y950" s="44">
        <f>_xlfn.STDEV.S(INDEX($W:$W,MAX(ROW($W$3),ROW()-23)):INDEX($W:$W,ROW()))</f>
        <v>61.182889883469493</v>
      </c>
      <c r="Z950" s="44">
        <f t="shared" si="86"/>
        <v>-0.98134734696291026</v>
      </c>
      <c r="AA950" s="40" t="b">
        <f t="shared" si="84"/>
        <v>0</v>
      </c>
    </row>
    <row r="951" spans="1:27" x14ac:dyDescent="0.3">
      <c r="A951" s="32">
        <v>949</v>
      </c>
      <c r="B951" s="33">
        <v>40586</v>
      </c>
      <c r="C951" s="40" t="str">
        <f t="shared" si="87"/>
        <v>Saturday</v>
      </c>
      <c r="D951" s="28">
        <v>3</v>
      </c>
      <c r="E951" s="40" t="str" cm="1">
        <f t="array" ref="E951">_xlfn.IFS(D951&gt;=21,"Night",D951&gt;=17,"Evening",D951&gt;=12,"Midday",D951&gt;=6,"Morning", TRUE, "Night")</f>
        <v>Night</v>
      </c>
      <c r="F951" s="28">
        <v>1</v>
      </c>
      <c r="G951" s="28">
        <v>0</v>
      </c>
      <c r="H951" s="28">
        <v>2</v>
      </c>
      <c r="I951" s="28">
        <v>6</v>
      </c>
      <c r="J951" s="40" t="str">
        <f t="shared" si="88"/>
        <v>Weekday</v>
      </c>
      <c r="K951" s="28" t="b">
        <v>0</v>
      </c>
      <c r="L951" s="28">
        <v>1</v>
      </c>
      <c r="M951" s="40" t="str" cm="1">
        <f t="array" ref="M951">_xlfn.IFS(L951=1,"Clear / Partly Cloudy",L951=2,"Mist / Cloudy",L951=3,"Light Snow / Rain",L951=4,"Heavy Precipitation")</f>
        <v>Clear / Partly Cloudy</v>
      </c>
      <c r="N951" s="28">
        <v>0.12</v>
      </c>
      <c r="O951" s="28" t="str">
        <f t="shared" si="89"/>
        <v>Cold</v>
      </c>
      <c r="P951" s="28">
        <v>0.19700000000000001</v>
      </c>
      <c r="Q951" s="38">
        <f t="shared" si="85"/>
        <v>0.19700000000000001</v>
      </c>
      <c r="R951" s="28">
        <v>0.8</v>
      </c>
      <c r="S951" s="28">
        <v>0</v>
      </c>
      <c r="T951" s="40" t="str" cm="1">
        <f t="array" ref="T951">_xlfn.IFS(S951*18.6&lt;2,"Calm",S951*18.6&lt;6,"Light Breeze",S951*18.6&lt;14,"Gale",TRUE,"Extreme Storm")</f>
        <v>Calm</v>
      </c>
      <c r="U951" s="28">
        <v>3</v>
      </c>
      <c r="V951" s="28">
        <v>7</v>
      </c>
      <c r="W951" s="28">
        <v>10</v>
      </c>
      <c r="X951" s="44">
        <f>AVERAGE(INDEX($W:$W,MAX(ROW($W$3),ROW()-23)):INDEX($W:$W,ROW()))</f>
        <v>75.166666666666671</v>
      </c>
      <c r="Y951" s="44">
        <f>_xlfn.STDEV.S(INDEX($W:$W,MAX(ROW($W$3),ROW()-23)):INDEX($W:$W,ROW()))</f>
        <v>61.040732421005188</v>
      </c>
      <c r="Z951" s="44">
        <f t="shared" si="86"/>
        <v>-1.0675931313733988</v>
      </c>
      <c r="AA951" s="40" t="b">
        <f t="shared" si="84"/>
        <v>0</v>
      </c>
    </row>
    <row r="952" spans="1:27" x14ac:dyDescent="0.3">
      <c r="A952" s="32">
        <v>950</v>
      </c>
      <c r="B952" s="33">
        <v>40586</v>
      </c>
      <c r="C952" s="40" t="str">
        <f t="shared" si="87"/>
        <v>Saturday</v>
      </c>
      <c r="D952" s="28">
        <v>4</v>
      </c>
      <c r="E952" s="40" t="str" cm="1">
        <f t="array" ref="E952">_xlfn.IFS(D952&gt;=21,"Night",D952&gt;=17,"Evening",D952&gt;=12,"Midday",D952&gt;=6,"Morning", TRUE, "Night")</f>
        <v>Night</v>
      </c>
      <c r="F952" s="28">
        <v>1</v>
      </c>
      <c r="G952" s="28">
        <v>0</v>
      </c>
      <c r="H952" s="28">
        <v>2</v>
      </c>
      <c r="I952" s="28">
        <v>6</v>
      </c>
      <c r="J952" s="40" t="str">
        <f t="shared" si="88"/>
        <v>Weekday</v>
      </c>
      <c r="K952" s="28" t="b">
        <v>0</v>
      </c>
      <c r="L952" s="28">
        <v>1</v>
      </c>
      <c r="M952" s="40" t="str" cm="1">
        <f t="array" ref="M952">_xlfn.IFS(L952=1,"Clear / Partly Cloudy",L952=2,"Mist / Cloudy",L952=3,"Light Snow / Rain",L952=4,"Heavy Precipitation")</f>
        <v>Clear / Partly Cloudy</v>
      </c>
      <c r="N952" s="28">
        <v>0.12</v>
      </c>
      <c r="O952" s="28" t="str">
        <f t="shared" si="89"/>
        <v>Cold</v>
      </c>
      <c r="P952" s="28">
        <v>0.16669999999999999</v>
      </c>
      <c r="Q952" s="38">
        <f t="shared" si="85"/>
        <v>0.16669999999999999</v>
      </c>
      <c r="R952" s="28">
        <v>0.74</v>
      </c>
      <c r="S952" s="28">
        <v>8.9599999999999999E-2</v>
      </c>
      <c r="T952" s="40" t="str" cm="1">
        <f t="array" ref="T952">_xlfn.IFS(S952*18.6&lt;2,"Calm",S952*18.6&lt;6,"Light Breeze",S952*18.6&lt;14,"Gale",TRUE,"Extreme Storm")</f>
        <v>Calm</v>
      </c>
      <c r="U952" s="28">
        <v>0</v>
      </c>
      <c r="V952" s="28">
        <v>4</v>
      </c>
      <c r="W952" s="28">
        <v>4</v>
      </c>
      <c r="X952" s="44">
        <f>AVERAGE(INDEX($W:$W,MAX(ROW($W$3),ROW()-23)):INDEX($W:$W,ROW()))</f>
        <v>75.208333333333329</v>
      </c>
      <c r="Y952" s="44">
        <f>_xlfn.STDEV.S(INDEX($W:$W,MAX(ROW($W$3),ROW()-23)):INDEX($W:$W,ROW()))</f>
        <v>60.989649276254902</v>
      </c>
      <c r="Z952" s="44">
        <f t="shared" si="86"/>
        <v>-1.1675478409589226</v>
      </c>
      <c r="AA952" s="40" t="b">
        <f t="shared" si="84"/>
        <v>0</v>
      </c>
    </row>
    <row r="953" spans="1:27" x14ac:dyDescent="0.3">
      <c r="A953" s="32">
        <v>951</v>
      </c>
      <c r="B953" s="33">
        <v>40586</v>
      </c>
      <c r="C953" s="40" t="str">
        <f t="shared" si="87"/>
        <v>Saturday</v>
      </c>
      <c r="D953" s="28">
        <v>5</v>
      </c>
      <c r="E953" s="40" t="str" cm="1">
        <f t="array" ref="E953">_xlfn.IFS(D953&gt;=21,"Night",D953&gt;=17,"Evening",D953&gt;=12,"Midday",D953&gt;=6,"Morning", TRUE, "Night")</f>
        <v>Night</v>
      </c>
      <c r="F953" s="28">
        <v>1</v>
      </c>
      <c r="G953" s="28">
        <v>0</v>
      </c>
      <c r="H953" s="28">
        <v>2</v>
      </c>
      <c r="I953" s="28">
        <v>6</v>
      </c>
      <c r="J953" s="40" t="str">
        <f t="shared" si="88"/>
        <v>Weekday</v>
      </c>
      <c r="K953" s="28" t="b">
        <v>0</v>
      </c>
      <c r="L953" s="28">
        <v>1</v>
      </c>
      <c r="M953" s="40" t="str" cm="1">
        <f t="array" ref="M953">_xlfn.IFS(L953=1,"Clear / Partly Cloudy",L953=2,"Mist / Cloudy",L953=3,"Light Snow / Rain",L953=4,"Heavy Precipitation")</f>
        <v>Clear / Partly Cloudy</v>
      </c>
      <c r="N953" s="28">
        <v>0.12</v>
      </c>
      <c r="O953" s="28" t="str">
        <f t="shared" si="89"/>
        <v>Cold</v>
      </c>
      <c r="P953" s="28">
        <v>0.16669999999999999</v>
      </c>
      <c r="Q953" s="38">
        <f t="shared" si="85"/>
        <v>0.16669999999999999</v>
      </c>
      <c r="R953" s="28">
        <v>0.74</v>
      </c>
      <c r="S953" s="28">
        <v>8.9599999999999999E-2</v>
      </c>
      <c r="T953" s="40" t="str" cm="1">
        <f t="array" ref="T953">_xlfn.IFS(S953*18.6&lt;2,"Calm",S953*18.6&lt;6,"Light Breeze",S953*18.6&lt;14,"Gale",TRUE,"Extreme Storm")</f>
        <v>Calm</v>
      </c>
      <c r="U953" s="28">
        <v>0</v>
      </c>
      <c r="V953" s="28">
        <v>1</v>
      </c>
      <c r="W953" s="28">
        <v>1</v>
      </c>
      <c r="X953" s="44">
        <f>AVERAGE(INDEX($W:$W,MAX(ROW($W$3),ROW()-23)):INDEX($W:$W,ROW()))</f>
        <v>75.083333333333329</v>
      </c>
      <c r="Y953" s="44">
        <f>_xlfn.STDEV.S(INDEX($W:$W,MAX(ROW($W$3),ROW()-23)):INDEX($W:$W,ROW()))</f>
        <v>61.144815036085454</v>
      </c>
      <c r="Z953" s="44">
        <f t="shared" si="86"/>
        <v>-1.211604504643804</v>
      </c>
      <c r="AA953" s="40" t="b">
        <f t="shared" si="84"/>
        <v>0</v>
      </c>
    </row>
    <row r="954" spans="1:27" x14ac:dyDescent="0.3">
      <c r="A954" s="32">
        <v>952</v>
      </c>
      <c r="B954" s="33">
        <v>40586</v>
      </c>
      <c r="C954" s="40" t="str">
        <f t="shared" si="87"/>
        <v>Saturday</v>
      </c>
      <c r="D954" s="28">
        <v>6</v>
      </c>
      <c r="E954" s="40" t="str" cm="1">
        <f t="array" ref="E954">_xlfn.IFS(D954&gt;=21,"Night",D954&gt;=17,"Evening",D954&gt;=12,"Midday",D954&gt;=6,"Morning", TRUE, "Night")</f>
        <v>Morning</v>
      </c>
      <c r="F954" s="28">
        <v>1</v>
      </c>
      <c r="G954" s="28">
        <v>0</v>
      </c>
      <c r="H954" s="28">
        <v>2</v>
      </c>
      <c r="I954" s="28">
        <v>6</v>
      </c>
      <c r="J954" s="40" t="str">
        <f t="shared" si="88"/>
        <v>Weekday</v>
      </c>
      <c r="K954" s="28" t="b">
        <v>0</v>
      </c>
      <c r="L954" s="28">
        <v>1</v>
      </c>
      <c r="M954" s="40" t="str" cm="1">
        <f t="array" ref="M954">_xlfn.IFS(L954=1,"Clear / Partly Cloudy",L954=2,"Mist / Cloudy",L954=3,"Light Snow / Rain",L954=4,"Heavy Precipitation")</f>
        <v>Clear / Partly Cloudy</v>
      </c>
      <c r="N954" s="28">
        <v>0.12</v>
      </c>
      <c r="O954" s="28" t="str">
        <f t="shared" si="89"/>
        <v>Cold</v>
      </c>
      <c r="P954" s="28">
        <v>0.13639999999999999</v>
      </c>
      <c r="Q954" s="38">
        <f t="shared" si="85"/>
        <v>0.13639999999999999</v>
      </c>
      <c r="R954" s="28">
        <v>0.93</v>
      </c>
      <c r="S954" s="28">
        <v>0.19400000000000001</v>
      </c>
      <c r="T954" s="40" t="str" cm="1">
        <f t="array" ref="T954">_xlfn.IFS(S954*18.6&lt;2,"Calm",S954*18.6&lt;6,"Light Breeze",S954*18.6&lt;14,"Gale",TRUE,"Extreme Storm")</f>
        <v>Light Breeze</v>
      </c>
      <c r="U954" s="28">
        <v>1</v>
      </c>
      <c r="V954" s="28">
        <v>1</v>
      </c>
      <c r="W954" s="28">
        <v>2</v>
      </c>
      <c r="X954" s="44">
        <f>AVERAGE(INDEX($W:$W,MAX(ROW($W$3),ROW()-23)):INDEX($W:$W,ROW()))</f>
        <v>74.166666666666671</v>
      </c>
      <c r="Y954" s="44">
        <f>_xlfn.STDEV.S(INDEX($W:$W,MAX(ROW($W$3),ROW()-23)):INDEX($W:$W,ROW()))</f>
        <v>62.101366411254816</v>
      </c>
      <c r="Z954" s="44">
        <f t="shared" si="86"/>
        <v>-1.1620785634370148</v>
      </c>
      <c r="AA954" s="40" t="b">
        <f t="shared" si="84"/>
        <v>0</v>
      </c>
    </row>
    <row r="955" spans="1:27" x14ac:dyDescent="0.3">
      <c r="A955" s="32">
        <v>953</v>
      </c>
      <c r="B955" s="33">
        <v>40586</v>
      </c>
      <c r="C955" s="40" t="str">
        <f t="shared" si="87"/>
        <v>Saturday</v>
      </c>
      <c r="D955" s="28">
        <v>7</v>
      </c>
      <c r="E955" s="40" t="str" cm="1">
        <f t="array" ref="E955">_xlfn.IFS(D955&gt;=21,"Night",D955&gt;=17,"Evening",D955&gt;=12,"Midday",D955&gt;=6,"Morning", TRUE, "Night")</f>
        <v>Morning</v>
      </c>
      <c r="F955" s="28">
        <v>1</v>
      </c>
      <c r="G955" s="28">
        <v>0</v>
      </c>
      <c r="H955" s="28">
        <v>2</v>
      </c>
      <c r="I955" s="28">
        <v>6</v>
      </c>
      <c r="J955" s="40" t="str">
        <f t="shared" si="88"/>
        <v>Weekday</v>
      </c>
      <c r="K955" s="28" t="b">
        <v>0</v>
      </c>
      <c r="L955" s="28">
        <v>1</v>
      </c>
      <c r="M955" s="40" t="str" cm="1">
        <f t="array" ref="M955">_xlfn.IFS(L955=1,"Clear / Partly Cloudy",L955=2,"Mist / Cloudy",L955=3,"Light Snow / Rain",L955=4,"Heavy Precipitation")</f>
        <v>Clear / Partly Cloudy</v>
      </c>
      <c r="N955" s="28">
        <v>0.12</v>
      </c>
      <c r="O955" s="28" t="str">
        <f t="shared" si="89"/>
        <v>Cold</v>
      </c>
      <c r="P955" s="28">
        <v>0.1515</v>
      </c>
      <c r="Q955" s="38">
        <f t="shared" si="85"/>
        <v>0.1515</v>
      </c>
      <c r="R955" s="28">
        <v>0.8</v>
      </c>
      <c r="S955" s="28">
        <v>0.1045</v>
      </c>
      <c r="T955" s="40" t="str" cm="1">
        <f t="array" ref="T955">_xlfn.IFS(S955*18.6&lt;2,"Calm",S955*18.6&lt;6,"Light Breeze",S955*18.6&lt;14,"Gale",TRUE,"Extreme Storm")</f>
        <v>Calm</v>
      </c>
      <c r="U955" s="28">
        <v>2</v>
      </c>
      <c r="V955" s="28">
        <v>9</v>
      </c>
      <c r="W955" s="28">
        <v>11</v>
      </c>
      <c r="X955" s="44">
        <f>AVERAGE(INDEX($W:$W,MAX(ROW($W$3),ROW()-23)):INDEX($W:$W,ROW()))</f>
        <v>71.541666666666671</v>
      </c>
      <c r="Y955" s="44">
        <f>_xlfn.STDEV.S(INDEX($W:$W,MAX(ROW($W$3),ROW()-23)):INDEX($W:$W,ROW()))</f>
        <v>63.426081020532777</v>
      </c>
      <c r="Z955" s="44">
        <f t="shared" si="86"/>
        <v>-0.95452321336182921</v>
      </c>
      <c r="AA955" s="40" t="b">
        <f t="shared" si="84"/>
        <v>0</v>
      </c>
    </row>
    <row r="956" spans="1:27" x14ac:dyDescent="0.3">
      <c r="A956" s="32">
        <v>954</v>
      </c>
      <c r="B956" s="33">
        <v>40586</v>
      </c>
      <c r="C956" s="40" t="str">
        <f t="shared" si="87"/>
        <v>Saturday</v>
      </c>
      <c r="D956" s="28">
        <v>8</v>
      </c>
      <c r="E956" s="40" t="str" cm="1">
        <f t="array" ref="E956">_xlfn.IFS(D956&gt;=21,"Night",D956&gt;=17,"Evening",D956&gt;=12,"Midday",D956&gt;=6,"Morning", TRUE, "Night")</f>
        <v>Morning</v>
      </c>
      <c r="F956" s="28">
        <v>1</v>
      </c>
      <c r="G956" s="28">
        <v>0</v>
      </c>
      <c r="H956" s="28">
        <v>2</v>
      </c>
      <c r="I956" s="28">
        <v>6</v>
      </c>
      <c r="J956" s="40" t="str">
        <f t="shared" si="88"/>
        <v>Weekday</v>
      </c>
      <c r="K956" s="28" t="b">
        <v>0</v>
      </c>
      <c r="L956" s="28">
        <v>1</v>
      </c>
      <c r="M956" s="40" t="str" cm="1">
        <f t="array" ref="M956">_xlfn.IFS(L956=1,"Clear / Partly Cloudy",L956=2,"Mist / Cloudy",L956=3,"Light Snow / Rain",L956=4,"Heavy Precipitation")</f>
        <v>Clear / Partly Cloudy</v>
      </c>
      <c r="N956" s="28">
        <v>0.14000000000000001</v>
      </c>
      <c r="O956" s="28" t="str">
        <f t="shared" si="89"/>
        <v>Cold</v>
      </c>
      <c r="P956" s="28">
        <v>0.1515</v>
      </c>
      <c r="Q956" s="38">
        <f t="shared" si="85"/>
        <v>0.1515</v>
      </c>
      <c r="R956" s="28">
        <v>0.86</v>
      </c>
      <c r="S956" s="28">
        <v>0.1343</v>
      </c>
      <c r="T956" s="40" t="str" cm="1">
        <f t="array" ref="T956">_xlfn.IFS(S956*18.6&lt;2,"Calm",S956*18.6&lt;6,"Light Breeze",S956*18.6&lt;14,"Gale",TRUE,"Extreme Storm")</f>
        <v>Light Breeze</v>
      </c>
      <c r="U956" s="28">
        <v>2</v>
      </c>
      <c r="V956" s="28">
        <v>28</v>
      </c>
      <c r="W956" s="28">
        <v>30</v>
      </c>
      <c r="X956" s="44">
        <f>AVERAGE(INDEX($W:$W,MAX(ROW($W$3),ROW()-23)):INDEX($W:$W,ROW()))</f>
        <v>63.791666666666664</v>
      </c>
      <c r="Y956" s="44">
        <f>_xlfn.STDEV.S(INDEX($W:$W,MAX(ROW($W$3),ROW()-23)):INDEX($W:$W,ROW()))</f>
        <v>55.92773222547163</v>
      </c>
      <c r="Z956" s="44">
        <f t="shared" si="86"/>
        <v>-0.604202339734359</v>
      </c>
      <c r="AA956" s="40" t="b">
        <f t="shared" si="84"/>
        <v>0</v>
      </c>
    </row>
    <row r="957" spans="1:27" x14ac:dyDescent="0.3">
      <c r="A957" s="32">
        <v>955</v>
      </c>
      <c r="B957" s="33">
        <v>40586</v>
      </c>
      <c r="C957" s="40" t="str">
        <f t="shared" si="87"/>
        <v>Saturday</v>
      </c>
      <c r="D957" s="28">
        <v>9</v>
      </c>
      <c r="E957" s="40" t="str" cm="1">
        <f t="array" ref="E957">_xlfn.IFS(D957&gt;=21,"Night",D957&gt;=17,"Evening",D957&gt;=12,"Midday",D957&gt;=6,"Morning", TRUE, "Night")</f>
        <v>Morning</v>
      </c>
      <c r="F957" s="28">
        <v>1</v>
      </c>
      <c r="G957" s="28">
        <v>0</v>
      </c>
      <c r="H957" s="28">
        <v>2</v>
      </c>
      <c r="I957" s="28">
        <v>6</v>
      </c>
      <c r="J957" s="40" t="str">
        <f t="shared" si="88"/>
        <v>Weekday</v>
      </c>
      <c r="K957" s="28" t="b">
        <v>0</v>
      </c>
      <c r="L957" s="28">
        <v>1</v>
      </c>
      <c r="M957" s="40" t="str" cm="1">
        <f t="array" ref="M957">_xlfn.IFS(L957=1,"Clear / Partly Cloudy",L957=2,"Mist / Cloudy",L957=3,"Light Snow / Rain",L957=4,"Heavy Precipitation")</f>
        <v>Clear / Partly Cloudy</v>
      </c>
      <c r="N957" s="28">
        <v>0.16</v>
      </c>
      <c r="O957" s="28" t="str">
        <f t="shared" si="89"/>
        <v>Cold</v>
      </c>
      <c r="P957" s="28">
        <v>0.18179999999999999</v>
      </c>
      <c r="Q957" s="38">
        <f t="shared" si="85"/>
        <v>0.18179999999999999</v>
      </c>
      <c r="R957" s="28">
        <v>0.64</v>
      </c>
      <c r="S957" s="28">
        <v>0.1343</v>
      </c>
      <c r="T957" s="40" t="str" cm="1">
        <f t="array" ref="T957">_xlfn.IFS(S957*18.6&lt;2,"Calm",S957*18.6&lt;6,"Light Breeze",S957*18.6&lt;14,"Gale",TRUE,"Extreme Storm")</f>
        <v>Light Breeze</v>
      </c>
      <c r="U957" s="28">
        <v>5</v>
      </c>
      <c r="V957" s="28">
        <v>38</v>
      </c>
      <c r="W957" s="28">
        <v>43</v>
      </c>
      <c r="X957" s="44">
        <f>AVERAGE(INDEX($W:$W,MAX(ROW($W$3),ROW()-23)):INDEX($W:$W,ROW()))</f>
        <v>59.75</v>
      </c>
      <c r="Y957" s="44">
        <f>_xlfn.STDEV.S(INDEX($W:$W,MAX(ROW($W$3),ROW()-23)):INDEX($W:$W,ROW()))</f>
        <v>53.639091844596358</v>
      </c>
      <c r="Z957" s="44">
        <f t="shared" si="86"/>
        <v>-0.31227225189658775</v>
      </c>
      <c r="AA957" s="40" t="b">
        <f t="shared" si="84"/>
        <v>0</v>
      </c>
    </row>
    <row r="958" spans="1:27" x14ac:dyDescent="0.3">
      <c r="A958" s="32">
        <v>956</v>
      </c>
      <c r="B958" s="33">
        <v>40586</v>
      </c>
      <c r="C958" s="40" t="str">
        <f t="shared" si="87"/>
        <v>Saturday</v>
      </c>
      <c r="D958" s="28">
        <v>10</v>
      </c>
      <c r="E958" s="40" t="str" cm="1">
        <f t="array" ref="E958">_xlfn.IFS(D958&gt;=21,"Night",D958&gt;=17,"Evening",D958&gt;=12,"Midday",D958&gt;=6,"Morning", TRUE, "Night")</f>
        <v>Morning</v>
      </c>
      <c r="F958" s="28">
        <v>1</v>
      </c>
      <c r="G958" s="28">
        <v>0</v>
      </c>
      <c r="H958" s="28">
        <v>2</v>
      </c>
      <c r="I958" s="28">
        <v>6</v>
      </c>
      <c r="J958" s="40" t="str">
        <f t="shared" si="88"/>
        <v>Weekday</v>
      </c>
      <c r="K958" s="28" t="b">
        <v>0</v>
      </c>
      <c r="L958" s="28">
        <v>1</v>
      </c>
      <c r="M958" s="40" t="str" cm="1">
        <f t="array" ref="M958">_xlfn.IFS(L958=1,"Clear / Partly Cloudy",L958=2,"Mist / Cloudy",L958=3,"Light Snow / Rain",L958=4,"Heavy Precipitation")</f>
        <v>Clear / Partly Cloudy</v>
      </c>
      <c r="N958" s="28">
        <v>0.22</v>
      </c>
      <c r="O958" s="28" t="str">
        <f t="shared" si="89"/>
        <v>Mild</v>
      </c>
      <c r="P958" s="28">
        <v>0.21210000000000001</v>
      </c>
      <c r="Q958" s="38">
        <f t="shared" si="85"/>
        <v>0.21210000000000001</v>
      </c>
      <c r="R958" s="28">
        <v>0.41</v>
      </c>
      <c r="S958" s="28">
        <v>0.25369999999999998</v>
      </c>
      <c r="T958" s="40" t="str" cm="1">
        <f t="array" ref="T958">_xlfn.IFS(S958*18.6&lt;2,"Calm",S958*18.6&lt;6,"Light Breeze",S958*18.6&lt;14,"Gale",TRUE,"Extreme Storm")</f>
        <v>Light Breeze</v>
      </c>
      <c r="U958" s="28">
        <v>13</v>
      </c>
      <c r="V958" s="28">
        <v>71</v>
      </c>
      <c r="W958" s="28">
        <v>84</v>
      </c>
      <c r="X958" s="44">
        <f>AVERAGE(INDEX($W:$W,MAX(ROW($W$3),ROW()-23)):INDEX($W:$W,ROW()))</f>
        <v>61.416666666666664</v>
      </c>
      <c r="Y958" s="44">
        <f>_xlfn.STDEV.S(INDEX($W:$W,MAX(ROW($W$3),ROW()-23)):INDEX($W:$W,ROW()))</f>
        <v>53.749755644877659</v>
      </c>
      <c r="Z958" s="44">
        <f t="shared" si="86"/>
        <v>0.42015694885276234</v>
      </c>
      <c r="AA958" s="40" t="b">
        <f t="shared" si="84"/>
        <v>0</v>
      </c>
    </row>
    <row r="959" spans="1:27" x14ac:dyDescent="0.3">
      <c r="A959" s="32">
        <v>957</v>
      </c>
      <c r="B959" s="33">
        <v>40586</v>
      </c>
      <c r="C959" s="40" t="str">
        <f t="shared" si="87"/>
        <v>Saturday</v>
      </c>
      <c r="D959" s="28">
        <v>11</v>
      </c>
      <c r="E959" s="40" t="str" cm="1">
        <f t="array" ref="E959">_xlfn.IFS(D959&gt;=21,"Night",D959&gt;=17,"Evening",D959&gt;=12,"Midday",D959&gt;=6,"Morning", TRUE, "Night")</f>
        <v>Morning</v>
      </c>
      <c r="F959" s="28">
        <v>1</v>
      </c>
      <c r="G959" s="28">
        <v>0</v>
      </c>
      <c r="H959" s="28">
        <v>2</v>
      </c>
      <c r="I959" s="28">
        <v>6</v>
      </c>
      <c r="J959" s="40" t="str">
        <f t="shared" si="88"/>
        <v>Weekday</v>
      </c>
      <c r="K959" s="28" t="b">
        <v>0</v>
      </c>
      <c r="L959" s="28">
        <v>1</v>
      </c>
      <c r="M959" s="40" t="str" cm="1">
        <f t="array" ref="M959">_xlfn.IFS(L959=1,"Clear / Partly Cloudy",L959=2,"Mist / Cloudy",L959=3,"Light Snow / Rain",L959=4,"Heavy Precipitation")</f>
        <v>Clear / Partly Cloudy</v>
      </c>
      <c r="N959" s="28">
        <v>0.3</v>
      </c>
      <c r="O959" s="28" t="str">
        <f t="shared" si="89"/>
        <v>Mild</v>
      </c>
      <c r="P959" s="28">
        <v>0.2727</v>
      </c>
      <c r="Q959" s="38">
        <f t="shared" si="85"/>
        <v>0.2727</v>
      </c>
      <c r="R959" s="28">
        <v>0.28000000000000003</v>
      </c>
      <c r="S959" s="28">
        <v>0.32840000000000003</v>
      </c>
      <c r="T959" s="40" t="str" cm="1">
        <f t="array" ref="T959">_xlfn.IFS(S959*18.6&lt;2,"Calm",S959*18.6&lt;6,"Light Breeze",S959*18.6&lt;14,"Gale",TRUE,"Extreme Storm")</f>
        <v>Gale</v>
      </c>
      <c r="U959" s="28">
        <v>30</v>
      </c>
      <c r="V959" s="28">
        <v>84</v>
      </c>
      <c r="W959" s="28">
        <v>114</v>
      </c>
      <c r="X959" s="44">
        <f>AVERAGE(INDEX($W:$W,MAX(ROW($W$3),ROW()-23)):INDEX($W:$W,ROW()))</f>
        <v>63.5</v>
      </c>
      <c r="Y959" s="44">
        <f>_xlfn.STDEV.S(INDEX($W:$W,MAX(ROW($W$3),ROW()-23)):INDEX($W:$W,ROW()))</f>
        <v>54.812724641352169</v>
      </c>
      <c r="Z959" s="44">
        <f t="shared" si="86"/>
        <v>0.921318915095519</v>
      </c>
      <c r="AA959" s="40" t="b">
        <f t="shared" si="84"/>
        <v>0</v>
      </c>
    </row>
    <row r="960" spans="1:27" x14ac:dyDescent="0.3">
      <c r="A960" s="32">
        <v>958</v>
      </c>
      <c r="B960" s="33">
        <v>40586</v>
      </c>
      <c r="C960" s="40" t="str">
        <f t="shared" si="87"/>
        <v>Saturday</v>
      </c>
      <c r="D960" s="28">
        <v>12</v>
      </c>
      <c r="E960" s="40" t="str" cm="1">
        <f t="array" ref="E960">_xlfn.IFS(D960&gt;=21,"Night",D960&gt;=17,"Evening",D960&gt;=12,"Midday",D960&gt;=6,"Morning", TRUE, "Night")</f>
        <v>Midday</v>
      </c>
      <c r="F960" s="28">
        <v>1</v>
      </c>
      <c r="G960" s="28">
        <v>0</v>
      </c>
      <c r="H960" s="28">
        <v>2</v>
      </c>
      <c r="I960" s="28">
        <v>6</v>
      </c>
      <c r="J960" s="40" t="str">
        <f t="shared" si="88"/>
        <v>Weekday</v>
      </c>
      <c r="K960" s="28" t="b">
        <v>0</v>
      </c>
      <c r="L960" s="28">
        <v>1</v>
      </c>
      <c r="M960" s="40" t="str" cm="1">
        <f t="array" ref="M960">_xlfn.IFS(L960=1,"Clear / Partly Cloudy",L960=2,"Mist / Cloudy",L960=3,"Light Snow / Rain",L960=4,"Heavy Precipitation")</f>
        <v>Clear / Partly Cloudy</v>
      </c>
      <c r="N960" s="28">
        <v>0.3</v>
      </c>
      <c r="O960" s="28" t="str">
        <f t="shared" si="89"/>
        <v>Mild</v>
      </c>
      <c r="P960" s="28">
        <v>0.2727</v>
      </c>
      <c r="Q960" s="38">
        <f t="shared" si="85"/>
        <v>0.2727</v>
      </c>
      <c r="R960" s="28">
        <v>0.39</v>
      </c>
      <c r="S960" s="28">
        <v>0.4627</v>
      </c>
      <c r="T960" s="40" t="str" cm="1">
        <f t="array" ref="T960">_xlfn.IFS(S960*18.6&lt;2,"Calm",S960*18.6&lt;6,"Light Breeze",S960*18.6&lt;14,"Gale",TRUE,"Extreme Storm")</f>
        <v>Gale</v>
      </c>
      <c r="U960" s="28">
        <v>27</v>
      </c>
      <c r="V960" s="28">
        <v>93</v>
      </c>
      <c r="W960" s="28">
        <v>120</v>
      </c>
      <c r="X960" s="44">
        <f>AVERAGE(INDEX($W:$W,MAX(ROW($W$3),ROW()-23)):INDEX($W:$W,ROW()))</f>
        <v>65.541666666666671</v>
      </c>
      <c r="Y960" s="44">
        <f>_xlfn.STDEV.S(INDEX($W:$W,MAX(ROW($W$3),ROW()-23)):INDEX($W:$W,ROW()))</f>
        <v>56.003865679205504</v>
      </c>
      <c r="Z960" s="44">
        <f t="shared" si="86"/>
        <v>0.97240311312213512</v>
      </c>
      <c r="AA960" s="40" t="b">
        <f t="shared" si="84"/>
        <v>0</v>
      </c>
    </row>
    <row r="961" spans="1:27" x14ac:dyDescent="0.3">
      <c r="A961" s="32">
        <v>959</v>
      </c>
      <c r="B961" s="33">
        <v>40586</v>
      </c>
      <c r="C961" s="40" t="str">
        <f t="shared" si="87"/>
        <v>Saturday</v>
      </c>
      <c r="D961" s="28">
        <v>13</v>
      </c>
      <c r="E961" s="40" t="str" cm="1">
        <f t="array" ref="E961">_xlfn.IFS(D961&gt;=21,"Night",D961&gt;=17,"Evening",D961&gt;=12,"Midday",D961&gt;=6,"Morning", TRUE, "Night")</f>
        <v>Midday</v>
      </c>
      <c r="F961" s="28">
        <v>1</v>
      </c>
      <c r="G961" s="28">
        <v>0</v>
      </c>
      <c r="H961" s="28">
        <v>2</v>
      </c>
      <c r="I961" s="28">
        <v>6</v>
      </c>
      <c r="J961" s="40" t="str">
        <f t="shared" si="88"/>
        <v>Weekday</v>
      </c>
      <c r="K961" s="28" t="b">
        <v>0</v>
      </c>
      <c r="L961" s="28">
        <v>1</v>
      </c>
      <c r="M961" s="40" t="str" cm="1">
        <f t="array" ref="M961">_xlfn.IFS(L961=1,"Clear / Partly Cloudy",L961=2,"Mist / Cloudy",L961=3,"Light Snow / Rain",L961=4,"Heavy Precipitation")</f>
        <v>Clear / Partly Cloudy</v>
      </c>
      <c r="N961" s="28">
        <v>0.3</v>
      </c>
      <c r="O961" s="28" t="str">
        <f t="shared" si="89"/>
        <v>Mild</v>
      </c>
      <c r="P961" s="28">
        <v>0.2727</v>
      </c>
      <c r="Q961" s="38">
        <f t="shared" si="85"/>
        <v>0.2727</v>
      </c>
      <c r="R961" s="28">
        <v>0.39</v>
      </c>
      <c r="S961" s="28">
        <v>0.41789999999999999</v>
      </c>
      <c r="T961" s="40" t="str" cm="1">
        <f t="array" ref="T961">_xlfn.IFS(S961*18.6&lt;2,"Calm",S961*18.6&lt;6,"Light Breeze",S961*18.6&lt;14,"Gale",TRUE,"Extreme Storm")</f>
        <v>Gale</v>
      </c>
      <c r="U961" s="28">
        <v>32</v>
      </c>
      <c r="V961" s="28">
        <v>103</v>
      </c>
      <c r="W961" s="28">
        <v>135</v>
      </c>
      <c r="X961" s="44">
        <f>AVERAGE(INDEX($W:$W,MAX(ROW($W$3),ROW()-23)):INDEX($W:$W,ROW()))</f>
        <v>66.583333333333329</v>
      </c>
      <c r="Y961" s="44">
        <f>_xlfn.STDEV.S(INDEX($W:$W,MAX(ROW($W$3),ROW()-23)):INDEX($W:$W,ROW()))</f>
        <v>57.088730835479232</v>
      </c>
      <c r="Z961" s="44">
        <f t="shared" si="86"/>
        <v>1.1984268289977014</v>
      </c>
      <c r="AA961" s="40" t="b">
        <f t="shared" si="84"/>
        <v>0</v>
      </c>
    </row>
    <row r="962" spans="1:27" x14ac:dyDescent="0.3">
      <c r="A962" s="32">
        <v>960</v>
      </c>
      <c r="B962" s="33">
        <v>40586</v>
      </c>
      <c r="C962" s="40" t="str">
        <f t="shared" si="87"/>
        <v>Saturday</v>
      </c>
      <c r="D962" s="28">
        <v>14</v>
      </c>
      <c r="E962" s="40" t="str" cm="1">
        <f t="array" ref="E962">_xlfn.IFS(D962&gt;=21,"Night",D962&gt;=17,"Evening",D962&gt;=12,"Midday",D962&gt;=6,"Morning", TRUE, "Night")</f>
        <v>Midday</v>
      </c>
      <c r="F962" s="28">
        <v>1</v>
      </c>
      <c r="G962" s="28">
        <v>0</v>
      </c>
      <c r="H962" s="28">
        <v>2</v>
      </c>
      <c r="I962" s="28">
        <v>6</v>
      </c>
      <c r="J962" s="40" t="str">
        <f t="shared" si="88"/>
        <v>Weekday</v>
      </c>
      <c r="K962" s="28" t="b">
        <v>0</v>
      </c>
      <c r="L962" s="28">
        <v>1</v>
      </c>
      <c r="M962" s="40" t="str" cm="1">
        <f t="array" ref="M962">_xlfn.IFS(L962=1,"Clear / Partly Cloudy",L962=2,"Mist / Cloudy",L962=3,"Light Snow / Rain",L962=4,"Heavy Precipitation")</f>
        <v>Clear / Partly Cloudy</v>
      </c>
      <c r="N962" s="28">
        <v>0.34</v>
      </c>
      <c r="O962" s="28" t="str">
        <f t="shared" si="89"/>
        <v>Mild</v>
      </c>
      <c r="P962" s="28">
        <v>0.31819999999999998</v>
      </c>
      <c r="Q962" s="38">
        <f t="shared" si="85"/>
        <v>0.31819999999999998</v>
      </c>
      <c r="R962" s="28">
        <v>0.31</v>
      </c>
      <c r="S962" s="28">
        <v>0.28360000000000002</v>
      </c>
      <c r="T962" s="40" t="str" cm="1">
        <f t="array" ref="T962">_xlfn.IFS(S962*18.6&lt;2,"Calm",S962*18.6&lt;6,"Light Breeze",S962*18.6&lt;14,"Gale",TRUE,"Extreme Storm")</f>
        <v>Light Breeze</v>
      </c>
      <c r="U962" s="28">
        <v>30</v>
      </c>
      <c r="V962" s="28">
        <v>90</v>
      </c>
      <c r="W962" s="28">
        <v>120</v>
      </c>
      <c r="X962" s="44">
        <f>AVERAGE(INDEX($W:$W,MAX(ROW($W$3),ROW()-23)):INDEX($W:$W,ROW()))</f>
        <v>68.083333333333329</v>
      </c>
      <c r="Y962" s="44">
        <f>_xlfn.STDEV.S(INDEX($W:$W,MAX(ROW($W$3),ROW()-23)):INDEX($W:$W,ROW()))</f>
        <v>58.031413282258015</v>
      </c>
      <c r="Z962" s="44">
        <f t="shared" si="86"/>
        <v>0.89463040326366117</v>
      </c>
      <c r="AA962" s="40" t="b">
        <f t="shared" si="84"/>
        <v>0</v>
      </c>
    </row>
    <row r="963" spans="1:27" x14ac:dyDescent="0.3">
      <c r="A963" s="32">
        <v>961</v>
      </c>
      <c r="B963" s="33">
        <v>40586</v>
      </c>
      <c r="C963" s="40" t="str">
        <f t="shared" si="87"/>
        <v>Saturday</v>
      </c>
      <c r="D963" s="28">
        <v>15</v>
      </c>
      <c r="E963" s="40" t="str" cm="1">
        <f t="array" ref="E963">_xlfn.IFS(D963&gt;=21,"Night",D963&gt;=17,"Evening",D963&gt;=12,"Midday",D963&gt;=6,"Morning", TRUE, "Night")</f>
        <v>Midday</v>
      </c>
      <c r="F963" s="28">
        <v>1</v>
      </c>
      <c r="G963" s="28">
        <v>0</v>
      </c>
      <c r="H963" s="28">
        <v>2</v>
      </c>
      <c r="I963" s="28">
        <v>6</v>
      </c>
      <c r="J963" s="40" t="str">
        <f t="shared" si="88"/>
        <v>Weekday</v>
      </c>
      <c r="K963" s="28" t="b">
        <v>0</v>
      </c>
      <c r="L963" s="28">
        <v>1</v>
      </c>
      <c r="M963" s="40" t="str" cm="1">
        <f t="array" ref="M963">_xlfn.IFS(L963=1,"Clear / Partly Cloudy",L963=2,"Mist / Cloudy",L963=3,"Light Snow / Rain",L963=4,"Heavy Precipitation")</f>
        <v>Clear / Partly Cloudy</v>
      </c>
      <c r="N963" s="28">
        <v>0.34</v>
      </c>
      <c r="O963" s="28" t="str">
        <f t="shared" si="89"/>
        <v>Mild</v>
      </c>
      <c r="P963" s="28">
        <v>0.30299999999999999</v>
      </c>
      <c r="Q963" s="38">
        <f t="shared" si="85"/>
        <v>0.30299999999999999</v>
      </c>
      <c r="R963" s="28">
        <v>0.28999999999999998</v>
      </c>
      <c r="S963" s="28">
        <v>0.41789999999999999</v>
      </c>
      <c r="T963" s="40" t="str" cm="1">
        <f t="array" ref="T963">_xlfn.IFS(S963*18.6&lt;2,"Calm",S963*18.6&lt;6,"Light Breeze",S963*18.6&lt;14,"Gale",TRUE,"Extreme Storm")</f>
        <v>Gale</v>
      </c>
      <c r="U963" s="28">
        <v>47</v>
      </c>
      <c r="V963" s="28">
        <v>127</v>
      </c>
      <c r="W963" s="28">
        <v>174</v>
      </c>
      <c r="X963" s="44">
        <f>AVERAGE(INDEX($W:$W,MAX(ROW($W$3),ROW()-23)):INDEX($W:$W,ROW()))</f>
        <v>72.25</v>
      </c>
      <c r="Y963" s="44">
        <f>_xlfn.STDEV.S(INDEX($W:$W,MAX(ROW($W$3),ROW()-23)):INDEX($W:$W,ROW()))</f>
        <v>61.933519757601516</v>
      </c>
      <c r="Z963" s="44">
        <f t="shared" si="86"/>
        <v>1.6428906414205782</v>
      </c>
      <c r="AA963" s="40" t="b">
        <f t="shared" ref="AA963:AA1002" si="90">IF(ABS(Z963)&gt;=3,TRUE,FALSE)</f>
        <v>0</v>
      </c>
    </row>
    <row r="964" spans="1:27" x14ac:dyDescent="0.3">
      <c r="A964" s="32">
        <v>962</v>
      </c>
      <c r="B964" s="33">
        <v>40586</v>
      </c>
      <c r="C964" s="40" t="str">
        <f t="shared" si="87"/>
        <v>Saturday</v>
      </c>
      <c r="D964" s="28">
        <v>16</v>
      </c>
      <c r="E964" s="40" t="str" cm="1">
        <f t="array" ref="E964">_xlfn.IFS(D964&gt;=21,"Night",D964&gt;=17,"Evening",D964&gt;=12,"Midday",D964&gt;=6,"Morning", TRUE, "Night")</f>
        <v>Midday</v>
      </c>
      <c r="F964" s="28">
        <v>1</v>
      </c>
      <c r="G964" s="28">
        <v>0</v>
      </c>
      <c r="H964" s="28">
        <v>2</v>
      </c>
      <c r="I964" s="28">
        <v>6</v>
      </c>
      <c r="J964" s="40" t="str">
        <f t="shared" si="88"/>
        <v>Weekday</v>
      </c>
      <c r="K964" s="28" t="b">
        <v>0</v>
      </c>
      <c r="L964" s="28">
        <v>1</v>
      </c>
      <c r="M964" s="40" t="str" cm="1">
        <f t="array" ref="M964">_xlfn.IFS(L964=1,"Clear / Partly Cloudy",L964=2,"Mist / Cloudy",L964=3,"Light Snow / Rain",L964=4,"Heavy Precipitation")</f>
        <v>Clear / Partly Cloudy</v>
      </c>
      <c r="N964" s="28">
        <v>0.34</v>
      </c>
      <c r="O964" s="28" t="str">
        <f t="shared" si="89"/>
        <v>Mild</v>
      </c>
      <c r="P964" s="28">
        <v>0.30299999999999999</v>
      </c>
      <c r="Q964" s="38">
        <f t="shared" ref="Q964:Q1002" si="91">IF(P964="", AVERAGE($P$3:$P$1002), P964)</f>
        <v>0.30299999999999999</v>
      </c>
      <c r="R964" s="28">
        <v>0.28999999999999998</v>
      </c>
      <c r="S964" s="28">
        <v>0.41789999999999999</v>
      </c>
      <c r="T964" s="40" t="str" cm="1">
        <f t="array" ref="T964">_xlfn.IFS(S964*18.6&lt;2,"Calm",S964*18.6&lt;6,"Light Breeze",S964*18.6&lt;14,"Gale",TRUE,"Extreme Storm")</f>
        <v>Gale</v>
      </c>
      <c r="U964" s="28">
        <v>42</v>
      </c>
      <c r="V964" s="28">
        <v>103</v>
      </c>
      <c r="W964" s="28">
        <v>145</v>
      </c>
      <c r="X964" s="44">
        <f>AVERAGE(INDEX($W:$W,MAX(ROW($W$3),ROW()-23)):INDEX($W:$W,ROW()))</f>
        <v>73.083333333333329</v>
      </c>
      <c r="Y964" s="44">
        <f>_xlfn.STDEV.S(INDEX($W:$W,MAX(ROW($W$3),ROW()-23)):INDEX($W:$W,ROW()))</f>
        <v>62.802600795402306</v>
      </c>
      <c r="Z964" s="44">
        <f t="shared" ref="Z964:Z1002" si="92">IFERROR((W964-X964)/Y964,0)</f>
        <v>1.1451224273490852</v>
      </c>
      <c r="AA964" s="40" t="b">
        <f t="shared" si="90"/>
        <v>0</v>
      </c>
    </row>
    <row r="965" spans="1:27" x14ac:dyDescent="0.3">
      <c r="A965" s="32">
        <v>963</v>
      </c>
      <c r="B965" s="33">
        <v>40586</v>
      </c>
      <c r="C965" s="40" t="str">
        <f t="shared" ref="C965:C1002" si="93">TEXT(B965,"dddd")</f>
        <v>Saturday</v>
      </c>
      <c r="D965" s="28">
        <v>17</v>
      </c>
      <c r="E965" s="40" t="str" cm="1">
        <f t="array" ref="E965">_xlfn.IFS(D965&gt;=21,"Night",D965&gt;=17,"Evening",D965&gt;=12,"Midday",D965&gt;=6,"Morning", TRUE, "Night")</f>
        <v>Evening</v>
      </c>
      <c r="F965" s="28">
        <v>1</v>
      </c>
      <c r="G965" s="28">
        <v>0</v>
      </c>
      <c r="H965" s="28">
        <v>2</v>
      </c>
      <c r="I965" s="28">
        <v>6</v>
      </c>
      <c r="J965" s="40" t="str">
        <f t="shared" ref="J965:J1002" si="94">IF(OR(I965="Saturday", I965="Sunday"), "Weekend", "Weekday")</f>
        <v>Weekday</v>
      </c>
      <c r="K965" s="28" t="b">
        <v>0</v>
      </c>
      <c r="L965" s="28">
        <v>1</v>
      </c>
      <c r="M965" s="40" t="str" cm="1">
        <f t="array" ref="M965">_xlfn.IFS(L965=1,"Clear / Partly Cloudy",L965=2,"Mist / Cloudy",L965=3,"Light Snow / Rain",L965=4,"Heavy Precipitation")</f>
        <v>Clear / Partly Cloudy</v>
      </c>
      <c r="N965" s="28">
        <v>0.32</v>
      </c>
      <c r="O965" s="28" t="str">
        <f t="shared" ref="O965:O1002" si="95">IF(N965&lt;0.2,"Cold",IF(N965&lt;0.6,"Mild","Hot"))</f>
        <v>Mild</v>
      </c>
      <c r="P965" s="28">
        <v>0.28789999999999999</v>
      </c>
      <c r="Q965" s="38">
        <f t="shared" si="91"/>
        <v>0.28789999999999999</v>
      </c>
      <c r="R965" s="28">
        <v>0.31</v>
      </c>
      <c r="S965" s="28">
        <v>0.52239999999999998</v>
      </c>
      <c r="T965" s="40" t="str" cm="1">
        <f t="array" ref="T965">_xlfn.IFS(S965*18.6&lt;2,"Calm",S965*18.6&lt;6,"Light Breeze",S965*18.6&lt;14,"Gale",TRUE,"Extreme Storm")</f>
        <v>Gale</v>
      </c>
      <c r="U965" s="28">
        <v>24</v>
      </c>
      <c r="V965" s="28">
        <v>113</v>
      </c>
      <c r="W965" s="28">
        <v>137</v>
      </c>
      <c r="X965" s="44">
        <f>AVERAGE(INDEX($W:$W,MAX(ROW($W$3),ROW()-23)):INDEX($W:$W,ROW()))</f>
        <v>70</v>
      </c>
      <c r="Y965" s="44">
        <f>_xlfn.STDEV.S(INDEX($W:$W,MAX(ROW($W$3),ROW()-23)):INDEX($W:$W,ROW()))</f>
        <v>57.313781634240392</v>
      </c>
      <c r="Z965" s="44">
        <f t="shared" si="92"/>
        <v>1.1690033023396396</v>
      </c>
      <c r="AA965" s="40" t="b">
        <f t="shared" si="90"/>
        <v>0</v>
      </c>
    </row>
    <row r="966" spans="1:27" x14ac:dyDescent="0.3">
      <c r="A966" s="32">
        <v>964</v>
      </c>
      <c r="B966" s="33">
        <v>40586</v>
      </c>
      <c r="C966" s="40" t="str">
        <f t="shared" si="93"/>
        <v>Saturday</v>
      </c>
      <c r="D966" s="28">
        <v>18</v>
      </c>
      <c r="E966" s="40" t="str" cm="1">
        <f t="array" ref="E966">_xlfn.IFS(D966&gt;=21,"Night",D966&gt;=17,"Evening",D966&gt;=12,"Midday",D966&gt;=6,"Morning", TRUE, "Night")</f>
        <v>Evening</v>
      </c>
      <c r="F966" s="28">
        <v>1</v>
      </c>
      <c r="G966" s="28">
        <v>0</v>
      </c>
      <c r="H966" s="28">
        <v>2</v>
      </c>
      <c r="I966" s="28">
        <v>6</v>
      </c>
      <c r="J966" s="40" t="str">
        <f t="shared" si="94"/>
        <v>Weekday</v>
      </c>
      <c r="K966" s="28" t="b">
        <v>0</v>
      </c>
      <c r="L966" s="28">
        <v>1</v>
      </c>
      <c r="M966" s="40" t="str" cm="1">
        <f t="array" ref="M966">_xlfn.IFS(L966=1,"Clear / Partly Cloudy",L966=2,"Mist / Cloudy",L966=3,"Light Snow / Rain",L966=4,"Heavy Precipitation")</f>
        <v>Clear / Partly Cloudy</v>
      </c>
      <c r="N966" s="28">
        <v>0.28000000000000003</v>
      </c>
      <c r="O966" s="28" t="str">
        <f t="shared" si="95"/>
        <v>Mild</v>
      </c>
      <c r="P966" s="28">
        <v>0.2576</v>
      </c>
      <c r="Q966" s="38">
        <f t="shared" si="91"/>
        <v>0.2576</v>
      </c>
      <c r="R966" s="28">
        <v>0.38</v>
      </c>
      <c r="S966" s="28">
        <v>0.32840000000000003</v>
      </c>
      <c r="T966" s="40" t="str" cm="1">
        <f t="array" ref="T966">_xlfn.IFS(S966*18.6&lt;2,"Calm",S966*18.6&lt;6,"Light Breeze",S966*18.6&lt;14,"Gale",TRUE,"Extreme Storm")</f>
        <v>Gale</v>
      </c>
      <c r="U966" s="28">
        <v>4</v>
      </c>
      <c r="V966" s="28">
        <v>60</v>
      </c>
      <c r="W966" s="28">
        <v>64</v>
      </c>
      <c r="X966" s="44">
        <f>AVERAGE(INDEX($W:$W,MAX(ROW($W$3),ROW()-23)):INDEX($W:$W,ROW()))</f>
        <v>65.416666666666671</v>
      </c>
      <c r="Y966" s="44">
        <f>_xlfn.STDEV.S(INDEX($W:$W,MAX(ROW($W$3),ROW()-23)):INDEX($W:$W,ROW()))</f>
        <v>52.860700176864903</v>
      </c>
      <c r="Z966" s="44">
        <f t="shared" si="92"/>
        <v>-2.6799998144683902E-2</v>
      </c>
      <c r="AA966" s="40" t="b">
        <f t="shared" si="90"/>
        <v>0</v>
      </c>
    </row>
    <row r="967" spans="1:27" x14ac:dyDescent="0.3">
      <c r="A967" s="32">
        <v>965</v>
      </c>
      <c r="B967" s="33">
        <v>40586</v>
      </c>
      <c r="C967" s="40" t="str">
        <f t="shared" si="93"/>
        <v>Saturday</v>
      </c>
      <c r="D967" s="28">
        <v>19</v>
      </c>
      <c r="E967" s="40" t="str" cm="1">
        <f t="array" ref="E967">_xlfn.IFS(D967&gt;=21,"Night",D967&gt;=17,"Evening",D967&gt;=12,"Midday",D967&gt;=6,"Morning", TRUE, "Night")</f>
        <v>Evening</v>
      </c>
      <c r="F967" s="28">
        <v>1</v>
      </c>
      <c r="G967" s="28">
        <v>0</v>
      </c>
      <c r="H967" s="28">
        <v>2</v>
      </c>
      <c r="I967" s="28">
        <v>6</v>
      </c>
      <c r="J967" s="40" t="str">
        <f t="shared" si="94"/>
        <v>Weekday</v>
      </c>
      <c r="K967" s="28" t="b">
        <v>0</v>
      </c>
      <c r="L967" s="28">
        <v>1</v>
      </c>
      <c r="M967" s="40" t="str" cm="1">
        <f t="array" ref="M967">_xlfn.IFS(L967=1,"Clear / Partly Cloudy",L967=2,"Mist / Cloudy",L967=3,"Light Snow / Rain",L967=4,"Heavy Precipitation")</f>
        <v>Clear / Partly Cloudy</v>
      </c>
      <c r="N967" s="28">
        <v>0.28000000000000003</v>
      </c>
      <c r="O967" s="28" t="str">
        <f t="shared" si="95"/>
        <v>Mild</v>
      </c>
      <c r="P967" s="28">
        <v>0.2727</v>
      </c>
      <c r="Q967" s="38">
        <f t="shared" si="91"/>
        <v>0.2727</v>
      </c>
      <c r="R967" s="28">
        <v>0.38</v>
      </c>
      <c r="S967" s="28">
        <v>0.16420000000000001</v>
      </c>
      <c r="T967" s="40" t="str" cm="1">
        <f t="array" ref="T967">_xlfn.IFS(S967*18.6&lt;2,"Calm",S967*18.6&lt;6,"Light Breeze",S967*18.6&lt;14,"Gale",TRUE,"Extreme Storm")</f>
        <v>Light Breeze</v>
      </c>
      <c r="U967" s="28">
        <v>2</v>
      </c>
      <c r="V967" s="28">
        <v>39</v>
      </c>
      <c r="W967" s="28">
        <v>41</v>
      </c>
      <c r="X967" s="44">
        <f>AVERAGE(INDEX($W:$W,MAX(ROW($W$3),ROW()-23)):INDEX($W:$W,ROW()))</f>
        <v>62.916666666666664</v>
      </c>
      <c r="Y967" s="44">
        <f>_xlfn.STDEV.S(INDEX($W:$W,MAX(ROW($W$3),ROW()-23)):INDEX($W:$W,ROW()))</f>
        <v>52.522389980610761</v>
      </c>
      <c r="Z967" s="44">
        <f t="shared" si="92"/>
        <v>-0.41728235662462143</v>
      </c>
      <c r="AA967" s="40" t="b">
        <f t="shared" si="90"/>
        <v>0</v>
      </c>
    </row>
    <row r="968" spans="1:27" x14ac:dyDescent="0.3">
      <c r="A968" s="32">
        <v>966</v>
      </c>
      <c r="B968" s="33">
        <v>40586</v>
      </c>
      <c r="C968" s="40" t="str">
        <f t="shared" si="93"/>
        <v>Saturday</v>
      </c>
      <c r="D968" s="28">
        <v>20</v>
      </c>
      <c r="E968" s="40" t="str" cm="1">
        <f t="array" ref="E968">_xlfn.IFS(D968&gt;=21,"Night",D968&gt;=17,"Evening",D968&gt;=12,"Midday",D968&gt;=6,"Morning", TRUE, "Night")</f>
        <v>Evening</v>
      </c>
      <c r="F968" s="28">
        <v>1</v>
      </c>
      <c r="G968" s="28">
        <v>0</v>
      </c>
      <c r="H968" s="28">
        <v>2</v>
      </c>
      <c r="I968" s="28">
        <v>6</v>
      </c>
      <c r="J968" s="40" t="str">
        <f t="shared" si="94"/>
        <v>Weekday</v>
      </c>
      <c r="K968" s="28" t="b">
        <v>0</v>
      </c>
      <c r="L968" s="28">
        <v>1</v>
      </c>
      <c r="M968" s="40" t="str" cm="1">
        <f t="array" ref="M968">_xlfn.IFS(L968=1,"Clear / Partly Cloudy",L968=2,"Mist / Cloudy",L968=3,"Light Snow / Rain",L968=4,"Heavy Precipitation")</f>
        <v>Clear / Partly Cloudy</v>
      </c>
      <c r="N968" s="28">
        <v>0.26</v>
      </c>
      <c r="O968" s="28" t="str">
        <f t="shared" si="95"/>
        <v>Mild</v>
      </c>
      <c r="P968" s="28">
        <v>0.2576</v>
      </c>
      <c r="Q968" s="38">
        <f t="shared" si="91"/>
        <v>0.2576</v>
      </c>
      <c r="R968" s="28">
        <v>0.41</v>
      </c>
      <c r="S968" s="28">
        <v>0.22389999999999999</v>
      </c>
      <c r="T968" s="40" t="str" cm="1">
        <f t="array" ref="T968">_xlfn.IFS(S968*18.6&lt;2,"Calm",S968*18.6&lt;6,"Light Breeze",S968*18.6&lt;14,"Gale",TRUE,"Extreme Storm")</f>
        <v>Light Breeze</v>
      </c>
      <c r="U968" s="28">
        <v>1</v>
      </c>
      <c r="V968" s="28">
        <v>39</v>
      </c>
      <c r="W968" s="28">
        <v>40</v>
      </c>
      <c r="X968" s="44">
        <f>AVERAGE(INDEX($W:$W,MAX(ROW($W$3),ROW()-23)):INDEX($W:$W,ROW()))</f>
        <v>61.958333333333336</v>
      </c>
      <c r="Y968" s="44">
        <f>_xlfn.STDEV.S(INDEX($W:$W,MAX(ROW($W$3),ROW()-23)):INDEX($W:$W,ROW()))</f>
        <v>52.73022330007111</v>
      </c>
      <c r="Z968" s="44">
        <f t="shared" si="92"/>
        <v>-0.41642784648142622</v>
      </c>
      <c r="AA968" s="40" t="b">
        <f t="shared" si="90"/>
        <v>0</v>
      </c>
    </row>
    <row r="969" spans="1:27" x14ac:dyDescent="0.3">
      <c r="A969" s="32">
        <v>967</v>
      </c>
      <c r="B969" s="33">
        <v>40586</v>
      </c>
      <c r="C969" s="40" t="str">
        <f t="shared" si="93"/>
        <v>Saturday</v>
      </c>
      <c r="D969" s="28">
        <v>21</v>
      </c>
      <c r="E969" s="40" t="str" cm="1">
        <f t="array" ref="E969">_xlfn.IFS(D969&gt;=21,"Night",D969&gt;=17,"Evening",D969&gt;=12,"Midday",D969&gt;=6,"Morning", TRUE, "Night")</f>
        <v>Night</v>
      </c>
      <c r="F969" s="28">
        <v>1</v>
      </c>
      <c r="G969" s="28">
        <v>0</v>
      </c>
      <c r="H969" s="28">
        <v>2</v>
      </c>
      <c r="I969" s="28">
        <v>6</v>
      </c>
      <c r="J969" s="40" t="str">
        <f t="shared" si="94"/>
        <v>Weekday</v>
      </c>
      <c r="K969" s="28" t="b">
        <v>0</v>
      </c>
      <c r="L969" s="28">
        <v>1</v>
      </c>
      <c r="M969" s="40" t="str" cm="1">
        <f t="array" ref="M969">_xlfn.IFS(L969=1,"Clear / Partly Cloudy",L969=2,"Mist / Cloudy",L969=3,"Light Snow / Rain",L969=4,"Heavy Precipitation")</f>
        <v>Clear / Partly Cloudy</v>
      </c>
      <c r="N969" s="28">
        <v>0.26</v>
      </c>
      <c r="O969" s="28" t="str">
        <f t="shared" si="95"/>
        <v>Mild</v>
      </c>
      <c r="P969" s="28">
        <v>0.30299999999999999</v>
      </c>
      <c r="Q969" s="38">
        <f t="shared" si="91"/>
        <v>0.30299999999999999</v>
      </c>
      <c r="R969" s="28">
        <v>0.41</v>
      </c>
      <c r="S969" s="28">
        <v>0</v>
      </c>
      <c r="T969" s="40" t="str" cm="1">
        <f t="array" ref="T969">_xlfn.IFS(S969*18.6&lt;2,"Calm",S969*18.6&lt;6,"Light Breeze",S969*18.6&lt;14,"Gale",TRUE,"Extreme Storm")</f>
        <v>Calm</v>
      </c>
      <c r="U969" s="28">
        <v>9</v>
      </c>
      <c r="V969" s="28">
        <v>42</v>
      </c>
      <c r="W969" s="28">
        <v>51</v>
      </c>
      <c r="X969" s="44">
        <f>AVERAGE(INDEX($W:$W,MAX(ROW($W$3),ROW()-23)):INDEX($W:$W,ROW()))</f>
        <v>62.125</v>
      </c>
      <c r="Y969" s="44">
        <f>_xlfn.STDEV.S(INDEX($W:$W,MAX(ROW($W$3),ROW()-23)):INDEX($W:$W,ROW()))</f>
        <v>52.687192157025265</v>
      </c>
      <c r="Z969" s="44">
        <f t="shared" si="92"/>
        <v>-0.211151886151834</v>
      </c>
      <c r="AA969" s="40" t="b">
        <f t="shared" si="90"/>
        <v>0</v>
      </c>
    </row>
    <row r="970" spans="1:27" x14ac:dyDescent="0.3">
      <c r="A970" s="32">
        <v>968</v>
      </c>
      <c r="B970" s="33">
        <v>40586</v>
      </c>
      <c r="C970" s="40" t="str">
        <f t="shared" si="93"/>
        <v>Saturday</v>
      </c>
      <c r="D970" s="28">
        <v>22</v>
      </c>
      <c r="E970" s="40" t="str" cm="1">
        <f t="array" ref="E970">_xlfn.IFS(D970&gt;=21,"Night",D970&gt;=17,"Evening",D970&gt;=12,"Midday",D970&gt;=6,"Morning", TRUE, "Night")</f>
        <v>Night</v>
      </c>
      <c r="F970" s="28">
        <v>1</v>
      </c>
      <c r="G970" s="28">
        <v>0</v>
      </c>
      <c r="H970" s="28">
        <v>2</v>
      </c>
      <c r="I970" s="28">
        <v>6</v>
      </c>
      <c r="J970" s="40" t="str">
        <f t="shared" si="94"/>
        <v>Weekday</v>
      </c>
      <c r="K970" s="28" t="b">
        <v>0</v>
      </c>
      <c r="L970" s="28">
        <v>1</v>
      </c>
      <c r="M970" s="40" t="str" cm="1">
        <f t="array" ref="M970">_xlfn.IFS(L970=1,"Clear / Partly Cloudy",L970=2,"Mist / Cloudy",L970=3,"Light Snow / Rain",L970=4,"Heavy Precipitation")</f>
        <v>Clear / Partly Cloudy</v>
      </c>
      <c r="N970" s="28">
        <v>0.24</v>
      </c>
      <c r="O970" s="28" t="str">
        <f t="shared" si="95"/>
        <v>Mild</v>
      </c>
      <c r="P970" s="28">
        <v>0.2576</v>
      </c>
      <c r="Q970" s="38">
        <f t="shared" si="91"/>
        <v>0.2576</v>
      </c>
      <c r="R970" s="28">
        <v>0.44</v>
      </c>
      <c r="S970" s="28">
        <v>8.9599999999999999E-2</v>
      </c>
      <c r="T970" s="40" t="str" cm="1">
        <f t="array" ref="T970">_xlfn.IFS(S970*18.6&lt;2,"Calm",S970*18.6&lt;6,"Light Breeze",S970*18.6&lt;14,"Gale",TRUE,"Extreme Storm")</f>
        <v>Calm</v>
      </c>
      <c r="U970" s="28">
        <v>6</v>
      </c>
      <c r="V970" s="28">
        <v>39</v>
      </c>
      <c r="W970" s="28">
        <v>45</v>
      </c>
      <c r="X970" s="44">
        <f>AVERAGE(INDEX($W:$W,MAX(ROW($W$3),ROW()-23)):INDEX($W:$W,ROW()))</f>
        <v>62.208333333333336</v>
      </c>
      <c r="Y970" s="44">
        <f>_xlfn.STDEV.S(INDEX($W:$W,MAX(ROW($W$3),ROW()-23)):INDEX($W:$W,ROW()))</f>
        <v>52.657200809589654</v>
      </c>
      <c r="Z970" s="44">
        <f t="shared" si="92"/>
        <v>-0.32679924243522351</v>
      </c>
      <c r="AA970" s="40" t="b">
        <f t="shared" si="90"/>
        <v>0</v>
      </c>
    </row>
    <row r="971" spans="1:27" x14ac:dyDescent="0.3">
      <c r="A971" s="32">
        <v>969</v>
      </c>
      <c r="B971" s="33">
        <v>40586</v>
      </c>
      <c r="C971" s="40" t="str">
        <f t="shared" si="93"/>
        <v>Saturday</v>
      </c>
      <c r="D971" s="28">
        <v>23</v>
      </c>
      <c r="E971" s="40" t="str" cm="1">
        <f t="array" ref="E971">_xlfn.IFS(D971&gt;=21,"Night",D971&gt;=17,"Evening",D971&gt;=12,"Midday",D971&gt;=6,"Morning", TRUE, "Night")</f>
        <v>Night</v>
      </c>
      <c r="F971" s="28">
        <v>1</v>
      </c>
      <c r="G971" s="28">
        <v>0</v>
      </c>
      <c r="H971" s="28">
        <v>2</v>
      </c>
      <c r="I971" s="28">
        <v>6</v>
      </c>
      <c r="J971" s="40" t="str">
        <f t="shared" si="94"/>
        <v>Weekday</v>
      </c>
      <c r="K971" s="28" t="b">
        <v>0</v>
      </c>
      <c r="L971" s="28">
        <v>1</v>
      </c>
      <c r="M971" s="40" t="str" cm="1">
        <f t="array" ref="M971">_xlfn.IFS(L971=1,"Clear / Partly Cloudy",L971=2,"Mist / Cloudy",L971=3,"Light Snow / Rain",L971=4,"Heavy Precipitation")</f>
        <v>Clear / Partly Cloudy</v>
      </c>
      <c r="N971" s="28">
        <v>0.22</v>
      </c>
      <c r="O971" s="28" t="str">
        <f t="shared" si="95"/>
        <v>Mild</v>
      </c>
      <c r="P971" s="28">
        <v>0.2273</v>
      </c>
      <c r="Q971" s="38">
        <f t="shared" si="91"/>
        <v>0.2273</v>
      </c>
      <c r="R971" s="28">
        <v>0.51</v>
      </c>
      <c r="S971" s="28">
        <v>0.1343</v>
      </c>
      <c r="T971" s="40" t="str" cm="1">
        <f t="array" ref="T971">_xlfn.IFS(S971*18.6&lt;2,"Calm",S971*18.6&lt;6,"Light Breeze",S971*18.6&lt;14,"Gale",TRUE,"Extreme Storm")</f>
        <v>Light Breeze</v>
      </c>
      <c r="U971" s="28">
        <v>1</v>
      </c>
      <c r="V971" s="28">
        <v>31</v>
      </c>
      <c r="W971" s="28">
        <v>32</v>
      </c>
      <c r="X971" s="44">
        <f>AVERAGE(INDEX($W:$W,MAX(ROW($W$3),ROW()-23)):INDEX($W:$W,ROW()))</f>
        <v>61.333333333333336</v>
      </c>
      <c r="Y971" s="44">
        <f>_xlfn.STDEV.S(INDEX($W:$W,MAX(ROW($W$3),ROW()-23)):INDEX($W:$W,ROW()))</f>
        <v>52.990291700393136</v>
      </c>
      <c r="Z971" s="44">
        <f t="shared" si="92"/>
        <v>-0.55356051820178431</v>
      </c>
      <c r="AA971" s="40" t="b">
        <f t="shared" si="90"/>
        <v>0</v>
      </c>
    </row>
    <row r="972" spans="1:27" x14ac:dyDescent="0.3">
      <c r="A972" s="32">
        <v>970</v>
      </c>
      <c r="B972" s="33">
        <v>40587</v>
      </c>
      <c r="C972" s="40" t="str">
        <f t="shared" si="93"/>
        <v>Sunday</v>
      </c>
      <c r="D972" s="28">
        <v>0</v>
      </c>
      <c r="E972" s="40" t="str" cm="1">
        <f t="array" ref="E972">_xlfn.IFS(D972&gt;=21,"Night",D972&gt;=17,"Evening",D972&gt;=12,"Midday",D972&gt;=6,"Morning", TRUE, "Night")</f>
        <v>Night</v>
      </c>
      <c r="F972" s="28">
        <v>1</v>
      </c>
      <c r="G972" s="28">
        <v>0</v>
      </c>
      <c r="H972" s="28">
        <v>2</v>
      </c>
      <c r="I972" s="28">
        <v>0</v>
      </c>
      <c r="J972" s="40" t="str">
        <f t="shared" si="94"/>
        <v>Weekday</v>
      </c>
      <c r="K972" s="28" t="b">
        <v>0</v>
      </c>
      <c r="L972" s="28">
        <v>1</v>
      </c>
      <c r="M972" s="40" t="str" cm="1">
        <f t="array" ref="M972">_xlfn.IFS(L972=1,"Clear / Partly Cloudy",L972=2,"Mist / Cloudy",L972=3,"Light Snow / Rain",L972=4,"Heavy Precipitation")</f>
        <v>Clear / Partly Cloudy</v>
      </c>
      <c r="N972" s="28">
        <v>0.2</v>
      </c>
      <c r="O972" s="28" t="str">
        <f t="shared" si="95"/>
        <v>Mild</v>
      </c>
      <c r="P972" s="28">
        <v>0.2273</v>
      </c>
      <c r="Q972" s="38">
        <f t="shared" si="91"/>
        <v>0.2273</v>
      </c>
      <c r="R972" s="28">
        <v>0.64</v>
      </c>
      <c r="S972" s="28">
        <v>0.1045</v>
      </c>
      <c r="T972" s="40" t="str" cm="1">
        <f t="array" ref="T972">_xlfn.IFS(S972*18.6&lt;2,"Calm",S972*18.6&lt;6,"Light Breeze",S972*18.6&lt;14,"Gale",TRUE,"Extreme Storm")</f>
        <v>Calm</v>
      </c>
      <c r="U972" s="28">
        <v>5</v>
      </c>
      <c r="V972" s="28">
        <v>34</v>
      </c>
      <c r="W972" s="28">
        <v>39</v>
      </c>
      <c r="X972" s="44">
        <f>AVERAGE(INDEX($W:$W,MAX(ROW($W$3),ROW()-23)):INDEX($W:$W,ROW()))</f>
        <v>61.708333333333336</v>
      </c>
      <c r="Y972" s="44">
        <f>_xlfn.STDEV.S(INDEX($W:$W,MAX(ROW($W$3),ROW()-23)):INDEX($W:$W,ROW()))</f>
        <v>52.790380519203673</v>
      </c>
      <c r="Z972" s="44">
        <f t="shared" si="92"/>
        <v>-0.43016044040585527</v>
      </c>
      <c r="AA972" s="40" t="b">
        <f t="shared" si="90"/>
        <v>0</v>
      </c>
    </row>
    <row r="973" spans="1:27" x14ac:dyDescent="0.3">
      <c r="A973" s="32">
        <v>971</v>
      </c>
      <c r="B973" s="33">
        <v>40587</v>
      </c>
      <c r="C973" s="40" t="str">
        <f t="shared" si="93"/>
        <v>Sunday</v>
      </c>
      <c r="D973" s="28">
        <v>1</v>
      </c>
      <c r="E973" s="40" t="str" cm="1">
        <f t="array" ref="E973">_xlfn.IFS(D973&gt;=21,"Night",D973&gt;=17,"Evening",D973&gt;=12,"Midday",D973&gt;=6,"Morning", TRUE, "Night")</f>
        <v>Night</v>
      </c>
      <c r="F973" s="28">
        <v>1</v>
      </c>
      <c r="G973" s="28">
        <v>0</v>
      </c>
      <c r="H973" s="28">
        <v>2</v>
      </c>
      <c r="I973" s="28">
        <v>0</v>
      </c>
      <c r="J973" s="40" t="str">
        <f t="shared" si="94"/>
        <v>Weekday</v>
      </c>
      <c r="K973" s="28" t="b">
        <v>0</v>
      </c>
      <c r="L973" s="28">
        <v>1</v>
      </c>
      <c r="M973" s="40" t="str" cm="1">
        <f t="array" ref="M973">_xlfn.IFS(L973=1,"Clear / Partly Cloudy",L973=2,"Mist / Cloudy",L973=3,"Light Snow / Rain",L973=4,"Heavy Precipitation")</f>
        <v>Clear / Partly Cloudy</v>
      </c>
      <c r="N973" s="28">
        <v>0.2</v>
      </c>
      <c r="O973" s="28" t="str">
        <f t="shared" si="95"/>
        <v>Mild</v>
      </c>
      <c r="P973" s="28">
        <v>0.2273</v>
      </c>
      <c r="Q973" s="38">
        <f t="shared" si="91"/>
        <v>0.2273</v>
      </c>
      <c r="R973" s="28">
        <v>0.59</v>
      </c>
      <c r="S973" s="28">
        <v>8.9599999999999999E-2</v>
      </c>
      <c r="T973" s="40" t="str" cm="1">
        <f t="array" ref="T973">_xlfn.IFS(S973*18.6&lt;2,"Calm",S973*18.6&lt;6,"Light Breeze",S973*18.6&lt;14,"Gale",TRUE,"Extreme Storm")</f>
        <v>Calm</v>
      </c>
      <c r="U973" s="28">
        <v>1</v>
      </c>
      <c r="V973" s="28">
        <v>23</v>
      </c>
      <c r="W973" s="28">
        <v>24</v>
      </c>
      <c r="X973" s="44">
        <f>AVERAGE(INDEX($W:$W,MAX(ROW($W$3),ROW()-23)):INDEX($W:$W,ROW()))</f>
        <v>61.708333333333336</v>
      </c>
      <c r="Y973" s="44">
        <f>_xlfn.STDEV.S(INDEX($W:$W,MAX(ROW($W$3),ROW()-23)):INDEX($W:$W,ROW()))</f>
        <v>52.790380519203673</v>
      </c>
      <c r="Z973" s="44">
        <f t="shared" si="92"/>
        <v>-0.71430311663724588</v>
      </c>
      <c r="AA973" s="40" t="b">
        <f t="shared" si="90"/>
        <v>0</v>
      </c>
    </row>
    <row r="974" spans="1:27" x14ac:dyDescent="0.3">
      <c r="A974" s="32">
        <v>972</v>
      </c>
      <c r="B974" s="33">
        <v>40587</v>
      </c>
      <c r="C974" s="40" t="str">
        <f t="shared" si="93"/>
        <v>Sunday</v>
      </c>
      <c r="D974" s="28">
        <v>2</v>
      </c>
      <c r="E974" s="40" t="str" cm="1">
        <f t="array" ref="E974">_xlfn.IFS(D974&gt;=21,"Night",D974&gt;=17,"Evening",D974&gt;=12,"Midday",D974&gt;=6,"Morning", TRUE, "Night")</f>
        <v>Night</v>
      </c>
      <c r="F974" s="28">
        <v>1</v>
      </c>
      <c r="G974" s="28">
        <v>0</v>
      </c>
      <c r="H974" s="28">
        <v>2</v>
      </c>
      <c r="I974" s="28">
        <v>0</v>
      </c>
      <c r="J974" s="40" t="str">
        <f t="shared" si="94"/>
        <v>Weekday</v>
      </c>
      <c r="K974" s="28" t="b">
        <v>0</v>
      </c>
      <c r="L974" s="28">
        <v>2</v>
      </c>
      <c r="M974" s="40" t="str" cm="1">
        <f t="array" ref="M974">_xlfn.IFS(L974=1,"Clear / Partly Cloudy",L974=2,"Mist / Cloudy",L974=3,"Light Snow / Rain",L974=4,"Heavy Precipitation")</f>
        <v>Mist / Cloudy</v>
      </c>
      <c r="N974" s="28">
        <v>0.2</v>
      </c>
      <c r="O974" s="28" t="str">
        <f t="shared" si="95"/>
        <v>Mild</v>
      </c>
      <c r="P974" s="28">
        <v>0.2273</v>
      </c>
      <c r="Q974" s="38">
        <f t="shared" si="91"/>
        <v>0.2273</v>
      </c>
      <c r="R974" s="28">
        <v>0.75</v>
      </c>
      <c r="S974" s="28">
        <v>8.9599999999999999E-2</v>
      </c>
      <c r="T974" s="40" t="str" cm="1">
        <f t="array" ref="T974">_xlfn.IFS(S974*18.6&lt;2,"Calm",S974*18.6&lt;6,"Light Breeze",S974*18.6&lt;14,"Gale",TRUE,"Extreme Storm")</f>
        <v>Calm</v>
      </c>
      <c r="U974" s="28">
        <v>1</v>
      </c>
      <c r="V974" s="28">
        <v>19</v>
      </c>
      <c r="W974" s="28">
        <v>20</v>
      </c>
      <c r="X974" s="44">
        <f>AVERAGE(INDEX($W:$W,MAX(ROW($W$3),ROW()-23)):INDEX($W:$W,ROW()))</f>
        <v>61.916666666666664</v>
      </c>
      <c r="Y974" s="44">
        <f>_xlfn.STDEV.S(INDEX($W:$W,MAX(ROW($W$3),ROW()-23)):INDEX($W:$W,ROW()))</f>
        <v>52.607584728957974</v>
      </c>
      <c r="Z974" s="44">
        <f t="shared" si="92"/>
        <v>-0.79677991077954835</v>
      </c>
      <c r="AA974" s="40" t="b">
        <f t="shared" si="90"/>
        <v>0</v>
      </c>
    </row>
    <row r="975" spans="1:27" x14ac:dyDescent="0.3">
      <c r="A975" s="32">
        <v>973</v>
      </c>
      <c r="B975" s="33">
        <v>40587</v>
      </c>
      <c r="C975" s="40" t="str">
        <f t="shared" si="93"/>
        <v>Sunday</v>
      </c>
      <c r="D975" s="28">
        <v>3</v>
      </c>
      <c r="E975" s="40" t="str" cm="1">
        <f t="array" ref="E975">_xlfn.IFS(D975&gt;=21,"Night",D975&gt;=17,"Evening",D975&gt;=12,"Midday",D975&gt;=6,"Morning", TRUE, "Night")</f>
        <v>Night</v>
      </c>
      <c r="F975" s="28">
        <v>1</v>
      </c>
      <c r="G975" s="28">
        <v>0</v>
      </c>
      <c r="H975" s="28">
        <v>2</v>
      </c>
      <c r="I975" s="28">
        <v>0</v>
      </c>
      <c r="J975" s="40" t="str">
        <f t="shared" si="94"/>
        <v>Weekday</v>
      </c>
      <c r="K975" s="28" t="b">
        <v>0</v>
      </c>
      <c r="L975" s="28">
        <v>2</v>
      </c>
      <c r="M975" s="40" t="str" cm="1">
        <f t="array" ref="M975">_xlfn.IFS(L975=1,"Clear / Partly Cloudy",L975=2,"Mist / Cloudy",L975=3,"Light Snow / Rain",L975=4,"Heavy Precipitation")</f>
        <v>Mist / Cloudy</v>
      </c>
      <c r="N975" s="28">
        <v>0.2</v>
      </c>
      <c r="O975" s="28" t="str">
        <f t="shared" si="95"/>
        <v>Mild</v>
      </c>
      <c r="P975" s="28">
        <v>0.2273</v>
      </c>
      <c r="Q975" s="38">
        <f t="shared" si="91"/>
        <v>0.2273</v>
      </c>
      <c r="R975" s="28">
        <v>0.69</v>
      </c>
      <c r="S975" s="28">
        <v>0.1045</v>
      </c>
      <c r="T975" s="40" t="str" cm="1">
        <f t="array" ref="T975">_xlfn.IFS(S975*18.6&lt;2,"Calm",S975*18.6&lt;6,"Light Breeze",S975*18.6&lt;14,"Gale",TRUE,"Extreme Storm")</f>
        <v>Calm</v>
      </c>
      <c r="U975" s="28">
        <v>4</v>
      </c>
      <c r="V975" s="28">
        <v>8</v>
      </c>
      <c r="W975" s="28">
        <v>12</v>
      </c>
      <c r="X975" s="44">
        <f>AVERAGE(INDEX($W:$W,MAX(ROW($W$3),ROW()-23)):INDEX($W:$W,ROW()))</f>
        <v>62</v>
      </c>
      <c r="Y975" s="44">
        <f>_xlfn.STDEV.S(INDEX($W:$W,MAX(ROW($W$3),ROW()-23)):INDEX($W:$W,ROW()))</f>
        <v>52.523286760958833</v>
      </c>
      <c r="Z975" s="44">
        <f t="shared" si="92"/>
        <v>-0.95195870409933259</v>
      </c>
      <c r="AA975" s="40" t="b">
        <f t="shared" si="90"/>
        <v>0</v>
      </c>
    </row>
    <row r="976" spans="1:27" x14ac:dyDescent="0.3">
      <c r="A976" s="32">
        <v>974</v>
      </c>
      <c r="B976" s="33">
        <v>40587</v>
      </c>
      <c r="C976" s="40" t="str">
        <f t="shared" si="93"/>
        <v>Sunday</v>
      </c>
      <c r="D976" s="28">
        <v>4</v>
      </c>
      <c r="E976" s="40" t="str" cm="1">
        <f t="array" ref="E976">_xlfn.IFS(D976&gt;=21,"Night",D976&gt;=17,"Evening",D976&gt;=12,"Midday",D976&gt;=6,"Morning", TRUE, "Night")</f>
        <v>Night</v>
      </c>
      <c r="F976" s="28">
        <v>1</v>
      </c>
      <c r="G976" s="28">
        <v>0</v>
      </c>
      <c r="H976" s="28">
        <v>2</v>
      </c>
      <c r="I976" s="28">
        <v>0</v>
      </c>
      <c r="J976" s="40" t="str">
        <f t="shared" si="94"/>
        <v>Weekday</v>
      </c>
      <c r="K976" s="28" t="b">
        <v>0</v>
      </c>
      <c r="L976" s="28">
        <v>2</v>
      </c>
      <c r="M976" s="40" t="str" cm="1">
        <f t="array" ref="M976">_xlfn.IFS(L976=1,"Clear / Partly Cloudy",L976=2,"Mist / Cloudy",L976=3,"Light Snow / Rain",L976=4,"Heavy Precipitation")</f>
        <v>Mist / Cloudy</v>
      </c>
      <c r="N976" s="28">
        <v>0.2</v>
      </c>
      <c r="O976" s="28" t="str">
        <f t="shared" si="95"/>
        <v>Mild</v>
      </c>
      <c r="P976" s="28">
        <v>0.21210000000000001</v>
      </c>
      <c r="Q976" s="38">
        <f t="shared" si="91"/>
        <v>0.21210000000000001</v>
      </c>
      <c r="R976" s="28">
        <v>0.69</v>
      </c>
      <c r="S976" s="28">
        <v>0.16420000000000001</v>
      </c>
      <c r="T976" s="40" t="str" cm="1">
        <f t="array" ref="T976">_xlfn.IFS(S976*18.6&lt;2,"Calm",S976*18.6&lt;6,"Light Breeze",S976*18.6&lt;14,"Gale",TRUE,"Extreme Storm")</f>
        <v>Light Breeze</v>
      </c>
      <c r="U976" s="28">
        <v>0</v>
      </c>
      <c r="V976" s="28">
        <v>2</v>
      </c>
      <c r="W976" s="28">
        <v>2</v>
      </c>
      <c r="X976" s="44">
        <f>AVERAGE(INDEX($W:$W,MAX(ROW($W$3),ROW()-23)):INDEX($W:$W,ROW()))</f>
        <v>61.916666666666664</v>
      </c>
      <c r="Y976" s="44">
        <f>_xlfn.STDEV.S(INDEX($W:$W,MAX(ROW($W$3),ROW()-23)):INDEX($W:$W,ROW()))</f>
        <v>52.620806487190201</v>
      </c>
      <c r="Z976" s="44">
        <f t="shared" si="92"/>
        <v>-1.1386497217835789</v>
      </c>
      <c r="AA976" s="40" t="b">
        <f t="shared" si="90"/>
        <v>0</v>
      </c>
    </row>
    <row r="977" spans="1:27" x14ac:dyDescent="0.3">
      <c r="A977" s="32">
        <v>975</v>
      </c>
      <c r="B977" s="33">
        <v>40587</v>
      </c>
      <c r="C977" s="40" t="str">
        <f t="shared" si="93"/>
        <v>Sunday</v>
      </c>
      <c r="D977" s="28">
        <v>6</v>
      </c>
      <c r="E977" s="40" t="str" cm="1">
        <f t="array" ref="E977">_xlfn.IFS(D977&gt;=21,"Night",D977&gt;=17,"Evening",D977&gt;=12,"Midday",D977&gt;=6,"Morning", TRUE, "Night")</f>
        <v>Morning</v>
      </c>
      <c r="F977" s="28">
        <v>1</v>
      </c>
      <c r="G977" s="28">
        <v>0</v>
      </c>
      <c r="H977" s="28">
        <v>2</v>
      </c>
      <c r="I977" s="28">
        <v>0</v>
      </c>
      <c r="J977" s="40" t="str">
        <f t="shared" si="94"/>
        <v>Weekday</v>
      </c>
      <c r="K977" s="28" t="b">
        <v>0</v>
      </c>
      <c r="L977" s="28">
        <v>2</v>
      </c>
      <c r="M977" s="40" t="str" cm="1">
        <f t="array" ref="M977">_xlfn.IFS(L977=1,"Clear / Partly Cloudy",L977=2,"Mist / Cloudy",L977=3,"Light Snow / Rain",L977=4,"Heavy Precipitation")</f>
        <v>Mist / Cloudy</v>
      </c>
      <c r="N977" s="28">
        <v>0.2</v>
      </c>
      <c r="O977" s="28" t="str">
        <f t="shared" si="95"/>
        <v>Mild</v>
      </c>
      <c r="P977" s="28">
        <v>0.21210000000000001</v>
      </c>
      <c r="Q977" s="38">
        <f t="shared" si="91"/>
        <v>0.21210000000000001</v>
      </c>
      <c r="R977" s="28">
        <v>0.69</v>
      </c>
      <c r="S977" s="28">
        <v>0.1343</v>
      </c>
      <c r="T977" s="40" t="str" cm="1">
        <f t="array" ref="T977">_xlfn.IFS(S977*18.6&lt;2,"Calm",S977*18.6&lt;6,"Light Breeze",S977*18.6&lt;14,"Gale",TRUE,"Extreme Storm")</f>
        <v>Light Breeze</v>
      </c>
      <c r="U977" s="28">
        <v>2</v>
      </c>
      <c r="V977" s="28">
        <v>3</v>
      </c>
      <c r="W977" s="28">
        <v>5</v>
      </c>
      <c r="X977" s="44">
        <f>AVERAGE(INDEX($W:$W,MAX(ROW($W$3),ROW()-23)):INDEX($W:$W,ROW()))</f>
        <v>62.083333333333336</v>
      </c>
      <c r="Y977" s="44">
        <f>_xlfn.STDEV.S(INDEX($W:$W,MAX(ROW($W$3),ROW()-23)):INDEX($W:$W,ROW()))</f>
        <v>52.425447410888964</v>
      </c>
      <c r="Z977" s="44">
        <f t="shared" si="92"/>
        <v>-1.0888478048825752</v>
      </c>
      <c r="AA977" s="40" t="b">
        <f t="shared" si="90"/>
        <v>0</v>
      </c>
    </row>
    <row r="978" spans="1:27" x14ac:dyDescent="0.3">
      <c r="A978" s="32">
        <v>976</v>
      </c>
      <c r="B978" s="33">
        <v>40587</v>
      </c>
      <c r="C978" s="40" t="str">
        <f t="shared" si="93"/>
        <v>Sunday</v>
      </c>
      <c r="D978" s="28">
        <v>7</v>
      </c>
      <c r="E978" s="40" t="str" cm="1">
        <f t="array" ref="E978">_xlfn.IFS(D978&gt;=21,"Night",D978&gt;=17,"Evening",D978&gt;=12,"Midday",D978&gt;=6,"Morning", TRUE, "Night")</f>
        <v>Morning</v>
      </c>
      <c r="F978" s="28">
        <v>1</v>
      </c>
      <c r="G978" s="28">
        <v>0</v>
      </c>
      <c r="H978" s="28">
        <v>2</v>
      </c>
      <c r="I978" s="28">
        <v>0</v>
      </c>
      <c r="J978" s="40" t="str">
        <f t="shared" si="94"/>
        <v>Weekday</v>
      </c>
      <c r="K978" s="28" t="b">
        <v>0</v>
      </c>
      <c r="L978" s="28">
        <v>2</v>
      </c>
      <c r="M978" s="40" t="str" cm="1">
        <f t="array" ref="M978">_xlfn.IFS(L978=1,"Clear / Partly Cloudy",L978=2,"Mist / Cloudy",L978=3,"Light Snow / Rain",L978=4,"Heavy Precipitation")</f>
        <v>Mist / Cloudy</v>
      </c>
      <c r="N978" s="28">
        <v>0.22</v>
      </c>
      <c r="O978" s="28" t="str">
        <f t="shared" si="95"/>
        <v>Mild</v>
      </c>
      <c r="P978" s="28">
        <v>0.2727</v>
      </c>
      <c r="Q978" s="38">
        <f t="shared" si="91"/>
        <v>0.2727</v>
      </c>
      <c r="R978" s="28">
        <v>0.55000000000000004</v>
      </c>
      <c r="S978" s="28">
        <v>0</v>
      </c>
      <c r="T978" s="40" t="str" cm="1">
        <f t="array" ref="T978">_xlfn.IFS(S978*18.6&lt;2,"Calm",S978*18.6&lt;6,"Light Breeze",S978*18.6&lt;14,"Gale",TRUE,"Extreme Storm")</f>
        <v>Calm</v>
      </c>
      <c r="U978" s="28">
        <v>0</v>
      </c>
      <c r="V978" s="28">
        <v>3</v>
      </c>
      <c r="W978" s="28">
        <v>3</v>
      </c>
      <c r="X978" s="44">
        <f>AVERAGE(INDEX($W:$W,MAX(ROW($W$3),ROW()-23)):INDEX($W:$W,ROW()))</f>
        <v>62.125</v>
      </c>
      <c r="Y978" s="44">
        <f>_xlfn.STDEV.S(INDEX($W:$W,MAX(ROW($W$3),ROW()-23)):INDEX($W:$W,ROW()))</f>
        <v>52.375992259979107</v>
      </c>
      <c r="Z978" s="44">
        <f t="shared" si="92"/>
        <v>-1.1288568950927134</v>
      </c>
      <c r="AA978" s="40" t="b">
        <f t="shared" si="90"/>
        <v>0</v>
      </c>
    </row>
    <row r="979" spans="1:27" x14ac:dyDescent="0.3">
      <c r="A979" s="32">
        <v>977</v>
      </c>
      <c r="B979" s="33">
        <v>40587</v>
      </c>
      <c r="C979" s="40" t="str">
        <f t="shared" si="93"/>
        <v>Sunday</v>
      </c>
      <c r="D979" s="28">
        <v>8</v>
      </c>
      <c r="E979" s="40" t="str" cm="1">
        <f t="array" ref="E979">_xlfn.IFS(D979&gt;=21,"Night",D979&gt;=17,"Evening",D979&gt;=12,"Midday",D979&gt;=6,"Morning", TRUE, "Night")</f>
        <v>Morning</v>
      </c>
      <c r="F979" s="28">
        <v>1</v>
      </c>
      <c r="G979" s="28">
        <v>0</v>
      </c>
      <c r="H979" s="28">
        <v>2</v>
      </c>
      <c r="I979" s="28">
        <v>0</v>
      </c>
      <c r="J979" s="40" t="str">
        <f t="shared" si="94"/>
        <v>Weekday</v>
      </c>
      <c r="K979" s="28" t="b">
        <v>0</v>
      </c>
      <c r="L979" s="28">
        <v>2</v>
      </c>
      <c r="M979" s="40" t="str" cm="1">
        <f t="array" ref="M979">_xlfn.IFS(L979=1,"Clear / Partly Cloudy",L979=2,"Mist / Cloudy",L979=3,"Light Snow / Rain",L979=4,"Heavy Precipitation")</f>
        <v>Mist / Cloudy</v>
      </c>
      <c r="N979" s="28">
        <v>0.22</v>
      </c>
      <c r="O979" s="28" t="str">
        <f t="shared" si="95"/>
        <v>Mild</v>
      </c>
      <c r="P979" s="28">
        <v>0.2273</v>
      </c>
      <c r="Q979" s="38">
        <f t="shared" si="91"/>
        <v>0.2273</v>
      </c>
      <c r="R979" s="28">
        <v>0.64</v>
      </c>
      <c r="S979" s="28">
        <v>0.19400000000000001</v>
      </c>
      <c r="T979" s="40" t="str" cm="1">
        <f t="array" ref="T979">_xlfn.IFS(S979*18.6&lt;2,"Calm",S979*18.6&lt;6,"Light Breeze",S979*18.6&lt;14,"Gale",TRUE,"Extreme Storm")</f>
        <v>Light Breeze</v>
      </c>
      <c r="U979" s="28">
        <v>1</v>
      </c>
      <c r="V979" s="28">
        <v>11</v>
      </c>
      <c r="W979" s="28">
        <v>12</v>
      </c>
      <c r="X979" s="44">
        <f>AVERAGE(INDEX($W:$W,MAX(ROW($W$3),ROW()-23)):INDEX($W:$W,ROW()))</f>
        <v>62.166666666666664</v>
      </c>
      <c r="Y979" s="44">
        <f>_xlfn.STDEV.S(INDEX($W:$W,MAX(ROW($W$3),ROW()-23)):INDEX($W:$W,ROW()))</f>
        <v>52.333933348355771</v>
      </c>
      <c r="Z979" s="44">
        <f t="shared" si="92"/>
        <v>-0.95858773566162314</v>
      </c>
      <c r="AA979" s="40" t="b">
        <f t="shared" si="90"/>
        <v>0</v>
      </c>
    </row>
    <row r="980" spans="1:27" x14ac:dyDescent="0.3">
      <c r="A980" s="32">
        <v>978</v>
      </c>
      <c r="B980" s="33">
        <v>40587</v>
      </c>
      <c r="C980" s="40" t="str">
        <f t="shared" si="93"/>
        <v>Sunday</v>
      </c>
      <c r="D980" s="28">
        <v>9</v>
      </c>
      <c r="E980" s="40" t="str" cm="1">
        <f t="array" ref="E980">_xlfn.IFS(D980&gt;=21,"Night",D980&gt;=17,"Evening",D980&gt;=12,"Midday",D980&gt;=6,"Morning", TRUE, "Night")</f>
        <v>Morning</v>
      </c>
      <c r="F980" s="28">
        <v>1</v>
      </c>
      <c r="G980" s="28">
        <v>0</v>
      </c>
      <c r="H980" s="28">
        <v>2</v>
      </c>
      <c r="I980" s="28">
        <v>0</v>
      </c>
      <c r="J980" s="40" t="str">
        <f t="shared" si="94"/>
        <v>Weekday</v>
      </c>
      <c r="K980" s="28" t="b">
        <v>0</v>
      </c>
      <c r="L980" s="28">
        <v>2</v>
      </c>
      <c r="M980" s="40" t="str" cm="1">
        <f t="array" ref="M980">_xlfn.IFS(L980=1,"Clear / Partly Cloudy",L980=2,"Mist / Cloudy",L980=3,"Light Snow / Rain",L980=4,"Heavy Precipitation")</f>
        <v>Mist / Cloudy</v>
      </c>
      <c r="N980" s="28">
        <v>0.24</v>
      </c>
      <c r="O980" s="28" t="str">
        <f t="shared" si="95"/>
        <v>Mild</v>
      </c>
      <c r="P980" s="28">
        <v>0.2273</v>
      </c>
      <c r="Q980" s="38">
        <f t="shared" si="91"/>
        <v>0.2273</v>
      </c>
      <c r="R980" s="28">
        <v>0.6</v>
      </c>
      <c r="S980" s="28">
        <v>0.22389999999999999</v>
      </c>
      <c r="T980" s="40" t="str" cm="1">
        <f t="array" ref="T980">_xlfn.IFS(S980*18.6&lt;2,"Calm",S980*18.6&lt;6,"Light Breeze",S980*18.6&lt;14,"Gale",TRUE,"Extreme Storm")</f>
        <v>Light Breeze</v>
      </c>
      <c r="U980" s="28">
        <v>12</v>
      </c>
      <c r="V980" s="28">
        <v>35</v>
      </c>
      <c r="W980" s="28">
        <v>47</v>
      </c>
      <c r="X980" s="44">
        <f>AVERAGE(INDEX($W:$W,MAX(ROW($W$3),ROW()-23)):INDEX($W:$W,ROW()))</f>
        <v>62.875</v>
      </c>
      <c r="Y980" s="44">
        <f>_xlfn.STDEV.S(INDEX($W:$W,MAX(ROW($W$3),ROW()-23)):INDEX($W:$W,ROW()))</f>
        <v>51.993571927105862</v>
      </c>
      <c r="Z980" s="44">
        <f t="shared" si="92"/>
        <v>-0.30532620498273305</v>
      </c>
      <c r="AA980" s="40" t="b">
        <f t="shared" si="90"/>
        <v>0</v>
      </c>
    </row>
    <row r="981" spans="1:27" x14ac:dyDescent="0.3">
      <c r="A981" s="32">
        <v>979</v>
      </c>
      <c r="B981" s="33">
        <v>40587</v>
      </c>
      <c r="C981" s="40" t="str">
        <f t="shared" si="93"/>
        <v>Sunday</v>
      </c>
      <c r="D981" s="28">
        <v>10</v>
      </c>
      <c r="E981" s="40" t="str" cm="1">
        <f t="array" ref="E981">_xlfn.IFS(D981&gt;=21,"Night",D981&gt;=17,"Evening",D981&gt;=12,"Midday",D981&gt;=6,"Morning", TRUE, "Night")</f>
        <v>Morning</v>
      </c>
      <c r="F981" s="28">
        <v>1</v>
      </c>
      <c r="G981" s="28">
        <v>0</v>
      </c>
      <c r="H981" s="28">
        <v>2</v>
      </c>
      <c r="I981" s="28">
        <v>0</v>
      </c>
      <c r="J981" s="40" t="str">
        <f t="shared" si="94"/>
        <v>Weekday</v>
      </c>
      <c r="K981" s="28" t="b">
        <v>0</v>
      </c>
      <c r="L981" s="28">
        <v>1</v>
      </c>
      <c r="M981" s="40" t="str" cm="1">
        <f t="array" ref="M981">_xlfn.IFS(L981=1,"Clear / Partly Cloudy",L981=2,"Mist / Cloudy",L981=3,"Light Snow / Rain",L981=4,"Heavy Precipitation")</f>
        <v>Clear / Partly Cloudy</v>
      </c>
      <c r="N981" s="28">
        <v>0.3</v>
      </c>
      <c r="O981" s="28" t="str">
        <f t="shared" si="95"/>
        <v>Mild</v>
      </c>
      <c r="P981" s="28">
        <v>0.2727</v>
      </c>
      <c r="Q981" s="38">
        <f t="shared" si="91"/>
        <v>0.2727</v>
      </c>
      <c r="R981" s="28">
        <v>0.45</v>
      </c>
      <c r="S981" s="28">
        <v>0.32840000000000003</v>
      </c>
      <c r="T981" s="40" t="str" cm="1">
        <f t="array" ref="T981">_xlfn.IFS(S981*18.6&lt;2,"Calm",S981*18.6&lt;6,"Light Breeze",S981*18.6&lt;14,"Gale",TRUE,"Extreme Storm")</f>
        <v>Gale</v>
      </c>
      <c r="U981" s="28">
        <v>19</v>
      </c>
      <c r="V981" s="28">
        <v>86</v>
      </c>
      <c r="W981" s="28">
        <v>105</v>
      </c>
      <c r="X981" s="44">
        <f>AVERAGE(INDEX($W:$W,MAX(ROW($W$3),ROW()-23)):INDEX($W:$W,ROW()))</f>
        <v>65.458333333333329</v>
      </c>
      <c r="Y981" s="44">
        <f>_xlfn.STDEV.S(INDEX($W:$W,MAX(ROW($W$3),ROW()-23)):INDEX($W:$W,ROW()))</f>
        <v>52.500914415777117</v>
      </c>
      <c r="Z981" s="44">
        <f t="shared" si="92"/>
        <v>0.75316148502708657</v>
      </c>
      <c r="AA981" s="40" t="b">
        <f t="shared" si="90"/>
        <v>0</v>
      </c>
    </row>
    <row r="982" spans="1:27" x14ac:dyDescent="0.3">
      <c r="A982" s="32">
        <v>980</v>
      </c>
      <c r="B982" s="33">
        <v>40587</v>
      </c>
      <c r="C982" s="40" t="str">
        <f t="shared" si="93"/>
        <v>Sunday</v>
      </c>
      <c r="D982" s="28">
        <v>11</v>
      </c>
      <c r="E982" s="40" t="str" cm="1">
        <f t="array" ref="E982">_xlfn.IFS(D982&gt;=21,"Night",D982&gt;=17,"Evening",D982&gt;=12,"Midday",D982&gt;=6,"Morning", TRUE, "Night")</f>
        <v>Morning</v>
      </c>
      <c r="F982" s="28">
        <v>1</v>
      </c>
      <c r="G982" s="28">
        <v>0</v>
      </c>
      <c r="H982" s="28">
        <v>2</v>
      </c>
      <c r="I982" s="28">
        <v>0</v>
      </c>
      <c r="J982" s="40" t="str">
        <f t="shared" si="94"/>
        <v>Weekday</v>
      </c>
      <c r="K982" s="28" t="b">
        <v>0</v>
      </c>
      <c r="L982" s="28">
        <v>1</v>
      </c>
      <c r="M982" s="40" t="str" cm="1">
        <f t="array" ref="M982">_xlfn.IFS(L982=1,"Clear / Partly Cloudy",L982=2,"Mist / Cloudy",L982=3,"Light Snow / Rain",L982=4,"Heavy Precipitation")</f>
        <v>Clear / Partly Cloudy</v>
      </c>
      <c r="N982" s="28">
        <v>0.32</v>
      </c>
      <c r="O982" s="28" t="str">
        <f t="shared" si="95"/>
        <v>Mild</v>
      </c>
      <c r="P982" s="28">
        <v>0.28789999999999999</v>
      </c>
      <c r="Q982" s="38">
        <f t="shared" si="91"/>
        <v>0.28789999999999999</v>
      </c>
      <c r="R982" s="28">
        <v>0.39</v>
      </c>
      <c r="S982" s="28">
        <v>0.44779999999999998</v>
      </c>
      <c r="T982" s="40" t="str" cm="1">
        <f t="array" ref="T982">_xlfn.IFS(S982*18.6&lt;2,"Calm",S982*18.6&lt;6,"Light Breeze",S982*18.6&lt;14,"Gale",TRUE,"Extreme Storm")</f>
        <v>Gale</v>
      </c>
      <c r="U982" s="28">
        <v>26</v>
      </c>
      <c r="V982" s="28">
        <v>86</v>
      </c>
      <c r="W982" s="28">
        <v>112</v>
      </c>
      <c r="X982" s="44">
        <f>AVERAGE(INDEX($W:$W,MAX(ROW($W$3),ROW()-23)):INDEX($W:$W,ROW()))</f>
        <v>66.625</v>
      </c>
      <c r="Y982" s="44">
        <f>_xlfn.STDEV.S(INDEX($W:$W,MAX(ROW($W$3),ROW()-23)):INDEX($W:$W,ROW()))</f>
        <v>53.236806898006684</v>
      </c>
      <c r="Z982" s="44">
        <f t="shared" si="92"/>
        <v>0.85232384592357946</v>
      </c>
      <c r="AA982" s="40" t="b">
        <f t="shared" si="90"/>
        <v>0</v>
      </c>
    </row>
    <row r="983" spans="1:27" x14ac:dyDescent="0.3">
      <c r="A983" s="32">
        <v>981</v>
      </c>
      <c r="B983" s="33">
        <v>40587</v>
      </c>
      <c r="C983" s="40" t="str">
        <f t="shared" si="93"/>
        <v>Sunday</v>
      </c>
      <c r="D983" s="28">
        <v>12</v>
      </c>
      <c r="E983" s="40" t="str" cm="1">
        <f t="array" ref="E983">_xlfn.IFS(D983&gt;=21,"Night",D983&gt;=17,"Evening",D983&gt;=12,"Midday",D983&gt;=6,"Morning", TRUE, "Night")</f>
        <v>Midday</v>
      </c>
      <c r="F983" s="28">
        <v>1</v>
      </c>
      <c r="G983" s="28">
        <v>0</v>
      </c>
      <c r="H983" s="28">
        <v>2</v>
      </c>
      <c r="I983" s="28">
        <v>0</v>
      </c>
      <c r="J983" s="40" t="str">
        <f t="shared" si="94"/>
        <v>Weekday</v>
      </c>
      <c r="K983" s="28" t="b">
        <v>0</v>
      </c>
      <c r="L983" s="28">
        <v>1</v>
      </c>
      <c r="M983" s="40" t="str" cm="1">
        <f t="array" ref="M983">_xlfn.IFS(L983=1,"Clear / Partly Cloudy",L983=2,"Mist / Cloudy",L983=3,"Light Snow / Rain",L983=4,"Heavy Precipitation")</f>
        <v>Clear / Partly Cloudy</v>
      </c>
      <c r="N983" s="28">
        <v>0.36</v>
      </c>
      <c r="O983" s="28" t="str">
        <f t="shared" si="95"/>
        <v>Mild</v>
      </c>
      <c r="P983" s="28">
        <v>0.31819999999999998</v>
      </c>
      <c r="Q983" s="38">
        <f t="shared" si="91"/>
        <v>0.31819999999999998</v>
      </c>
      <c r="R983" s="28">
        <v>0.32</v>
      </c>
      <c r="S983" s="28">
        <v>0.4627</v>
      </c>
      <c r="T983" s="40" t="str" cm="1">
        <f t="array" ref="T983">_xlfn.IFS(S983*18.6&lt;2,"Calm",S983*18.6&lt;6,"Light Breeze",S983*18.6&lt;14,"Gale",TRUE,"Extreme Storm")</f>
        <v>Gale</v>
      </c>
      <c r="U983" s="28">
        <v>58</v>
      </c>
      <c r="V983" s="28">
        <v>94</v>
      </c>
      <c r="W983" s="28">
        <v>152</v>
      </c>
      <c r="X983" s="44">
        <f>AVERAGE(INDEX($W:$W,MAX(ROW($W$3),ROW()-23)):INDEX($W:$W,ROW()))</f>
        <v>68.208333333333329</v>
      </c>
      <c r="Y983" s="44">
        <f>_xlfn.STDEV.S(INDEX($W:$W,MAX(ROW($W$3),ROW()-23)):INDEX($W:$W,ROW()))</f>
        <v>55.234660799385637</v>
      </c>
      <c r="Z983" s="44">
        <f t="shared" si="92"/>
        <v>1.5170124239741627</v>
      </c>
      <c r="AA983" s="40" t="b">
        <f t="shared" si="90"/>
        <v>0</v>
      </c>
    </row>
    <row r="984" spans="1:27" x14ac:dyDescent="0.3">
      <c r="A984" s="32">
        <v>982</v>
      </c>
      <c r="B984" s="33">
        <v>40587</v>
      </c>
      <c r="C984" s="40" t="str">
        <f t="shared" si="93"/>
        <v>Sunday</v>
      </c>
      <c r="D984" s="28">
        <v>13</v>
      </c>
      <c r="E984" s="40" t="str" cm="1">
        <f t="array" ref="E984">_xlfn.IFS(D984&gt;=21,"Night",D984&gt;=17,"Evening",D984&gt;=12,"Midday",D984&gt;=6,"Morning", TRUE, "Night")</f>
        <v>Midday</v>
      </c>
      <c r="F984" s="28">
        <v>1</v>
      </c>
      <c r="G984" s="28">
        <v>0</v>
      </c>
      <c r="H984" s="28">
        <v>2</v>
      </c>
      <c r="I984" s="28">
        <v>0</v>
      </c>
      <c r="J984" s="40" t="str">
        <f t="shared" si="94"/>
        <v>Weekday</v>
      </c>
      <c r="K984" s="28" t="b">
        <v>0</v>
      </c>
      <c r="L984" s="28">
        <v>1</v>
      </c>
      <c r="M984" s="40" t="str" cm="1">
        <f t="array" ref="M984">_xlfn.IFS(L984=1,"Clear / Partly Cloudy",L984=2,"Mist / Cloudy",L984=3,"Light Snow / Rain",L984=4,"Heavy Precipitation")</f>
        <v>Clear / Partly Cloudy</v>
      </c>
      <c r="N984" s="28">
        <v>0.38</v>
      </c>
      <c r="O984" s="28" t="str">
        <f t="shared" si="95"/>
        <v>Mild</v>
      </c>
      <c r="P984" s="28">
        <v>0.39389999999999997</v>
      </c>
      <c r="Q984" s="38">
        <f t="shared" si="91"/>
        <v>0.39389999999999997</v>
      </c>
      <c r="R984" s="28">
        <v>0.28999999999999998</v>
      </c>
      <c r="S984" s="28">
        <v>0.35820000000000002</v>
      </c>
      <c r="T984" s="40" t="str" cm="1">
        <f t="array" ref="T984">_xlfn.IFS(S984*18.6&lt;2,"Calm",S984*18.6&lt;6,"Light Breeze",S984*18.6&lt;14,"Gale",TRUE,"Extreme Storm")</f>
        <v>Gale</v>
      </c>
      <c r="U984" s="28">
        <v>62</v>
      </c>
      <c r="V984" s="28">
        <v>92</v>
      </c>
      <c r="W984" s="28">
        <v>154</v>
      </c>
      <c r="X984" s="44">
        <f>AVERAGE(INDEX($W:$W,MAX(ROW($W$3),ROW()-23)):INDEX($W:$W,ROW()))</f>
        <v>69.625</v>
      </c>
      <c r="Y984" s="44">
        <f>_xlfn.STDEV.S(INDEX($W:$W,MAX(ROW($W$3),ROW()-23)):INDEX($W:$W,ROW()))</f>
        <v>57.027691595361389</v>
      </c>
      <c r="Z984" s="44">
        <f t="shared" si="92"/>
        <v>1.4795443694035659</v>
      </c>
      <c r="AA984" s="40" t="b">
        <f t="shared" si="90"/>
        <v>0</v>
      </c>
    </row>
    <row r="985" spans="1:27" x14ac:dyDescent="0.3">
      <c r="A985" s="32">
        <v>983</v>
      </c>
      <c r="B985" s="33">
        <v>40587</v>
      </c>
      <c r="C985" s="40" t="str">
        <f t="shared" si="93"/>
        <v>Sunday</v>
      </c>
      <c r="D985" s="28">
        <v>14</v>
      </c>
      <c r="E985" s="40" t="str" cm="1">
        <f t="array" ref="E985">_xlfn.IFS(D985&gt;=21,"Night",D985&gt;=17,"Evening",D985&gt;=12,"Midday",D985&gt;=6,"Morning", TRUE, "Night")</f>
        <v>Midday</v>
      </c>
      <c r="F985" s="28">
        <v>1</v>
      </c>
      <c r="G985" s="28">
        <v>0</v>
      </c>
      <c r="H985" s="28">
        <v>2</v>
      </c>
      <c r="I985" s="28">
        <v>0</v>
      </c>
      <c r="J985" s="40" t="str">
        <f t="shared" si="94"/>
        <v>Weekday</v>
      </c>
      <c r="K985" s="28" t="b">
        <v>0</v>
      </c>
      <c r="L985" s="28">
        <v>2</v>
      </c>
      <c r="M985" s="40" t="str" cm="1">
        <f t="array" ref="M985">_xlfn.IFS(L985=1,"Clear / Partly Cloudy",L985=2,"Mist / Cloudy",L985=3,"Light Snow / Rain",L985=4,"Heavy Precipitation")</f>
        <v>Mist / Cloudy</v>
      </c>
      <c r="N985" s="28">
        <v>0.4</v>
      </c>
      <c r="O985" s="28" t="str">
        <f t="shared" si="95"/>
        <v>Mild</v>
      </c>
      <c r="P985" s="28">
        <v>0.40910000000000002</v>
      </c>
      <c r="Q985" s="38">
        <f t="shared" si="91"/>
        <v>0.40910000000000002</v>
      </c>
      <c r="R985" s="28">
        <v>0.3</v>
      </c>
      <c r="S985" s="28">
        <v>0.41789999999999999</v>
      </c>
      <c r="T985" s="40" t="str" cm="1">
        <f t="array" ref="T985">_xlfn.IFS(S985*18.6&lt;2,"Calm",S985*18.6&lt;6,"Light Breeze",S985*18.6&lt;14,"Gale",TRUE,"Extreme Storm")</f>
        <v>Gale</v>
      </c>
      <c r="U985" s="28">
        <v>51</v>
      </c>
      <c r="V985" s="28">
        <v>110</v>
      </c>
      <c r="W985" s="28">
        <v>161</v>
      </c>
      <c r="X985" s="44">
        <f>AVERAGE(INDEX($W:$W,MAX(ROW($W$3),ROW()-23)):INDEX($W:$W,ROW()))</f>
        <v>70.708333333333329</v>
      </c>
      <c r="Y985" s="44">
        <f>_xlfn.STDEV.S(INDEX($W:$W,MAX(ROW($W$3),ROW()-23)):INDEX($W:$W,ROW()))</f>
        <v>58.550223084019123</v>
      </c>
      <c r="Z985" s="44">
        <f t="shared" si="92"/>
        <v>1.5421233585583238</v>
      </c>
      <c r="AA985" s="40" t="b">
        <f t="shared" si="90"/>
        <v>0</v>
      </c>
    </row>
    <row r="986" spans="1:27" x14ac:dyDescent="0.3">
      <c r="A986" s="32">
        <v>984</v>
      </c>
      <c r="B986" s="33">
        <v>40587</v>
      </c>
      <c r="C986" s="40" t="str">
        <f t="shared" si="93"/>
        <v>Sunday</v>
      </c>
      <c r="D986" s="28">
        <v>15</v>
      </c>
      <c r="E986" s="40" t="str" cm="1">
        <f t="array" ref="E986">_xlfn.IFS(D986&gt;=21,"Night",D986&gt;=17,"Evening",D986&gt;=12,"Midday",D986&gt;=6,"Morning", TRUE, "Night")</f>
        <v>Midday</v>
      </c>
      <c r="F986" s="28">
        <v>1</v>
      </c>
      <c r="G986" s="28">
        <v>0</v>
      </c>
      <c r="H986" s="28">
        <v>2</v>
      </c>
      <c r="I986" s="28">
        <v>0</v>
      </c>
      <c r="J986" s="40" t="str">
        <f t="shared" si="94"/>
        <v>Weekday</v>
      </c>
      <c r="K986" s="28" t="b">
        <v>0</v>
      </c>
      <c r="L986" s="28">
        <v>2</v>
      </c>
      <c r="M986" s="40" t="str" cm="1">
        <f t="array" ref="M986">_xlfn.IFS(L986=1,"Clear / Partly Cloudy",L986=2,"Mist / Cloudy",L986=3,"Light Snow / Rain",L986=4,"Heavy Precipitation")</f>
        <v>Mist / Cloudy</v>
      </c>
      <c r="N986" s="28">
        <v>0.4</v>
      </c>
      <c r="O986" s="28" t="str">
        <f t="shared" si="95"/>
        <v>Mild</v>
      </c>
      <c r="P986" s="28">
        <v>0.40910000000000002</v>
      </c>
      <c r="Q986" s="38">
        <f t="shared" si="91"/>
        <v>0.40910000000000002</v>
      </c>
      <c r="R986" s="28">
        <v>0.3</v>
      </c>
      <c r="S986" s="28">
        <v>0.29849999999999999</v>
      </c>
      <c r="T986" s="40" t="str" cm="1">
        <f t="array" ref="T986">_xlfn.IFS(S986*18.6&lt;2,"Calm",S986*18.6&lt;6,"Light Breeze",S986*18.6&lt;14,"Gale",TRUE,"Extreme Storm")</f>
        <v>Light Breeze</v>
      </c>
      <c r="U986" s="28">
        <v>40</v>
      </c>
      <c r="V986" s="28">
        <v>122</v>
      </c>
      <c r="W986" s="28">
        <v>162</v>
      </c>
      <c r="X986" s="44">
        <f>AVERAGE(INDEX($W:$W,MAX(ROW($W$3),ROW()-23)):INDEX($W:$W,ROW()))</f>
        <v>72.458333333333329</v>
      </c>
      <c r="Y986" s="44">
        <f>_xlfn.STDEV.S(INDEX($W:$W,MAX(ROW($W$3),ROW()-23)):INDEX($W:$W,ROW()))</f>
        <v>60.676604736247732</v>
      </c>
      <c r="Z986" s="44">
        <f t="shared" si="92"/>
        <v>1.4757197944066105</v>
      </c>
      <c r="AA986" s="40" t="b">
        <f t="shared" si="90"/>
        <v>0</v>
      </c>
    </row>
    <row r="987" spans="1:27" x14ac:dyDescent="0.3">
      <c r="A987" s="32">
        <v>985</v>
      </c>
      <c r="B987" s="33">
        <v>40587</v>
      </c>
      <c r="C987" s="40" t="str">
        <f t="shared" si="93"/>
        <v>Sunday</v>
      </c>
      <c r="D987" s="28">
        <v>16</v>
      </c>
      <c r="E987" s="40" t="str" cm="1">
        <f t="array" ref="E987">_xlfn.IFS(D987&gt;=21,"Night",D987&gt;=17,"Evening",D987&gt;=12,"Midday",D987&gt;=6,"Morning", TRUE, "Night")</f>
        <v>Midday</v>
      </c>
      <c r="F987" s="28">
        <v>1</v>
      </c>
      <c r="G987" s="28">
        <v>0</v>
      </c>
      <c r="H987" s="28">
        <v>2</v>
      </c>
      <c r="I987" s="28">
        <v>0</v>
      </c>
      <c r="J987" s="40" t="str">
        <f t="shared" si="94"/>
        <v>Weekday</v>
      </c>
      <c r="K987" s="28" t="b">
        <v>0</v>
      </c>
      <c r="L987" s="28">
        <v>2</v>
      </c>
      <c r="M987" s="40" t="str" cm="1">
        <f t="array" ref="M987">_xlfn.IFS(L987=1,"Clear / Partly Cloudy",L987=2,"Mist / Cloudy",L987=3,"Light Snow / Rain",L987=4,"Heavy Precipitation")</f>
        <v>Mist / Cloudy</v>
      </c>
      <c r="N987" s="28">
        <v>0.42</v>
      </c>
      <c r="O987" s="28" t="str">
        <f t="shared" si="95"/>
        <v>Mild</v>
      </c>
      <c r="P987" s="28">
        <v>0.42420000000000002</v>
      </c>
      <c r="Q987" s="38">
        <f t="shared" si="91"/>
        <v>0.42420000000000002</v>
      </c>
      <c r="R987" s="28">
        <v>0.28000000000000003</v>
      </c>
      <c r="S987" s="28">
        <v>0.32840000000000003</v>
      </c>
      <c r="T987" s="40" t="str" cm="1">
        <f t="array" ref="T987">_xlfn.IFS(S987*18.6&lt;2,"Calm",S987*18.6&lt;6,"Light Breeze",S987*18.6&lt;14,"Gale",TRUE,"Extreme Storm")</f>
        <v>Gale</v>
      </c>
      <c r="U987" s="28">
        <v>28</v>
      </c>
      <c r="V987" s="28">
        <v>106</v>
      </c>
      <c r="W987" s="28">
        <v>134</v>
      </c>
      <c r="X987" s="44">
        <f>AVERAGE(INDEX($W:$W,MAX(ROW($W$3),ROW()-23)):INDEX($W:$W,ROW()))</f>
        <v>70.791666666666671</v>
      </c>
      <c r="Y987" s="44">
        <f>_xlfn.STDEV.S(INDEX($W:$W,MAX(ROW($W$3),ROW()-23)):INDEX($W:$W,ROW()))</f>
        <v>58.267732263993295</v>
      </c>
      <c r="Z987" s="44">
        <f t="shared" si="92"/>
        <v>1.0847913738423125</v>
      </c>
      <c r="AA987" s="40" t="b">
        <f t="shared" si="90"/>
        <v>0</v>
      </c>
    </row>
    <row r="988" spans="1:27" x14ac:dyDescent="0.3">
      <c r="A988" s="32">
        <v>986</v>
      </c>
      <c r="B988" s="33">
        <v>40587</v>
      </c>
      <c r="C988" s="40" t="str">
        <f t="shared" si="93"/>
        <v>Sunday</v>
      </c>
      <c r="D988" s="28">
        <v>17</v>
      </c>
      <c r="E988" s="40" t="str" cm="1">
        <f t="array" ref="E988">_xlfn.IFS(D988&gt;=21,"Night",D988&gt;=17,"Evening",D988&gt;=12,"Midday",D988&gt;=6,"Morning", TRUE, "Night")</f>
        <v>Evening</v>
      </c>
      <c r="F988" s="28">
        <v>1</v>
      </c>
      <c r="G988" s="28">
        <v>0</v>
      </c>
      <c r="H988" s="28">
        <v>2</v>
      </c>
      <c r="I988" s="28">
        <v>0</v>
      </c>
      <c r="J988" s="40" t="str">
        <f t="shared" si="94"/>
        <v>Weekday</v>
      </c>
      <c r="K988" s="28" t="b">
        <v>0</v>
      </c>
      <c r="L988" s="28">
        <v>1</v>
      </c>
      <c r="M988" s="40" t="str" cm="1">
        <f t="array" ref="M988">_xlfn.IFS(L988=1,"Clear / Partly Cloudy",L988=2,"Mist / Cloudy",L988=3,"Light Snow / Rain",L988=4,"Heavy Precipitation")</f>
        <v>Clear / Partly Cloudy</v>
      </c>
      <c r="N988" s="28">
        <v>0.42</v>
      </c>
      <c r="O988" s="28" t="str">
        <f t="shared" si="95"/>
        <v>Mild</v>
      </c>
      <c r="P988" s="28">
        <v>0.42420000000000002</v>
      </c>
      <c r="Q988" s="38">
        <f t="shared" si="91"/>
        <v>0.42420000000000002</v>
      </c>
      <c r="R988" s="28">
        <v>0.28000000000000003</v>
      </c>
      <c r="S988" s="28">
        <v>0.32840000000000003</v>
      </c>
      <c r="T988" s="40" t="str" cm="1">
        <f t="array" ref="T988">_xlfn.IFS(S988*18.6&lt;2,"Calm",S988*18.6&lt;6,"Light Breeze",S988*18.6&lt;14,"Gale",TRUE,"Extreme Storm")</f>
        <v>Gale</v>
      </c>
      <c r="U988" s="28">
        <v>30</v>
      </c>
      <c r="V988" s="28">
        <v>95</v>
      </c>
      <c r="W988" s="28">
        <v>125</v>
      </c>
      <c r="X988" s="44">
        <f>AVERAGE(INDEX($W:$W,MAX(ROW($W$3),ROW()-23)):INDEX($W:$W,ROW()))</f>
        <v>69.958333333333329</v>
      </c>
      <c r="Y988" s="44">
        <f>_xlfn.STDEV.S(INDEX($W:$W,MAX(ROW($W$3),ROW()-23)):INDEX($W:$W,ROW()))</f>
        <v>57.295177099303736</v>
      </c>
      <c r="Z988" s="44">
        <f t="shared" si="92"/>
        <v>0.96066840968601441</v>
      </c>
      <c r="AA988" s="40" t="b">
        <f t="shared" si="90"/>
        <v>0</v>
      </c>
    </row>
    <row r="989" spans="1:27" x14ac:dyDescent="0.3">
      <c r="A989" s="32">
        <v>987</v>
      </c>
      <c r="B989" s="33">
        <v>40587</v>
      </c>
      <c r="C989" s="40" t="str">
        <f t="shared" si="93"/>
        <v>Sunday</v>
      </c>
      <c r="D989" s="28">
        <v>18</v>
      </c>
      <c r="E989" s="40" t="str" cm="1">
        <f t="array" ref="E989">_xlfn.IFS(D989&gt;=21,"Night",D989&gt;=17,"Evening",D989&gt;=12,"Midday",D989&gt;=6,"Morning", TRUE, "Night")</f>
        <v>Evening</v>
      </c>
      <c r="F989" s="28">
        <v>1</v>
      </c>
      <c r="G989" s="28">
        <v>0</v>
      </c>
      <c r="H989" s="28">
        <v>2</v>
      </c>
      <c r="I989" s="28">
        <v>0</v>
      </c>
      <c r="J989" s="40" t="str">
        <f t="shared" si="94"/>
        <v>Weekday</v>
      </c>
      <c r="K989" s="28" t="b">
        <v>0</v>
      </c>
      <c r="L989" s="28">
        <v>1</v>
      </c>
      <c r="M989" s="40" t="str" cm="1">
        <f t="array" ref="M989">_xlfn.IFS(L989=1,"Clear / Partly Cloudy",L989=2,"Mist / Cloudy",L989=3,"Light Snow / Rain",L989=4,"Heavy Precipitation")</f>
        <v>Clear / Partly Cloudy</v>
      </c>
      <c r="N989" s="28">
        <v>0.4</v>
      </c>
      <c r="O989" s="28" t="str">
        <f t="shared" si="95"/>
        <v>Mild</v>
      </c>
      <c r="P989" s="28">
        <v>0.40910000000000002</v>
      </c>
      <c r="Q989" s="38">
        <f t="shared" si="91"/>
        <v>0.40910000000000002</v>
      </c>
      <c r="R989" s="28">
        <v>0.32</v>
      </c>
      <c r="S989" s="28">
        <v>0.29849999999999999</v>
      </c>
      <c r="T989" s="40" t="str" cm="1">
        <f t="array" ref="T989">_xlfn.IFS(S989*18.6&lt;2,"Calm",S989*18.6&lt;6,"Light Breeze",S989*18.6&lt;14,"Gale",TRUE,"Extreme Storm")</f>
        <v>Light Breeze</v>
      </c>
      <c r="U989" s="28">
        <v>17</v>
      </c>
      <c r="V989" s="28">
        <v>78</v>
      </c>
      <c r="W989" s="28">
        <v>95</v>
      </c>
      <c r="X989" s="44">
        <f>AVERAGE(INDEX($W:$W,MAX(ROW($W$3),ROW()-23)):INDEX($W:$W,ROW()))</f>
        <v>68.208333333333329</v>
      </c>
      <c r="Y989" s="44">
        <f>_xlfn.STDEV.S(INDEX($W:$W,MAX(ROW($W$3),ROW()-23)):INDEX($W:$W,ROW()))</f>
        <v>55.779830519226422</v>
      </c>
      <c r="Z989" s="44">
        <f t="shared" si="92"/>
        <v>0.48031100878716382</v>
      </c>
      <c r="AA989" s="40" t="b">
        <f t="shared" si="90"/>
        <v>0</v>
      </c>
    </row>
    <row r="990" spans="1:27" x14ac:dyDescent="0.3">
      <c r="A990" s="32">
        <v>988</v>
      </c>
      <c r="B990" s="33">
        <v>40587</v>
      </c>
      <c r="C990" s="40" t="str">
        <f t="shared" si="93"/>
        <v>Sunday</v>
      </c>
      <c r="D990" s="28">
        <v>19</v>
      </c>
      <c r="E990" s="40" t="str" cm="1">
        <f t="array" ref="E990">_xlfn.IFS(D990&gt;=21,"Night",D990&gt;=17,"Evening",D990&gt;=12,"Midday",D990&gt;=6,"Morning", TRUE, "Night")</f>
        <v>Evening</v>
      </c>
      <c r="F990" s="28">
        <v>1</v>
      </c>
      <c r="G990" s="28">
        <v>0</v>
      </c>
      <c r="H990" s="28">
        <v>2</v>
      </c>
      <c r="I990" s="28">
        <v>0</v>
      </c>
      <c r="J990" s="40" t="str">
        <f t="shared" si="94"/>
        <v>Weekday</v>
      </c>
      <c r="K990" s="28" t="b">
        <v>0</v>
      </c>
      <c r="L990" s="28">
        <v>1</v>
      </c>
      <c r="M990" s="40" t="str" cm="1">
        <f t="array" ref="M990">_xlfn.IFS(L990=1,"Clear / Partly Cloudy",L990=2,"Mist / Cloudy",L990=3,"Light Snow / Rain",L990=4,"Heavy Precipitation")</f>
        <v>Clear / Partly Cloudy</v>
      </c>
      <c r="N990" s="28">
        <v>0.4</v>
      </c>
      <c r="O990" s="28" t="str">
        <f t="shared" si="95"/>
        <v>Mild</v>
      </c>
      <c r="P990" s="28">
        <v>0.40910000000000002</v>
      </c>
      <c r="Q990" s="38">
        <f t="shared" si="91"/>
        <v>0.40910000000000002</v>
      </c>
      <c r="R990" s="28">
        <v>0.35</v>
      </c>
      <c r="S990" s="28">
        <v>0.28360000000000002</v>
      </c>
      <c r="T990" s="40" t="str" cm="1">
        <f t="array" ref="T990">_xlfn.IFS(S990*18.6&lt;2,"Calm",S990*18.6&lt;6,"Light Breeze",S990*18.6&lt;14,"Gale",TRUE,"Extreme Storm")</f>
        <v>Light Breeze</v>
      </c>
      <c r="U990" s="28">
        <v>11</v>
      </c>
      <c r="V990" s="28">
        <v>50</v>
      </c>
      <c r="W990" s="28">
        <v>61</v>
      </c>
      <c r="X990" s="44">
        <f>AVERAGE(INDEX($W:$W,MAX(ROW($W$3),ROW()-23)):INDEX($W:$W,ROW()))</f>
        <v>68.083333333333329</v>
      </c>
      <c r="Y990" s="44">
        <f>_xlfn.STDEV.S(INDEX($W:$W,MAX(ROW($W$3),ROW()-23)):INDEX($W:$W,ROW()))</f>
        <v>55.793031095653689</v>
      </c>
      <c r="Z990" s="44">
        <f t="shared" si="92"/>
        <v>-0.12695731338183425</v>
      </c>
      <c r="AA990" s="40" t="b">
        <f t="shared" si="90"/>
        <v>0</v>
      </c>
    </row>
    <row r="991" spans="1:27" x14ac:dyDescent="0.3">
      <c r="A991" s="32">
        <v>989</v>
      </c>
      <c r="B991" s="33">
        <v>40587</v>
      </c>
      <c r="C991" s="40" t="str">
        <f t="shared" si="93"/>
        <v>Sunday</v>
      </c>
      <c r="D991" s="28">
        <v>20</v>
      </c>
      <c r="E991" s="40" t="str" cm="1">
        <f t="array" ref="E991">_xlfn.IFS(D991&gt;=21,"Night",D991&gt;=17,"Evening",D991&gt;=12,"Midday",D991&gt;=6,"Morning", TRUE, "Night")</f>
        <v>Evening</v>
      </c>
      <c r="F991" s="28">
        <v>1</v>
      </c>
      <c r="G991" s="28">
        <v>0</v>
      </c>
      <c r="H991" s="28">
        <v>2</v>
      </c>
      <c r="I991" s="28">
        <v>0</v>
      </c>
      <c r="J991" s="40" t="str">
        <f t="shared" si="94"/>
        <v>Weekday</v>
      </c>
      <c r="K991" s="28" t="b">
        <v>0</v>
      </c>
      <c r="L991" s="28">
        <v>1</v>
      </c>
      <c r="M991" s="40" t="str" cm="1">
        <f t="array" ref="M991">_xlfn.IFS(L991=1,"Clear / Partly Cloudy",L991=2,"Mist / Cloudy",L991=3,"Light Snow / Rain",L991=4,"Heavy Precipitation")</f>
        <v>Clear / Partly Cloudy</v>
      </c>
      <c r="N991" s="28">
        <v>0.4</v>
      </c>
      <c r="O991" s="28" t="str">
        <f t="shared" si="95"/>
        <v>Mild</v>
      </c>
      <c r="P991" s="28">
        <v>0.40910000000000002</v>
      </c>
      <c r="Q991" s="38">
        <f t="shared" si="91"/>
        <v>0.40910000000000002</v>
      </c>
      <c r="R991" s="28">
        <v>0.35</v>
      </c>
      <c r="S991" s="28">
        <v>0.32840000000000003</v>
      </c>
      <c r="T991" s="40" t="str" cm="1">
        <f t="array" ref="T991">_xlfn.IFS(S991*18.6&lt;2,"Calm",S991*18.6&lt;6,"Light Breeze",S991*18.6&lt;14,"Gale",TRUE,"Extreme Storm")</f>
        <v>Gale</v>
      </c>
      <c r="U991" s="28">
        <v>15</v>
      </c>
      <c r="V991" s="28">
        <v>32</v>
      </c>
      <c r="W991" s="28">
        <v>47</v>
      </c>
      <c r="X991" s="44">
        <f>AVERAGE(INDEX($W:$W,MAX(ROW($W$3),ROW()-23)):INDEX($W:$W,ROW()))</f>
        <v>68.333333333333329</v>
      </c>
      <c r="Y991" s="44">
        <f>_xlfn.STDEV.S(INDEX($W:$W,MAX(ROW($W$3),ROW()-23)):INDEX($W:$W,ROW()))</f>
        <v>55.679725969673839</v>
      </c>
      <c r="Z991" s="44">
        <f t="shared" si="92"/>
        <v>-0.38314364810187113</v>
      </c>
      <c r="AA991" s="40" t="b">
        <f t="shared" si="90"/>
        <v>0</v>
      </c>
    </row>
    <row r="992" spans="1:27" x14ac:dyDescent="0.3">
      <c r="A992" s="32">
        <v>990</v>
      </c>
      <c r="B992" s="33">
        <v>40587</v>
      </c>
      <c r="C992" s="40" t="str">
        <f t="shared" si="93"/>
        <v>Sunday</v>
      </c>
      <c r="D992" s="28">
        <v>21</v>
      </c>
      <c r="E992" s="40" t="str" cm="1">
        <f t="array" ref="E992">_xlfn.IFS(D992&gt;=21,"Night",D992&gt;=17,"Evening",D992&gt;=12,"Midday",D992&gt;=6,"Morning", TRUE, "Night")</f>
        <v>Night</v>
      </c>
      <c r="F992" s="28">
        <v>1</v>
      </c>
      <c r="G992" s="28">
        <v>0</v>
      </c>
      <c r="H992" s="28">
        <v>2</v>
      </c>
      <c r="I992" s="28">
        <v>0</v>
      </c>
      <c r="J992" s="40" t="str">
        <f t="shared" si="94"/>
        <v>Weekday</v>
      </c>
      <c r="K992" s="28" t="b">
        <v>0</v>
      </c>
      <c r="L992" s="28">
        <v>1</v>
      </c>
      <c r="M992" s="40" t="str" cm="1">
        <f t="array" ref="M992">_xlfn.IFS(L992=1,"Clear / Partly Cloudy",L992=2,"Mist / Cloudy",L992=3,"Light Snow / Rain",L992=4,"Heavy Precipitation")</f>
        <v>Clear / Partly Cloudy</v>
      </c>
      <c r="N992" s="28">
        <v>0.4</v>
      </c>
      <c r="O992" s="28" t="str">
        <f t="shared" si="95"/>
        <v>Mild</v>
      </c>
      <c r="P992" s="28">
        <v>0.40910000000000002</v>
      </c>
      <c r="Q992" s="38">
        <f t="shared" si="91"/>
        <v>0.40910000000000002</v>
      </c>
      <c r="R992" s="28">
        <v>0.35</v>
      </c>
      <c r="S992" s="28">
        <v>0.35820000000000002</v>
      </c>
      <c r="T992" s="40" t="str" cm="1">
        <f t="array" ref="T992">_xlfn.IFS(S992*18.6&lt;2,"Calm",S992*18.6&lt;6,"Light Breeze",S992*18.6&lt;14,"Gale",TRUE,"Extreme Storm")</f>
        <v>Gale</v>
      </c>
      <c r="U992" s="28">
        <v>6</v>
      </c>
      <c r="V992" s="28">
        <v>45</v>
      </c>
      <c r="W992" s="28">
        <v>51</v>
      </c>
      <c r="X992" s="44">
        <f>AVERAGE(INDEX($W:$W,MAX(ROW($W$3),ROW()-23)):INDEX($W:$W,ROW()))</f>
        <v>68.791666666666671</v>
      </c>
      <c r="Y992" s="44">
        <f>_xlfn.STDEV.S(INDEX($W:$W,MAX(ROW($W$3),ROW()-23)):INDEX($W:$W,ROW()))</f>
        <v>55.481277035133886</v>
      </c>
      <c r="Z992" s="44">
        <f t="shared" si="92"/>
        <v>-0.32067875177782912</v>
      </c>
      <c r="AA992" s="40" t="b">
        <f t="shared" si="90"/>
        <v>0</v>
      </c>
    </row>
    <row r="993" spans="1:27" x14ac:dyDescent="0.3">
      <c r="A993" s="32">
        <v>991</v>
      </c>
      <c r="B993" s="33">
        <v>40587</v>
      </c>
      <c r="C993" s="40" t="str">
        <f t="shared" si="93"/>
        <v>Sunday</v>
      </c>
      <c r="D993" s="28">
        <v>22</v>
      </c>
      <c r="E993" s="40" t="str" cm="1">
        <f t="array" ref="E993">_xlfn.IFS(D993&gt;=21,"Night",D993&gt;=17,"Evening",D993&gt;=12,"Midday",D993&gt;=6,"Morning", TRUE, "Night")</f>
        <v>Night</v>
      </c>
      <c r="F993" s="28">
        <v>1</v>
      </c>
      <c r="G993" s="28">
        <v>0</v>
      </c>
      <c r="H993" s="28">
        <v>2</v>
      </c>
      <c r="I993" s="28">
        <v>0</v>
      </c>
      <c r="J993" s="40" t="str">
        <f t="shared" si="94"/>
        <v>Weekday</v>
      </c>
      <c r="K993" s="28" t="b">
        <v>0</v>
      </c>
      <c r="L993" s="28">
        <v>1</v>
      </c>
      <c r="M993" s="40" t="str" cm="1">
        <f t="array" ref="M993">_xlfn.IFS(L993=1,"Clear / Partly Cloudy",L993=2,"Mist / Cloudy",L993=3,"Light Snow / Rain",L993=4,"Heavy Precipitation")</f>
        <v>Clear / Partly Cloudy</v>
      </c>
      <c r="N993" s="28">
        <v>0.4</v>
      </c>
      <c r="O993" s="28" t="str">
        <f t="shared" si="95"/>
        <v>Mild</v>
      </c>
      <c r="P993" s="28">
        <v>0.40910000000000002</v>
      </c>
      <c r="Q993" s="38">
        <f t="shared" si="91"/>
        <v>0.40910000000000002</v>
      </c>
      <c r="R993" s="28">
        <v>0.35</v>
      </c>
      <c r="S993" s="28">
        <v>0.29849999999999999</v>
      </c>
      <c r="T993" s="40" t="str" cm="1">
        <f t="array" ref="T993">_xlfn.IFS(S993*18.6&lt;2,"Calm",S993*18.6&lt;6,"Light Breeze",S993*18.6&lt;14,"Gale",TRUE,"Extreme Storm")</f>
        <v>Light Breeze</v>
      </c>
      <c r="U993" s="28">
        <v>5</v>
      </c>
      <c r="V993" s="28">
        <v>31</v>
      </c>
      <c r="W993" s="28">
        <v>36</v>
      </c>
      <c r="X993" s="44">
        <f>AVERAGE(INDEX($W:$W,MAX(ROW($W$3),ROW()-23)):INDEX($W:$W,ROW()))</f>
        <v>68.166666666666671</v>
      </c>
      <c r="Y993" s="44">
        <f>_xlfn.STDEV.S(INDEX($W:$W,MAX(ROW($W$3),ROW()-23)):INDEX($W:$W,ROW()))</f>
        <v>55.774130411763529</v>
      </c>
      <c r="Z993" s="44">
        <f t="shared" si="92"/>
        <v>-0.57673094011847259</v>
      </c>
      <c r="AA993" s="40" t="b">
        <f t="shared" si="90"/>
        <v>0</v>
      </c>
    </row>
    <row r="994" spans="1:27" x14ac:dyDescent="0.3">
      <c r="A994" s="32">
        <v>992</v>
      </c>
      <c r="B994" s="33">
        <v>40587</v>
      </c>
      <c r="C994" s="40" t="str">
        <f t="shared" si="93"/>
        <v>Sunday</v>
      </c>
      <c r="D994" s="28">
        <v>23</v>
      </c>
      <c r="E994" s="40" t="str" cm="1">
        <f t="array" ref="E994">_xlfn.IFS(D994&gt;=21,"Night",D994&gt;=17,"Evening",D994&gt;=12,"Midday",D994&gt;=6,"Morning", TRUE, "Night")</f>
        <v>Night</v>
      </c>
      <c r="F994" s="28">
        <v>1</v>
      </c>
      <c r="G994" s="28">
        <v>0</v>
      </c>
      <c r="H994" s="28">
        <v>2</v>
      </c>
      <c r="I994" s="28">
        <v>0</v>
      </c>
      <c r="J994" s="40" t="str">
        <f t="shared" si="94"/>
        <v>Weekday</v>
      </c>
      <c r="K994" s="28" t="b">
        <v>0</v>
      </c>
      <c r="L994" s="28">
        <v>1</v>
      </c>
      <c r="M994" s="40" t="str" cm="1">
        <f t="array" ref="M994">_xlfn.IFS(L994=1,"Clear / Partly Cloudy",L994=2,"Mist / Cloudy",L994=3,"Light Snow / Rain",L994=4,"Heavy Precipitation")</f>
        <v>Clear / Partly Cloudy</v>
      </c>
      <c r="N994" s="28">
        <v>0.4</v>
      </c>
      <c r="O994" s="28" t="str">
        <f t="shared" si="95"/>
        <v>Mild</v>
      </c>
      <c r="P994" s="28">
        <v>0.40910000000000002</v>
      </c>
      <c r="Q994" s="38">
        <f t="shared" si="91"/>
        <v>0.40910000000000002</v>
      </c>
      <c r="R994" s="28">
        <v>0.35</v>
      </c>
      <c r="S994" s="28">
        <v>0.35820000000000002</v>
      </c>
      <c r="T994" s="40" t="str" cm="1">
        <f t="array" ref="T994">_xlfn.IFS(S994*18.6&lt;2,"Calm",S994*18.6&lt;6,"Light Breeze",S994*18.6&lt;14,"Gale",TRUE,"Extreme Storm")</f>
        <v>Gale</v>
      </c>
      <c r="U994" s="28">
        <v>3</v>
      </c>
      <c r="V994" s="28">
        <v>27</v>
      </c>
      <c r="W994" s="28">
        <v>30</v>
      </c>
      <c r="X994" s="44">
        <f>AVERAGE(INDEX($W:$W,MAX(ROW($W$3),ROW()-23)):INDEX($W:$W,ROW()))</f>
        <v>67.541666666666671</v>
      </c>
      <c r="Y994" s="44">
        <f>_xlfn.STDEV.S(INDEX($W:$W,MAX(ROW($W$3),ROW()-23)):INDEX($W:$W,ROW()))</f>
        <v>56.127943259064409</v>
      </c>
      <c r="Z994" s="44">
        <f t="shared" si="92"/>
        <v>-0.66885876244189402</v>
      </c>
      <c r="AA994" s="40" t="b">
        <f t="shared" si="90"/>
        <v>0</v>
      </c>
    </row>
    <row r="995" spans="1:27" x14ac:dyDescent="0.3">
      <c r="A995" s="32">
        <v>993</v>
      </c>
      <c r="B995" s="33">
        <v>40588</v>
      </c>
      <c r="C995" s="40" t="str">
        <f t="shared" si="93"/>
        <v>Monday</v>
      </c>
      <c r="D995" s="28">
        <v>0</v>
      </c>
      <c r="E995" s="40" t="str" cm="1">
        <f t="array" ref="E995">_xlfn.IFS(D995&gt;=21,"Night",D995&gt;=17,"Evening",D995&gt;=12,"Midday",D995&gt;=6,"Morning", TRUE, "Night")</f>
        <v>Night</v>
      </c>
      <c r="F995" s="28">
        <v>1</v>
      </c>
      <c r="G995" s="28">
        <v>0</v>
      </c>
      <c r="H995" s="28">
        <v>2</v>
      </c>
      <c r="I995" s="28">
        <v>1</v>
      </c>
      <c r="J995" s="40" t="str">
        <f t="shared" si="94"/>
        <v>Weekday</v>
      </c>
      <c r="K995" s="28" t="b">
        <v>0</v>
      </c>
      <c r="L995" s="28">
        <v>1</v>
      </c>
      <c r="M995" s="40" t="str" cm="1">
        <f t="array" ref="M995">_xlfn.IFS(L995=1,"Clear / Partly Cloudy",L995=2,"Mist / Cloudy",L995=3,"Light Snow / Rain",L995=4,"Heavy Precipitation")</f>
        <v>Clear / Partly Cloudy</v>
      </c>
      <c r="N995" s="28">
        <v>0.38</v>
      </c>
      <c r="O995" s="28" t="str">
        <f t="shared" si="95"/>
        <v>Mild</v>
      </c>
      <c r="P995" s="28">
        <v>0.39389999999999997</v>
      </c>
      <c r="Q995" s="38">
        <f t="shared" si="91"/>
        <v>0.39389999999999997</v>
      </c>
      <c r="R995" s="28">
        <v>0.37</v>
      </c>
      <c r="S995" s="28">
        <v>0.35820000000000002</v>
      </c>
      <c r="T995" s="40" t="str" cm="1">
        <f t="array" ref="T995">_xlfn.IFS(S995*18.6&lt;2,"Calm",S995*18.6&lt;6,"Light Breeze",S995*18.6&lt;14,"Gale",TRUE,"Extreme Storm")</f>
        <v>Gale</v>
      </c>
      <c r="U995" s="28">
        <v>3</v>
      </c>
      <c r="V995" s="28">
        <v>8</v>
      </c>
      <c r="W995" s="28">
        <v>11</v>
      </c>
      <c r="X995" s="44">
        <f>AVERAGE(INDEX($W:$W,MAX(ROW($W$3),ROW()-23)):INDEX($W:$W,ROW()))</f>
        <v>66.666666666666671</v>
      </c>
      <c r="Y995" s="44">
        <f>_xlfn.STDEV.S(INDEX($W:$W,MAX(ROW($W$3),ROW()-23)):INDEX($W:$W,ROW()))</f>
        <v>56.864955714445053</v>
      </c>
      <c r="Z995" s="44">
        <f t="shared" si="92"/>
        <v>-0.97892746010749132</v>
      </c>
      <c r="AA995" s="40" t="b">
        <f t="shared" si="90"/>
        <v>0</v>
      </c>
    </row>
    <row r="996" spans="1:27" x14ac:dyDescent="0.3">
      <c r="A996" s="32">
        <v>994</v>
      </c>
      <c r="B996" s="33">
        <v>40588</v>
      </c>
      <c r="C996" s="40" t="str">
        <f t="shared" si="93"/>
        <v>Monday</v>
      </c>
      <c r="D996" s="28">
        <v>1</v>
      </c>
      <c r="E996" s="40" t="str" cm="1">
        <f t="array" ref="E996">_xlfn.IFS(D996&gt;=21,"Night",D996&gt;=17,"Evening",D996&gt;=12,"Midday",D996&gt;=6,"Morning", TRUE, "Night")</f>
        <v>Night</v>
      </c>
      <c r="F996" s="28">
        <v>1</v>
      </c>
      <c r="G996" s="28">
        <v>0</v>
      </c>
      <c r="H996" s="28">
        <v>2</v>
      </c>
      <c r="I996" s="28">
        <v>1</v>
      </c>
      <c r="J996" s="40" t="str">
        <f t="shared" si="94"/>
        <v>Weekday</v>
      </c>
      <c r="K996" s="28" t="b">
        <v>0</v>
      </c>
      <c r="L996" s="28">
        <v>1</v>
      </c>
      <c r="M996" s="40" t="str" cm="1">
        <f t="array" ref="M996">_xlfn.IFS(L996=1,"Clear / Partly Cloudy",L996=2,"Mist / Cloudy",L996=3,"Light Snow / Rain",L996=4,"Heavy Precipitation")</f>
        <v>Clear / Partly Cloudy</v>
      </c>
      <c r="N996" s="28">
        <v>0.38</v>
      </c>
      <c r="O996" s="28" t="str">
        <f t="shared" si="95"/>
        <v>Mild</v>
      </c>
      <c r="P996" s="28">
        <v>0.39389999999999997</v>
      </c>
      <c r="Q996" s="38">
        <f t="shared" si="91"/>
        <v>0.39389999999999997</v>
      </c>
      <c r="R996" s="28">
        <v>0.37</v>
      </c>
      <c r="S996" s="28">
        <v>0.35820000000000002</v>
      </c>
      <c r="T996" s="40" t="str" cm="1">
        <f t="array" ref="T996">_xlfn.IFS(S996*18.6&lt;2,"Calm",S996*18.6&lt;6,"Light Breeze",S996*18.6&lt;14,"Gale",TRUE,"Extreme Storm")</f>
        <v>Gale</v>
      </c>
      <c r="U996" s="28">
        <v>1</v>
      </c>
      <c r="V996" s="28">
        <v>6</v>
      </c>
      <c r="W996" s="28">
        <v>7</v>
      </c>
      <c r="X996" s="44">
        <f>AVERAGE(INDEX($W:$W,MAX(ROW($W$3),ROW()-23)):INDEX($W:$W,ROW()))</f>
        <v>65.333333333333329</v>
      </c>
      <c r="Y996" s="44">
        <f>_xlfn.STDEV.S(INDEX($W:$W,MAX(ROW($W$3),ROW()-23)):INDEX($W:$W,ROW()))</f>
        <v>57.907472422122176</v>
      </c>
      <c r="Z996" s="44">
        <f t="shared" si="92"/>
        <v>-1.0073541616202275</v>
      </c>
      <c r="AA996" s="40" t="b">
        <f t="shared" si="90"/>
        <v>0</v>
      </c>
    </row>
    <row r="997" spans="1:27" x14ac:dyDescent="0.3">
      <c r="A997" s="32">
        <v>995</v>
      </c>
      <c r="B997" s="33">
        <v>40588</v>
      </c>
      <c r="C997" s="40" t="str">
        <f t="shared" si="93"/>
        <v>Monday</v>
      </c>
      <c r="D997" s="28">
        <v>2</v>
      </c>
      <c r="E997" s="40" t="str" cm="1">
        <f t="array" ref="E997">_xlfn.IFS(D997&gt;=21,"Night",D997&gt;=17,"Evening",D997&gt;=12,"Midday",D997&gt;=6,"Morning", TRUE, "Night")</f>
        <v>Night</v>
      </c>
      <c r="F997" s="28">
        <v>1</v>
      </c>
      <c r="G997" s="28">
        <v>0</v>
      </c>
      <c r="H997" s="28">
        <v>2</v>
      </c>
      <c r="I997" s="28">
        <v>1</v>
      </c>
      <c r="J997" s="40" t="str">
        <f t="shared" si="94"/>
        <v>Weekday</v>
      </c>
      <c r="K997" s="28" t="b">
        <v>0</v>
      </c>
      <c r="L997" s="28">
        <v>1</v>
      </c>
      <c r="M997" s="40" t="str" cm="1">
        <f t="array" ref="M997">_xlfn.IFS(L997=1,"Clear / Partly Cloudy",L997=2,"Mist / Cloudy",L997=3,"Light Snow / Rain",L997=4,"Heavy Precipitation")</f>
        <v>Clear / Partly Cloudy</v>
      </c>
      <c r="N997" s="28">
        <v>0.36</v>
      </c>
      <c r="O997" s="28" t="str">
        <f t="shared" si="95"/>
        <v>Mild</v>
      </c>
      <c r="P997" s="28">
        <v>0.33329999999999999</v>
      </c>
      <c r="Q997" s="38">
        <f t="shared" si="91"/>
        <v>0.33329999999999999</v>
      </c>
      <c r="R997" s="28">
        <v>0.4</v>
      </c>
      <c r="S997" s="28">
        <v>0.29849999999999999</v>
      </c>
      <c r="T997" s="40" t="str" cm="1">
        <f t="array" ref="T997">_xlfn.IFS(S997*18.6&lt;2,"Calm",S997*18.6&lt;6,"Light Breeze",S997*18.6&lt;14,"Gale",TRUE,"Extreme Storm")</f>
        <v>Light Breeze</v>
      </c>
      <c r="U997" s="28">
        <v>0</v>
      </c>
      <c r="V997" s="28">
        <v>2</v>
      </c>
      <c r="W997" s="28">
        <v>2</v>
      </c>
      <c r="X997" s="44">
        <f>AVERAGE(INDEX($W:$W,MAX(ROW($W$3),ROW()-23)):INDEX($W:$W,ROW()))</f>
        <v>64.416666666666671</v>
      </c>
      <c r="Y997" s="44">
        <f>_xlfn.STDEV.S(INDEX($W:$W,MAX(ROW($W$3),ROW()-23)):INDEX($W:$W,ROW()))</f>
        <v>58.758101507397456</v>
      </c>
      <c r="Z997" s="44">
        <f t="shared" si="92"/>
        <v>-1.0622648633194627</v>
      </c>
      <c r="AA997" s="40" t="b">
        <f t="shared" si="90"/>
        <v>0</v>
      </c>
    </row>
    <row r="998" spans="1:27" x14ac:dyDescent="0.3">
      <c r="A998" s="32">
        <v>996</v>
      </c>
      <c r="B998" s="33">
        <v>40588</v>
      </c>
      <c r="C998" s="40" t="str">
        <f t="shared" si="93"/>
        <v>Monday</v>
      </c>
      <c r="D998" s="28">
        <v>3</v>
      </c>
      <c r="E998" s="40" t="str" cm="1">
        <f t="array" ref="E998">_xlfn.IFS(D998&gt;=21,"Night",D998&gt;=17,"Evening",D998&gt;=12,"Midday",D998&gt;=6,"Morning", TRUE, "Night")</f>
        <v>Night</v>
      </c>
      <c r="F998" s="28">
        <v>1</v>
      </c>
      <c r="G998" s="28">
        <v>0</v>
      </c>
      <c r="H998" s="28">
        <v>2</v>
      </c>
      <c r="I998" s="28">
        <v>1</v>
      </c>
      <c r="J998" s="40" t="str">
        <f t="shared" si="94"/>
        <v>Weekday</v>
      </c>
      <c r="K998" s="28" t="b">
        <v>0</v>
      </c>
      <c r="L998" s="28">
        <v>1</v>
      </c>
      <c r="M998" s="40" t="str" cm="1">
        <f t="array" ref="M998">_xlfn.IFS(L998=1,"Clear / Partly Cloudy",L998=2,"Mist / Cloudy",L998=3,"Light Snow / Rain",L998=4,"Heavy Precipitation")</f>
        <v>Clear / Partly Cloudy</v>
      </c>
      <c r="N998" s="28">
        <v>0.34</v>
      </c>
      <c r="O998" s="28" t="str">
        <f t="shared" si="95"/>
        <v>Mild</v>
      </c>
      <c r="P998" s="28">
        <v>0.31819999999999998</v>
      </c>
      <c r="Q998" s="38">
        <f t="shared" si="91"/>
        <v>0.31819999999999998</v>
      </c>
      <c r="R998" s="28">
        <v>0.46</v>
      </c>
      <c r="S998" s="28">
        <v>0.22389999999999999</v>
      </c>
      <c r="T998" s="40" t="str" cm="1">
        <f t="array" ref="T998">_xlfn.IFS(S998*18.6&lt;2,"Calm",S998*18.6&lt;6,"Light Breeze",S998*18.6&lt;14,"Gale",TRUE,"Extreme Storm")</f>
        <v>Light Breeze</v>
      </c>
      <c r="U998" s="28">
        <v>1</v>
      </c>
      <c r="V998" s="28">
        <v>1</v>
      </c>
      <c r="W998" s="28">
        <v>2</v>
      </c>
      <c r="X998" s="44">
        <f>AVERAGE(INDEX($W:$W,MAX(ROW($W$3),ROW()-23)):INDEX($W:$W,ROW()))</f>
        <v>63.666666666666664</v>
      </c>
      <c r="Y998" s="44">
        <f>_xlfn.STDEV.S(INDEX($W:$W,MAX(ROW($W$3),ROW()-23)):INDEX($W:$W,ROW()))</f>
        <v>59.460375308974108</v>
      </c>
      <c r="Z998" s="44">
        <f t="shared" si="92"/>
        <v>-1.0371052376684136</v>
      </c>
      <c r="AA998" s="40" t="b">
        <f t="shared" si="90"/>
        <v>0</v>
      </c>
    </row>
    <row r="999" spans="1:27" x14ac:dyDescent="0.3">
      <c r="A999" s="32">
        <v>997</v>
      </c>
      <c r="B999" s="33">
        <v>40588</v>
      </c>
      <c r="C999" s="40" t="str">
        <f t="shared" si="93"/>
        <v>Monday</v>
      </c>
      <c r="D999" s="28">
        <v>4</v>
      </c>
      <c r="E999" s="40" t="str" cm="1">
        <f t="array" ref="E999">_xlfn.IFS(D999&gt;=21,"Night",D999&gt;=17,"Evening",D999&gt;=12,"Midday",D999&gt;=6,"Morning", TRUE, "Night")</f>
        <v>Night</v>
      </c>
      <c r="F999" s="28">
        <v>1</v>
      </c>
      <c r="G999" s="28">
        <v>0</v>
      </c>
      <c r="H999" s="28">
        <v>2</v>
      </c>
      <c r="I999" s="28">
        <v>1</v>
      </c>
      <c r="J999" s="40" t="str">
        <f t="shared" si="94"/>
        <v>Weekday</v>
      </c>
      <c r="K999" s="28" t="b">
        <v>0</v>
      </c>
      <c r="L999" s="28">
        <v>1</v>
      </c>
      <c r="M999" s="40" t="str" cm="1">
        <f t="array" ref="M999">_xlfn.IFS(L999=1,"Clear / Partly Cloudy",L999=2,"Mist / Cloudy",L999=3,"Light Snow / Rain",L999=4,"Heavy Precipitation")</f>
        <v>Clear / Partly Cloudy</v>
      </c>
      <c r="N999" s="28">
        <v>0.32</v>
      </c>
      <c r="O999" s="28" t="str">
        <f t="shared" si="95"/>
        <v>Mild</v>
      </c>
      <c r="P999" s="28">
        <v>0.30299999999999999</v>
      </c>
      <c r="Q999" s="38">
        <f t="shared" si="91"/>
        <v>0.30299999999999999</v>
      </c>
      <c r="R999" s="28">
        <v>0.53</v>
      </c>
      <c r="S999" s="28">
        <v>0.28360000000000002</v>
      </c>
      <c r="T999" s="40" t="str" cm="1">
        <f t="array" ref="T999">_xlfn.IFS(S999*18.6&lt;2,"Calm",S999*18.6&lt;6,"Light Breeze",S999*18.6&lt;14,"Gale",TRUE,"Extreme Storm")</f>
        <v>Light Breeze</v>
      </c>
      <c r="U999" s="28">
        <v>0</v>
      </c>
      <c r="V999" s="28">
        <v>2</v>
      </c>
      <c r="W999" s="28">
        <v>2</v>
      </c>
      <c r="X999" s="44">
        <f>AVERAGE(INDEX($W:$W,MAX(ROW($W$3),ROW()-23)):INDEX($W:$W,ROW()))</f>
        <v>63.25</v>
      </c>
      <c r="Y999" s="44">
        <f>_xlfn.STDEV.S(INDEX($W:$W,MAX(ROW($W$3),ROW()-23)):INDEX($W:$W,ROW()))</f>
        <v>59.871783293823881</v>
      </c>
      <c r="Z999" s="44">
        <f t="shared" si="92"/>
        <v>-1.0230194697794861</v>
      </c>
      <c r="AA999" s="40" t="b">
        <f t="shared" si="90"/>
        <v>0</v>
      </c>
    </row>
    <row r="1000" spans="1:27" x14ac:dyDescent="0.3">
      <c r="A1000" s="32">
        <v>998</v>
      </c>
      <c r="B1000" s="33">
        <v>40588</v>
      </c>
      <c r="C1000" s="40" t="str">
        <f t="shared" si="93"/>
        <v>Monday</v>
      </c>
      <c r="D1000" s="28">
        <v>5</v>
      </c>
      <c r="E1000" s="40" t="str" cm="1">
        <f t="array" ref="E1000">_xlfn.IFS(D1000&gt;=21,"Night",D1000&gt;=17,"Evening",D1000&gt;=12,"Midday",D1000&gt;=6,"Morning", TRUE, "Night")</f>
        <v>Night</v>
      </c>
      <c r="F1000" s="28">
        <v>1</v>
      </c>
      <c r="G1000" s="28">
        <v>0</v>
      </c>
      <c r="H1000" s="28">
        <v>2</v>
      </c>
      <c r="I1000" s="28">
        <v>1</v>
      </c>
      <c r="J1000" s="40" t="str">
        <f t="shared" si="94"/>
        <v>Weekday</v>
      </c>
      <c r="K1000" s="28" t="b">
        <v>0</v>
      </c>
      <c r="L1000" s="28">
        <v>1</v>
      </c>
      <c r="M1000" s="40" t="str" cm="1">
        <f t="array" ref="M1000">_xlfn.IFS(L1000=1,"Clear / Partly Cloudy",L1000=2,"Mist / Cloudy",L1000=3,"Light Snow / Rain",L1000=4,"Heavy Precipitation")</f>
        <v>Clear / Partly Cloudy</v>
      </c>
      <c r="N1000" s="28">
        <v>0.32</v>
      </c>
      <c r="O1000" s="28" t="str">
        <f t="shared" si="95"/>
        <v>Mild</v>
      </c>
      <c r="P1000" s="28">
        <v>0.30299999999999999</v>
      </c>
      <c r="Q1000" s="38">
        <f t="shared" si="91"/>
        <v>0.30299999999999999</v>
      </c>
      <c r="R1000" s="28">
        <v>0.53</v>
      </c>
      <c r="S1000" s="28">
        <v>0.28360000000000002</v>
      </c>
      <c r="T1000" s="40" t="str" cm="1">
        <f t="array" ref="T1000">_xlfn.IFS(S1000*18.6&lt;2,"Calm",S1000*18.6&lt;6,"Light Breeze",S1000*18.6&lt;14,"Gale",TRUE,"Extreme Storm")</f>
        <v>Light Breeze</v>
      </c>
      <c r="U1000" s="28">
        <v>0</v>
      </c>
      <c r="V1000" s="28">
        <v>3</v>
      </c>
      <c r="W1000" s="28">
        <v>3</v>
      </c>
      <c r="X1000" s="44">
        <f>AVERAGE(INDEX($W:$W,MAX(ROW($W$3),ROW()-23)):INDEX($W:$W,ROW()))</f>
        <v>63.291666666666664</v>
      </c>
      <c r="Y1000" s="44">
        <f>_xlfn.STDEV.S(INDEX($W:$W,MAX(ROW($W$3),ROW()-23)):INDEX($W:$W,ROW()))</f>
        <v>59.82763587584548</v>
      </c>
      <c r="Z1000" s="44">
        <f t="shared" si="92"/>
        <v>-1.0077561278166522</v>
      </c>
      <c r="AA1000" s="40" t="b">
        <f t="shared" si="90"/>
        <v>0</v>
      </c>
    </row>
    <row r="1001" spans="1:27" x14ac:dyDescent="0.3">
      <c r="A1001" s="32">
        <v>999</v>
      </c>
      <c r="B1001" s="33">
        <v>40588</v>
      </c>
      <c r="C1001" s="40" t="str">
        <f t="shared" si="93"/>
        <v>Monday</v>
      </c>
      <c r="D1001" s="28">
        <v>6</v>
      </c>
      <c r="E1001" s="40" t="str" cm="1">
        <f t="array" ref="E1001">_xlfn.IFS(D1001&gt;=21,"Night",D1001&gt;=17,"Evening",D1001&gt;=12,"Midday",D1001&gt;=6,"Morning", TRUE, "Night")</f>
        <v>Morning</v>
      </c>
      <c r="F1001" s="28">
        <v>1</v>
      </c>
      <c r="G1001" s="28">
        <v>0</v>
      </c>
      <c r="H1001" s="28">
        <v>2</v>
      </c>
      <c r="I1001" s="28">
        <v>1</v>
      </c>
      <c r="J1001" s="40" t="str">
        <f t="shared" si="94"/>
        <v>Weekday</v>
      </c>
      <c r="K1001" s="28" t="b">
        <v>0</v>
      </c>
      <c r="L1001" s="28">
        <v>1</v>
      </c>
      <c r="M1001" s="40" t="str" cm="1">
        <f t="array" ref="M1001">_xlfn.IFS(L1001=1,"Clear / Partly Cloudy",L1001=2,"Mist / Cloudy",L1001=3,"Light Snow / Rain",L1001=4,"Heavy Precipitation")</f>
        <v>Clear / Partly Cloudy</v>
      </c>
      <c r="N1001" s="28">
        <v>0.34</v>
      </c>
      <c r="O1001" s="28" t="str">
        <f t="shared" si="95"/>
        <v>Mild</v>
      </c>
      <c r="P1001" s="28">
        <v>0.30299999999999999</v>
      </c>
      <c r="Q1001" s="38">
        <f t="shared" si="91"/>
        <v>0.30299999999999999</v>
      </c>
      <c r="R1001" s="28">
        <v>0.46</v>
      </c>
      <c r="S1001" s="28">
        <v>0.29849999999999999</v>
      </c>
      <c r="T1001" s="40" t="str" cm="1">
        <f t="array" ref="T1001">_xlfn.IFS(S1001*18.6&lt;2,"Calm",S1001*18.6&lt;6,"Light Breeze",S1001*18.6&lt;14,"Gale",TRUE,"Extreme Storm")</f>
        <v>Light Breeze</v>
      </c>
      <c r="U1001" s="28">
        <v>1</v>
      </c>
      <c r="V1001" s="28">
        <v>25</v>
      </c>
      <c r="W1001" s="28">
        <v>26</v>
      </c>
      <c r="X1001" s="44">
        <f>AVERAGE(INDEX($W:$W,MAX(ROW($W$3),ROW()-23)):INDEX($W:$W,ROW()))</f>
        <v>64.166666666666671</v>
      </c>
      <c r="Y1001" s="44">
        <f>_xlfn.STDEV.S(INDEX($W:$W,MAX(ROW($W$3),ROW()-23)):INDEX($W:$W,ROW()))</f>
        <v>59.087015175238292</v>
      </c>
      <c r="Z1001" s="44">
        <f t="shared" si="92"/>
        <v>-0.64594000142794905</v>
      </c>
      <c r="AA1001" s="40" t="b">
        <f t="shared" si="90"/>
        <v>0</v>
      </c>
    </row>
    <row r="1002" spans="1:27" x14ac:dyDescent="0.3">
      <c r="A1002" s="34">
        <v>1000</v>
      </c>
      <c r="B1002" s="35">
        <v>40588</v>
      </c>
      <c r="C1002" s="41" t="str">
        <f t="shared" si="93"/>
        <v>Monday</v>
      </c>
      <c r="D1002" s="36">
        <v>7</v>
      </c>
      <c r="E1002" s="41" t="str" cm="1">
        <f t="array" ref="E1002">_xlfn.IFS(D1002&gt;=21,"Night",D1002&gt;=17,"Evening",D1002&gt;=12,"Midday",D1002&gt;=6,"Morning", TRUE, "Night")</f>
        <v>Morning</v>
      </c>
      <c r="F1002" s="36">
        <v>1</v>
      </c>
      <c r="G1002" s="36">
        <v>0</v>
      </c>
      <c r="H1002" s="36">
        <v>2</v>
      </c>
      <c r="I1002" s="36">
        <v>1</v>
      </c>
      <c r="J1002" s="41" t="str">
        <f t="shared" si="94"/>
        <v>Weekday</v>
      </c>
      <c r="K1002" s="36" t="b">
        <v>0</v>
      </c>
      <c r="L1002" s="36">
        <v>1</v>
      </c>
      <c r="M1002" s="41" t="str" cm="1">
        <f t="array" ref="M1002">_xlfn.IFS(L1002=1,"Clear / Partly Cloudy",L1002=2,"Mist / Cloudy",L1002=3,"Light Snow / Rain",L1002=4,"Heavy Precipitation")</f>
        <v>Clear / Partly Cloudy</v>
      </c>
      <c r="N1002" s="36">
        <v>0.34</v>
      </c>
      <c r="O1002" s="36" t="str">
        <f t="shared" si="95"/>
        <v>Mild</v>
      </c>
      <c r="P1002" s="36">
        <v>0.30299999999999999</v>
      </c>
      <c r="Q1002" s="38">
        <f t="shared" si="91"/>
        <v>0.30299999999999999</v>
      </c>
      <c r="R1002" s="36">
        <v>0.46</v>
      </c>
      <c r="S1002" s="36">
        <v>0.29849999999999999</v>
      </c>
      <c r="T1002" s="41" t="str" cm="1">
        <f t="array" ref="T1002">_xlfn.IFS(S1002*18.6&lt;2,"Calm",S1002*18.6&lt;6,"Light Breeze",S1002*18.6&lt;14,"Gale",TRUE,"Extreme Storm")</f>
        <v>Light Breeze</v>
      </c>
      <c r="U1002" s="36">
        <v>2</v>
      </c>
      <c r="V1002" s="36">
        <v>96</v>
      </c>
      <c r="W1002" s="36">
        <v>98</v>
      </c>
      <c r="X1002" s="45">
        <f>AVERAGE(INDEX($W:$W,MAX(ROW($W$3),ROW()-23)):INDEX($W:$W,ROW()))</f>
        <v>68.125</v>
      </c>
      <c r="Y1002" s="45">
        <f>_xlfn.STDEV.S(INDEX($W:$W,MAX(ROW($W$3),ROW()-23)):INDEX($W:$W,ROW()))</f>
        <v>57.982990384362239</v>
      </c>
      <c r="Z1002" s="45">
        <f t="shared" si="92"/>
        <v>0.51523731014841134</v>
      </c>
      <c r="AA1002" s="41" t="b">
        <f t="shared" si="90"/>
        <v>0</v>
      </c>
    </row>
  </sheetData>
  <autoFilter ref="K1:K1002" xr:uid="{E724FE52-1115-4721-ADC4-CEB8077F2B0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257B-CB0B-4883-B5CC-9F2F92C5886D}">
  <sheetPr>
    <tabColor rgb="FF0070C0"/>
  </sheetPr>
  <dimension ref="B1:X43"/>
  <sheetViews>
    <sheetView workbookViewId="0">
      <selection activeCell="M5" sqref="M5"/>
    </sheetView>
  </sheetViews>
  <sheetFormatPr defaultColWidth="9.109375" defaultRowHeight="13.8" x14ac:dyDescent="0.25"/>
  <cols>
    <col min="1" max="16384" width="9.109375" style="49"/>
  </cols>
  <sheetData>
    <row r="1" spans="2:24" ht="22.8" x14ac:dyDescent="0.25">
      <c r="B1" s="68" t="s">
        <v>58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2:24" x14ac:dyDescent="0.25">
      <c r="B2" s="49" t="s">
        <v>59</v>
      </c>
      <c r="H2" s="49" t="s">
        <v>60</v>
      </c>
      <c r="P2" s="49" t="s">
        <v>61</v>
      </c>
      <c r="V2" s="49" t="s">
        <v>62</v>
      </c>
    </row>
    <row r="3" spans="2:24" x14ac:dyDescent="0.25">
      <c r="B3" s="69" t="s">
        <v>63</v>
      </c>
      <c r="C3" s="70"/>
      <c r="D3" s="71"/>
      <c r="H3" s="69" t="s">
        <v>64</v>
      </c>
      <c r="I3" s="70"/>
      <c r="J3" s="71"/>
      <c r="P3" s="69" t="s">
        <v>65</v>
      </c>
      <c r="Q3" s="70"/>
      <c r="R3" s="71"/>
      <c r="V3" s="69" t="s">
        <v>66</v>
      </c>
      <c r="W3" s="70"/>
      <c r="X3" s="71"/>
    </row>
    <row r="4" spans="2:24" x14ac:dyDescent="0.25">
      <c r="B4" s="72">
        <f>SUM([1]CleanedData!V:V)</f>
        <v>58304</v>
      </c>
      <c r="C4" s="73"/>
      <c r="D4" s="74"/>
      <c r="H4" s="78">
        <f>AVERAGE([1]CleanedData!V:V)</f>
        <v>58.304000000000002</v>
      </c>
      <c r="I4" s="73"/>
      <c r="J4" s="74"/>
      <c r="P4" s="72">
        <f>MAX([1]CleanedData!V:V)</f>
        <v>249</v>
      </c>
      <c r="Q4" s="73"/>
      <c r="R4" s="74"/>
      <c r="V4" s="72" t="e">
        <f>COUNTIF([1]CleanedData!Y:Y,"&gt;=3")+COUNTIF([1]CleanedData!Y:Y,"&lt;=-2")</f>
        <v>#VALUE!</v>
      </c>
      <c r="W4" s="73"/>
      <c r="X4" s="74"/>
    </row>
    <row r="5" spans="2:24" x14ac:dyDescent="0.25">
      <c r="B5" s="75"/>
      <c r="C5" s="76"/>
      <c r="D5" s="77"/>
      <c r="H5" s="75"/>
      <c r="I5" s="76"/>
      <c r="J5" s="77"/>
      <c r="P5" s="75"/>
      <c r="Q5" s="76"/>
      <c r="R5" s="77"/>
      <c r="V5" s="75"/>
      <c r="W5" s="76"/>
      <c r="X5" s="77"/>
    </row>
    <row r="7" spans="2:24" ht="17.399999999999999" x14ac:dyDescent="0.3">
      <c r="B7" s="50" t="s">
        <v>67</v>
      </c>
    </row>
    <row r="8" spans="2:24" ht="17.399999999999999" x14ac:dyDescent="0.3">
      <c r="B8" s="50"/>
    </row>
    <row r="25" spans="2:2" ht="17.399999999999999" x14ac:dyDescent="0.3">
      <c r="B25" s="50" t="s">
        <v>68</v>
      </c>
    </row>
    <row r="26" spans="2:2" ht="17.399999999999999" x14ac:dyDescent="0.3">
      <c r="B26" s="50"/>
    </row>
    <row r="43" spans="2:2" x14ac:dyDescent="0.25">
      <c r="B43" s="51" t="s">
        <v>69</v>
      </c>
    </row>
  </sheetData>
  <mergeCells count="9">
    <mergeCell ref="B4:D5"/>
    <mergeCell ref="H4:J5"/>
    <mergeCell ref="P4:R5"/>
    <mergeCell ref="V4:X5"/>
    <mergeCell ref="B1:X1"/>
    <mergeCell ref="B3:D3"/>
    <mergeCell ref="H3:J3"/>
    <mergeCell ref="P3:R3"/>
    <mergeCell ref="V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9493-CD73-4345-B623-59D4AE5292D5}">
  <sheetPr>
    <tabColor rgb="FFFFFF00"/>
  </sheetPr>
  <dimension ref="A2:Z104"/>
  <sheetViews>
    <sheetView workbookViewId="0">
      <selection activeCell="AA6" sqref="AA6"/>
    </sheetView>
  </sheetViews>
  <sheetFormatPr defaultRowHeight="14.4" x14ac:dyDescent="0.3"/>
  <cols>
    <col min="1" max="1" width="19.21875" bestFit="1" customWidth="1"/>
    <col min="2" max="2" width="16.21875" bestFit="1" customWidth="1"/>
    <col min="3" max="4" width="3" bestFit="1" customWidth="1"/>
    <col min="5" max="7" width="2" bestFit="1" customWidth="1"/>
    <col min="8" max="9" width="3" bestFit="1" customWidth="1"/>
    <col min="10" max="11" width="4" bestFit="1" customWidth="1"/>
    <col min="12" max="13" width="3" bestFit="1" customWidth="1"/>
    <col min="14" max="21" width="4" bestFit="1" customWidth="1"/>
    <col min="22" max="25" width="3" bestFit="1" customWidth="1"/>
    <col min="26" max="26" width="11.33203125" bestFit="1" customWidth="1"/>
  </cols>
  <sheetData>
    <row r="2" spans="1:26" ht="18" x14ac:dyDescent="0.3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x14ac:dyDescent="0.3">
      <c r="A3" s="56" t="s">
        <v>71</v>
      </c>
      <c r="B3" s="56" t="s">
        <v>72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x14ac:dyDescent="0.3">
      <c r="A4" s="56" t="s">
        <v>73</v>
      </c>
      <c r="B4" s="56">
        <v>0</v>
      </c>
      <c r="C4" s="56">
        <v>1</v>
      </c>
      <c r="D4" s="56">
        <v>2</v>
      </c>
      <c r="E4" s="56">
        <v>3</v>
      </c>
      <c r="F4" s="56">
        <v>4</v>
      </c>
      <c r="G4" s="56">
        <v>5</v>
      </c>
      <c r="H4" s="56">
        <v>6</v>
      </c>
      <c r="I4" s="56">
        <v>7</v>
      </c>
      <c r="J4" s="56">
        <v>8</v>
      </c>
      <c r="K4" s="56">
        <v>9</v>
      </c>
      <c r="L4" s="56">
        <v>10</v>
      </c>
      <c r="M4" s="56">
        <v>11</v>
      </c>
      <c r="N4" s="56">
        <v>12</v>
      </c>
      <c r="O4" s="56">
        <v>13</v>
      </c>
      <c r="P4" s="56">
        <v>14</v>
      </c>
      <c r="Q4" s="56">
        <v>15</v>
      </c>
      <c r="R4" s="56">
        <v>16</v>
      </c>
      <c r="S4" s="56">
        <v>17</v>
      </c>
      <c r="T4" s="56">
        <v>18</v>
      </c>
      <c r="U4" s="56">
        <v>19</v>
      </c>
      <c r="V4" s="56">
        <v>20</v>
      </c>
      <c r="W4" s="56">
        <v>21</v>
      </c>
      <c r="X4" s="56">
        <v>22</v>
      </c>
      <c r="Y4" s="56">
        <v>23</v>
      </c>
      <c r="Z4" s="56" t="s">
        <v>74</v>
      </c>
    </row>
    <row r="5" spans="1:26" x14ac:dyDescent="0.3">
      <c r="A5" s="52" t="s">
        <v>75</v>
      </c>
      <c r="B5" s="53">
        <v>9.5714285714285712</v>
      </c>
      <c r="C5" s="53">
        <v>5.5714285714285712</v>
      </c>
      <c r="D5" s="53">
        <v>3.4</v>
      </c>
      <c r="E5" s="53">
        <v>1.5</v>
      </c>
      <c r="F5" s="53">
        <v>2</v>
      </c>
      <c r="G5" s="53">
        <v>4.7142857142857144</v>
      </c>
      <c r="H5" s="53">
        <v>24.857142857142858</v>
      </c>
      <c r="I5" s="53">
        <v>71.857142857142861</v>
      </c>
      <c r="J5" s="53">
        <v>161.16666666666666</v>
      </c>
      <c r="K5" s="53">
        <v>93.5</v>
      </c>
      <c r="L5" s="53">
        <v>49.333333333333336</v>
      </c>
      <c r="M5" s="53">
        <v>47.666666666666664</v>
      </c>
      <c r="N5" s="53">
        <v>65</v>
      </c>
      <c r="O5" s="53">
        <v>64.333333333333329</v>
      </c>
      <c r="P5" s="53">
        <v>66.833333333333329</v>
      </c>
      <c r="Q5" s="53">
        <v>60.166666666666664</v>
      </c>
      <c r="R5" s="53">
        <v>83.666666666666671</v>
      </c>
      <c r="S5" s="53">
        <v>161.16666666666666</v>
      </c>
      <c r="T5" s="53">
        <v>148</v>
      </c>
      <c r="U5" s="53">
        <v>101.66666666666667</v>
      </c>
      <c r="V5" s="53">
        <v>67.666666666666671</v>
      </c>
      <c r="W5" s="53">
        <v>51.666666666666664</v>
      </c>
      <c r="X5" s="53">
        <v>27.166666666666668</v>
      </c>
      <c r="Y5" s="53">
        <v>16.666666666666668</v>
      </c>
      <c r="Z5" s="53">
        <v>56.711409395973156</v>
      </c>
    </row>
    <row r="6" spans="1:26" x14ac:dyDescent="0.3">
      <c r="A6" s="52" t="s">
        <v>76</v>
      </c>
      <c r="B6" s="53">
        <v>8.8000000000000007</v>
      </c>
      <c r="C6" s="53">
        <v>3.4</v>
      </c>
      <c r="D6" s="53">
        <v>2</v>
      </c>
      <c r="E6" s="53">
        <v>1.5</v>
      </c>
      <c r="F6" s="53">
        <v>2</v>
      </c>
      <c r="G6" s="53">
        <v>4.8</v>
      </c>
      <c r="H6" s="53">
        <v>32</v>
      </c>
      <c r="I6" s="53">
        <v>90.6</v>
      </c>
      <c r="J6" s="53">
        <v>202.4</v>
      </c>
      <c r="K6" s="53">
        <v>125</v>
      </c>
      <c r="L6" s="53">
        <v>49.2</v>
      </c>
      <c r="M6" s="53">
        <v>50.8</v>
      </c>
      <c r="N6" s="53">
        <v>60.666666666666664</v>
      </c>
      <c r="O6" s="53">
        <v>61</v>
      </c>
      <c r="P6" s="53">
        <v>56.666666666666664</v>
      </c>
      <c r="Q6" s="53">
        <v>55.666666666666664</v>
      </c>
      <c r="R6" s="53">
        <v>80.5</v>
      </c>
      <c r="S6" s="53">
        <v>174.5</v>
      </c>
      <c r="T6" s="53">
        <v>159.16666666666666</v>
      </c>
      <c r="U6" s="53">
        <v>102.83333333333333</v>
      </c>
      <c r="V6" s="53">
        <v>69.666666666666671</v>
      </c>
      <c r="W6" s="53">
        <v>45.333333333333336</v>
      </c>
      <c r="X6" s="53">
        <v>35.833333333333336</v>
      </c>
      <c r="Y6" s="53">
        <v>19.666666666666668</v>
      </c>
      <c r="Z6" s="53">
        <v>66.00787401574803</v>
      </c>
    </row>
    <row r="7" spans="1:26" x14ac:dyDescent="0.3">
      <c r="A7" s="52" t="s">
        <v>77</v>
      </c>
      <c r="B7" s="53">
        <v>8.6666666666666661</v>
      </c>
      <c r="C7" s="53">
        <v>5.666666666666667</v>
      </c>
      <c r="D7" s="53">
        <v>3.8333333333333335</v>
      </c>
      <c r="E7" s="53">
        <v>1.5</v>
      </c>
      <c r="F7" s="53">
        <v>1.6666666666666667</v>
      </c>
      <c r="G7" s="53">
        <v>4.333333333333333</v>
      </c>
      <c r="H7" s="53">
        <v>25</v>
      </c>
      <c r="I7" s="53">
        <v>68.333333333333329</v>
      </c>
      <c r="J7" s="53">
        <v>157.66666666666666</v>
      </c>
      <c r="K7" s="53">
        <v>101.5</v>
      </c>
      <c r="L7" s="53">
        <v>48.5</v>
      </c>
      <c r="M7" s="53">
        <v>44.5</v>
      </c>
      <c r="N7" s="53">
        <v>62.833333333333336</v>
      </c>
      <c r="O7" s="53">
        <v>64.833333333333329</v>
      </c>
      <c r="P7" s="53">
        <v>56.333333333333336</v>
      </c>
      <c r="Q7" s="53">
        <v>62.666666666666664</v>
      </c>
      <c r="R7" s="53">
        <v>79.833333333333329</v>
      </c>
      <c r="S7" s="53">
        <v>151.33333333333334</v>
      </c>
      <c r="T7" s="53">
        <v>163.80000000000001</v>
      </c>
      <c r="U7" s="53">
        <v>101.2</v>
      </c>
      <c r="V7" s="53">
        <v>76</v>
      </c>
      <c r="W7" s="53">
        <v>61</v>
      </c>
      <c r="X7" s="53">
        <v>44</v>
      </c>
      <c r="Y7" s="53">
        <v>27.2</v>
      </c>
      <c r="Z7" s="53">
        <v>61.44274809160305</v>
      </c>
    </row>
    <row r="8" spans="1:26" x14ac:dyDescent="0.3">
      <c r="A8" s="52" t="s">
        <v>78</v>
      </c>
      <c r="B8" s="53">
        <v>11.8</v>
      </c>
      <c r="C8" s="53">
        <v>4.5999999999999996</v>
      </c>
      <c r="D8" s="53">
        <v>2.2000000000000002</v>
      </c>
      <c r="E8" s="53">
        <v>1.6666666666666667</v>
      </c>
      <c r="F8" s="53">
        <v>1.75</v>
      </c>
      <c r="G8" s="53">
        <v>4.2</v>
      </c>
      <c r="H8" s="53">
        <v>32.799999999999997</v>
      </c>
      <c r="I8" s="53">
        <v>90.8</v>
      </c>
      <c r="J8" s="53">
        <v>207.2</v>
      </c>
      <c r="K8" s="53">
        <v>131.80000000000001</v>
      </c>
      <c r="L8" s="53">
        <v>45.4</v>
      </c>
      <c r="M8" s="53">
        <v>54.6</v>
      </c>
      <c r="N8" s="53">
        <v>71.599999999999994</v>
      </c>
      <c r="O8" s="53">
        <v>72.2</v>
      </c>
      <c r="P8" s="53">
        <v>57.6</v>
      </c>
      <c r="Q8" s="53">
        <v>60.4</v>
      </c>
      <c r="R8" s="53">
        <v>72.833333333333329</v>
      </c>
      <c r="S8" s="53">
        <v>162.16666666666666</v>
      </c>
      <c r="T8" s="53">
        <v>150.5</v>
      </c>
      <c r="U8" s="53">
        <v>108.33333333333333</v>
      </c>
      <c r="V8" s="53">
        <v>87.333333333333329</v>
      </c>
      <c r="W8" s="53">
        <v>51.5</v>
      </c>
      <c r="X8" s="53">
        <v>42.833333333333336</v>
      </c>
      <c r="Y8" s="53">
        <v>26.166666666666668</v>
      </c>
      <c r="Z8" s="53">
        <v>67.664000000000001</v>
      </c>
    </row>
    <row r="9" spans="1:26" x14ac:dyDescent="0.3">
      <c r="A9" s="52" t="s">
        <v>79</v>
      </c>
      <c r="B9" s="53">
        <v>14.666666666666666</v>
      </c>
      <c r="C9" s="53">
        <v>5.833333333333333</v>
      </c>
      <c r="D9" s="53">
        <v>1.6666666666666667</v>
      </c>
      <c r="E9" s="53">
        <v>1</v>
      </c>
      <c r="F9" s="53">
        <v>1</v>
      </c>
      <c r="G9" s="53">
        <v>5.5</v>
      </c>
      <c r="H9" s="53">
        <v>24.333333333333332</v>
      </c>
      <c r="I9" s="53">
        <v>73.833333333333329</v>
      </c>
      <c r="J9" s="53">
        <v>196.33333333333334</v>
      </c>
      <c r="K9" s="53">
        <v>130.83333333333334</v>
      </c>
      <c r="L9" s="53">
        <v>52.333333333333336</v>
      </c>
      <c r="M9" s="53">
        <v>56.166666666666664</v>
      </c>
      <c r="N9" s="53">
        <v>64</v>
      </c>
      <c r="O9" s="53">
        <v>74.333333333333329</v>
      </c>
      <c r="P9" s="53">
        <v>64.833333333333329</v>
      </c>
      <c r="Q9" s="53">
        <v>68.333333333333329</v>
      </c>
      <c r="R9" s="53">
        <v>96.333333333333329</v>
      </c>
      <c r="S9" s="53">
        <v>178.66666666666666</v>
      </c>
      <c r="T9" s="53">
        <v>136.66666666666666</v>
      </c>
      <c r="U9" s="53">
        <v>96</v>
      </c>
      <c r="V9" s="53">
        <v>61.333333333333336</v>
      </c>
      <c r="W9" s="53">
        <v>46.666666666666664</v>
      </c>
      <c r="X9" s="53">
        <v>36.833333333333336</v>
      </c>
      <c r="Y9" s="53">
        <v>29.333333333333332</v>
      </c>
      <c r="Z9" s="53">
        <v>65.905797101449281</v>
      </c>
    </row>
    <row r="10" spans="1:26" x14ac:dyDescent="0.3">
      <c r="A10" s="52" t="s">
        <v>80</v>
      </c>
      <c r="B10" s="53">
        <v>25.571428571428573</v>
      </c>
      <c r="C10" s="53">
        <v>21.428571428571427</v>
      </c>
      <c r="D10" s="53">
        <v>16.857142857142858</v>
      </c>
      <c r="E10" s="53">
        <v>9.1428571428571423</v>
      </c>
      <c r="F10" s="53">
        <v>3.5714285714285716</v>
      </c>
      <c r="G10" s="53">
        <v>3.4</v>
      </c>
      <c r="H10" s="53">
        <v>2.4285714285714284</v>
      </c>
      <c r="I10" s="53">
        <v>7.1428571428571432</v>
      </c>
      <c r="J10" s="53">
        <v>21</v>
      </c>
      <c r="K10" s="53">
        <v>29.142857142857142</v>
      </c>
      <c r="L10" s="53">
        <v>54.571428571428569</v>
      </c>
      <c r="M10" s="53">
        <v>68.285714285714292</v>
      </c>
      <c r="N10" s="53">
        <v>84.428571428571431</v>
      </c>
      <c r="O10" s="53">
        <v>93.285714285714292</v>
      </c>
      <c r="P10" s="53">
        <v>95.428571428571431</v>
      </c>
      <c r="Q10" s="53">
        <v>110</v>
      </c>
      <c r="R10" s="53">
        <v>100.42857142857143</v>
      </c>
      <c r="S10" s="53">
        <v>84.571428571428569</v>
      </c>
      <c r="T10" s="53">
        <v>63.285714285714285</v>
      </c>
      <c r="U10" s="53">
        <v>54.714285714285715</v>
      </c>
      <c r="V10" s="53">
        <v>43.142857142857146</v>
      </c>
      <c r="W10" s="53">
        <v>44.285714285714285</v>
      </c>
      <c r="X10" s="53">
        <v>34.285714285714285</v>
      </c>
      <c r="Y10" s="53">
        <v>37.428571428571431</v>
      </c>
      <c r="Z10" s="53">
        <v>46.674698795180724</v>
      </c>
    </row>
    <row r="11" spans="1:26" x14ac:dyDescent="0.3">
      <c r="A11" s="52" t="s">
        <v>81</v>
      </c>
      <c r="B11" s="53">
        <v>30.571428571428573</v>
      </c>
      <c r="C11" s="53">
        <v>23.142857142857142</v>
      </c>
      <c r="D11" s="53">
        <v>15</v>
      </c>
      <c r="E11" s="53">
        <v>9</v>
      </c>
      <c r="F11" s="53">
        <v>1.6666666666666667</v>
      </c>
      <c r="G11" s="53">
        <v>2</v>
      </c>
      <c r="H11" s="53">
        <v>1.8333333333333333</v>
      </c>
      <c r="I11" s="53">
        <v>3.7142857142857144</v>
      </c>
      <c r="J11" s="53">
        <v>14.571428571428571</v>
      </c>
      <c r="K11" s="53">
        <v>32.714285714285715</v>
      </c>
      <c r="L11" s="53">
        <v>71</v>
      </c>
      <c r="M11" s="53">
        <v>85.571428571428569</v>
      </c>
      <c r="N11" s="53">
        <v>117</v>
      </c>
      <c r="O11" s="53">
        <v>110.71428571428571</v>
      </c>
      <c r="P11" s="53">
        <v>110.85714285714286</v>
      </c>
      <c r="Q11" s="53">
        <v>114.14285714285714</v>
      </c>
      <c r="R11" s="53">
        <v>106.57142857142857</v>
      </c>
      <c r="S11" s="53">
        <v>87.142857142857139</v>
      </c>
      <c r="T11" s="53">
        <v>65</v>
      </c>
      <c r="U11" s="53">
        <v>45.571428571428569</v>
      </c>
      <c r="V11" s="53">
        <v>36.857142857142854</v>
      </c>
      <c r="W11" s="53">
        <v>30</v>
      </c>
      <c r="X11" s="53">
        <v>27.428571428571427</v>
      </c>
      <c r="Y11" s="53">
        <v>19.142857142857142</v>
      </c>
      <c r="Z11" s="53">
        <v>49.518292682926827</v>
      </c>
    </row>
    <row r="12" spans="1:26" x14ac:dyDescent="0.3">
      <c r="A12" s="57" t="s">
        <v>74</v>
      </c>
      <c r="B12" s="58">
        <v>16.348837209302324</v>
      </c>
      <c r="C12" s="58">
        <v>10.697674418604651</v>
      </c>
      <c r="D12" s="58">
        <v>7.1707317073170733</v>
      </c>
      <c r="E12" s="58">
        <v>4.870967741935484</v>
      </c>
      <c r="F12" s="58">
        <v>2.15625</v>
      </c>
      <c r="G12" s="58">
        <v>4.2051282051282053</v>
      </c>
      <c r="H12" s="58">
        <v>19.571428571428573</v>
      </c>
      <c r="I12" s="58">
        <v>54.395348837209305</v>
      </c>
      <c r="J12" s="58">
        <v>128.28571428571428</v>
      </c>
      <c r="K12" s="58">
        <v>87.428571428571431</v>
      </c>
      <c r="L12" s="58">
        <v>53.642857142857146</v>
      </c>
      <c r="M12" s="58">
        <v>59.38095238095238</v>
      </c>
      <c r="N12" s="58">
        <v>76.348837209302332</v>
      </c>
      <c r="O12" s="58">
        <v>78.511627906976742</v>
      </c>
      <c r="P12" s="58">
        <v>74.418604651162795</v>
      </c>
      <c r="Q12" s="58">
        <v>77.95348837209302</v>
      </c>
      <c r="R12" s="58">
        <v>89.272727272727266</v>
      </c>
      <c r="S12" s="58">
        <v>140.20454545454547</v>
      </c>
      <c r="T12" s="58">
        <v>122.86046511627907</v>
      </c>
      <c r="U12" s="58">
        <v>85.139534883720927</v>
      </c>
      <c r="V12" s="58">
        <v>61.767441860465119</v>
      </c>
      <c r="W12" s="58">
        <v>46.418604651162788</v>
      </c>
      <c r="X12" s="58">
        <v>35.069767441860463</v>
      </c>
      <c r="Y12" s="58">
        <v>25.186046511627907</v>
      </c>
      <c r="Z12" s="58">
        <v>58.304000000000002</v>
      </c>
    </row>
    <row r="28" spans="1:26" ht="18" x14ac:dyDescent="0.35">
      <c r="A28" s="79" t="s">
        <v>70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x14ac:dyDescent="0.3">
      <c r="A29" s="55" t="s">
        <v>71</v>
      </c>
      <c r="B29" s="55" t="s">
        <v>72</v>
      </c>
    </row>
    <row r="30" spans="1:26" x14ac:dyDescent="0.3">
      <c r="A30" s="55" t="s">
        <v>73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  <c r="I30">
        <v>7</v>
      </c>
      <c r="J30">
        <v>8</v>
      </c>
      <c r="K30">
        <v>9</v>
      </c>
      <c r="L30">
        <v>10</v>
      </c>
      <c r="M30">
        <v>11</v>
      </c>
      <c r="N30">
        <v>12</v>
      </c>
      <c r="O30">
        <v>13</v>
      </c>
      <c r="P30">
        <v>14</v>
      </c>
      <c r="Q30">
        <v>15</v>
      </c>
      <c r="R30">
        <v>16</v>
      </c>
      <c r="S30">
        <v>17</v>
      </c>
      <c r="T30">
        <v>18</v>
      </c>
      <c r="U30">
        <v>19</v>
      </c>
      <c r="V30">
        <v>20</v>
      </c>
      <c r="W30">
        <v>21</v>
      </c>
      <c r="X30">
        <v>22</v>
      </c>
      <c r="Y30">
        <v>23</v>
      </c>
      <c r="Z30" t="s">
        <v>74</v>
      </c>
    </row>
    <row r="31" spans="1:26" x14ac:dyDescent="0.3">
      <c r="A31" s="52" t="s">
        <v>75</v>
      </c>
      <c r="B31" s="53">
        <v>9.5714285714285712</v>
      </c>
      <c r="C31" s="53">
        <v>5.5714285714285712</v>
      </c>
      <c r="D31" s="53">
        <v>3.4</v>
      </c>
      <c r="E31" s="53">
        <v>1.5</v>
      </c>
      <c r="F31" s="53">
        <v>2</v>
      </c>
      <c r="G31" s="53">
        <v>4.7142857142857144</v>
      </c>
      <c r="H31" s="53">
        <v>24.857142857142858</v>
      </c>
      <c r="I31" s="53">
        <v>71.857142857142861</v>
      </c>
      <c r="J31" s="53">
        <v>161.16666666666666</v>
      </c>
      <c r="K31" s="53">
        <v>93.5</v>
      </c>
      <c r="L31" s="53">
        <v>49.333333333333336</v>
      </c>
      <c r="M31" s="53">
        <v>47.666666666666664</v>
      </c>
      <c r="N31" s="53">
        <v>65</v>
      </c>
      <c r="O31" s="53">
        <v>64.333333333333329</v>
      </c>
      <c r="P31" s="53">
        <v>66.833333333333329</v>
      </c>
      <c r="Q31" s="53">
        <v>60.166666666666664</v>
      </c>
      <c r="R31" s="53">
        <v>83.666666666666671</v>
      </c>
      <c r="S31" s="53">
        <v>161.16666666666666</v>
      </c>
      <c r="T31" s="53">
        <v>148</v>
      </c>
      <c r="U31" s="53">
        <v>101.66666666666667</v>
      </c>
      <c r="V31" s="53">
        <v>67.666666666666671</v>
      </c>
      <c r="W31" s="53">
        <v>51.666666666666664</v>
      </c>
      <c r="X31" s="53">
        <v>27.166666666666668</v>
      </c>
      <c r="Y31" s="53">
        <v>16.666666666666668</v>
      </c>
      <c r="Z31" s="53">
        <v>56.711409395973156</v>
      </c>
    </row>
    <row r="32" spans="1:26" x14ac:dyDescent="0.3">
      <c r="A32" s="52" t="s">
        <v>76</v>
      </c>
      <c r="B32" s="53">
        <v>8.8000000000000007</v>
      </c>
      <c r="C32" s="53">
        <v>3.4</v>
      </c>
      <c r="D32" s="53">
        <v>2</v>
      </c>
      <c r="E32" s="53">
        <v>1.5</v>
      </c>
      <c r="F32" s="53">
        <v>2</v>
      </c>
      <c r="G32" s="53">
        <v>4.8</v>
      </c>
      <c r="H32" s="53">
        <v>32</v>
      </c>
      <c r="I32" s="53">
        <v>90.6</v>
      </c>
      <c r="J32" s="53">
        <v>202.4</v>
      </c>
      <c r="K32" s="53">
        <v>125</v>
      </c>
      <c r="L32" s="53">
        <v>49.2</v>
      </c>
      <c r="M32" s="53">
        <v>50.8</v>
      </c>
      <c r="N32" s="53">
        <v>60.666666666666664</v>
      </c>
      <c r="O32" s="53">
        <v>61</v>
      </c>
      <c r="P32" s="53">
        <v>56.666666666666664</v>
      </c>
      <c r="Q32" s="53">
        <v>55.666666666666664</v>
      </c>
      <c r="R32" s="53">
        <v>80.5</v>
      </c>
      <c r="S32" s="53">
        <v>174.5</v>
      </c>
      <c r="T32" s="53">
        <v>159.16666666666666</v>
      </c>
      <c r="U32" s="53">
        <v>102.83333333333333</v>
      </c>
      <c r="V32" s="53">
        <v>69.666666666666671</v>
      </c>
      <c r="W32" s="53">
        <v>45.333333333333336</v>
      </c>
      <c r="X32" s="53">
        <v>35.833333333333336</v>
      </c>
      <c r="Y32" s="53">
        <v>19.666666666666668</v>
      </c>
      <c r="Z32" s="53">
        <v>66.00787401574803</v>
      </c>
    </row>
    <row r="33" spans="1:26" x14ac:dyDescent="0.3">
      <c r="A33" s="52" t="s">
        <v>77</v>
      </c>
      <c r="B33" s="53">
        <v>8.6666666666666661</v>
      </c>
      <c r="C33" s="53">
        <v>5.666666666666667</v>
      </c>
      <c r="D33" s="53">
        <v>3.8333333333333335</v>
      </c>
      <c r="E33" s="53">
        <v>1.5</v>
      </c>
      <c r="F33" s="53">
        <v>1.6666666666666667</v>
      </c>
      <c r="G33" s="53">
        <v>4.333333333333333</v>
      </c>
      <c r="H33" s="53">
        <v>25</v>
      </c>
      <c r="I33" s="53">
        <v>68.333333333333329</v>
      </c>
      <c r="J33" s="53">
        <v>157.66666666666666</v>
      </c>
      <c r="K33" s="53">
        <v>101.5</v>
      </c>
      <c r="L33" s="53">
        <v>48.5</v>
      </c>
      <c r="M33" s="53">
        <v>44.5</v>
      </c>
      <c r="N33" s="53">
        <v>62.833333333333336</v>
      </c>
      <c r="O33" s="53">
        <v>64.833333333333329</v>
      </c>
      <c r="P33" s="53">
        <v>56.333333333333336</v>
      </c>
      <c r="Q33" s="53">
        <v>62.666666666666664</v>
      </c>
      <c r="R33" s="53">
        <v>79.833333333333329</v>
      </c>
      <c r="S33" s="53">
        <v>151.33333333333334</v>
      </c>
      <c r="T33" s="53">
        <v>163.80000000000001</v>
      </c>
      <c r="U33" s="53">
        <v>101.2</v>
      </c>
      <c r="V33" s="53">
        <v>76</v>
      </c>
      <c r="W33" s="53">
        <v>61</v>
      </c>
      <c r="X33" s="53">
        <v>44</v>
      </c>
      <c r="Y33" s="53">
        <v>27.2</v>
      </c>
      <c r="Z33" s="53">
        <v>61.44274809160305</v>
      </c>
    </row>
    <row r="34" spans="1:26" x14ac:dyDescent="0.3">
      <c r="A34" s="52" t="s">
        <v>78</v>
      </c>
      <c r="B34" s="53">
        <v>11.8</v>
      </c>
      <c r="C34" s="53">
        <v>4.5999999999999996</v>
      </c>
      <c r="D34" s="53">
        <v>2.2000000000000002</v>
      </c>
      <c r="E34" s="53">
        <v>1.6666666666666667</v>
      </c>
      <c r="F34" s="53">
        <v>1.75</v>
      </c>
      <c r="G34" s="53">
        <v>4.2</v>
      </c>
      <c r="H34" s="53">
        <v>32.799999999999997</v>
      </c>
      <c r="I34" s="53">
        <v>90.8</v>
      </c>
      <c r="J34" s="53">
        <v>207.2</v>
      </c>
      <c r="K34" s="53">
        <v>131.80000000000001</v>
      </c>
      <c r="L34" s="53">
        <v>45.4</v>
      </c>
      <c r="M34" s="53">
        <v>54.6</v>
      </c>
      <c r="N34" s="53">
        <v>71.599999999999994</v>
      </c>
      <c r="O34" s="53">
        <v>72.2</v>
      </c>
      <c r="P34" s="53">
        <v>57.6</v>
      </c>
      <c r="Q34" s="53">
        <v>60.4</v>
      </c>
      <c r="R34" s="53">
        <v>72.833333333333329</v>
      </c>
      <c r="S34" s="53">
        <v>162.16666666666666</v>
      </c>
      <c r="T34" s="53">
        <v>150.5</v>
      </c>
      <c r="U34" s="53">
        <v>108.33333333333333</v>
      </c>
      <c r="V34" s="53">
        <v>87.333333333333329</v>
      </c>
      <c r="W34" s="53">
        <v>51.5</v>
      </c>
      <c r="X34" s="53">
        <v>42.833333333333336</v>
      </c>
      <c r="Y34" s="53">
        <v>26.166666666666668</v>
      </c>
      <c r="Z34" s="53">
        <v>67.664000000000001</v>
      </c>
    </row>
    <row r="35" spans="1:26" x14ac:dyDescent="0.3">
      <c r="A35" s="52" t="s">
        <v>79</v>
      </c>
      <c r="B35" s="53">
        <v>14.666666666666666</v>
      </c>
      <c r="C35" s="53">
        <v>5.833333333333333</v>
      </c>
      <c r="D35" s="53">
        <v>1.6666666666666667</v>
      </c>
      <c r="E35" s="53">
        <v>1</v>
      </c>
      <c r="F35" s="53">
        <v>1</v>
      </c>
      <c r="G35" s="53">
        <v>5.5</v>
      </c>
      <c r="H35" s="53">
        <v>24.333333333333332</v>
      </c>
      <c r="I35" s="53">
        <v>73.833333333333329</v>
      </c>
      <c r="J35" s="53">
        <v>196.33333333333334</v>
      </c>
      <c r="K35" s="53">
        <v>130.83333333333334</v>
      </c>
      <c r="L35" s="53">
        <v>52.333333333333336</v>
      </c>
      <c r="M35" s="53">
        <v>56.166666666666664</v>
      </c>
      <c r="N35" s="53">
        <v>64</v>
      </c>
      <c r="O35" s="53">
        <v>74.333333333333329</v>
      </c>
      <c r="P35" s="53">
        <v>64.833333333333329</v>
      </c>
      <c r="Q35" s="53">
        <v>68.333333333333329</v>
      </c>
      <c r="R35" s="53">
        <v>96.333333333333329</v>
      </c>
      <c r="S35" s="53">
        <v>178.66666666666666</v>
      </c>
      <c r="T35" s="53">
        <v>136.66666666666666</v>
      </c>
      <c r="U35" s="53">
        <v>96</v>
      </c>
      <c r="V35" s="53">
        <v>61.333333333333336</v>
      </c>
      <c r="W35" s="53">
        <v>46.666666666666664</v>
      </c>
      <c r="X35" s="53">
        <v>36.833333333333336</v>
      </c>
      <c r="Y35" s="53">
        <v>29.333333333333332</v>
      </c>
      <c r="Z35" s="53">
        <v>65.905797101449281</v>
      </c>
    </row>
    <row r="36" spans="1:26" x14ac:dyDescent="0.3">
      <c r="A36" s="52" t="s">
        <v>80</v>
      </c>
      <c r="B36" s="53">
        <v>25.571428571428573</v>
      </c>
      <c r="C36" s="53">
        <v>21.428571428571427</v>
      </c>
      <c r="D36" s="53">
        <v>16.857142857142858</v>
      </c>
      <c r="E36" s="53">
        <v>9.1428571428571423</v>
      </c>
      <c r="F36" s="53">
        <v>3.5714285714285716</v>
      </c>
      <c r="G36" s="53">
        <v>3.4</v>
      </c>
      <c r="H36" s="53">
        <v>2.4285714285714284</v>
      </c>
      <c r="I36" s="53">
        <v>7.1428571428571432</v>
      </c>
      <c r="J36" s="53">
        <v>21</v>
      </c>
      <c r="K36" s="53">
        <v>29.142857142857142</v>
      </c>
      <c r="L36" s="53">
        <v>54.571428571428569</v>
      </c>
      <c r="M36" s="53">
        <v>68.285714285714292</v>
      </c>
      <c r="N36" s="53">
        <v>84.428571428571431</v>
      </c>
      <c r="O36" s="53">
        <v>93.285714285714292</v>
      </c>
      <c r="P36" s="53">
        <v>95.428571428571431</v>
      </c>
      <c r="Q36" s="53">
        <v>110</v>
      </c>
      <c r="R36" s="53">
        <v>100.42857142857143</v>
      </c>
      <c r="S36" s="53">
        <v>84.571428571428569</v>
      </c>
      <c r="T36" s="53">
        <v>63.285714285714285</v>
      </c>
      <c r="U36" s="53">
        <v>54.714285714285715</v>
      </c>
      <c r="V36" s="53">
        <v>43.142857142857146</v>
      </c>
      <c r="W36" s="53">
        <v>44.285714285714285</v>
      </c>
      <c r="X36" s="53">
        <v>34.285714285714285</v>
      </c>
      <c r="Y36" s="53">
        <v>37.428571428571431</v>
      </c>
      <c r="Z36" s="53">
        <v>46.674698795180724</v>
      </c>
    </row>
    <row r="37" spans="1:26" x14ac:dyDescent="0.3">
      <c r="A37" s="52" t="s">
        <v>81</v>
      </c>
      <c r="B37" s="53">
        <v>30.571428571428573</v>
      </c>
      <c r="C37" s="53">
        <v>23.142857142857142</v>
      </c>
      <c r="D37" s="53">
        <v>15</v>
      </c>
      <c r="E37" s="53">
        <v>9</v>
      </c>
      <c r="F37" s="53">
        <v>1.6666666666666667</v>
      </c>
      <c r="G37" s="53">
        <v>2</v>
      </c>
      <c r="H37" s="53">
        <v>1.8333333333333333</v>
      </c>
      <c r="I37" s="53">
        <v>3.7142857142857144</v>
      </c>
      <c r="J37" s="53">
        <v>14.571428571428571</v>
      </c>
      <c r="K37" s="53">
        <v>32.714285714285715</v>
      </c>
      <c r="L37" s="53">
        <v>71</v>
      </c>
      <c r="M37" s="53">
        <v>85.571428571428569</v>
      </c>
      <c r="N37" s="53">
        <v>117</v>
      </c>
      <c r="O37" s="53">
        <v>110.71428571428571</v>
      </c>
      <c r="P37" s="53">
        <v>110.85714285714286</v>
      </c>
      <c r="Q37" s="53">
        <v>114.14285714285714</v>
      </c>
      <c r="R37" s="53">
        <v>106.57142857142857</v>
      </c>
      <c r="S37" s="53">
        <v>87.142857142857139</v>
      </c>
      <c r="T37" s="53">
        <v>65</v>
      </c>
      <c r="U37" s="53">
        <v>45.571428571428569</v>
      </c>
      <c r="V37" s="53">
        <v>36.857142857142854</v>
      </c>
      <c r="W37" s="53">
        <v>30</v>
      </c>
      <c r="X37" s="53">
        <v>27.428571428571427</v>
      </c>
      <c r="Y37" s="53">
        <v>19.142857142857142</v>
      </c>
      <c r="Z37" s="53">
        <v>49.518292682926827</v>
      </c>
    </row>
    <row r="38" spans="1:26" x14ac:dyDescent="0.3">
      <c r="A38" s="52" t="s">
        <v>74</v>
      </c>
      <c r="B38" s="53">
        <v>16.348837209302324</v>
      </c>
      <c r="C38" s="53">
        <v>10.697674418604651</v>
      </c>
      <c r="D38" s="53">
        <v>7.1707317073170733</v>
      </c>
      <c r="E38" s="53">
        <v>4.870967741935484</v>
      </c>
      <c r="F38" s="53">
        <v>2.15625</v>
      </c>
      <c r="G38" s="53">
        <v>4.2051282051282053</v>
      </c>
      <c r="H38" s="53">
        <v>19.571428571428573</v>
      </c>
      <c r="I38" s="53">
        <v>54.395348837209305</v>
      </c>
      <c r="J38" s="53">
        <v>128.28571428571428</v>
      </c>
      <c r="K38" s="53">
        <v>87.428571428571431</v>
      </c>
      <c r="L38" s="53">
        <v>53.642857142857146</v>
      </c>
      <c r="M38" s="53">
        <v>59.38095238095238</v>
      </c>
      <c r="N38" s="53">
        <v>76.348837209302332</v>
      </c>
      <c r="O38" s="53">
        <v>78.511627906976742</v>
      </c>
      <c r="P38" s="53">
        <v>74.418604651162795</v>
      </c>
      <c r="Q38" s="53">
        <v>77.95348837209302</v>
      </c>
      <c r="R38" s="53">
        <v>89.272727272727266</v>
      </c>
      <c r="S38" s="53">
        <v>140.20454545454547</v>
      </c>
      <c r="T38" s="53">
        <v>122.86046511627907</v>
      </c>
      <c r="U38" s="53">
        <v>85.139534883720927</v>
      </c>
      <c r="V38" s="53">
        <v>61.767441860465119</v>
      </c>
      <c r="W38" s="53">
        <v>46.418604651162788</v>
      </c>
      <c r="X38" s="53">
        <v>35.069767441860463</v>
      </c>
      <c r="Y38" s="53">
        <v>25.186046511627907</v>
      </c>
      <c r="Z38" s="53">
        <v>58.304000000000002</v>
      </c>
    </row>
    <row r="40" spans="1:26" ht="18" x14ac:dyDescent="0.35">
      <c r="A40" s="79" t="s">
        <v>82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x14ac:dyDescent="0.3">
      <c r="A41" s="55" t="s">
        <v>71</v>
      </c>
      <c r="B41" s="55" t="s">
        <v>72</v>
      </c>
    </row>
    <row r="42" spans="1:26" x14ac:dyDescent="0.3">
      <c r="A42" s="55" t="s">
        <v>73</v>
      </c>
      <c r="B42">
        <v>0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>
        <v>8</v>
      </c>
      <c r="K42">
        <v>9</v>
      </c>
      <c r="L42">
        <v>10</v>
      </c>
      <c r="M42">
        <v>11</v>
      </c>
      <c r="N42">
        <v>12</v>
      </c>
      <c r="O42">
        <v>13</v>
      </c>
      <c r="P42">
        <v>14</v>
      </c>
      <c r="Q42">
        <v>15</v>
      </c>
      <c r="R42">
        <v>16</v>
      </c>
      <c r="S42">
        <v>17</v>
      </c>
      <c r="T42">
        <v>18</v>
      </c>
      <c r="U42">
        <v>19</v>
      </c>
      <c r="V42">
        <v>20</v>
      </c>
      <c r="W42">
        <v>21</v>
      </c>
      <c r="X42">
        <v>22</v>
      </c>
      <c r="Y42">
        <v>23</v>
      </c>
      <c r="Z42" t="s">
        <v>74</v>
      </c>
    </row>
    <row r="43" spans="1:26" x14ac:dyDescent="0.3">
      <c r="A43" s="52" t="s">
        <v>75</v>
      </c>
      <c r="B43" s="54">
        <v>9.5714285714285712</v>
      </c>
      <c r="C43" s="54">
        <v>5.5714285714285712</v>
      </c>
      <c r="D43" s="54">
        <v>3.4</v>
      </c>
      <c r="E43" s="54">
        <v>1.5</v>
      </c>
      <c r="F43" s="54">
        <v>2</v>
      </c>
      <c r="G43" s="54">
        <v>4.7142857142857144</v>
      </c>
      <c r="H43" s="54">
        <v>24.857142857142858</v>
      </c>
      <c r="I43" s="54">
        <v>71.857142857142861</v>
      </c>
      <c r="J43" s="54">
        <v>161.16666666666666</v>
      </c>
      <c r="K43" s="54">
        <v>93.5</v>
      </c>
      <c r="L43" s="54">
        <v>49.333333333333336</v>
      </c>
      <c r="M43" s="54">
        <v>47.666666666666664</v>
      </c>
      <c r="N43" s="54">
        <v>65</v>
      </c>
      <c r="O43" s="54">
        <v>64.333333333333329</v>
      </c>
      <c r="P43" s="54">
        <v>66.833333333333329</v>
      </c>
      <c r="Q43" s="54">
        <v>60.166666666666664</v>
      </c>
      <c r="R43" s="54">
        <v>83.666666666666671</v>
      </c>
      <c r="S43" s="54">
        <v>161.16666666666666</v>
      </c>
      <c r="T43" s="54">
        <v>148</v>
      </c>
      <c r="U43" s="54">
        <v>101.66666666666667</v>
      </c>
      <c r="V43" s="54">
        <v>67.666666666666671</v>
      </c>
      <c r="W43" s="54">
        <v>51.666666666666664</v>
      </c>
      <c r="X43" s="54">
        <v>27.166666666666668</v>
      </c>
      <c r="Y43" s="54">
        <v>16.666666666666668</v>
      </c>
      <c r="Z43" s="54">
        <v>56.711409395973156</v>
      </c>
    </row>
    <row r="44" spans="1:26" x14ac:dyDescent="0.3">
      <c r="A44" s="52" t="s">
        <v>76</v>
      </c>
      <c r="B44" s="54">
        <v>8.8000000000000007</v>
      </c>
      <c r="C44" s="54">
        <v>3.4</v>
      </c>
      <c r="D44" s="54">
        <v>2</v>
      </c>
      <c r="E44" s="54">
        <v>1.5</v>
      </c>
      <c r="F44" s="54">
        <v>2</v>
      </c>
      <c r="G44" s="54">
        <v>4.8</v>
      </c>
      <c r="H44" s="54">
        <v>32</v>
      </c>
      <c r="I44" s="54">
        <v>90.6</v>
      </c>
      <c r="J44" s="54">
        <v>202.4</v>
      </c>
      <c r="K44" s="54">
        <v>125</v>
      </c>
      <c r="L44" s="54">
        <v>49.2</v>
      </c>
      <c r="M44" s="54">
        <v>50.8</v>
      </c>
      <c r="N44" s="54">
        <v>60.666666666666664</v>
      </c>
      <c r="O44" s="54">
        <v>61</v>
      </c>
      <c r="P44" s="54">
        <v>56.666666666666664</v>
      </c>
      <c r="Q44" s="54">
        <v>55.666666666666664</v>
      </c>
      <c r="R44" s="54">
        <v>80.5</v>
      </c>
      <c r="S44" s="54">
        <v>174.5</v>
      </c>
      <c r="T44" s="54">
        <v>159.16666666666666</v>
      </c>
      <c r="U44" s="54">
        <v>102.83333333333333</v>
      </c>
      <c r="V44" s="54">
        <v>69.666666666666671</v>
      </c>
      <c r="W44" s="54">
        <v>45.333333333333336</v>
      </c>
      <c r="X44" s="54">
        <v>35.833333333333336</v>
      </c>
      <c r="Y44" s="54">
        <v>19.666666666666668</v>
      </c>
      <c r="Z44" s="54">
        <v>66.00787401574803</v>
      </c>
    </row>
    <row r="45" spans="1:26" x14ac:dyDescent="0.3">
      <c r="A45" s="52" t="s">
        <v>77</v>
      </c>
      <c r="B45" s="54">
        <v>8.6666666666666661</v>
      </c>
      <c r="C45" s="54">
        <v>5.666666666666667</v>
      </c>
      <c r="D45" s="54">
        <v>3.8333333333333335</v>
      </c>
      <c r="E45" s="54">
        <v>1.5</v>
      </c>
      <c r="F45" s="54">
        <v>1.6666666666666667</v>
      </c>
      <c r="G45" s="54">
        <v>4.333333333333333</v>
      </c>
      <c r="H45" s="54">
        <v>25</v>
      </c>
      <c r="I45" s="54">
        <v>68.333333333333329</v>
      </c>
      <c r="J45" s="54">
        <v>157.66666666666666</v>
      </c>
      <c r="K45" s="54">
        <v>101.5</v>
      </c>
      <c r="L45" s="54">
        <v>48.5</v>
      </c>
      <c r="M45" s="54">
        <v>44.5</v>
      </c>
      <c r="N45" s="54">
        <v>62.833333333333336</v>
      </c>
      <c r="O45" s="54">
        <v>64.833333333333329</v>
      </c>
      <c r="P45" s="54">
        <v>56.333333333333336</v>
      </c>
      <c r="Q45" s="54">
        <v>62.666666666666664</v>
      </c>
      <c r="R45" s="54">
        <v>79.833333333333329</v>
      </c>
      <c r="S45" s="54">
        <v>151.33333333333334</v>
      </c>
      <c r="T45" s="54">
        <v>163.80000000000001</v>
      </c>
      <c r="U45" s="54">
        <v>101.2</v>
      </c>
      <c r="V45" s="54">
        <v>76</v>
      </c>
      <c r="W45" s="54">
        <v>61</v>
      </c>
      <c r="X45" s="54">
        <v>44</v>
      </c>
      <c r="Y45" s="54">
        <v>27.2</v>
      </c>
      <c r="Z45" s="54">
        <v>61.44274809160305</v>
      </c>
    </row>
    <row r="46" spans="1:26" x14ac:dyDescent="0.3">
      <c r="A46" s="52" t="s">
        <v>78</v>
      </c>
      <c r="B46" s="54">
        <v>11.8</v>
      </c>
      <c r="C46" s="54">
        <v>4.5999999999999996</v>
      </c>
      <c r="D46" s="54">
        <v>2.2000000000000002</v>
      </c>
      <c r="E46" s="54">
        <v>1.6666666666666667</v>
      </c>
      <c r="F46" s="54">
        <v>1.75</v>
      </c>
      <c r="G46" s="54">
        <v>4.2</v>
      </c>
      <c r="H46" s="54">
        <v>32.799999999999997</v>
      </c>
      <c r="I46" s="54">
        <v>90.8</v>
      </c>
      <c r="J46" s="54">
        <v>207.2</v>
      </c>
      <c r="K46" s="54">
        <v>131.80000000000001</v>
      </c>
      <c r="L46" s="54">
        <v>45.4</v>
      </c>
      <c r="M46" s="54">
        <v>54.6</v>
      </c>
      <c r="N46" s="54">
        <v>71.599999999999994</v>
      </c>
      <c r="O46" s="54">
        <v>72.2</v>
      </c>
      <c r="P46" s="54">
        <v>57.6</v>
      </c>
      <c r="Q46" s="54">
        <v>60.4</v>
      </c>
      <c r="R46" s="54">
        <v>72.833333333333329</v>
      </c>
      <c r="S46" s="54">
        <v>162.16666666666666</v>
      </c>
      <c r="T46" s="54">
        <v>150.5</v>
      </c>
      <c r="U46" s="54">
        <v>108.33333333333333</v>
      </c>
      <c r="V46" s="54">
        <v>87.333333333333329</v>
      </c>
      <c r="W46" s="54">
        <v>51.5</v>
      </c>
      <c r="X46" s="54">
        <v>42.833333333333336</v>
      </c>
      <c r="Y46" s="54">
        <v>26.166666666666668</v>
      </c>
      <c r="Z46" s="54">
        <v>67.664000000000001</v>
      </c>
    </row>
    <row r="47" spans="1:26" x14ac:dyDescent="0.3">
      <c r="A47" s="52" t="s">
        <v>79</v>
      </c>
      <c r="B47" s="54">
        <v>14.666666666666666</v>
      </c>
      <c r="C47" s="54">
        <v>5.833333333333333</v>
      </c>
      <c r="D47" s="54">
        <v>1.6666666666666667</v>
      </c>
      <c r="E47" s="54">
        <v>1</v>
      </c>
      <c r="F47" s="54">
        <v>1</v>
      </c>
      <c r="G47" s="54">
        <v>5.5</v>
      </c>
      <c r="H47" s="54">
        <v>24.333333333333332</v>
      </c>
      <c r="I47" s="54">
        <v>73.833333333333329</v>
      </c>
      <c r="J47" s="54">
        <v>196.33333333333334</v>
      </c>
      <c r="K47" s="54">
        <v>130.83333333333334</v>
      </c>
      <c r="L47" s="54">
        <v>52.333333333333336</v>
      </c>
      <c r="M47" s="54">
        <v>56.166666666666664</v>
      </c>
      <c r="N47" s="54">
        <v>64</v>
      </c>
      <c r="O47" s="54">
        <v>74.333333333333329</v>
      </c>
      <c r="P47" s="54">
        <v>64.833333333333329</v>
      </c>
      <c r="Q47" s="54">
        <v>68.333333333333329</v>
      </c>
      <c r="R47" s="54">
        <v>96.333333333333329</v>
      </c>
      <c r="S47" s="54">
        <v>178.66666666666666</v>
      </c>
      <c r="T47" s="54">
        <v>136.66666666666666</v>
      </c>
      <c r="U47" s="54">
        <v>96</v>
      </c>
      <c r="V47" s="54">
        <v>61.333333333333336</v>
      </c>
      <c r="W47" s="54">
        <v>46.666666666666664</v>
      </c>
      <c r="X47" s="54">
        <v>36.833333333333336</v>
      </c>
      <c r="Y47" s="54">
        <v>29.333333333333332</v>
      </c>
      <c r="Z47" s="54">
        <v>65.905797101449281</v>
      </c>
    </row>
    <row r="48" spans="1:26" x14ac:dyDescent="0.3">
      <c r="A48" s="52" t="s">
        <v>80</v>
      </c>
      <c r="B48" s="54">
        <v>25.571428571428573</v>
      </c>
      <c r="C48" s="54">
        <v>21.428571428571427</v>
      </c>
      <c r="D48" s="54">
        <v>16.857142857142858</v>
      </c>
      <c r="E48" s="54">
        <v>9.1428571428571423</v>
      </c>
      <c r="F48" s="54">
        <v>3.5714285714285716</v>
      </c>
      <c r="G48" s="54">
        <v>3.4</v>
      </c>
      <c r="H48" s="54">
        <v>2.4285714285714284</v>
      </c>
      <c r="I48" s="54">
        <v>7.1428571428571432</v>
      </c>
      <c r="J48" s="54">
        <v>21</v>
      </c>
      <c r="K48" s="54">
        <v>29.142857142857142</v>
      </c>
      <c r="L48" s="54">
        <v>54.571428571428569</v>
      </c>
      <c r="M48" s="54">
        <v>68.285714285714292</v>
      </c>
      <c r="N48" s="54">
        <v>84.428571428571431</v>
      </c>
      <c r="O48" s="54">
        <v>93.285714285714292</v>
      </c>
      <c r="P48" s="54">
        <v>95.428571428571431</v>
      </c>
      <c r="Q48" s="54">
        <v>110</v>
      </c>
      <c r="R48" s="54">
        <v>100.42857142857143</v>
      </c>
      <c r="S48" s="54">
        <v>84.571428571428569</v>
      </c>
      <c r="T48" s="54">
        <v>63.285714285714285</v>
      </c>
      <c r="U48" s="54">
        <v>54.714285714285715</v>
      </c>
      <c r="V48" s="54">
        <v>43.142857142857146</v>
      </c>
      <c r="W48" s="54">
        <v>44.285714285714285</v>
      </c>
      <c r="X48" s="54">
        <v>34.285714285714285</v>
      </c>
      <c r="Y48" s="54">
        <v>37.428571428571431</v>
      </c>
      <c r="Z48" s="54">
        <v>46.674698795180724</v>
      </c>
    </row>
    <row r="49" spans="1:26" x14ac:dyDescent="0.3">
      <c r="A49" s="52" t="s">
        <v>81</v>
      </c>
      <c r="B49" s="54">
        <v>30.571428571428573</v>
      </c>
      <c r="C49" s="54">
        <v>23.142857142857142</v>
      </c>
      <c r="D49" s="54">
        <v>15</v>
      </c>
      <c r="E49" s="54">
        <v>9</v>
      </c>
      <c r="F49" s="54">
        <v>1.6666666666666667</v>
      </c>
      <c r="G49" s="54">
        <v>2</v>
      </c>
      <c r="H49" s="54">
        <v>1.8333333333333333</v>
      </c>
      <c r="I49" s="54">
        <v>3.7142857142857144</v>
      </c>
      <c r="J49" s="54">
        <v>14.571428571428571</v>
      </c>
      <c r="K49" s="54">
        <v>32.714285714285715</v>
      </c>
      <c r="L49" s="54">
        <v>71</v>
      </c>
      <c r="M49" s="54">
        <v>85.571428571428569</v>
      </c>
      <c r="N49" s="54">
        <v>117</v>
      </c>
      <c r="O49" s="54">
        <v>110.71428571428571</v>
      </c>
      <c r="P49" s="54">
        <v>110.85714285714286</v>
      </c>
      <c r="Q49" s="54">
        <v>114.14285714285714</v>
      </c>
      <c r="R49" s="54">
        <v>106.57142857142857</v>
      </c>
      <c r="S49" s="54">
        <v>87.142857142857139</v>
      </c>
      <c r="T49" s="54">
        <v>65</v>
      </c>
      <c r="U49" s="54">
        <v>45.571428571428569</v>
      </c>
      <c r="V49" s="54">
        <v>36.857142857142854</v>
      </c>
      <c r="W49" s="54">
        <v>30</v>
      </c>
      <c r="X49" s="54">
        <v>27.428571428571427</v>
      </c>
      <c r="Y49" s="54">
        <v>19.142857142857142</v>
      </c>
      <c r="Z49" s="54">
        <v>49.518292682926827</v>
      </c>
    </row>
    <row r="50" spans="1:26" x14ac:dyDescent="0.3">
      <c r="A50" s="52" t="s">
        <v>74</v>
      </c>
      <c r="B50" s="54">
        <v>16.348837209302324</v>
      </c>
      <c r="C50" s="54">
        <v>10.697674418604651</v>
      </c>
      <c r="D50" s="54">
        <v>7.1707317073170733</v>
      </c>
      <c r="E50" s="54">
        <v>4.870967741935484</v>
      </c>
      <c r="F50" s="54">
        <v>2.15625</v>
      </c>
      <c r="G50" s="54">
        <v>4.2051282051282053</v>
      </c>
      <c r="H50" s="54">
        <v>19.571428571428573</v>
      </c>
      <c r="I50" s="54">
        <v>54.395348837209305</v>
      </c>
      <c r="J50" s="54">
        <v>128.28571428571428</v>
      </c>
      <c r="K50" s="54">
        <v>87.428571428571431</v>
      </c>
      <c r="L50" s="54">
        <v>53.642857142857146</v>
      </c>
      <c r="M50" s="54">
        <v>59.38095238095238</v>
      </c>
      <c r="N50" s="54">
        <v>76.348837209302332</v>
      </c>
      <c r="O50" s="54">
        <v>78.511627906976742</v>
      </c>
      <c r="P50" s="54">
        <v>74.418604651162795</v>
      </c>
      <c r="Q50" s="54">
        <v>77.95348837209302</v>
      </c>
      <c r="R50" s="54">
        <v>89.272727272727266</v>
      </c>
      <c r="S50" s="54">
        <v>140.20454545454547</v>
      </c>
      <c r="T50" s="54">
        <v>122.86046511627907</v>
      </c>
      <c r="U50" s="54">
        <v>85.139534883720927</v>
      </c>
      <c r="V50" s="54">
        <v>61.767441860465119</v>
      </c>
      <c r="W50" s="54">
        <v>46.418604651162788</v>
      </c>
      <c r="X50" s="54">
        <v>35.069767441860463</v>
      </c>
      <c r="Y50" s="54">
        <v>25.186046511627907</v>
      </c>
      <c r="Z50" s="54">
        <v>58.304000000000002</v>
      </c>
    </row>
    <row r="52" spans="1:26" ht="18" x14ac:dyDescent="0.35">
      <c r="A52" s="79" t="s">
        <v>83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x14ac:dyDescent="0.3">
      <c r="A53" s="55" t="s">
        <v>71</v>
      </c>
      <c r="B53" s="55" t="s">
        <v>72</v>
      </c>
    </row>
    <row r="54" spans="1:26" x14ac:dyDescent="0.3">
      <c r="A54" s="55" t="s">
        <v>73</v>
      </c>
      <c r="B54">
        <v>0</v>
      </c>
      <c r="C54">
        <v>1</v>
      </c>
      <c r="D54">
        <v>2</v>
      </c>
      <c r="E54">
        <v>3</v>
      </c>
      <c r="F54">
        <v>4</v>
      </c>
      <c r="G54">
        <v>5</v>
      </c>
      <c r="H54">
        <v>6</v>
      </c>
      <c r="I54">
        <v>7</v>
      </c>
      <c r="J54">
        <v>8</v>
      </c>
      <c r="K54">
        <v>9</v>
      </c>
      <c r="L54">
        <v>10</v>
      </c>
      <c r="M54">
        <v>11</v>
      </c>
      <c r="N54">
        <v>12</v>
      </c>
      <c r="O54">
        <v>13</v>
      </c>
      <c r="P54">
        <v>14</v>
      </c>
      <c r="Q54">
        <v>15</v>
      </c>
      <c r="R54">
        <v>16</v>
      </c>
      <c r="S54">
        <v>17</v>
      </c>
      <c r="T54">
        <v>18</v>
      </c>
      <c r="U54">
        <v>19</v>
      </c>
      <c r="V54">
        <v>20</v>
      </c>
      <c r="W54">
        <v>21</v>
      </c>
      <c r="X54">
        <v>22</v>
      </c>
      <c r="Y54">
        <v>23</v>
      </c>
      <c r="Z54" t="s">
        <v>74</v>
      </c>
    </row>
    <row r="55" spans="1:26" x14ac:dyDescent="0.3">
      <c r="A55" s="52" t="s">
        <v>84</v>
      </c>
      <c r="B55" s="53">
        <v>10.689655172413794</v>
      </c>
      <c r="C55" s="53">
        <v>5.1034482758620694</v>
      </c>
      <c r="D55" s="53">
        <v>2.6296296296296298</v>
      </c>
      <c r="E55" s="53">
        <v>1.411764705882353</v>
      </c>
      <c r="F55" s="53">
        <v>1.7894736842105263</v>
      </c>
      <c r="G55" s="53">
        <v>4.7241379310344831</v>
      </c>
      <c r="H55" s="53">
        <v>27.379310344827587</v>
      </c>
      <c r="I55" s="53">
        <v>78.034482758620683</v>
      </c>
      <c r="J55" s="53">
        <v>183.53571428571428</v>
      </c>
      <c r="K55" s="53">
        <v>115.67857142857143</v>
      </c>
      <c r="L55" s="53">
        <v>49.071428571428569</v>
      </c>
      <c r="M55" s="53">
        <v>50.607142857142854</v>
      </c>
      <c r="N55" s="53">
        <v>64.58620689655173</v>
      </c>
      <c r="O55" s="53">
        <v>67.172413793103445</v>
      </c>
      <c r="P55" s="53">
        <v>60.551724137931032</v>
      </c>
      <c r="Q55" s="53">
        <v>61.482758620689658</v>
      </c>
      <c r="R55" s="53">
        <v>82.63333333333334</v>
      </c>
      <c r="S55" s="53">
        <v>165.56666666666666</v>
      </c>
      <c r="T55" s="53">
        <v>151.20689655172413</v>
      </c>
      <c r="U55" s="53">
        <v>102.03448275862068</v>
      </c>
      <c r="V55" s="53">
        <v>72.275862068965523</v>
      </c>
      <c r="W55" s="53">
        <v>50.896551724137929</v>
      </c>
      <c r="X55" s="53">
        <v>37.103448275862071</v>
      </c>
      <c r="Y55" s="53">
        <v>23.689655172413794</v>
      </c>
      <c r="Z55" s="53">
        <v>63.335820895522389</v>
      </c>
    </row>
    <row r="56" spans="1:26" x14ac:dyDescent="0.3">
      <c r="A56" s="52" t="s">
        <v>85</v>
      </c>
      <c r="B56" s="53">
        <v>28.071428571428573</v>
      </c>
      <c r="C56" s="53">
        <v>22.285714285714285</v>
      </c>
      <c r="D56" s="53">
        <v>15.928571428571429</v>
      </c>
      <c r="E56" s="53">
        <v>9.0714285714285712</v>
      </c>
      <c r="F56" s="53">
        <v>2.6923076923076925</v>
      </c>
      <c r="G56" s="53">
        <v>2.7</v>
      </c>
      <c r="H56" s="53">
        <v>2.1538461538461537</v>
      </c>
      <c r="I56" s="53">
        <v>5.4285714285714288</v>
      </c>
      <c r="J56" s="53">
        <v>17.785714285714285</v>
      </c>
      <c r="K56" s="53">
        <v>30.928571428571427</v>
      </c>
      <c r="L56" s="53">
        <v>62.785714285714285</v>
      </c>
      <c r="M56" s="53">
        <v>76.928571428571431</v>
      </c>
      <c r="N56" s="53">
        <v>100.71428571428571</v>
      </c>
      <c r="O56" s="53">
        <v>102</v>
      </c>
      <c r="P56" s="53">
        <v>103.14285714285714</v>
      </c>
      <c r="Q56" s="53">
        <v>112.07142857142857</v>
      </c>
      <c r="R56" s="53">
        <v>103.5</v>
      </c>
      <c r="S56" s="53">
        <v>85.857142857142861</v>
      </c>
      <c r="T56" s="53">
        <v>64.142857142857139</v>
      </c>
      <c r="U56" s="53">
        <v>50.142857142857146</v>
      </c>
      <c r="V56" s="53">
        <v>40</v>
      </c>
      <c r="W56" s="53">
        <v>37.142857142857146</v>
      </c>
      <c r="X56" s="53">
        <v>30.857142857142858</v>
      </c>
      <c r="Y56" s="53">
        <v>28.285714285714285</v>
      </c>
      <c r="Z56" s="53">
        <v>48.087878787878786</v>
      </c>
    </row>
    <row r="57" spans="1:26" x14ac:dyDescent="0.3">
      <c r="A57" s="52" t="s">
        <v>74</v>
      </c>
      <c r="B57" s="53">
        <v>16.348837209302324</v>
      </c>
      <c r="C57" s="53">
        <v>10.697674418604651</v>
      </c>
      <c r="D57" s="53">
        <v>7.1707317073170733</v>
      </c>
      <c r="E57" s="53">
        <v>4.870967741935484</v>
      </c>
      <c r="F57" s="53">
        <v>2.15625</v>
      </c>
      <c r="G57" s="53">
        <v>4.2051282051282053</v>
      </c>
      <c r="H57" s="53">
        <v>19.571428571428573</v>
      </c>
      <c r="I57" s="53">
        <v>54.395348837209305</v>
      </c>
      <c r="J57" s="53">
        <v>128.28571428571428</v>
      </c>
      <c r="K57" s="53">
        <v>87.428571428571431</v>
      </c>
      <c r="L57" s="53">
        <v>53.642857142857146</v>
      </c>
      <c r="M57" s="53">
        <v>59.38095238095238</v>
      </c>
      <c r="N57" s="53">
        <v>76.348837209302332</v>
      </c>
      <c r="O57" s="53">
        <v>78.511627906976742</v>
      </c>
      <c r="P57" s="53">
        <v>74.418604651162795</v>
      </c>
      <c r="Q57" s="53">
        <v>77.95348837209302</v>
      </c>
      <c r="R57" s="53">
        <v>89.272727272727266</v>
      </c>
      <c r="S57" s="53">
        <v>140.20454545454547</v>
      </c>
      <c r="T57" s="53">
        <v>122.86046511627907</v>
      </c>
      <c r="U57" s="53">
        <v>85.139534883720927</v>
      </c>
      <c r="V57" s="53">
        <v>61.767441860465119</v>
      </c>
      <c r="W57" s="53">
        <v>46.418604651162788</v>
      </c>
      <c r="X57" s="53">
        <v>35.069767441860463</v>
      </c>
      <c r="Y57" s="53">
        <v>25.186046511627907</v>
      </c>
      <c r="Z57" s="53">
        <v>58.304000000000002</v>
      </c>
    </row>
    <row r="74" spans="1:26" ht="18" x14ac:dyDescent="0.35">
      <c r="A74" s="79" t="s">
        <v>86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x14ac:dyDescent="0.3">
      <c r="A75" s="55" t="s">
        <v>71</v>
      </c>
      <c r="B75" s="55" t="s">
        <v>72</v>
      </c>
    </row>
    <row r="76" spans="1:26" x14ac:dyDescent="0.3">
      <c r="A76" s="55" t="s">
        <v>73</v>
      </c>
      <c r="B76">
        <v>0</v>
      </c>
      <c r="C76">
        <v>1</v>
      </c>
      <c r="D76">
        <v>2</v>
      </c>
      <c r="E76">
        <v>3</v>
      </c>
      <c r="F76">
        <v>4</v>
      </c>
      <c r="G76">
        <v>5</v>
      </c>
      <c r="H76">
        <v>6</v>
      </c>
      <c r="I76">
        <v>7</v>
      </c>
      <c r="J76">
        <v>8</v>
      </c>
      <c r="K76">
        <v>9</v>
      </c>
      <c r="L76">
        <v>10</v>
      </c>
      <c r="M76">
        <v>11</v>
      </c>
      <c r="N76">
        <v>12</v>
      </c>
      <c r="O76">
        <v>13</v>
      </c>
      <c r="P76">
        <v>14</v>
      </c>
      <c r="Q76">
        <v>15</v>
      </c>
      <c r="R76">
        <v>16</v>
      </c>
      <c r="S76">
        <v>17</v>
      </c>
      <c r="T76">
        <v>18</v>
      </c>
      <c r="U76">
        <v>19</v>
      </c>
      <c r="V76">
        <v>20</v>
      </c>
      <c r="W76">
        <v>21</v>
      </c>
      <c r="X76">
        <v>22</v>
      </c>
      <c r="Y76">
        <v>23</v>
      </c>
      <c r="Z76" t="s">
        <v>74</v>
      </c>
    </row>
    <row r="77" spans="1:26" x14ac:dyDescent="0.3">
      <c r="A77" s="52">
        <v>1</v>
      </c>
      <c r="B77" s="53">
        <v>15.103448275862069</v>
      </c>
      <c r="C77" s="53">
        <v>10.172413793103448</v>
      </c>
      <c r="D77" s="53">
        <v>7.2962962962962967</v>
      </c>
      <c r="E77" s="53">
        <v>4.9473684210526319</v>
      </c>
      <c r="F77" s="53">
        <v>1.9130434782608696</v>
      </c>
      <c r="G77" s="53">
        <v>4.0769230769230766</v>
      </c>
      <c r="H77" s="53">
        <v>18.392857142857142</v>
      </c>
      <c r="I77" s="53">
        <v>50.793103448275865</v>
      </c>
      <c r="J77" s="53">
        <v>122.37931034482759</v>
      </c>
      <c r="K77" s="53">
        <v>82.068965517241381</v>
      </c>
      <c r="L77" s="53">
        <v>51.344827586206897</v>
      </c>
      <c r="M77" s="53">
        <v>56.068965517241381</v>
      </c>
      <c r="N77" s="53">
        <v>72.63333333333334</v>
      </c>
      <c r="O77" s="53">
        <v>73.933333333333337</v>
      </c>
      <c r="P77" s="53">
        <v>71.13333333333334</v>
      </c>
      <c r="Q77" s="53">
        <v>73.566666666666663</v>
      </c>
      <c r="R77" s="53">
        <v>83.741935483870961</v>
      </c>
      <c r="S77" s="53">
        <v>129.93548387096774</v>
      </c>
      <c r="T77" s="53">
        <v>116</v>
      </c>
      <c r="U77" s="53">
        <v>84.2</v>
      </c>
      <c r="V77" s="53">
        <v>58.56666666666667</v>
      </c>
      <c r="W77" s="53">
        <v>41.766666666666666</v>
      </c>
      <c r="X77" s="53">
        <v>31.7</v>
      </c>
      <c r="Y77" s="53">
        <v>21.8</v>
      </c>
      <c r="Z77" s="53">
        <v>55.507267441860463</v>
      </c>
    </row>
    <row r="78" spans="1:26" x14ac:dyDescent="0.3">
      <c r="A78" s="52">
        <v>2</v>
      </c>
      <c r="B78" s="53">
        <v>18.928571428571427</v>
      </c>
      <c r="C78" s="53">
        <v>11.785714285714286</v>
      </c>
      <c r="D78" s="53">
        <v>6.9285714285714288</v>
      </c>
      <c r="E78" s="53">
        <v>4.75</v>
      </c>
      <c r="F78" s="53">
        <v>2.7777777777777777</v>
      </c>
      <c r="G78" s="53">
        <v>4.4615384615384617</v>
      </c>
      <c r="H78" s="53">
        <v>21.928571428571427</v>
      </c>
      <c r="I78" s="53">
        <v>61.857142857142854</v>
      </c>
      <c r="J78" s="53">
        <v>141.46153846153845</v>
      </c>
      <c r="K78" s="53">
        <v>99.384615384615387</v>
      </c>
      <c r="L78" s="53">
        <v>58.769230769230766</v>
      </c>
      <c r="M78" s="53">
        <v>66.769230769230774</v>
      </c>
      <c r="N78" s="53">
        <v>84.92307692307692</v>
      </c>
      <c r="O78" s="53">
        <v>89.07692307692308</v>
      </c>
      <c r="P78" s="53">
        <v>82</v>
      </c>
      <c r="Q78" s="53">
        <v>88.07692307692308</v>
      </c>
      <c r="R78" s="53">
        <v>102.46153846153847</v>
      </c>
      <c r="S78" s="53">
        <v>164.69230769230768</v>
      </c>
      <c r="T78" s="53">
        <v>138.69230769230768</v>
      </c>
      <c r="U78" s="53">
        <v>87.307692307692307</v>
      </c>
      <c r="V78" s="53">
        <v>69.15384615384616</v>
      </c>
      <c r="W78" s="53">
        <v>57.153846153846153</v>
      </c>
      <c r="X78" s="53">
        <v>42.846153846153847</v>
      </c>
      <c r="Y78" s="53">
        <v>33</v>
      </c>
      <c r="Z78" s="53">
        <v>64.47115384615384</v>
      </c>
    </row>
    <row r="79" spans="1:26" x14ac:dyDescent="0.3">
      <c r="A79" s="52" t="s">
        <v>74</v>
      </c>
      <c r="B79" s="53">
        <v>16.348837209302324</v>
      </c>
      <c r="C79" s="53">
        <v>10.697674418604651</v>
      </c>
      <c r="D79" s="53">
        <v>7.1707317073170733</v>
      </c>
      <c r="E79" s="53">
        <v>4.870967741935484</v>
      </c>
      <c r="F79" s="53">
        <v>2.15625</v>
      </c>
      <c r="G79" s="53">
        <v>4.2051282051282053</v>
      </c>
      <c r="H79" s="53">
        <v>19.571428571428573</v>
      </c>
      <c r="I79" s="53">
        <v>54.395348837209305</v>
      </c>
      <c r="J79" s="53">
        <v>128.28571428571428</v>
      </c>
      <c r="K79" s="53">
        <v>87.428571428571431</v>
      </c>
      <c r="L79" s="53">
        <v>53.642857142857146</v>
      </c>
      <c r="M79" s="53">
        <v>59.38095238095238</v>
      </c>
      <c r="N79" s="53">
        <v>76.348837209302332</v>
      </c>
      <c r="O79" s="53">
        <v>78.511627906976742</v>
      </c>
      <c r="P79" s="53">
        <v>74.418604651162795</v>
      </c>
      <c r="Q79" s="53">
        <v>77.95348837209302</v>
      </c>
      <c r="R79" s="53">
        <v>89.272727272727266</v>
      </c>
      <c r="S79" s="53">
        <v>140.20454545454547</v>
      </c>
      <c r="T79" s="53">
        <v>122.86046511627907</v>
      </c>
      <c r="U79" s="53">
        <v>85.139534883720927</v>
      </c>
      <c r="V79" s="53">
        <v>61.767441860465119</v>
      </c>
      <c r="W79" s="53">
        <v>46.418604651162788</v>
      </c>
      <c r="X79" s="53">
        <v>35.069767441860463</v>
      </c>
      <c r="Y79" s="53">
        <v>25.186046511627907</v>
      </c>
      <c r="Z79" s="53">
        <v>58.304000000000002</v>
      </c>
    </row>
    <row r="97" spans="1:26" ht="18" x14ac:dyDescent="0.35">
      <c r="A97" s="79" t="s">
        <v>87</v>
      </c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x14ac:dyDescent="0.3">
      <c r="A98" s="55" t="s">
        <v>71</v>
      </c>
      <c r="B98" s="55" t="s">
        <v>72</v>
      </c>
    </row>
    <row r="99" spans="1:26" x14ac:dyDescent="0.3">
      <c r="A99" s="55" t="s">
        <v>73</v>
      </c>
      <c r="B99">
        <v>0</v>
      </c>
      <c r="C99">
        <v>1</v>
      </c>
      <c r="D99">
        <v>2</v>
      </c>
      <c r="E99">
        <v>3</v>
      </c>
      <c r="F99">
        <v>4</v>
      </c>
      <c r="G99">
        <v>5</v>
      </c>
      <c r="H99">
        <v>6</v>
      </c>
      <c r="I99">
        <v>7</v>
      </c>
      <c r="J99">
        <v>8</v>
      </c>
      <c r="K99">
        <v>9</v>
      </c>
      <c r="L99">
        <v>10</v>
      </c>
      <c r="M99">
        <v>11</v>
      </c>
      <c r="N99">
        <v>12</v>
      </c>
      <c r="O99">
        <v>13</v>
      </c>
      <c r="P99">
        <v>14</v>
      </c>
      <c r="Q99">
        <v>15</v>
      </c>
      <c r="R99">
        <v>16</v>
      </c>
      <c r="S99">
        <v>17</v>
      </c>
      <c r="T99">
        <v>18</v>
      </c>
      <c r="U99">
        <v>19</v>
      </c>
      <c r="V99">
        <v>20</v>
      </c>
      <c r="W99">
        <v>21</v>
      </c>
      <c r="X99">
        <v>22</v>
      </c>
      <c r="Y99">
        <v>23</v>
      </c>
      <c r="Z99" t="s">
        <v>74</v>
      </c>
    </row>
    <row r="100" spans="1:26" x14ac:dyDescent="0.3">
      <c r="A100" s="52" t="s">
        <v>88</v>
      </c>
      <c r="B100" s="53">
        <v>17.923076923076923</v>
      </c>
      <c r="C100" s="53">
        <v>11.92</v>
      </c>
      <c r="D100" s="53">
        <v>7.3043478260869561</v>
      </c>
      <c r="E100" s="53">
        <v>5.0555555555555554</v>
      </c>
      <c r="F100" s="53">
        <v>1.9473684210526316</v>
      </c>
      <c r="G100" s="53">
        <v>4.2173913043478262</v>
      </c>
      <c r="H100" s="53">
        <v>23.041666666666668</v>
      </c>
      <c r="I100" s="53">
        <v>60.655172413793103</v>
      </c>
      <c r="J100" s="53">
        <v>135.53846153846155</v>
      </c>
      <c r="K100" s="53">
        <v>87.541666666666671</v>
      </c>
      <c r="L100" s="53">
        <v>56.695652173913047</v>
      </c>
      <c r="M100" s="53">
        <v>65.695652173913047</v>
      </c>
      <c r="N100" s="53">
        <v>87.666666666666671</v>
      </c>
      <c r="O100" s="53">
        <v>89.375</v>
      </c>
      <c r="P100" s="53">
        <v>78.625</v>
      </c>
      <c r="Q100" s="53">
        <v>82.791666666666671</v>
      </c>
      <c r="R100" s="53">
        <v>90.18518518518519</v>
      </c>
      <c r="S100" s="53">
        <v>139.61290322580646</v>
      </c>
      <c r="T100" s="53">
        <v>119.79310344827586</v>
      </c>
      <c r="U100" s="53">
        <v>84.533333333333331</v>
      </c>
      <c r="V100" s="53">
        <v>60.5</v>
      </c>
      <c r="W100" s="53">
        <v>46</v>
      </c>
      <c r="X100" s="53">
        <v>35.555555555555557</v>
      </c>
      <c r="Y100" s="53">
        <v>26</v>
      </c>
      <c r="Z100" s="53">
        <v>61.671617161716171</v>
      </c>
    </row>
    <row r="101" spans="1:26" x14ac:dyDescent="0.3">
      <c r="A101" s="52" t="s">
        <v>89</v>
      </c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>
        <v>36</v>
      </c>
      <c r="S101" s="53"/>
      <c r="T101" s="53"/>
      <c r="U101" s="53"/>
      <c r="V101" s="53"/>
      <c r="W101" s="53"/>
      <c r="X101" s="53"/>
      <c r="Y101" s="53"/>
      <c r="Z101" s="53">
        <v>36</v>
      </c>
    </row>
    <row r="102" spans="1:26" x14ac:dyDescent="0.3">
      <c r="A102" s="52" t="s">
        <v>90</v>
      </c>
      <c r="B102" s="53">
        <v>9</v>
      </c>
      <c r="C102" s="53">
        <v>5.666666666666667</v>
      </c>
      <c r="D102" s="53">
        <v>4.4000000000000004</v>
      </c>
      <c r="E102" s="53">
        <v>2.5</v>
      </c>
      <c r="F102" s="53">
        <v>3</v>
      </c>
      <c r="G102" s="53">
        <v>4.2</v>
      </c>
      <c r="H102" s="53">
        <v>10.8</v>
      </c>
      <c r="I102" s="53">
        <v>33.75</v>
      </c>
      <c r="J102" s="53">
        <v>65.833333333333329</v>
      </c>
      <c r="K102" s="53">
        <v>49.75</v>
      </c>
      <c r="L102" s="53">
        <v>37</v>
      </c>
      <c r="M102" s="53">
        <v>39.333333333333336</v>
      </c>
      <c r="N102" s="53">
        <v>43</v>
      </c>
      <c r="O102" s="53">
        <v>50</v>
      </c>
      <c r="P102" s="53">
        <v>47</v>
      </c>
      <c r="Q102" s="53">
        <v>59</v>
      </c>
      <c r="R102" s="53">
        <v>73.5</v>
      </c>
      <c r="S102" s="53">
        <v>26</v>
      </c>
      <c r="T102" s="53">
        <v>65</v>
      </c>
      <c r="U102" s="53">
        <v>59</v>
      </c>
      <c r="V102" s="53">
        <v>56.75</v>
      </c>
      <c r="W102" s="53">
        <v>34.333333333333336</v>
      </c>
      <c r="X102" s="53">
        <v>29.333333333333332</v>
      </c>
      <c r="Y102" s="53">
        <v>19</v>
      </c>
      <c r="Z102" s="53">
        <v>33.202380952380949</v>
      </c>
    </row>
    <row r="103" spans="1:26" x14ac:dyDescent="0.3">
      <c r="A103" s="52" t="s">
        <v>91</v>
      </c>
      <c r="B103" s="53">
        <v>14.6</v>
      </c>
      <c r="C103" s="53">
        <v>9.6666666666666661</v>
      </c>
      <c r="D103" s="53">
        <v>8</v>
      </c>
      <c r="E103" s="53">
        <v>5.5555555555555554</v>
      </c>
      <c r="F103" s="53">
        <v>2.2222222222222223</v>
      </c>
      <c r="G103" s="53">
        <v>4.1818181818181817</v>
      </c>
      <c r="H103" s="53">
        <v>16.53846153846154</v>
      </c>
      <c r="I103" s="53">
        <v>44.5</v>
      </c>
      <c r="J103" s="53">
        <v>146.9</v>
      </c>
      <c r="K103" s="53">
        <v>98</v>
      </c>
      <c r="L103" s="53">
        <v>52.375</v>
      </c>
      <c r="M103" s="53">
        <v>54.0625</v>
      </c>
      <c r="N103" s="53">
        <v>69.10526315789474</v>
      </c>
      <c r="O103" s="53">
        <v>67.5625</v>
      </c>
      <c r="P103" s="53">
        <v>75</v>
      </c>
      <c r="Q103" s="53">
        <v>74.25</v>
      </c>
      <c r="R103" s="53">
        <v>93.571428571428569</v>
      </c>
      <c r="S103" s="53">
        <v>151.25</v>
      </c>
      <c r="T103" s="53">
        <v>139.91666666666666</v>
      </c>
      <c r="U103" s="53">
        <v>98.777777777777771</v>
      </c>
      <c r="V103" s="53">
        <v>68.222222222222229</v>
      </c>
      <c r="W103" s="53">
        <v>51.3</v>
      </c>
      <c r="X103" s="53">
        <v>35.384615384615387</v>
      </c>
      <c r="Y103" s="53">
        <v>25.46153846153846</v>
      </c>
      <c r="Z103" s="53">
        <v>58.595469255663431</v>
      </c>
    </row>
    <row r="104" spans="1:26" x14ac:dyDescent="0.3">
      <c r="A104" s="52" t="s">
        <v>74</v>
      </c>
      <c r="B104" s="53">
        <v>16.348837209302324</v>
      </c>
      <c r="C104" s="53">
        <v>10.697674418604651</v>
      </c>
      <c r="D104" s="53">
        <v>7.1707317073170733</v>
      </c>
      <c r="E104" s="53">
        <v>4.870967741935484</v>
      </c>
      <c r="F104" s="53">
        <v>2.15625</v>
      </c>
      <c r="G104" s="53">
        <v>4.2051282051282053</v>
      </c>
      <c r="H104" s="53">
        <v>19.571428571428573</v>
      </c>
      <c r="I104" s="53">
        <v>54.395348837209305</v>
      </c>
      <c r="J104" s="53">
        <v>128.28571428571428</v>
      </c>
      <c r="K104" s="53">
        <v>87.428571428571431</v>
      </c>
      <c r="L104" s="53">
        <v>53.642857142857146</v>
      </c>
      <c r="M104" s="53">
        <v>59.38095238095238</v>
      </c>
      <c r="N104" s="53">
        <v>76.348837209302332</v>
      </c>
      <c r="O104" s="53">
        <v>78.511627906976742</v>
      </c>
      <c r="P104" s="53">
        <v>74.418604651162795</v>
      </c>
      <c r="Q104" s="53">
        <v>77.95348837209302</v>
      </c>
      <c r="R104" s="53">
        <v>89.272727272727266</v>
      </c>
      <c r="S104" s="53">
        <v>140.20454545454547</v>
      </c>
      <c r="T104" s="53">
        <v>122.86046511627907</v>
      </c>
      <c r="U104" s="53">
        <v>85.139534883720927</v>
      </c>
      <c r="V104" s="53">
        <v>61.767441860465119</v>
      </c>
      <c r="W104" s="53">
        <v>46.418604651162788</v>
      </c>
      <c r="X104" s="53">
        <v>35.069767441860463</v>
      </c>
      <c r="Y104" s="53">
        <v>25.186046511627907</v>
      </c>
      <c r="Z104" s="53">
        <v>58.304000000000002</v>
      </c>
    </row>
  </sheetData>
  <mergeCells count="6">
    <mergeCell ref="A97:Z97"/>
    <mergeCell ref="A2:Z2"/>
    <mergeCell ref="A28:Z28"/>
    <mergeCell ref="A40:Z40"/>
    <mergeCell ref="A52:Z52"/>
    <mergeCell ref="A74:Z74"/>
  </mergeCells>
  <conditionalFormatting sqref="A30:Z3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2:Z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7682-4C6C-4594-827E-EF8B0EFB8E5B}">
  <dimension ref="A1:I38"/>
  <sheetViews>
    <sheetView workbookViewId="0">
      <selection activeCell="A2" sqref="A2"/>
    </sheetView>
  </sheetViews>
  <sheetFormatPr defaultRowHeight="14.4" x14ac:dyDescent="0.3"/>
  <cols>
    <col min="1" max="1" width="22.5546875" bestFit="1" customWidth="1"/>
    <col min="2" max="2" width="16.44140625" bestFit="1" customWidth="1"/>
    <col min="4" max="4" width="15.21875" bestFit="1" customWidth="1"/>
    <col min="5" max="5" width="17.44140625" bestFit="1" customWidth="1"/>
    <col min="6" max="6" width="17.77734375" bestFit="1" customWidth="1"/>
    <col min="7" max="7" width="13.5546875" bestFit="1" customWidth="1"/>
    <col min="8" max="8" width="14.77734375" customWidth="1"/>
    <col min="9" max="9" width="20.21875" customWidth="1"/>
    <col min="11" max="11" width="11.5546875" bestFit="1" customWidth="1"/>
    <col min="12" max="12" width="17.77734375" bestFit="1" customWidth="1"/>
    <col min="15" max="15" width="15.21875" bestFit="1" customWidth="1"/>
    <col min="16" max="16" width="17.44140625" bestFit="1" customWidth="1"/>
    <col min="17" max="17" width="16.44140625" bestFit="1" customWidth="1"/>
    <col min="19" max="19" width="16" bestFit="1" customWidth="1"/>
    <col min="20" max="20" width="16.44140625" bestFit="1" customWidth="1"/>
    <col min="22" max="22" width="11.5546875" bestFit="1" customWidth="1"/>
    <col min="23" max="23" width="11.33203125" bestFit="1" customWidth="1"/>
    <col min="24" max="24" width="15.21875" bestFit="1" customWidth="1"/>
  </cols>
  <sheetData>
    <row r="1" spans="1:9" ht="18" x14ac:dyDescent="0.35">
      <c r="A1" s="59" t="s">
        <v>92</v>
      </c>
    </row>
    <row r="3" spans="1:9" ht="18" x14ac:dyDescent="0.35">
      <c r="A3" s="59" t="s">
        <v>93</v>
      </c>
      <c r="D3" s="80" t="s">
        <v>94</v>
      </c>
      <c r="E3" s="80"/>
      <c r="F3" s="80"/>
      <c r="H3" s="80" t="s">
        <v>95</v>
      </c>
      <c r="I3" s="80"/>
    </row>
    <row r="4" spans="1:9" x14ac:dyDescent="0.3">
      <c r="A4" s="60" t="s">
        <v>96</v>
      </c>
      <c r="B4" s="60" t="s">
        <v>97</v>
      </c>
      <c r="D4" s="60" t="s">
        <v>7</v>
      </c>
      <c r="E4" s="60" t="s">
        <v>98</v>
      </c>
      <c r="F4" s="60" t="s">
        <v>99</v>
      </c>
      <c r="H4" s="60" t="s">
        <v>100</v>
      </c>
      <c r="I4" s="60" t="s">
        <v>99</v>
      </c>
    </row>
    <row r="5" spans="1:9" x14ac:dyDescent="0.3">
      <c r="A5" s="61" t="s">
        <v>63</v>
      </c>
      <c r="B5" s="62">
        <f>SUM([1]CleanedData!V:V)</f>
        <v>58304</v>
      </c>
      <c r="D5" s="62">
        <v>0</v>
      </c>
      <c r="E5" s="61" t="s">
        <v>81</v>
      </c>
      <c r="F5" s="62">
        <v>8121</v>
      </c>
      <c r="H5" s="62">
        <v>1</v>
      </c>
      <c r="I5" s="62">
        <v>38189</v>
      </c>
    </row>
    <row r="6" spans="1:9" x14ac:dyDescent="0.3">
      <c r="A6" s="61" t="s">
        <v>64</v>
      </c>
      <c r="B6" s="62">
        <f>AVERAGE([1]CleanedData!V:V)</f>
        <v>58.304000000000002</v>
      </c>
      <c r="D6" s="62">
        <v>1</v>
      </c>
      <c r="E6" s="61" t="s">
        <v>75</v>
      </c>
      <c r="F6" s="62">
        <v>8450</v>
      </c>
      <c r="H6" s="62">
        <v>2</v>
      </c>
      <c r="I6" s="62">
        <v>20115</v>
      </c>
    </row>
    <row r="7" spans="1:9" x14ac:dyDescent="0.3">
      <c r="A7" s="61" t="s">
        <v>65</v>
      </c>
      <c r="B7" s="62">
        <f>MAX([1]CleanedData!V:V)</f>
        <v>249</v>
      </c>
      <c r="D7" s="62">
        <v>2</v>
      </c>
      <c r="E7" s="61" t="s">
        <v>76</v>
      </c>
      <c r="F7" s="62">
        <v>8383</v>
      </c>
    </row>
    <row r="8" spans="1:9" x14ac:dyDescent="0.3">
      <c r="A8" s="61" t="s">
        <v>66</v>
      </c>
      <c r="B8" s="62" t="e">
        <f>COUNTIF([1]CleanedData!Y:Y,"&gt;=3")+COUNTIF([1]CleanedData!Y:Y,"&lt;=-2")</f>
        <v>#VALUE!</v>
      </c>
      <c r="D8" s="62">
        <v>3</v>
      </c>
      <c r="E8" s="61" t="s">
        <v>77</v>
      </c>
      <c r="F8" s="62">
        <v>8049</v>
      </c>
    </row>
    <row r="9" spans="1:9" x14ac:dyDescent="0.3">
      <c r="D9" s="62">
        <v>4</v>
      </c>
      <c r="E9" s="61" t="s">
        <v>78</v>
      </c>
      <c r="F9" s="62">
        <v>8458</v>
      </c>
    </row>
    <row r="10" spans="1:9" x14ac:dyDescent="0.3">
      <c r="D10" s="62">
        <v>5</v>
      </c>
      <c r="E10" s="61" t="s">
        <v>79</v>
      </c>
      <c r="F10" s="62">
        <v>9095</v>
      </c>
    </row>
    <row r="11" spans="1:9" x14ac:dyDescent="0.3">
      <c r="D11" s="62">
        <v>6</v>
      </c>
      <c r="E11" s="61" t="s">
        <v>80</v>
      </c>
      <c r="F11" s="62">
        <v>7748</v>
      </c>
    </row>
    <row r="12" spans="1:9" x14ac:dyDescent="0.3">
      <c r="D12" s="63"/>
      <c r="E12" s="64"/>
      <c r="F12" s="63"/>
    </row>
    <row r="13" spans="1:9" ht="18" x14ac:dyDescent="0.35">
      <c r="A13" s="80" t="s">
        <v>101</v>
      </c>
      <c r="B13" s="80"/>
      <c r="D13" s="80" t="s">
        <v>102</v>
      </c>
      <c r="E13" s="80"/>
      <c r="F13" s="80"/>
      <c r="H13" s="81" t="s">
        <v>103</v>
      </c>
      <c r="I13" s="81"/>
    </row>
    <row r="14" spans="1:9" x14ac:dyDescent="0.3">
      <c r="A14" s="60" t="s">
        <v>104</v>
      </c>
      <c r="B14" s="60" t="s">
        <v>105</v>
      </c>
      <c r="D14" s="60" t="s">
        <v>8</v>
      </c>
      <c r="E14" s="60" t="s">
        <v>106</v>
      </c>
      <c r="F14" s="60" t="s">
        <v>105</v>
      </c>
      <c r="H14" s="60" t="s">
        <v>107</v>
      </c>
      <c r="I14" s="60" t="s">
        <v>105</v>
      </c>
    </row>
    <row r="15" spans="1:9" x14ac:dyDescent="0.3">
      <c r="A15" s="61">
        <v>0</v>
      </c>
      <c r="B15" s="65">
        <v>16.348837209302324</v>
      </c>
      <c r="D15" s="62">
        <v>1</v>
      </c>
      <c r="E15" s="61" t="s">
        <v>108</v>
      </c>
      <c r="F15" s="66">
        <v>61.671617161716171</v>
      </c>
      <c r="H15" s="61" t="s">
        <v>109</v>
      </c>
      <c r="I15" s="65">
        <v>47.684705882352937</v>
      </c>
    </row>
    <row r="16" spans="1:9" x14ac:dyDescent="0.3">
      <c r="A16" s="61">
        <v>1</v>
      </c>
      <c r="B16" s="65">
        <v>10.697674418604651</v>
      </c>
      <c r="D16" s="62">
        <v>2</v>
      </c>
      <c r="E16" s="61" t="s">
        <v>91</v>
      </c>
      <c r="F16" s="66">
        <v>58.595469255663431</v>
      </c>
      <c r="H16" s="61" t="s">
        <v>110</v>
      </c>
      <c r="I16" s="65">
        <v>66.5590405904059</v>
      </c>
    </row>
    <row r="17" spans="1:9" x14ac:dyDescent="0.3">
      <c r="A17" s="52">
        <v>2</v>
      </c>
      <c r="B17" s="67">
        <v>7.1707317073170733</v>
      </c>
      <c r="D17" s="62">
        <v>3</v>
      </c>
      <c r="E17" s="61" t="s">
        <v>111</v>
      </c>
      <c r="F17" s="66">
        <v>33.202380952380949</v>
      </c>
      <c r="H17" s="61" t="s">
        <v>112</v>
      </c>
      <c r="I17" s="65">
        <v>59.484848484848477</v>
      </c>
    </row>
    <row r="18" spans="1:9" x14ac:dyDescent="0.3">
      <c r="A18" s="52">
        <v>3</v>
      </c>
      <c r="B18" s="67">
        <v>4.870967741935484</v>
      </c>
      <c r="D18" s="62">
        <v>4</v>
      </c>
      <c r="E18" s="61" t="s">
        <v>113</v>
      </c>
      <c r="F18" s="66">
        <v>36</v>
      </c>
    </row>
    <row r="19" spans="1:9" x14ac:dyDescent="0.3">
      <c r="A19" s="52">
        <v>4</v>
      </c>
      <c r="B19" s="67">
        <v>2.15625</v>
      </c>
    </row>
    <row r="20" spans="1:9" ht="18" x14ac:dyDescent="0.35">
      <c r="A20" s="52">
        <v>5</v>
      </c>
      <c r="B20" s="67">
        <v>4.2051282051282053</v>
      </c>
      <c r="D20" s="81" t="s">
        <v>114</v>
      </c>
      <c r="E20" s="81"/>
      <c r="F20" s="81"/>
    </row>
    <row r="21" spans="1:9" x14ac:dyDescent="0.3">
      <c r="A21" s="52">
        <v>6</v>
      </c>
      <c r="B21" s="67">
        <v>19.571428571428573</v>
      </c>
      <c r="D21" s="60" t="s">
        <v>100</v>
      </c>
      <c r="E21" s="60" t="s">
        <v>115</v>
      </c>
      <c r="F21" s="60" t="s">
        <v>116</v>
      </c>
    </row>
    <row r="22" spans="1:9" x14ac:dyDescent="0.3">
      <c r="A22" s="52">
        <v>7</v>
      </c>
      <c r="B22" s="67">
        <v>54.395348837209305</v>
      </c>
      <c r="D22" s="62">
        <v>1</v>
      </c>
      <c r="E22" s="62">
        <v>3073</v>
      </c>
      <c r="F22" s="62">
        <v>35116</v>
      </c>
    </row>
    <row r="23" spans="1:9" x14ac:dyDescent="0.3">
      <c r="A23" s="52">
        <v>8</v>
      </c>
      <c r="B23" s="67">
        <v>128.28571428571428</v>
      </c>
      <c r="D23" s="62">
        <v>2</v>
      </c>
      <c r="E23" s="62">
        <v>1848</v>
      </c>
      <c r="F23" s="62">
        <v>18267</v>
      </c>
    </row>
    <row r="24" spans="1:9" x14ac:dyDescent="0.3">
      <c r="A24" s="52">
        <v>9</v>
      </c>
      <c r="B24" s="67">
        <v>87.428571428571431</v>
      </c>
    </row>
    <row r="25" spans="1:9" x14ac:dyDescent="0.3">
      <c r="A25" s="52">
        <v>10</v>
      </c>
      <c r="B25" s="67">
        <v>53.642857142857146</v>
      </c>
    </row>
    <row r="26" spans="1:9" x14ac:dyDescent="0.3">
      <c r="A26" s="52">
        <v>11</v>
      </c>
      <c r="B26" s="67">
        <v>59.38095238095238</v>
      </c>
    </row>
    <row r="27" spans="1:9" x14ac:dyDescent="0.3">
      <c r="A27" s="52">
        <v>12</v>
      </c>
      <c r="B27" s="67">
        <v>76.348837209302332</v>
      </c>
    </row>
    <row r="28" spans="1:9" x14ac:dyDescent="0.3">
      <c r="A28" s="52">
        <v>13</v>
      </c>
      <c r="B28" s="67">
        <v>78.511627906976742</v>
      </c>
    </row>
    <row r="29" spans="1:9" x14ac:dyDescent="0.3">
      <c r="A29" s="52">
        <v>14</v>
      </c>
      <c r="B29" s="67">
        <v>74.418604651162795</v>
      </c>
    </row>
    <row r="30" spans="1:9" x14ac:dyDescent="0.3">
      <c r="A30" s="52">
        <v>15</v>
      </c>
      <c r="B30" s="67">
        <v>77.95348837209302</v>
      </c>
    </row>
    <row r="31" spans="1:9" x14ac:dyDescent="0.3">
      <c r="A31" s="52">
        <v>16</v>
      </c>
      <c r="B31" s="67">
        <v>89.272727272727266</v>
      </c>
    </row>
    <row r="32" spans="1:9" x14ac:dyDescent="0.3">
      <c r="A32" s="52">
        <v>17</v>
      </c>
      <c r="B32" s="67">
        <v>140.20454545454547</v>
      </c>
    </row>
    <row r="33" spans="1:2" x14ac:dyDescent="0.3">
      <c r="A33" s="52">
        <v>18</v>
      </c>
      <c r="B33" s="67">
        <v>122.86046511627907</v>
      </c>
    </row>
    <row r="34" spans="1:2" x14ac:dyDescent="0.3">
      <c r="A34" s="52">
        <v>19</v>
      </c>
      <c r="B34" s="67">
        <v>85.139534883720927</v>
      </c>
    </row>
    <row r="35" spans="1:2" x14ac:dyDescent="0.3">
      <c r="A35" s="52">
        <v>20</v>
      </c>
      <c r="B35" s="67">
        <v>61.767441860465119</v>
      </c>
    </row>
    <row r="36" spans="1:2" x14ac:dyDescent="0.3">
      <c r="A36" s="52">
        <v>21</v>
      </c>
      <c r="B36" s="67">
        <v>46.418604651162788</v>
      </c>
    </row>
    <row r="37" spans="1:2" x14ac:dyDescent="0.3">
      <c r="A37" s="52">
        <v>22</v>
      </c>
      <c r="B37" s="67">
        <v>35.069767441860463</v>
      </c>
    </row>
    <row r="38" spans="1:2" x14ac:dyDescent="0.3">
      <c r="A38" s="52">
        <v>23</v>
      </c>
      <c r="B38" s="67">
        <v>25.186046511627907</v>
      </c>
    </row>
  </sheetData>
  <mergeCells count="6">
    <mergeCell ref="D20:F20"/>
    <mergeCell ref="D3:F3"/>
    <mergeCell ref="H3:I3"/>
    <mergeCell ref="A13:B13"/>
    <mergeCell ref="D13:F13"/>
    <mergeCell ref="H13:I13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BE309E-2EC9-4A48-BB34-CFC1A5DE81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dataseet1</vt:lpstr>
      <vt:lpstr>dataset2</vt:lpstr>
      <vt:lpstr>Merge1</vt:lpstr>
      <vt:lpstr>dataset3</vt:lpstr>
      <vt:lpstr>Append1</vt:lpstr>
      <vt:lpstr>CleanedData</vt:lpstr>
      <vt:lpstr>Dashboard Data</vt:lpstr>
      <vt:lpstr>humidity measurement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anamika18.rani@outlook.com</dc:creator>
  <cp:lastModifiedBy>anamika18.rani@outlook.com</cp:lastModifiedBy>
  <dcterms:created xsi:type="dcterms:W3CDTF">2026-01-13T09:26:31Z</dcterms:created>
  <dcterms:modified xsi:type="dcterms:W3CDTF">2026-01-20T05:51:06Z</dcterms:modified>
</cp:coreProperties>
</file>